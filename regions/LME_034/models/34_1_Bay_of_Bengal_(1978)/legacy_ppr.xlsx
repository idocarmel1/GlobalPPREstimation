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ch" sheetId="2" state="visible" r:id="rId2"/>
    <sheet name="Taxon-Group Map" sheetId="3" state="visible" r:id="rId3"/>
    <sheet name="Final mappings" sheetId="4" state="visible" r:id="rId4"/>
    <sheet name="SPPR" sheetId="5" state="visible" r:id="rId5"/>
    <sheet name="PPR by method" sheetId="6" state="visible" r:id="rId6"/>
    <sheet name="sppr_inner" sheetId="7" state="visible" r:id="rId7"/>
    <sheet name="PPR inner" sheetId="8" state="visible" r:id="rId8"/>
    <sheet name="sppr_PP" sheetId="9" state="visible" r:id="rId9"/>
    <sheet name="PPR PP" sheetId="10" state="visible" r:id="rId10"/>
    <sheet name="Recycling" sheetId="11" state="visible" r:id="rId11"/>
    <sheet name="PPR by taxon" sheetId="12" state="visible" r:id="rId12"/>
    <sheet name="Model groups" sheetId="13" state="visible" r:id="rId13"/>
    <sheet name="NPP" sheetId="14" state="visible" r:id="rId14"/>
  </sheets>
  <definedNames>
    <definedName name="_xlnm._FilterDatabase" localSheetId="3" hidden="1">'Final mappings'!$A$4:$M$597</definedName>
    <definedName name="_xlnm._FilterDatabase" localSheetId="13" hidden="1">'NPP'!$A$3:$O$73</definedName>
  </definedNames>
  <calcPr calcId="124519" fullCalcOnLoad="1"/>
</workbook>
</file>

<file path=xl/styles.xml><?xml version="1.0" encoding="utf-8"?>
<styleSheet xmlns="http://schemas.openxmlformats.org/spreadsheetml/2006/main">
  <numFmts count="2">
    <numFmt numFmtId="164" formatCode="0.000000000000000"/>
    <numFmt numFmtId="165" formatCode="#,##0.000000"/>
  </numFmts>
  <fonts count="8">
    <font>
      <name val="Calibri"/>
      <family val="2"/>
      <color theme="1"/>
      <sz val="11"/>
      <scheme val="minor"/>
    </font>
    <font>
      <b val="1"/>
      <color rgb="00FFFFFF"/>
    </font>
    <font>
      <b val="1"/>
      <sz val="14"/>
    </font>
    <font>
      <b val="1"/>
    </font>
    <font>
      <i val="1"/>
    </font>
    <font>
      <i val="1"/>
      <color rgb="00808080"/>
    </font>
    <font>
      <b val="1"/>
      <color rgb="009C0006"/>
    </font>
    <font>
      <b val="1"/>
      <sz val="12"/>
    </font>
  </fonts>
  <fills count="8">
    <fill>
      <patternFill/>
    </fill>
    <fill>
      <patternFill patternType="gray125"/>
    </fill>
    <fill>
      <patternFill patternType="solid">
        <fgColor rgb="001F4E79"/>
      </patternFill>
    </fill>
    <fill>
      <patternFill patternType="solid">
        <fgColor rgb="00FFEB9C"/>
      </patternFill>
    </fill>
    <fill>
      <patternFill patternType="solid">
        <fgColor rgb="00C6EFCE"/>
      </patternFill>
    </fill>
    <fill>
      <patternFill patternType="solid">
        <fgColor rgb="00FFC49C"/>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22">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vertical="center"/>
    </xf>
    <xf numFmtId="0" fontId="0" fillId="3" borderId="0" pivotButton="0" quotePrefix="0" xfId="0"/>
    <xf numFmtId="0" fontId="0" fillId="0" borderId="0" applyAlignment="1" pivotButton="0" quotePrefix="0" xfId="0">
      <alignment vertical="top"/>
    </xf>
    <xf numFmtId="0" fontId="0" fillId="4" borderId="0" pivotButton="0" quotePrefix="0" xfId="0"/>
    <xf numFmtId="0" fontId="0" fillId="5"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0" fontId="5" fillId="0" borderId="0" pivotButton="0" quotePrefix="0" xfId="0"/>
    <xf numFmtId="0" fontId="6" fillId="0" borderId="0" pivotButton="0" quotePrefix="0" xfId="0"/>
    <xf numFmtId="0" fontId="0" fillId="6" borderId="0" pivotButton="0" quotePrefix="0" xfId="0"/>
    <xf numFmtId="0" fontId="1" fillId="2" borderId="0" applyAlignment="1" pivotButton="0" quotePrefix="0" xfId="0">
      <alignment vertical="center" wrapText="1"/>
    </xf>
    <xf numFmtId="0" fontId="0" fillId="0" borderId="0" applyAlignment="1" pivotButton="0" quotePrefix="0" xfId="0">
      <alignment/>
    </xf>
    <xf numFmtId="165" fontId="0" fillId="0" borderId="0" pivotButton="0" quotePrefix="0" xfId="0"/>
    <xf numFmtId="0" fontId="7"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9"/>
  <sheetViews>
    <sheetView showGridLines="0" workbookViewId="0">
      <pane ySplit="1" topLeftCell="A2" activePane="bottomLeft" state="frozen"/>
      <selection pane="bottomLeft" activeCell="A1" sqref="A1"/>
    </sheetView>
  </sheetViews>
  <sheetFormatPr baseColWidth="8" defaultRowHeight="15"/>
  <cols>
    <col width="36" customWidth="1" min="1" max="1"/>
    <col width="22" customWidth="1" min="2" max="2"/>
    <col width="20" customWidth="1" min="3" max="3"/>
    <col width="24" customWidth="1" min="4" max="4"/>
    <col width="20" customWidth="1" min="5" max="5"/>
    <col width="24" customWidth="1" min="6" max="6"/>
  </cols>
  <sheetData>
    <row r="1">
      <c r="A1" s="1" t="inlineStr">
        <is>
          <t>LME_034 — Bay of Bengal</t>
        </is>
      </c>
    </row>
    <row r="2">
      <c r="A2" s="2" t="inlineStr">
        <is>
          <t>Ecopath model: 34_1_Bay_of_Bengal_(1978)</t>
        </is>
      </c>
    </row>
    <row r="3">
      <c r="A3" s="3" t="inlineStr">
        <is>
          <t>Bay of Bengal pilot model; see source and mapping notes for coverage. LME_034 — `34_1_Bay_of_Bengal_(1978)` mapping notes</t>
        </is>
      </c>
    </row>
    <row r="5">
      <c r="A5" t="inlineStr">
        <is>
          <t>region type</t>
        </is>
      </c>
      <c r="B5" t="inlineStr">
        <is>
          <t>LME</t>
        </is>
      </c>
    </row>
    <row r="6">
      <c r="A6" t="inlineStr">
        <is>
          <t>latitude</t>
        </is>
      </c>
      <c r="B6" t="inlineStr">
        <is>
          <t>14.5833</t>
        </is>
      </c>
    </row>
    <row r="7">
      <c r="A7" t="inlineStr">
        <is>
          <t>longitude</t>
        </is>
      </c>
      <c r="B7" t="inlineStr">
        <is>
          <t>92.86414</t>
        </is>
      </c>
    </row>
    <row r="8">
      <c r="A8" t="inlineStr">
        <is>
          <t>catch years</t>
        </is>
      </c>
      <c r="B8" t="inlineStr">
        <is>
          <t>1950-2019</t>
        </is>
      </c>
    </row>
    <row r="9">
      <c r="A9" t="inlineStr">
        <is>
          <t>taxa in catch</t>
        </is>
      </c>
      <c r="B9" t="n">
        <v>315</v>
      </c>
    </row>
    <row r="10">
      <c r="A10" t="inlineStr">
        <is>
          <t>taxa apportioned across groups</t>
        </is>
      </c>
      <c r="B10" t="n">
        <v>239</v>
      </c>
    </row>
    <row r="11">
      <c r="A11" t="inlineStr">
        <is>
          <t>taxa unresolved</t>
        </is>
      </c>
      <c r="B11" t="n">
        <v>0</v>
      </c>
    </row>
    <row r="12">
      <c r="A12" t="inlineStr">
        <is>
          <t>catch tonnage on a named group, %</t>
        </is>
      </c>
      <c r="B12" t="n">
        <v>100</v>
      </c>
    </row>
    <row r="13">
      <c r="A13" t="inlineStr">
        <is>
          <t>SPPR methods</t>
        </is>
      </c>
      <c r="B13" t="n">
        <v>22</v>
      </c>
    </row>
    <row r="14">
      <c r="A14" t="inlineStr">
        <is>
          <t>methods flagged as unusable</t>
        </is>
      </c>
      <c r="B14" t="n">
        <v>3</v>
      </c>
    </row>
    <row r="15">
      <c r="A15" t="inlineStr">
        <is>
          <t>headline method below</t>
        </is>
      </c>
      <c r="B15" t="inlineStr">
        <is>
          <t>new_TE_EEfix</t>
        </is>
      </c>
    </row>
    <row r="17">
      <c r="A17" s="4" t="inlineStr">
        <is>
          <t>year</t>
        </is>
      </c>
      <c r="B17" s="4" t="inlineStr">
        <is>
          <t>catch_tonnes</t>
        </is>
      </c>
      <c r="C17" s="4" t="inlineStr">
        <is>
          <t>ppr_simple</t>
        </is>
      </c>
      <c r="D17" s="4" t="inlineStr">
        <is>
          <t>ppr_new_TE_EEfix</t>
        </is>
      </c>
      <c r="E17" s="4" t="inlineStr">
        <is>
          <t>ppr_simple / NPP %</t>
        </is>
      </c>
      <c r="F17" s="4" t="inlineStr">
        <is>
          <t>ppr_new_TE_EEfix / NPP %</t>
        </is>
      </c>
    </row>
    <row r="18">
      <c r="A18" t="n">
        <v>1950</v>
      </c>
      <c r="B18" t="n">
        <v>864283.245</v>
      </c>
      <c r="C18" t="n">
        <v>470224474.923</v>
      </c>
      <c r="D18" t="n">
        <v>1525841059.494</v>
      </c>
    </row>
    <row r="19">
      <c r="A19" t="n">
        <v>1951</v>
      </c>
      <c r="B19" t="n">
        <v>843320.463</v>
      </c>
      <c r="C19" t="n">
        <v>479655799.992</v>
      </c>
      <c r="D19" t="n">
        <v>1721759036.642</v>
      </c>
    </row>
    <row r="20">
      <c r="A20" t="n">
        <v>1952</v>
      </c>
      <c r="B20" t="n">
        <v>884552.792</v>
      </c>
      <c r="C20" t="n">
        <v>518384304.482</v>
      </c>
      <c r="D20" t="n">
        <v>1962934339.675</v>
      </c>
    </row>
    <row r="21">
      <c r="A21" t="n">
        <v>1953</v>
      </c>
      <c r="B21" t="n">
        <v>873854.348</v>
      </c>
      <c r="C21" t="n">
        <v>503838387.402</v>
      </c>
      <c r="D21" t="n">
        <v>1705784057.805</v>
      </c>
    </row>
    <row r="22">
      <c r="A22" t="n">
        <v>1954</v>
      </c>
      <c r="B22" t="n">
        <v>912006.235</v>
      </c>
      <c r="C22" t="n">
        <v>548855442.279</v>
      </c>
      <c r="D22" t="n">
        <v>1759843758.402</v>
      </c>
    </row>
    <row r="23">
      <c r="A23" t="n">
        <v>1955</v>
      </c>
      <c r="B23" t="n">
        <v>968191.632</v>
      </c>
      <c r="C23" t="n">
        <v>568401083.102</v>
      </c>
      <c r="D23" t="n">
        <v>1777606552.586</v>
      </c>
    </row>
    <row r="24">
      <c r="A24" t="n">
        <v>1956</v>
      </c>
      <c r="B24" t="n">
        <v>1016668.648</v>
      </c>
      <c r="C24" t="n">
        <v>625166415.7920001</v>
      </c>
      <c r="D24" t="n">
        <v>1888733459.819</v>
      </c>
    </row>
    <row r="25">
      <c r="A25" t="n">
        <v>1957</v>
      </c>
      <c r="B25" t="n">
        <v>959374.355</v>
      </c>
      <c r="C25" t="n">
        <v>586646084.85</v>
      </c>
      <c r="D25" t="n">
        <v>1988720101.585</v>
      </c>
    </row>
    <row r="26">
      <c r="A26" t="n">
        <v>1958</v>
      </c>
      <c r="B26" t="n">
        <v>1010345.246</v>
      </c>
      <c r="C26" t="n">
        <v>609646137.494</v>
      </c>
      <c r="D26" t="n">
        <v>2056615615.046</v>
      </c>
    </row>
    <row r="27">
      <c r="A27" t="n">
        <v>1959</v>
      </c>
      <c r="B27" t="n">
        <v>1017730.759</v>
      </c>
      <c r="C27" t="n">
        <v>608993785.003</v>
      </c>
      <c r="D27" t="n">
        <v>2143855936.189</v>
      </c>
    </row>
    <row r="28">
      <c r="A28" t="n">
        <v>1960</v>
      </c>
      <c r="B28" t="n">
        <v>1079967.132</v>
      </c>
      <c r="C28" t="n">
        <v>629347038.538</v>
      </c>
      <c r="D28" t="n">
        <v>2509065175.571</v>
      </c>
    </row>
    <row r="29">
      <c r="A29" t="n">
        <v>1961</v>
      </c>
      <c r="B29" t="n">
        <v>1147644.259</v>
      </c>
      <c r="C29" t="n">
        <v>669101290.891</v>
      </c>
      <c r="D29" t="n">
        <v>2506938232.922</v>
      </c>
    </row>
    <row r="30">
      <c r="A30" t="n">
        <v>1962</v>
      </c>
      <c r="B30" t="n">
        <v>1187958.483</v>
      </c>
      <c r="C30" t="n">
        <v>687477554.039</v>
      </c>
      <c r="D30" t="n">
        <v>2631292025.55</v>
      </c>
    </row>
    <row r="31">
      <c r="A31" t="n">
        <v>1963</v>
      </c>
      <c r="B31" t="n">
        <v>1234561.298</v>
      </c>
      <c r="C31" t="n">
        <v>692351029.885</v>
      </c>
      <c r="D31" t="n">
        <v>2593816551.614</v>
      </c>
    </row>
    <row r="32">
      <c r="A32" t="n">
        <v>1964</v>
      </c>
      <c r="B32" t="n">
        <v>1418801.407</v>
      </c>
      <c r="C32" t="n">
        <v>770896156.517</v>
      </c>
      <c r="D32" t="n">
        <v>2668712019.679</v>
      </c>
    </row>
    <row r="33">
      <c r="A33" t="n">
        <v>1965</v>
      </c>
      <c r="B33" t="n">
        <v>1419117.898</v>
      </c>
      <c r="C33" t="n">
        <v>774782731.823</v>
      </c>
      <c r="D33" t="n">
        <v>2938054830.588</v>
      </c>
    </row>
    <row r="34">
      <c r="A34" t="n">
        <v>1966</v>
      </c>
      <c r="B34" t="n">
        <v>1532762.346</v>
      </c>
      <c r="C34" t="n">
        <v>836343612.482</v>
      </c>
      <c r="D34" t="n">
        <v>3071831716.278</v>
      </c>
    </row>
    <row r="35">
      <c r="A35" t="n">
        <v>1967</v>
      </c>
      <c r="B35" t="n">
        <v>1582827.518</v>
      </c>
      <c r="C35" t="n">
        <v>870648937.309</v>
      </c>
      <c r="D35" t="n">
        <v>2805826296.975</v>
      </c>
    </row>
    <row r="36">
      <c r="A36" t="n">
        <v>1968</v>
      </c>
      <c r="B36" t="n">
        <v>1684980.432</v>
      </c>
      <c r="C36" t="n">
        <v>963645398.569</v>
      </c>
      <c r="D36" t="n">
        <v>3230943576.991</v>
      </c>
    </row>
    <row r="37">
      <c r="A37" t="n">
        <v>1969</v>
      </c>
      <c r="B37" t="n">
        <v>1736361.453</v>
      </c>
      <c r="C37" t="n">
        <v>1004857830.247</v>
      </c>
      <c r="D37" t="n">
        <v>3469997079.262</v>
      </c>
    </row>
    <row r="38">
      <c r="A38" t="n">
        <v>1970</v>
      </c>
      <c r="B38" t="n">
        <v>1717099.419</v>
      </c>
      <c r="C38" t="n">
        <v>900212336.707</v>
      </c>
      <c r="D38" t="n">
        <v>3315478641.595</v>
      </c>
    </row>
    <row r="39">
      <c r="A39" t="n">
        <v>1971</v>
      </c>
      <c r="B39" t="n">
        <v>1917538.19</v>
      </c>
      <c r="C39" t="n">
        <v>1015867746.721</v>
      </c>
      <c r="D39" t="n">
        <v>3580339201.708</v>
      </c>
    </row>
    <row r="40">
      <c r="A40" t="n">
        <v>1972</v>
      </c>
      <c r="B40" t="n">
        <v>2025615.218</v>
      </c>
      <c r="C40" t="n">
        <v>1047425276.872</v>
      </c>
      <c r="D40" t="n">
        <v>3858983406.533</v>
      </c>
    </row>
    <row r="41">
      <c r="A41" t="n">
        <v>1973</v>
      </c>
      <c r="B41" t="n">
        <v>2112668.636</v>
      </c>
      <c r="C41" t="n">
        <v>1097022235.332</v>
      </c>
      <c r="D41" t="n">
        <v>3868842800.238</v>
      </c>
    </row>
    <row r="42">
      <c r="A42" t="n">
        <v>1974</v>
      </c>
      <c r="B42" t="n">
        <v>2280857.894</v>
      </c>
      <c r="C42" t="n">
        <v>1159374974.221</v>
      </c>
      <c r="D42" t="n">
        <v>4445232805.536</v>
      </c>
    </row>
    <row r="43">
      <c r="A43" t="n">
        <v>1975</v>
      </c>
      <c r="B43" t="n">
        <v>2431545.323</v>
      </c>
      <c r="C43" t="n">
        <v>1205050019.951</v>
      </c>
      <c r="D43" t="n">
        <v>4352858538.86</v>
      </c>
    </row>
    <row r="44">
      <c r="A44" t="n">
        <v>1976</v>
      </c>
      <c r="B44" t="n">
        <v>2725250.015</v>
      </c>
      <c r="C44" t="n">
        <v>1310822785.853</v>
      </c>
      <c r="D44" t="n">
        <v>4541060466.697</v>
      </c>
    </row>
    <row r="45">
      <c r="A45" t="n">
        <v>1977</v>
      </c>
      <c r="B45" t="n">
        <v>2818212.17</v>
      </c>
      <c r="C45" t="n">
        <v>1426504553.974</v>
      </c>
      <c r="D45" t="n">
        <v>4589866744.16</v>
      </c>
    </row>
    <row r="46">
      <c r="A46" t="n">
        <v>1978</v>
      </c>
      <c r="B46" t="n">
        <v>3043707.784</v>
      </c>
      <c r="C46" t="n">
        <v>1498968181.316</v>
      </c>
      <c r="D46" t="n">
        <v>4842741157.66</v>
      </c>
    </row>
    <row r="47">
      <c r="A47" t="n">
        <v>1979</v>
      </c>
      <c r="B47" t="n">
        <v>3170389.704</v>
      </c>
      <c r="C47" t="n">
        <v>1553910885.201</v>
      </c>
      <c r="D47" t="n">
        <v>4866393646.663</v>
      </c>
    </row>
    <row r="48">
      <c r="A48" t="n">
        <v>1980</v>
      </c>
      <c r="B48" t="n">
        <v>3163987.96</v>
      </c>
      <c r="C48" t="n">
        <v>1526737052.579</v>
      </c>
      <c r="D48" t="n">
        <v>4855505629.527</v>
      </c>
    </row>
    <row r="49">
      <c r="A49" t="n">
        <v>1981</v>
      </c>
      <c r="B49" t="n">
        <v>3271574.714</v>
      </c>
      <c r="C49" t="n">
        <v>1612055584.751</v>
      </c>
      <c r="D49" t="n">
        <v>5038813910.842</v>
      </c>
    </row>
    <row r="50">
      <c r="A50" t="n">
        <v>1982</v>
      </c>
      <c r="B50" t="n">
        <v>3445882.61</v>
      </c>
      <c r="C50" t="n">
        <v>1687469309.672</v>
      </c>
      <c r="D50" t="n">
        <v>5172815518.812</v>
      </c>
    </row>
    <row r="51">
      <c r="A51" t="n">
        <v>1983</v>
      </c>
      <c r="B51" t="n">
        <v>3501395.896</v>
      </c>
      <c r="C51" t="n">
        <v>1713907263.062</v>
      </c>
      <c r="D51" t="n">
        <v>5303291479.175</v>
      </c>
    </row>
    <row r="52">
      <c r="A52" t="n">
        <v>1984</v>
      </c>
      <c r="B52" t="n">
        <v>3538047.551</v>
      </c>
      <c r="C52" t="n">
        <v>1820942835.486</v>
      </c>
      <c r="D52" t="n">
        <v>5473824618.96</v>
      </c>
    </row>
    <row r="53">
      <c r="A53" t="n">
        <v>1985</v>
      </c>
      <c r="B53" t="n">
        <v>3429878.982</v>
      </c>
      <c r="C53" t="n">
        <v>1759689014.693</v>
      </c>
      <c r="D53" t="n">
        <v>5300715072.476</v>
      </c>
    </row>
    <row r="54">
      <c r="A54" t="n">
        <v>1986</v>
      </c>
      <c r="B54" t="n">
        <v>3692669.785</v>
      </c>
      <c r="C54" t="n">
        <v>1875163978.97</v>
      </c>
      <c r="D54" t="n">
        <v>5653928826.783</v>
      </c>
    </row>
    <row r="55">
      <c r="A55" t="n">
        <v>1987</v>
      </c>
      <c r="B55" t="n">
        <v>3863802.421</v>
      </c>
      <c r="C55" t="n">
        <v>2005624432.699</v>
      </c>
      <c r="D55" t="n">
        <v>6162649050.479</v>
      </c>
    </row>
    <row r="56">
      <c r="A56" t="n">
        <v>1988</v>
      </c>
      <c r="B56" t="n">
        <v>3677938.926</v>
      </c>
      <c r="C56" t="n">
        <v>1957134323.584</v>
      </c>
      <c r="D56" t="n">
        <v>5890289679.492</v>
      </c>
    </row>
    <row r="57">
      <c r="A57" t="n">
        <v>1989</v>
      </c>
      <c r="B57" t="n">
        <v>3903831.135</v>
      </c>
      <c r="C57" t="n">
        <v>2104115246.87</v>
      </c>
      <c r="D57" t="n">
        <v>6377964596.703</v>
      </c>
    </row>
    <row r="58">
      <c r="A58" t="n">
        <v>1990</v>
      </c>
      <c r="B58" t="n">
        <v>3969164.769</v>
      </c>
      <c r="C58" t="n">
        <v>2063030170.125</v>
      </c>
      <c r="D58" t="n">
        <v>5968897637.916</v>
      </c>
    </row>
    <row r="59">
      <c r="A59" t="n">
        <v>1991</v>
      </c>
      <c r="B59" t="n">
        <v>4246696.832</v>
      </c>
      <c r="C59" t="n">
        <v>2255330080.124</v>
      </c>
      <c r="D59" t="n">
        <v>6510681466.301</v>
      </c>
    </row>
    <row r="60">
      <c r="A60" t="n">
        <v>1992</v>
      </c>
      <c r="B60" t="n">
        <v>4455671.531</v>
      </c>
      <c r="C60" t="n">
        <v>2357207806.564</v>
      </c>
      <c r="D60" t="n">
        <v>6958499710.671</v>
      </c>
    </row>
    <row r="61">
      <c r="A61" t="n">
        <v>1993</v>
      </c>
      <c r="B61" t="n">
        <v>4731354.316</v>
      </c>
      <c r="C61" t="n">
        <v>2613352232.616</v>
      </c>
      <c r="D61" t="n">
        <v>7646438129.773</v>
      </c>
    </row>
    <row r="62">
      <c r="A62" t="n">
        <v>1994</v>
      </c>
      <c r="B62" t="n">
        <v>4583952.477</v>
      </c>
      <c r="C62" t="n">
        <v>2503947384.954</v>
      </c>
      <c r="D62" t="n">
        <v>7417598221.806</v>
      </c>
    </row>
    <row r="63">
      <c r="A63" t="n">
        <v>1995</v>
      </c>
      <c r="B63" t="n">
        <v>4786925.963</v>
      </c>
      <c r="C63" t="n">
        <v>2577082078.158</v>
      </c>
      <c r="D63" t="n">
        <v>7650893884.491</v>
      </c>
    </row>
    <row r="64">
      <c r="A64" t="n">
        <v>1996</v>
      </c>
      <c r="B64" t="n">
        <v>4866714.151</v>
      </c>
      <c r="C64" t="n">
        <v>2611378106.762</v>
      </c>
      <c r="D64" t="n">
        <v>7691135588.775</v>
      </c>
    </row>
    <row r="65">
      <c r="A65" t="n">
        <v>1997</v>
      </c>
      <c r="B65" t="n">
        <v>4947238.197</v>
      </c>
      <c r="C65" t="n">
        <v>2613460472.452</v>
      </c>
      <c r="D65" t="n">
        <v>7913349258.617</v>
      </c>
    </row>
    <row r="66">
      <c r="A66" t="n">
        <v>1998</v>
      </c>
      <c r="B66" t="n">
        <v>5151667.3</v>
      </c>
      <c r="C66" t="n">
        <v>2927891354.231</v>
      </c>
      <c r="D66" t="n">
        <v>8570635086.611</v>
      </c>
      <c r="E66" t="n">
        <v>28.9292</v>
      </c>
      <c r="F66" t="n">
        <v>84.6828</v>
      </c>
    </row>
    <row r="67">
      <c r="A67" t="n">
        <v>1999</v>
      </c>
      <c r="B67" t="n">
        <v>5031652.503</v>
      </c>
      <c r="C67" t="n">
        <v>2718460438.727</v>
      </c>
      <c r="D67" t="n">
        <v>8325352214.203</v>
      </c>
      <c r="E67" t="n">
        <v>27.8697</v>
      </c>
      <c r="F67" t="n">
        <v>85.35169999999999</v>
      </c>
    </row>
    <row r="68">
      <c r="A68" t="n">
        <v>2000</v>
      </c>
      <c r="B68" t="n">
        <v>5253948.81</v>
      </c>
      <c r="C68" t="n">
        <v>2914083457.511</v>
      </c>
      <c r="D68" t="n">
        <v>8887398030.329</v>
      </c>
      <c r="E68" t="n">
        <v>31.0877</v>
      </c>
      <c r="F68" t="n">
        <v>94.81140000000001</v>
      </c>
    </row>
    <row r="69">
      <c r="A69" t="n">
        <v>2001</v>
      </c>
      <c r="B69" t="n">
        <v>5146401.692</v>
      </c>
      <c r="C69" t="n">
        <v>2691692687.272</v>
      </c>
      <c r="D69" t="n">
        <v>8226348225.51</v>
      </c>
      <c r="E69" t="n">
        <v>29.4291</v>
      </c>
      <c r="F69" t="n">
        <v>89.94110000000001</v>
      </c>
    </row>
    <row r="70">
      <c r="A70" t="n">
        <v>2002</v>
      </c>
      <c r="B70" t="n">
        <v>5409424.531</v>
      </c>
      <c r="C70" t="n">
        <v>2987885831.14</v>
      </c>
      <c r="D70" t="n">
        <v>9126073198.316</v>
      </c>
      <c r="E70" t="n">
        <v>31.4172</v>
      </c>
      <c r="F70" t="n">
        <v>95.9593</v>
      </c>
    </row>
    <row r="71">
      <c r="A71" t="n">
        <v>2003</v>
      </c>
      <c r="B71" t="n">
        <v>5623567.248</v>
      </c>
      <c r="C71" t="n">
        <v>3025184858.196</v>
      </c>
      <c r="D71" t="n">
        <v>9200813004.833</v>
      </c>
      <c r="E71" t="n">
        <v>30.4729</v>
      </c>
      <c r="F71" t="n">
        <v>92.6806</v>
      </c>
    </row>
    <row r="72">
      <c r="A72" t="n">
        <v>2004</v>
      </c>
      <c r="B72" t="n">
        <v>5821145.476</v>
      </c>
      <c r="C72" t="n">
        <v>3102237094.353</v>
      </c>
      <c r="D72" t="n">
        <v>9521571618.542999</v>
      </c>
      <c r="E72" t="n">
        <v>31.5058</v>
      </c>
      <c r="F72" t="n">
        <v>96.6994</v>
      </c>
    </row>
    <row r="73">
      <c r="A73" t="n">
        <v>2005</v>
      </c>
      <c r="B73" t="n">
        <v>5469463.275</v>
      </c>
      <c r="C73" t="n">
        <v>2945799380.952</v>
      </c>
      <c r="D73" t="n">
        <v>8829921942.983999</v>
      </c>
      <c r="E73" t="n">
        <v>31.0211</v>
      </c>
      <c r="F73" t="n">
        <v>92.9846</v>
      </c>
    </row>
    <row r="74">
      <c r="A74" t="n">
        <v>2006</v>
      </c>
      <c r="B74" t="n">
        <v>5967073.571</v>
      </c>
      <c r="C74" t="n">
        <v>3090676118.693</v>
      </c>
      <c r="D74" t="n">
        <v>9095808774.978001</v>
      </c>
      <c r="E74" t="n">
        <v>32.2555</v>
      </c>
      <c r="F74" t="n">
        <v>94.92749999999999</v>
      </c>
    </row>
    <row r="75">
      <c r="A75" t="n">
        <v>2007</v>
      </c>
      <c r="B75" t="n">
        <v>5954381.357</v>
      </c>
      <c r="C75" t="n">
        <v>3245690259.659</v>
      </c>
      <c r="D75" t="n">
        <v>9449518271.893</v>
      </c>
      <c r="E75" t="n">
        <v>32.7075</v>
      </c>
      <c r="F75" t="n">
        <v>95.2247</v>
      </c>
    </row>
    <row r="76">
      <c r="A76" t="n">
        <v>2008</v>
      </c>
      <c r="B76" t="n">
        <v>6105450.968</v>
      </c>
      <c r="C76" t="n">
        <v>3090496494.426</v>
      </c>
      <c r="D76" t="n">
        <v>8897448888.382999</v>
      </c>
      <c r="E76" t="n">
        <v>32.4953</v>
      </c>
      <c r="F76" t="n">
        <v>93.553</v>
      </c>
    </row>
    <row r="77">
      <c r="A77" t="n">
        <v>2009</v>
      </c>
      <c r="B77" t="n">
        <v>6487207.646</v>
      </c>
      <c r="C77" t="n">
        <v>3263981143.095</v>
      </c>
      <c r="D77" t="n">
        <v>9230928868.150999</v>
      </c>
      <c r="E77" t="n">
        <v>34.3417</v>
      </c>
      <c r="F77" t="n">
        <v>97.1224</v>
      </c>
    </row>
    <row r="78">
      <c r="A78" t="n">
        <v>2010</v>
      </c>
      <c r="B78" t="n">
        <v>6357669.589</v>
      </c>
      <c r="C78" t="n">
        <v>3154635925.362</v>
      </c>
      <c r="D78" t="n">
        <v>8984400914.697001</v>
      </c>
      <c r="E78" t="n">
        <v>32.7297</v>
      </c>
      <c r="F78" t="n">
        <v>93.21420000000001</v>
      </c>
    </row>
    <row r="79">
      <c r="A79" t="n">
        <v>2011</v>
      </c>
      <c r="B79" t="n">
        <v>6508078.932</v>
      </c>
      <c r="C79" t="n">
        <v>3186070406.057</v>
      </c>
      <c r="D79" t="n">
        <v>9205815439.917999</v>
      </c>
      <c r="E79" t="n">
        <v>34.2672</v>
      </c>
      <c r="F79" t="n">
        <v>99.01139999999999</v>
      </c>
    </row>
    <row r="80">
      <c r="A80" t="n">
        <v>2012</v>
      </c>
      <c r="B80" t="n">
        <v>6418154.609</v>
      </c>
      <c r="C80" t="n">
        <v>3126950517.586</v>
      </c>
      <c r="D80" t="n">
        <v>9120823427.597</v>
      </c>
      <c r="E80" t="n">
        <v>34.1083</v>
      </c>
      <c r="F80" t="n">
        <v>99.48869999999999</v>
      </c>
    </row>
    <row r="81">
      <c r="A81" t="n">
        <v>2013</v>
      </c>
      <c r="B81" t="n">
        <v>6194802.997</v>
      </c>
      <c r="C81" t="n">
        <v>2933667273.488</v>
      </c>
      <c r="D81" t="n">
        <v>8430912572.802</v>
      </c>
      <c r="E81" t="n">
        <v>32.4738</v>
      </c>
      <c r="F81" t="n">
        <v>93.3246</v>
      </c>
    </row>
    <row r="82">
      <c r="A82" t="n">
        <v>2014</v>
      </c>
      <c r="B82" t="n">
        <v>6230194.262</v>
      </c>
      <c r="C82" t="n">
        <v>3102290965.39</v>
      </c>
      <c r="D82" t="n">
        <v>9101009457.120001</v>
      </c>
      <c r="E82" t="n">
        <v>34.4289</v>
      </c>
      <c r="F82" t="n">
        <v>101.0022</v>
      </c>
    </row>
    <row r="83">
      <c r="A83" t="n">
        <v>2015</v>
      </c>
      <c r="B83" t="n">
        <v>6325278.954</v>
      </c>
      <c r="C83" t="n">
        <v>3228903568.238</v>
      </c>
      <c r="D83" t="n">
        <v>9246183319.568001</v>
      </c>
      <c r="E83" t="n">
        <v>37.427</v>
      </c>
      <c r="F83" t="n">
        <v>107.1747</v>
      </c>
    </row>
    <row r="84">
      <c r="A84" t="n">
        <v>2016</v>
      </c>
      <c r="B84" t="n">
        <v>6541894.836</v>
      </c>
      <c r="C84" t="n">
        <v>3392524591.477</v>
      </c>
      <c r="D84" t="n">
        <v>9646910475.077999</v>
      </c>
      <c r="E84" t="n">
        <v>35.9542</v>
      </c>
      <c r="F84" t="n">
        <v>102.2385</v>
      </c>
    </row>
    <row r="85">
      <c r="A85" t="n">
        <v>2017</v>
      </c>
      <c r="B85" t="n">
        <v>6617924.696</v>
      </c>
      <c r="C85" t="n">
        <v>3430389817.438</v>
      </c>
      <c r="D85" t="n">
        <v>9710373892.195</v>
      </c>
      <c r="E85" t="n">
        <v>35.8176</v>
      </c>
      <c r="F85" t="n">
        <v>101.3884</v>
      </c>
    </row>
    <row r="86">
      <c r="A86" t="n">
        <v>2018</v>
      </c>
      <c r="B86" t="n">
        <v>6136625.301</v>
      </c>
      <c r="C86" t="n">
        <v>3223762185.526</v>
      </c>
      <c r="D86" t="n">
        <v>9136323015.400999</v>
      </c>
      <c r="E86" t="n">
        <v>33.7143</v>
      </c>
      <c r="F86" t="n">
        <v>95.54810000000001</v>
      </c>
    </row>
    <row r="87">
      <c r="A87" t="n">
        <v>2019</v>
      </c>
      <c r="B87" t="n">
        <v>6697725.785</v>
      </c>
      <c r="C87" t="n">
        <v>3525461858.525</v>
      </c>
      <c r="D87" t="n">
        <v>9922880014.211</v>
      </c>
      <c r="E87" t="n">
        <v>36.906</v>
      </c>
      <c r="F87" t="n">
        <v>103.8769</v>
      </c>
    </row>
    <row r="88">
      <c r="A88" t="inlineStr">
        <is>
          <t>PPR/NPP converts wet-weight PP to carbon at 9:1 and uses the matching year's NPP ensemble median.</t>
        </is>
      </c>
    </row>
    <row r="89">
      <c r="A89" t="inlineStr">
        <is>
          <t>PPR/NPP is blank for years without NPP; see NPP for availability and provenance.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316"/>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30" customWidth="1" min="3" max="3"/>
    <col width="2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s>
  <sheetData>
    <row r="1">
      <c r="A1" s="4" t="inlineStr">
        <is>
          <t>taxon</t>
        </is>
      </c>
      <c r="B1" s="4" t="inlineStr">
        <is>
          <t>common_name</t>
        </is>
      </c>
      <c r="C1" s="4" t="inlineStr">
        <is>
          <t>functional_group</t>
        </is>
      </c>
      <c r="D1" s="4" t="inlineStr">
        <is>
          <t>commercial_group</t>
        </is>
      </c>
      <c r="E1" s="4" t="n">
        <v>1950</v>
      </c>
      <c r="F1" s="4" t="n">
        <v>1951</v>
      </c>
      <c r="G1" s="4" t="n">
        <v>1952</v>
      </c>
      <c r="H1" s="4" t="n">
        <v>1953</v>
      </c>
      <c r="I1" s="4" t="n">
        <v>1954</v>
      </c>
      <c r="J1" s="4" t="n">
        <v>1955</v>
      </c>
      <c r="K1" s="4" t="n">
        <v>1956</v>
      </c>
      <c r="L1" s="4" t="n">
        <v>1957</v>
      </c>
      <c r="M1" s="4" t="n">
        <v>1958</v>
      </c>
      <c r="N1" s="4" t="n">
        <v>1959</v>
      </c>
      <c r="O1" s="4" t="n">
        <v>1960</v>
      </c>
      <c r="P1" s="4" t="n">
        <v>1961</v>
      </c>
      <c r="Q1" s="4" t="n">
        <v>1962</v>
      </c>
      <c r="R1" s="4" t="n">
        <v>1963</v>
      </c>
      <c r="S1" s="4" t="n">
        <v>1964</v>
      </c>
      <c r="T1" s="4" t="n">
        <v>1965</v>
      </c>
      <c r="U1" s="4" t="n">
        <v>1966</v>
      </c>
      <c r="V1" s="4" t="n">
        <v>1967</v>
      </c>
      <c r="W1" s="4" t="n">
        <v>1968</v>
      </c>
      <c r="X1" s="4" t="n">
        <v>1969</v>
      </c>
      <c r="Y1" s="4" t="n">
        <v>1970</v>
      </c>
      <c r="Z1" s="4" t="n">
        <v>1971</v>
      </c>
      <c r="AA1" s="4" t="n">
        <v>1972</v>
      </c>
      <c r="AB1" s="4" t="n">
        <v>1973</v>
      </c>
      <c r="AC1" s="4" t="n">
        <v>1974</v>
      </c>
      <c r="AD1" s="4" t="n">
        <v>1975</v>
      </c>
      <c r="AE1" s="4" t="n">
        <v>1976</v>
      </c>
      <c r="AF1" s="4" t="n">
        <v>1977</v>
      </c>
      <c r="AG1" s="4" t="n">
        <v>1978</v>
      </c>
      <c r="AH1" s="4" t="n">
        <v>1979</v>
      </c>
      <c r="AI1" s="4" t="n">
        <v>1980</v>
      </c>
      <c r="AJ1" s="4" t="n">
        <v>1981</v>
      </c>
      <c r="AK1" s="4" t="n">
        <v>1982</v>
      </c>
      <c r="AL1" s="4" t="n">
        <v>1983</v>
      </c>
      <c r="AM1" s="4" t="n">
        <v>1984</v>
      </c>
      <c r="AN1" s="4" t="n">
        <v>1985</v>
      </c>
      <c r="AO1" s="4" t="n">
        <v>1986</v>
      </c>
      <c r="AP1" s="4" t="n">
        <v>1987</v>
      </c>
      <c r="AQ1" s="4" t="n">
        <v>1988</v>
      </c>
      <c r="AR1" s="4" t="n">
        <v>1989</v>
      </c>
      <c r="AS1" s="4" t="n">
        <v>1990</v>
      </c>
      <c r="AT1" s="4" t="n">
        <v>1991</v>
      </c>
      <c r="AU1" s="4" t="n">
        <v>1992</v>
      </c>
      <c r="AV1" s="4" t="n">
        <v>1993</v>
      </c>
      <c r="AW1" s="4" t="n">
        <v>1994</v>
      </c>
      <c r="AX1" s="4" t="n">
        <v>1995</v>
      </c>
      <c r="AY1" s="4" t="n">
        <v>1996</v>
      </c>
      <c r="AZ1" s="4" t="n">
        <v>1997</v>
      </c>
      <c r="BA1" s="4" t="n">
        <v>1998</v>
      </c>
      <c r="BB1" s="4" t="n">
        <v>1999</v>
      </c>
      <c r="BC1" s="4" t="n">
        <v>2000</v>
      </c>
      <c r="BD1" s="4" t="n">
        <v>2001</v>
      </c>
      <c r="BE1" s="4" t="n">
        <v>2002</v>
      </c>
      <c r="BF1" s="4" t="n">
        <v>2003</v>
      </c>
      <c r="BG1" s="4" t="n">
        <v>2004</v>
      </c>
      <c r="BH1" s="4" t="n">
        <v>2005</v>
      </c>
      <c r="BI1" s="4" t="n">
        <v>2006</v>
      </c>
      <c r="BJ1" s="4" t="n">
        <v>2007</v>
      </c>
      <c r="BK1" s="4" t="n">
        <v>2008</v>
      </c>
      <c r="BL1" s="4" t="n">
        <v>2009</v>
      </c>
      <c r="BM1" s="4" t="n">
        <v>2010</v>
      </c>
      <c r="BN1" s="4" t="n">
        <v>2011</v>
      </c>
      <c r="BO1" s="4" t="n">
        <v>2012</v>
      </c>
      <c r="BP1" s="4" t="n">
        <v>2013</v>
      </c>
      <c r="BQ1" s="4" t="n">
        <v>2014</v>
      </c>
      <c r="BR1" s="4" t="n">
        <v>2015</v>
      </c>
      <c r="BS1" s="4" t="n">
        <v>2016</v>
      </c>
      <c r="BT1" s="4" t="n">
        <v>2017</v>
      </c>
      <c r="BU1" s="4" t="n">
        <v>2018</v>
      </c>
      <c r="BV1" s="4" t="n">
        <v>2019</v>
      </c>
    </row>
    <row r="2">
      <c r="A2" t="inlineStr">
        <is>
          <t>Marine fishes not identified</t>
        </is>
      </c>
      <c r="B2" t="inlineStr">
        <is>
          <t>Marine fishes nei</t>
        </is>
      </c>
      <c r="C2" t="inlineStr">
        <is>
          <t>Medium demersals (30 - 89 cm)</t>
        </is>
      </c>
      <c r="D2" t="inlineStr">
        <is>
          <t>Other fishes &amp; inverts</t>
        </is>
      </c>
      <c r="E2" t="n">
        <v>127410.411</v>
      </c>
      <c r="F2" t="n">
        <v>113866.772</v>
      </c>
      <c r="G2" t="n">
        <v>130167.349</v>
      </c>
      <c r="H2" t="n">
        <v>139321.509</v>
      </c>
      <c r="I2" t="n">
        <v>150222.625</v>
      </c>
      <c r="J2" t="n">
        <v>164443.238</v>
      </c>
      <c r="K2" t="n">
        <v>160689.313</v>
      </c>
      <c r="L2" t="n">
        <v>160535.235</v>
      </c>
      <c r="M2" t="n">
        <v>171731.371</v>
      </c>
      <c r="N2" t="n">
        <v>185321.206</v>
      </c>
      <c r="O2" t="n">
        <v>188040.373</v>
      </c>
      <c r="P2" t="n">
        <v>216842.143</v>
      </c>
      <c r="Q2" t="n">
        <v>233255.027</v>
      </c>
      <c r="R2" t="n">
        <v>244711.507</v>
      </c>
      <c r="S2" t="n">
        <v>270964.057</v>
      </c>
      <c r="T2" t="n">
        <v>265732.67</v>
      </c>
      <c r="U2" t="n">
        <v>280900.725</v>
      </c>
      <c r="V2" t="n">
        <v>297613.304</v>
      </c>
      <c r="W2" t="n">
        <v>329010.889</v>
      </c>
      <c r="X2" t="n">
        <v>337085.487</v>
      </c>
      <c r="Y2" t="n">
        <v>348695.997</v>
      </c>
      <c r="Z2" t="n">
        <v>368186.926</v>
      </c>
      <c r="AA2" t="n">
        <v>373919.286</v>
      </c>
      <c r="AB2" t="n">
        <v>301252.85</v>
      </c>
      <c r="AC2" t="n">
        <v>330569.04</v>
      </c>
      <c r="AD2" t="n">
        <v>373113.054</v>
      </c>
      <c r="AE2" t="n">
        <v>387546.658</v>
      </c>
      <c r="AF2" t="n">
        <v>470362.349</v>
      </c>
      <c r="AG2" t="n">
        <v>525309.048</v>
      </c>
      <c r="AH2" t="n">
        <v>515416.263</v>
      </c>
      <c r="AI2" t="n">
        <v>521459.048</v>
      </c>
      <c r="AJ2" t="n">
        <v>548404.04</v>
      </c>
      <c r="AK2" t="n">
        <v>538240.548</v>
      </c>
      <c r="AL2" t="n">
        <v>554093.371</v>
      </c>
      <c r="AM2" t="n">
        <v>571209.767</v>
      </c>
      <c r="AN2" t="n">
        <v>636271.741</v>
      </c>
      <c r="AO2" t="n">
        <v>710766.1459999999</v>
      </c>
      <c r="AP2" t="n">
        <v>705716.703</v>
      </c>
      <c r="AQ2" t="n">
        <v>701554.791</v>
      </c>
      <c r="AR2" t="n">
        <v>761225.589</v>
      </c>
      <c r="AS2" t="n">
        <v>769987.162</v>
      </c>
      <c r="AT2" t="n">
        <v>822592.124</v>
      </c>
      <c r="AU2" t="n">
        <v>830492.9889999999</v>
      </c>
      <c r="AV2" t="n">
        <v>866170.879</v>
      </c>
      <c r="AW2" t="n">
        <v>742617.7070000001</v>
      </c>
      <c r="AX2" t="n">
        <v>742038.431</v>
      </c>
      <c r="AY2" t="n">
        <v>742408.216</v>
      </c>
      <c r="AZ2" t="n">
        <v>752153.23</v>
      </c>
      <c r="BA2" t="n">
        <v>816616.624</v>
      </c>
      <c r="BB2" t="n">
        <v>825423.0699999999</v>
      </c>
      <c r="BC2" t="n">
        <v>1001038.863</v>
      </c>
      <c r="BD2" t="n">
        <v>1037734.163</v>
      </c>
      <c r="BE2" t="n">
        <v>1094003.065</v>
      </c>
      <c r="BF2" t="n">
        <v>1137002.006</v>
      </c>
      <c r="BG2" t="n">
        <v>1154264.812</v>
      </c>
      <c r="BH2" t="n">
        <v>1080958.988</v>
      </c>
      <c r="BI2" t="n">
        <v>1175892.567</v>
      </c>
      <c r="BJ2" t="n">
        <v>1126417.775</v>
      </c>
      <c r="BK2" t="n">
        <v>1112487.497</v>
      </c>
      <c r="BL2" t="n">
        <v>1210681.402</v>
      </c>
      <c r="BM2" t="n">
        <v>1202532.693</v>
      </c>
      <c r="BN2" t="n">
        <v>1227464.424</v>
      </c>
      <c r="BO2" t="n">
        <v>1297747.537</v>
      </c>
      <c r="BP2" t="n">
        <v>1216686.786</v>
      </c>
      <c r="BQ2" t="n">
        <v>1349437.833</v>
      </c>
      <c r="BR2" t="n">
        <v>1298708.517</v>
      </c>
      <c r="BS2" t="n">
        <v>1369117.413</v>
      </c>
      <c r="BT2" t="n">
        <v>1362478.443</v>
      </c>
      <c r="BU2" t="n">
        <v>1311634.876</v>
      </c>
      <c r="BV2" t="n">
        <v>1362049.264</v>
      </c>
    </row>
    <row r="3">
      <c r="A3" t="inlineStr">
        <is>
          <t>Penaeidae</t>
        </is>
      </c>
      <c r="B3" t="inlineStr">
        <is>
          <t>Commercial shrimps and prawns</t>
        </is>
      </c>
      <c r="C3" t="inlineStr">
        <is>
          <t>Shrimps</t>
        </is>
      </c>
      <c r="D3" t="inlineStr">
        <is>
          <t>Crustaceans</t>
        </is>
      </c>
      <c r="E3" t="n">
        <v>24803.434</v>
      </c>
      <c r="F3" t="n">
        <v>22894.804</v>
      </c>
      <c r="G3" t="n">
        <v>24260.879</v>
      </c>
      <c r="H3" t="n">
        <v>25222.337</v>
      </c>
      <c r="I3" t="n">
        <v>22972.745</v>
      </c>
      <c r="J3" t="n">
        <v>27450.822</v>
      </c>
      <c r="K3" t="n">
        <v>44643.489</v>
      </c>
      <c r="L3" t="n">
        <v>24380.753</v>
      </c>
      <c r="M3" t="n">
        <v>22981.755</v>
      </c>
      <c r="N3" t="n">
        <v>25437.955</v>
      </c>
      <c r="O3" t="n">
        <v>27024.747</v>
      </c>
      <c r="P3" t="n">
        <v>25646.721</v>
      </c>
      <c r="Q3" t="n">
        <v>26971.318</v>
      </c>
      <c r="R3" t="n">
        <v>39203.175</v>
      </c>
      <c r="S3" t="n">
        <v>84897.91</v>
      </c>
      <c r="T3" t="n">
        <v>87817.336</v>
      </c>
      <c r="U3" t="n">
        <v>96695.162</v>
      </c>
      <c r="V3" t="n">
        <v>109303.563</v>
      </c>
      <c r="W3" t="n">
        <v>110668.725</v>
      </c>
      <c r="X3" t="n">
        <v>90589.68700000001</v>
      </c>
      <c r="Y3" t="n">
        <v>101995.011</v>
      </c>
      <c r="Z3" t="n">
        <v>189559.968</v>
      </c>
      <c r="AA3" t="n">
        <v>222841.872</v>
      </c>
      <c r="AB3" t="n">
        <v>282234.917</v>
      </c>
      <c r="AC3" t="n">
        <v>306117.678</v>
      </c>
      <c r="AD3" t="n">
        <v>326488.336</v>
      </c>
      <c r="AE3" t="n">
        <v>263683.308</v>
      </c>
      <c r="AF3" t="n">
        <v>215815.875</v>
      </c>
      <c r="AG3" t="n">
        <v>278041.671</v>
      </c>
      <c r="AH3" t="n">
        <v>280334.922</v>
      </c>
      <c r="AI3" t="n">
        <v>239369.334</v>
      </c>
      <c r="AJ3" t="n">
        <v>238233.578</v>
      </c>
      <c r="AK3" t="n">
        <v>238157.839</v>
      </c>
      <c r="AL3" t="n">
        <v>229831.126</v>
      </c>
      <c r="AM3" t="n">
        <v>228207.918</v>
      </c>
      <c r="AN3" t="n">
        <v>83029.549</v>
      </c>
      <c r="AO3" t="n">
        <v>92844.849</v>
      </c>
      <c r="AP3" t="n">
        <v>84829.931</v>
      </c>
      <c r="AQ3" t="n">
        <v>83631.789</v>
      </c>
      <c r="AR3" t="n">
        <v>88514.53999999999</v>
      </c>
      <c r="AS3" t="n">
        <v>136476.839</v>
      </c>
      <c r="AT3" t="n">
        <v>130152.432</v>
      </c>
      <c r="AU3" t="n">
        <v>142011.691</v>
      </c>
      <c r="AV3" t="n">
        <v>138683.877</v>
      </c>
      <c r="AW3" t="n">
        <v>139090.807</v>
      </c>
      <c r="AX3" t="n">
        <v>123513.069</v>
      </c>
      <c r="AY3" t="n">
        <v>116128.622</v>
      </c>
      <c r="AZ3" t="n">
        <v>120880.683</v>
      </c>
      <c r="BA3" t="n">
        <v>126188.745</v>
      </c>
      <c r="BB3" t="n">
        <v>139055.872</v>
      </c>
      <c r="BC3" t="n">
        <v>162322.394</v>
      </c>
      <c r="BD3" t="n">
        <v>156115.65</v>
      </c>
      <c r="BE3" t="n">
        <v>163435.981</v>
      </c>
      <c r="BF3" t="n">
        <v>176659.547</v>
      </c>
      <c r="BG3" t="n">
        <v>175408.231</v>
      </c>
      <c r="BH3" t="n">
        <v>116030.119</v>
      </c>
      <c r="BI3" t="n">
        <v>118225.906</v>
      </c>
      <c r="BJ3" t="n">
        <v>135318.578</v>
      </c>
      <c r="BK3" t="n">
        <v>140385.054</v>
      </c>
      <c r="BL3" t="n">
        <v>171658.961</v>
      </c>
      <c r="BM3" t="n">
        <v>191722.252</v>
      </c>
      <c r="BN3" t="n">
        <v>171392.793</v>
      </c>
      <c r="BO3" t="n">
        <v>154448.504</v>
      </c>
      <c r="BP3" t="n">
        <v>112848.414</v>
      </c>
      <c r="BQ3" t="n">
        <v>104176.623</v>
      </c>
      <c r="BR3" t="n">
        <v>105422.816</v>
      </c>
      <c r="BS3" t="n">
        <v>115189.94</v>
      </c>
      <c r="BT3" t="n">
        <v>112173.675</v>
      </c>
      <c r="BU3" t="n">
        <v>97645.738</v>
      </c>
      <c r="BV3" t="n">
        <v>115550.559</v>
      </c>
    </row>
    <row r="4">
      <c r="A4" t="inlineStr">
        <is>
          <t>Tenualosa ilisha</t>
        </is>
      </c>
      <c r="B4" t="inlineStr">
        <is>
          <t>Hilsa shad</t>
        </is>
      </c>
      <c r="C4" t="inlineStr">
        <is>
          <t>Medium pelagics (30 - 89 cm)</t>
        </is>
      </c>
      <c r="D4" t="inlineStr">
        <is>
          <t>Herring-likes</t>
        </is>
      </c>
      <c r="E4" t="n">
        <v>6415.324</v>
      </c>
      <c r="F4" t="n">
        <v>6670.244</v>
      </c>
      <c r="G4" t="n">
        <v>7025.882</v>
      </c>
      <c r="H4" t="n">
        <v>7305.806</v>
      </c>
      <c r="I4" t="n">
        <v>7550.362</v>
      </c>
      <c r="J4" t="n">
        <v>7897.272</v>
      </c>
      <c r="K4" t="n">
        <v>8250.302</v>
      </c>
      <c r="L4" t="n">
        <v>8855.040999999999</v>
      </c>
      <c r="M4" t="n">
        <v>10687.07</v>
      </c>
      <c r="N4" t="n">
        <v>12815.936</v>
      </c>
      <c r="O4" t="n">
        <v>14843.412</v>
      </c>
      <c r="P4" t="n">
        <v>17160.017</v>
      </c>
      <c r="Q4" t="n">
        <v>19104.116</v>
      </c>
      <c r="R4" t="n">
        <v>21287.089</v>
      </c>
      <c r="S4" t="n">
        <v>24623.308</v>
      </c>
      <c r="T4" t="n">
        <v>25338.556</v>
      </c>
      <c r="U4" t="n">
        <v>27862.145</v>
      </c>
      <c r="V4" t="n">
        <v>29531.2</v>
      </c>
      <c r="W4" t="n">
        <v>31658.699</v>
      </c>
      <c r="X4" t="n">
        <v>33656.949</v>
      </c>
      <c r="Y4" t="n">
        <v>35940.025</v>
      </c>
      <c r="Z4" t="n">
        <v>38758.874</v>
      </c>
      <c r="AA4" t="n">
        <v>40180.563</v>
      </c>
      <c r="AB4" t="n">
        <v>42058.82</v>
      </c>
      <c r="AC4" t="n">
        <v>47452.442</v>
      </c>
      <c r="AD4" t="n">
        <v>51474.855</v>
      </c>
      <c r="AE4" t="n">
        <v>54677.751</v>
      </c>
      <c r="AF4" t="n">
        <v>53621.265</v>
      </c>
      <c r="AG4" t="n">
        <v>60373.886</v>
      </c>
      <c r="AH4" t="n">
        <v>65140.071</v>
      </c>
      <c r="AI4" t="n">
        <v>62360.847</v>
      </c>
      <c r="AJ4" t="n">
        <v>63413.231</v>
      </c>
      <c r="AK4" t="n">
        <v>63184.246</v>
      </c>
      <c r="AL4" t="n">
        <v>64809.489</v>
      </c>
      <c r="AM4" t="n">
        <v>69813.02</v>
      </c>
      <c r="AN4" t="n">
        <v>90477.556</v>
      </c>
      <c r="AO4" t="n">
        <v>99649.54700000001</v>
      </c>
      <c r="AP4" t="n">
        <v>123184.884</v>
      </c>
      <c r="AQ4" t="n">
        <v>122266.604</v>
      </c>
      <c r="AR4" t="n">
        <v>140947.861</v>
      </c>
      <c r="AS4" t="n">
        <v>142274.975</v>
      </c>
      <c r="AT4" t="n">
        <v>159266.612</v>
      </c>
      <c r="AU4" t="n">
        <v>166580.829</v>
      </c>
      <c r="AV4" t="n">
        <v>181790.512</v>
      </c>
      <c r="AW4" t="n">
        <v>166394.309</v>
      </c>
      <c r="AX4" t="n">
        <v>168433.949</v>
      </c>
      <c r="AY4" t="n">
        <v>182355.352</v>
      </c>
      <c r="AZ4" t="n">
        <v>181244.932</v>
      </c>
      <c r="BA4" t="n">
        <v>160927.676</v>
      </c>
      <c r="BB4" t="n">
        <v>172787.125</v>
      </c>
      <c r="BC4" t="n">
        <v>172984.193</v>
      </c>
      <c r="BD4" t="n">
        <v>195690.324</v>
      </c>
      <c r="BE4" t="n">
        <v>199002.787</v>
      </c>
      <c r="BF4" t="n">
        <v>197229.758</v>
      </c>
      <c r="BG4" t="n">
        <v>280258.362</v>
      </c>
      <c r="BH4" t="n">
        <v>262678.999</v>
      </c>
      <c r="BI4" t="n">
        <v>268572.363</v>
      </c>
      <c r="BJ4" t="n">
        <v>281277.654</v>
      </c>
      <c r="BK4" t="n">
        <v>292119.401</v>
      </c>
      <c r="BL4" t="n">
        <v>288653.042</v>
      </c>
      <c r="BM4" t="n">
        <v>318739.603</v>
      </c>
      <c r="BN4" t="n">
        <v>273973.535</v>
      </c>
      <c r="BO4" t="n">
        <v>268556.633</v>
      </c>
      <c r="BP4" t="n">
        <v>322228.186</v>
      </c>
      <c r="BQ4" t="n">
        <v>289317.738</v>
      </c>
      <c r="BR4" t="n">
        <v>300723.108</v>
      </c>
      <c r="BS4" t="n">
        <v>380063.153</v>
      </c>
      <c r="BT4" t="n">
        <v>376538.59</v>
      </c>
      <c r="BU4" t="n">
        <v>334519.346</v>
      </c>
      <c r="BV4" t="n">
        <v>368500.243</v>
      </c>
    </row>
    <row r="5">
      <c r="A5" t="inlineStr">
        <is>
          <t>Sciaenidae</t>
        </is>
      </c>
      <c r="B5" t="inlineStr">
        <is>
          <t>Drums, croakers</t>
        </is>
      </c>
      <c r="C5" t="inlineStr">
        <is>
          <t>Medium demersals (30 - 89 cm)</t>
        </is>
      </c>
      <c r="D5" t="inlineStr">
        <is>
          <t>Perch-likes</t>
        </is>
      </c>
      <c r="E5" t="n">
        <v>30571.778</v>
      </c>
      <c r="F5" t="n">
        <v>33246.602</v>
      </c>
      <c r="G5" t="n">
        <v>30331.031</v>
      </c>
      <c r="H5" t="n">
        <v>36775.951</v>
      </c>
      <c r="I5" t="n">
        <v>41386.74</v>
      </c>
      <c r="J5" t="n">
        <v>43252.577</v>
      </c>
      <c r="K5" t="n">
        <v>52475.6</v>
      </c>
      <c r="L5" t="n">
        <v>39358.723</v>
      </c>
      <c r="M5" t="n">
        <v>33626.67</v>
      </c>
      <c r="N5" t="n">
        <v>35201.612</v>
      </c>
      <c r="O5" t="n">
        <v>39594.537</v>
      </c>
      <c r="P5" t="n">
        <v>42149.928</v>
      </c>
      <c r="Q5" t="n">
        <v>40423.046</v>
      </c>
      <c r="R5" t="n">
        <v>37630.854</v>
      </c>
      <c r="S5" t="n">
        <v>35937.058</v>
      </c>
      <c r="T5" t="n">
        <v>38961.263</v>
      </c>
      <c r="U5" t="n">
        <v>39821.888</v>
      </c>
      <c r="V5" t="n">
        <v>47868.142</v>
      </c>
      <c r="W5" t="n">
        <v>50860.541</v>
      </c>
      <c r="X5" t="n">
        <v>62812.531</v>
      </c>
      <c r="Y5" t="n">
        <v>69766.77899999999</v>
      </c>
      <c r="Z5" t="n">
        <v>72320.299</v>
      </c>
      <c r="AA5" t="n">
        <v>79112.69899999999</v>
      </c>
      <c r="AB5" t="n">
        <v>100929.651</v>
      </c>
      <c r="AC5" t="n">
        <v>102403.405</v>
      </c>
      <c r="AD5" t="n">
        <v>95873.598</v>
      </c>
      <c r="AE5" t="n">
        <v>108615.159</v>
      </c>
      <c r="AF5" t="n">
        <v>115954.064</v>
      </c>
      <c r="AG5" t="n">
        <v>115186.751</v>
      </c>
      <c r="AH5" t="n">
        <v>125982.765</v>
      </c>
      <c r="AI5" t="n">
        <v>123571.359</v>
      </c>
      <c r="AJ5" t="n">
        <v>107641.168</v>
      </c>
      <c r="AK5" t="n">
        <v>129851.176</v>
      </c>
      <c r="AL5" t="n">
        <v>131706.104</v>
      </c>
      <c r="AM5" t="n">
        <v>144418.363</v>
      </c>
      <c r="AN5" t="n">
        <v>136812.372</v>
      </c>
      <c r="AO5" t="n">
        <v>146320.322</v>
      </c>
      <c r="AP5" t="n">
        <v>162408.31</v>
      </c>
      <c r="AQ5" t="n">
        <v>151268.79</v>
      </c>
      <c r="AR5" t="n">
        <v>141462.207</v>
      </c>
      <c r="AS5" t="n">
        <v>174856.831</v>
      </c>
      <c r="AT5" t="n">
        <v>182767.934</v>
      </c>
      <c r="AU5" t="n">
        <v>175128.659</v>
      </c>
      <c r="AV5" t="n">
        <v>198763.212</v>
      </c>
      <c r="AW5" t="n">
        <v>173309.89</v>
      </c>
      <c r="AX5" t="n">
        <v>185588.373</v>
      </c>
      <c r="AY5" t="n">
        <v>191319.218</v>
      </c>
      <c r="AZ5" t="n">
        <v>181053.129</v>
      </c>
      <c r="BA5" t="n">
        <v>187258.376</v>
      </c>
      <c r="BB5" t="n">
        <v>172453.131</v>
      </c>
      <c r="BC5" t="n">
        <v>200326.85</v>
      </c>
      <c r="BD5" t="n">
        <v>192498.366</v>
      </c>
      <c r="BE5" t="n">
        <v>211289.014</v>
      </c>
      <c r="BF5" t="n">
        <v>211097.505</v>
      </c>
      <c r="BG5" t="n">
        <v>206324.297</v>
      </c>
      <c r="BH5" t="n">
        <v>193059.548</v>
      </c>
      <c r="BI5" t="n">
        <v>197862.425</v>
      </c>
      <c r="BJ5" t="n">
        <v>207963.548</v>
      </c>
      <c r="BK5" t="n">
        <v>217825.947</v>
      </c>
      <c r="BL5" t="n">
        <v>237709.017</v>
      </c>
      <c r="BM5" t="n">
        <v>237675.385</v>
      </c>
      <c r="BN5" t="n">
        <v>242975.102</v>
      </c>
      <c r="BO5" t="n">
        <v>230036.935</v>
      </c>
      <c r="BP5" t="n">
        <v>188958.992</v>
      </c>
      <c r="BQ5" t="n">
        <v>176619.744</v>
      </c>
      <c r="BR5" t="n">
        <v>159157.937</v>
      </c>
      <c r="BS5" t="n">
        <v>175962.911</v>
      </c>
      <c r="BT5" t="n">
        <v>175588.453</v>
      </c>
      <c r="BU5" t="n">
        <v>159546.062</v>
      </c>
      <c r="BV5" t="n">
        <v>169716.704</v>
      </c>
    </row>
    <row r="6">
      <c r="A6" t="inlineStr">
        <is>
          <t>Rastrelliger</t>
        </is>
      </c>
      <c r="B6" t="inlineStr">
        <is>
          <t>Indian mackerels</t>
        </is>
      </c>
      <c r="C6" t="inlineStr">
        <is>
          <t>Medium pelagics (30 - 89 cm)</t>
        </is>
      </c>
      <c r="D6" t="inlineStr">
        <is>
          <t>Perch-likes</t>
        </is>
      </c>
      <c r="E6" t="n">
        <v>19967.949</v>
      </c>
      <c r="F6" t="n">
        <v>17133.218</v>
      </c>
      <c r="G6" t="n">
        <v>15325.539</v>
      </c>
      <c r="H6" t="n">
        <v>14397.769</v>
      </c>
      <c r="I6" t="n">
        <v>13984.005</v>
      </c>
      <c r="J6" t="n">
        <v>16124.299</v>
      </c>
      <c r="K6" t="n">
        <v>15794.761</v>
      </c>
      <c r="L6" t="n">
        <v>16239.177</v>
      </c>
      <c r="M6" t="n">
        <v>16394.595</v>
      </c>
      <c r="N6" t="n">
        <v>17878.293</v>
      </c>
      <c r="O6" t="n">
        <v>22306.57</v>
      </c>
      <c r="P6" t="n">
        <v>25902.158</v>
      </c>
      <c r="Q6" t="n">
        <v>26508.894</v>
      </c>
      <c r="R6" t="n">
        <v>29605.944</v>
      </c>
      <c r="S6" t="n">
        <v>32058.797</v>
      </c>
      <c r="T6" t="n">
        <v>31510.615</v>
      </c>
      <c r="U6" t="n">
        <v>34759.375</v>
      </c>
      <c r="V6" t="n">
        <v>42662.73</v>
      </c>
      <c r="W6" t="n">
        <v>45555.559</v>
      </c>
      <c r="X6" t="n">
        <v>42502.737</v>
      </c>
      <c r="Y6" t="n">
        <v>43168.043</v>
      </c>
      <c r="Z6" t="n">
        <v>42130.278</v>
      </c>
      <c r="AA6" t="n">
        <v>49436.801</v>
      </c>
      <c r="AB6" t="n">
        <v>50324.006</v>
      </c>
      <c r="AC6" t="n">
        <v>41739.926</v>
      </c>
      <c r="AD6" t="n">
        <v>42369.147</v>
      </c>
      <c r="AE6" t="n">
        <v>135599.289</v>
      </c>
      <c r="AF6" t="n">
        <v>106625.548</v>
      </c>
      <c r="AG6" t="n">
        <v>127635.742</v>
      </c>
      <c r="AH6" t="n">
        <v>140455.426</v>
      </c>
      <c r="AI6" t="n">
        <v>232284.918</v>
      </c>
      <c r="AJ6" t="n">
        <v>211663.281</v>
      </c>
      <c r="AK6" t="n">
        <v>215709.095</v>
      </c>
      <c r="AL6" t="n">
        <v>201756.636</v>
      </c>
      <c r="AM6" t="n">
        <v>203682.779</v>
      </c>
      <c r="AN6" t="n">
        <v>215284.239</v>
      </c>
      <c r="AO6" t="n">
        <v>200223.482</v>
      </c>
      <c r="AP6" t="n">
        <v>199082.956</v>
      </c>
      <c r="AQ6" t="n">
        <v>175409.03</v>
      </c>
      <c r="AR6" t="n">
        <v>178842.101</v>
      </c>
      <c r="AS6" t="n">
        <v>90311.152</v>
      </c>
      <c r="AT6" t="n">
        <v>85653.037</v>
      </c>
      <c r="AU6" t="n">
        <v>98315.005</v>
      </c>
      <c r="AV6" t="n">
        <v>86233.601</v>
      </c>
      <c r="AW6" t="n">
        <v>84511.753</v>
      </c>
      <c r="AX6" t="n">
        <v>188664.14</v>
      </c>
      <c r="AY6" t="n">
        <v>174164.422</v>
      </c>
      <c r="AZ6" t="n">
        <v>178975.811</v>
      </c>
      <c r="BA6" t="n">
        <v>166919.93</v>
      </c>
      <c r="BB6" t="n">
        <v>170405.621</v>
      </c>
      <c r="BC6" t="n">
        <v>122595.804</v>
      </c>
      <c r="BD6" t="n">
        <v>112511.045</v>
      </c>
      <c r="BE6" t="n">
        <v>110495.71</v>
      </c>
      <c r="BF6" t="n">
        <v>127400.071</v>
      </c>
      <c r="BG6" t="n">
        <v>135406.693</v>
      </c>
      <c r="BH6" t="n">
        <v>182915.817</v>
      </c>
      <c r="BI6" t="n">
        <v>192280.871</v>
      </c>
      <c r="BJ6" t="n">
        <v>230484.574</v>
      </c>
      <c r="BK6" t="n">
        <v>227403.494</v>
      </c>
      <c r="BL6" t="n">
        <v>244424.665</v>
      </c>
      <c r="BM6" t="n">
        <v>242538.947</v>
      </c>
      <c r="BN6" t="n">
        <v>225527.582</v>
      </c>
      <c r="BO6" t="n">
        <v>228562.15</v>
      </c>
      <c r="BP6" t="n">
        <v>223979.845</v>
      </c>
      <c r="BQ6" t="n">
        <v>238282.457</v>
      </c>
      <c r="BR6" t="n">
        <v>241562.355</v>
      </c>
      <c r="BS6" t="n">
        <v>259562.074</v>
      </c>
      <c r="BT6" t="n">
        <v>240345.348</v>
      </c>
      <c r="BU6" t="n">
        <v>222511.162</v>
      </c>
      <c r="BV6" t="n">
        <v>295174.593</v>
      </c>
    </row>
    <row r="7">
      <c r="A7" t="inlineStr">
        <is>
          <t>Leiognathidae</t>
        </is>
      </c>
      <c r="B7" t="inlineStr">
        <is>
          <t>Slipmouths, ponyfishes</t>
        </is>
      </c>
      <c r="C7" t="inlineStr">
        <is>
          <t>Small benthopelagics (&lt;30 cm)</t>
        </is>
      </c>
      <c r="D7" t="inlineStr">
        <is>
          <t>Perch-likes</t>
        </is>
      </c>
      <c r="E7" t="n">
        <v>15125.851</v>
      </c>
      <c r="F7" t="n">
        <v>14569.192</v>
      </c>
      <c r="G7" t="n">
        <v>16500.235</v>
      </c>
      <c r="H7" t="n">
        <v>16488.329</v>
      </c>
      <c r="I7" t="n">
        <v>20427.185</v>
      </c>
      <c r="J7" t="n">
        <v>19370.005</v>
      </c>
      <c r="K7" t="n">
        <v>26161.682</v>
      </c>
      <c r="L7" t="n">
        <v>27206.436</v>
      </c>
      <c r="M7" t="n">
        <v>27417.086</v>
      </c>
      <c r="N7" t="n">
        <v>26809.148</v>
      </c>
      <c r="O7" t="n">
        <v>30786.984</v>
      </c>
      <c r="P7" t="n">
        <v>29985.758</v>
      </c>
      <c r="Q7" t="n">
        <v>36907.905</v>
      </c>
      <c r="R7" t="n">
        <v>38414.54</v>
      </c>
      <c r="S7" t="n">
        <v>59201.532</v>
      </c>
      <c r="T7" t="n">
        <v>44588.753</v>
      </c>
      <c r="U7" t="n">
        <v>56885.169</v>
      </c>
      <c r="V7" t="n">
        <v>65635.205</v>
      </c>
      <c r="W7" t="n">
        <v>61902.689</v>
      </c>
      <c r="X7" t="n">
        <v>70546.70699999999</v>
      </c>
      <c r="Y7" t="n">
        <v>70740.038</v>
      </c>
      <c r="Z7" t="n">
        <v>62313.686</v>
      </c>
      <c r="AA7" t="n">
        <v>71939.973</v>
      </c>
      <c r="AB7" t="n">
        <v>61141.378</v>
      </c>
      <c r="AC7" t="n">
        <v>81031.28200000001</v>
      </c>
      <c r="AD7" t="n">
        <v>89370.689</v>
      </c>
      <c r="AE7" t="n">
        <v>96181.226</v>
      </c>
      <c r="AF7" t="n">
        <v>106658.954</v>
      </c>
      <c r="AG7" t="n">
        <v>120427.042</v>
      </c>
      <c r="AH7" t="n">
        <v>125368.126</v>
      </c>
      <c r="AI7" t="n">
        <v>114675.85</v>
      </c>
      <c r="AJ7" t="n">
        <v>149626.164</v>
      </c>
      <c r="AK7" t="n">
        <v>157941.16</v>
      </c>
      <c r="AL7" t="n">
        <v>162773.937</v>
      </c>
      <c r="AM7" t="n">
        <v>139699.822</v>
      </c>
      <c r="AN7" t="n">
        <v>124716.688</v>
      </c>
      <c r="AO7" t="n">
        <v>144903.359</v>
      </c>
      <c r="AP7" t="n">
        <v>155935.148</v>
      </c>
      <c r="AQ7" t="n">
        <v>138223.821</v>
      </c>
      <c r="AR7" t="n">
        <v>140286.463</v>
      </c>
      <c r="AS7" t="n">
        <v>149030.156</v>
      </c>
      <c r="AT7" t="n">
        <v>174585.203</v>
      </c>
      <c r="AU7" t="n">
        <v>188070.529</v>
      </c>
      <c r="AV7" t="n">
        <v>215547.854</v>
      </c>
      <c r="AW7" t="n">
        <v>184667.005</v>
      </c>
      <c r="AX7" t="n">
        <v>198841.654</v>
      </c>
      <c r="AY7" t="n">
        <v>189135.701</v>
      </c>
      <c r="AZ7" t="n">
        <v>190267.634</v>
      </c>
      <c r="BA7" t="n">
        <v>200815.443</v>
      </c>
      <c r="BB7" t="n">
        <v>177938.344</v>
      </c>
      <c r="BC7" t="n">
        <v>181133.116</v>
      </c>
      <c r="BD7" t="n">
        <v>163196.395</v>
      </c>
      <c r="BE7" t="n">
        <v>172533.128</v>
      </c>
      <c r="BF7" t="n">
        <v>184856.606</v>
      </c>
      <c r="BG7" t="n">
        <v>200696.295</v>
      </c>
      <c r="BH7" t="n">
        <v>177449.716</v>
      </c>
      <c r="BI7" t="n">
        <v>188696.291</v>
      </c>
      <c r="BJ7" t="n">
        <v>174592.128</v>
      </c>
      <c r="BK7" t="n">
        <v>167698.668</v>
      </c>
      <c r="BL7" t="n">
        <v>163406.714</v>
      </c>
      <c r="BM7" t="n">
        <v>170411.713</v>
      </c>
      <c r="BN7" t="n">
        <v>168269.275</v>
      </c>
      <c r="BO7" t="n">
        <v>215994.114</v>
      </c>
      <c r="BP7" t="n">
        <v>194234.737</v>
      </c>
      <c r="BQ7" t="n">
        <v>189726.921</v>
      </c>
      <c r="BR7" t="n">
        <v>155858.65</v>
      </c>
      <c r="BS7" t="n">
        <v>159873.404</v>
      </c>
      <c r="BT7" t="n">
        <v>147466.003</v>
      </c>
      <c r="BU7" t="n">
        <v>137647.486</v>
      </c>
      <c r="BV7" t="n">
        <v>185985.948</v>
      </c>
    </row>
    <row r="8">
      <c r="A8" t="inlineStr">
        <is>
          <t>Clupeiformes</t>
        </is>
      </c>
      <c r="B8" t="inlineStr">
        <is>
          <t>Herrings, shads, anchovies</t>
        </is>
      </c>
      <c r="C8" t="inlineStr">
        <is>
          <t>Small pelagics (&lt;30 cm)</t>
        </is>
      </c>
      <c r="D8" t="inlineStr">
        <is>
          <t>Other fishes &amp; inverts</t>
        </is>
      </c>
      <c r="E8" t="n">
        <v>52157.98</v>
      </c>
      <c r="F8" t="n">
        <v>29733.366</v>
      </c>
      <c r="G8" t="n">
        <v>32914.839</v>
      </c>
      <c r="H8" t="n">
        <v>21364.17</v>
      </c>
      <c r="I8" t="n">
        <v>22441.057</v>
      </c>
      <c r="J8" t="n">
        <v>34873.258</v>
      </c>
      <c r="K8" t="n">
        <v>37822.637</v>
      </c>
      <c r="L8" t="n">
        <v>26320.486</v>
      </c>
      <c r="M8" t="n">
        <v>25393.187</v>
      </c>
      <c r="N8" t="n">
        <v>27062.87</v>
      </c>
      <c r="O8" t="n">
        <v>34284.058</v>
      </c>
      <c r="P8" t="n">
        <v>41156.552</v>
      </c>
      <c r="Q8" t="n">
        <v>44894.398</v>
      </c>
      <c r="R8" t="n">
        <v>37431.014</v>
      </c>
      <c r="S8" t="n">
        <v>58804.162</v>
      </c>
      <c r="T8" t="n">
        <v>44910.725</v>
      </c>
      <c r="U8" t="n">
        <v>69663.79700000001</v>
      </c>
      <c r="V8" t="n">
        <v>40904.295</v>
      </c>
      <c r="W8" t="n">
        <v>49347.936</v>
      </c>
      <c r="X8" t="n">
        <v>56029.841</v>
      </c>
      <c r="Y8" t="n">
        <v>60699.31</v>
      </c>
      <c r="Z8" t="n">
        <v>63850.219</v>
      </c>
      <c r="AA8" t="n">
        <v>50611.582</v>
      </c>
      <c r="AB8" t="n">
        <v>60589.973</v>
      </c>
      <c r="AC8" t="n">
        <v>73884.69500000001</v>
      </c>
      <c r="AD8" t="n">
        <v>100894.346</v>
      </c>
      <c r="AE8" t="n">
        <v>88394.69</v>
      </c>
      <c r="AF8" t="n">
        <v>84242.315</v>
      </c>
      <c r="AG8" t="n">
        <v>86039.857</v>
      </c>
      <c r="AH8" t="n">
        <v>102114.476</v>
      </c>
      <c r="AI8" t="n">
        <v>116969.17</v>
      </c>
      <c r="AJ8" t="n">
        <v>110103.036</v>
      </c>
      <c r="AK8" t="n">
        <v>109328.914</v>
      </c>
      <c r="AL8" t="n">
        <v>133317.612</v>
      </c>
      <c r="AM8" t="n">
        <v>103677.139</v>
      </c>
      <c r="AN8" t="n">
        <v>83135.482</v>
      </c>
      <c r="AO8" t="n">
        <v>84651.905</v>
      </c>
      <c r="AP8" t="n">
        <v>101535.784</v>
      </c>
      <c r="AQ8" t="n">
        <v>89519.88800000001</v>
      </c>
      <c r="AR8" t="n">
        <v>93654.93399999999</v>
      </c>
      <c r="AS8" t="n">
        <v>85651.961</v>
      </c>
      <c r="AT8" t="n">
        <v>86101.7</v>
      </c>
      <c r="AU8" t="n">
        <v>92906.379</v>
      </c>
      <c r="AV8" t="n">
        <v>97562.969</v>
      </c>
      <c r="AW8" t="n">
        <v>97867.61599999999</v>
      </c>
      <c r="AX8" t="n">
        <v>123085.949</v>
      </c>
      <c r="AY8" t="n">
        <v>140778.148</v>
      </c>
      <c r="AZ8" t="n">
        <v>140079.252</v>
      </c>
      <c r="BA8" t="n">
        <v>121356.449</v>
      </c>
      <c r="BB8" t="n">
        <v>149633.646</v>
      </c>
      <c r="BC8" t="n">
        <v>132053.104</v>
      </c>
      <c r="BD8" t="n">
        <v>124791.643</v>
      </c>
      <c r="BE8" t="n">
        <v>149248.589</v>
      </c>
      <c r="BF8" t="n">
        <v>144584.19</v>
      </c>
      <c r="BG8" t="n">
        <v>130911.712</v>
      </c>
      <c r="BH8" t="n">
        <v>75714.743</v>
      </c>
      <c r="BI8" t="n">
        <v>121120.174</v>
      </c>
      <c r="BJ8" t="n">
        <v>132699.855</v>
      </c>
      <c r="BK8" t="n">
        <v>151374.243</v>
      </c>
      <c r="BL8" t="n">
        <v>148633.644</v>
      </c>
      <c r="BM8" t="n">
        <v>145182.46</v>
      </c>
      <c r="BN8" t="n">
        <v>196954.196</v>
      </c>
      <c r="BO8" t="n">
        <v>232352.149</v>
      </c>
      <c r="BP8" t="n">
        <v>246088.748</v>
      </c>
      <c r="BQ8" t="n">
        <v>312974.75</v>
      </c>
      <c r="BR8" t="n">
        <v>347190.08</v>
      </c>
      <c r="BS8" t="n">
        <v>265894.041</v>
      </c>
      <c r="BT8" t="n">
        <v>320976.178</v>
      </c>
      <c r="BU8" t="n">
        <v>267193.649</v>
      </c>
      <c r="BV8" t="n">
        <v>278518.671</v>
      </c>
    </row>
    <row r="9">
      <c r="A9" t="inlineStr">
        <is>
          <t>Carangidae</t>
        </is>
      </c>
      <c r="B9" t="inlineStr">
        <is>
          <t>Jacks, pompanos</t>
        </is>
      </c>
      <c r="C9" t="inlineStr">
        <is>
          <t>Medium pelagics (30 - 89 cm)</t>
        </is>
      </c>
      <c r="D9" t="inlineStr">
        <is>
          <t>Perch-likes</t>
        </is>
      </c>
      <c r="E9" t="n">
        <v>14577.678</v>
      </c>
      <c r="F9" t="n">
        <v>17354.635</v>
      </c>
      <c r="G9" t="n">
        <v>19188.247</v>
      </c>
      <c r="H9" t="n">
        <v>21547.306</v>
      </c>
      <c r="I9" t="n">
        <v>28149.598</v>
      </c>
      <c r="J9" t="n">
        <v>29532.427</v>
      </c>
      <c r="K9" t="n">
        <v>39923.962</v>
      </c>
      <c r="L9" t="n">
        <v>25037.432</v>
      </c>
      <c r="M9" t="n">
        <v>31750.13</v>
      </c>
      <c r="N9" t="n">
        <v>28372.025</v>
      </c>
      <c r="O9" t="n">
        <v>35437.181</v>
      </c>
      <c r="P9" t="n">
        <v>46673.658</v>
      </c>
      <c r="Q9" t="n">
        <v>29786.979</v>
      </c>
      <c r="R9" t="n">
        <v>42286.18</v>
      </c>
      <c r="S9" t="n">
        <v>36953.571</v>
      </c>
      <c r="T9" t="n">
        <v>39698.556</v>
      </c>
      <c r="U9" t="n">
        <v>35242.571</v>
      </c>
      <c r="V9" t="n">
        <v>42722.572</v>
      </c>
      <c r="W9" t="n">
        <v>38001.879</v>
      </c>
      <c r="X9" t="n">
        <v>43298.165</v>
      </c>
      <c r="Y9" t="n">
        <v>38893.753</v>
      </c>
      <c r="Z9" t="n">
        <v>42633.713</v>
      </c>
      <c r="AA9" t="n">
        <v>42264.166</v>
      </c>
      <c r="AB9" t="n">
        <v>33852.78</v>
      </c>
      <c r="AC9" t="n">
        <v>37825.547</v>
      </c>
      <c r="AD9" t="n">
        <v>42125.464</v>
      </c>
      <c r="AE9" t="n">
        <v>41509.984</v>
      </c>
      <c r="AF9" t="n">
        <v>57969.291</v>
      </c>
      <c r="AG9" t="n">
        <v>50107.893</v>
      </c>
      <c r="AH9" t="n">
        <v>58694.861</v>
      </c>
      <c r="AI9" t="n">
        <v>56414.21</v>
      </c>
      <c r="AJ9" t="n">
        <v>68906.674</v>
      </c>
      <c r="AK9" t="n">
        <v>54115.819</v>
      </c>
      <c r="AL9" t="n">
        <v>65852.265</v>
      </c>
      <c r="AM9" t="n">
        <v>83056.561</v>
      </c>
      <c r="AN9" t="n">
        <v>72556.33900000001</v>
      </c>
      <c r="AO9" t="n">
        <v>68072.33500000001</v>
      </c>
      <c r="AP9" t="n">
        <v>90081.447</v>
      </c>
      <c r="AQ9" t="n">
        <v>103327.598</v>
      </c>
      <c r="AR9" t="n">
        <v>112340.701</v>
      </c>
      <c r="AS9" t="n">
        <v>118932.764</v>
      </c>
      <c r="AT9" t="n">
        <v>115320.272</v>
      </c>
      <c r="AU9" t="n">
        <v>102826.551</v>
      </c>
      <c r="AV9" t="n">
        <v>127756.849</v>
      </c>
      <c r="AW9" t="n">
        <v>136924.175</v>
      </c>
      <c r="AX9" t="n">
        <v>124942.435</v>
      </c>
      <c r="AY9" t="n">
        <v>124221.467</v>
      </c>
      <c r="AZ9" t="n">
        <v>128330.069</v>
      </c>
      <c r="BA9" t="n">
        <v>136129.5</v>
      </c>
      <c r="BB9" t="n">
        <v>136195.398</v>
      </c>
      <c r="BC9" t="n">
        <v>151694.907</v>
      </c>
      <c r="BD9" t="n">
        <v>143965.104</v>
      </c>
      <c r="BE9" t="n">
        <v>159720.747</v>
      </c>
      <c r="BF9" t="n">
        <v>169550.767</v>
      </c>
      <c r="BG9" t="n">
        <v>175636.971</v>
      </c>
      <c r="BH9" t="n">
        <v>177122.357</v>
      </c>
      <c r="BI9" t="n">
        <v>171734.044</v>
      </c>
      <c r="BJ9" t="n">
        <v>177316.708</v>
      </c>
      <c r="BK9" t="n">
        <v>168813.74</v>
      </c>
      <c r="BL9" t="n">
        <v>190456.023</v>
      </c>
      <c r="BM9" t="n">
        <v>206125.875</v>
      </c>
      <c r="BN9" t="n">
        <v>202827.994</v>
      </c>
      <c r="BO9" t="n">
        <v>192570.26</v>
      </c>
      <c r="BP9" t="n">
        <v>181205.299</v>
      </c>
      <c r="BQ9" t="n">
        <v>177671.341</v>
      </c>
      <c r="BR9" t="n">
        <v>193820.096</v>
      </c>
      <c r="BS9" t="n">
        <v>210457.107</v>
      </c>
      <c r="BT9" t="n">
        <v>218774.166</v>
      </c>
      <c r="BU9" t="n">
        <v>200839.651</v>
      </c>
      <c r="BV9" t="n">
        <v>226129.058</v>
      </c>
    </row>
    <row r="10">
      <c r="A10" t="inlineStr">
        <is>
          <t>Nemipteridae</t>
        </is>
      </c>
      <c r="B10" t="inlineStr">
        <is>
          <t>Threadfins, whiptail breams</t>
        </is>
      </c>
      <c r="C10" t="inlineStr">
        <is>
          <t>Small demersals (&lt;30 cm)</t>
        </is>
      </c>
      <c r="D10" t="inlineStr">
        <is>
          <t>Perch-likes</t>
        </is>
      </c>
      <c r="E10" t="n">
        <v>3765.272</v>
      </c>
      <c r="F10" t="n">
        <v>741.701</v>
      </c>
      <c r="G10" t="n">
        <v>1348.534</v>
      </c>
      <c r="H10" t="n">
        <v>1320.422</v>
      </c>
      <c r="I10" t="n">
        <v>1054.605</v>
      </c>
      <c r="J10" t="n">
        <v>1572.781</v>
      </c>
      <c r="K10" t="n">
        <v>1165.405</v>
      </c>
      <c r="L10" t="n">
        <v>1812.048</v>
      </c>
      <c r="M10" t="n">
        <v>1831.513</v>
      </c>
      <c r="N10" t="n">
        <v>2282.427</v>
      </c>
      <c r="O10" t="n">
        <v>2247.397</v>
      </c>
      <c r="P10" t="n">
        <v>4032.368</v>
      </c>
      <c r="Q10" t="n">
        <v>3544.691</v>
      </c>
      <c r="R10" t="n">
        <v>5326.01</v>
      </c>
      <c r="S10" t="n">
        <v>7698.381</v>
      </c>
      <c r="T10" t="n">
        <v>11104.541</v>
      </c>
      <c r="U10" t="n">
        <v>13449.585</v>
      </c>
      <c r="V10" t="n">
        <v>16993.486</v>
      </c>
      <c r="W10" t="n">
        <v>20633.57</v>
      </c>
      <c r="X10" t="n">
        <v>26802.533</v>
      </c>
      <c r="Y10" t="n">
        <v>26875.798</v>
      </c>
      <c r="Z10" t="n">
        <v>29416.179</v>
      </c>
      <c r="AA10" t="n">
        <v>38239.284</v>
      </c>
      <c r="AB10" t="n">
        <v>12962.851</v>
      </c>
      <c r="AC10" t="n">
        <v>21315.513</v>
      </c>
      <c r="AD10" t="n">
        <v>21254.336</v>
      </c>
      <c r="AE10" t="n">
        <v>16386.85</v>
      </c>
      <c r="AF10" t="n">
        <v>75198.212</v>
      </c>
      <c r="AG10" t="n">
        <v>71615.879</v>
      </c>
      <c r="AH10" t="n">
        <v>72515.12300000001</v>
      </c>
      <c r="AI10" t="n">
        <v>66552.16499999999</v>
      </c>
      <c r="AJ10" t="n">
        <v>82036.872</v>
      </c>
      <c r="AK10" t="n">
        <v>80583.29300000001</v>
      </c>
      <c r="AL10" t="n">
        <v>86115.988</v>
      </c>
      <c r="AM10" t="n">
        <v>90520.901</v>
      </c>
      <c r="AN10" t="n">
        <v>85325.989</v>
      </c>
      <c r="AO10" t="n">
        <v>113406.398</v>
      </c>
      <c r="AP10" t="n">
        <v>119522.722</v>
      </c>
      <c r="AQ10" t="n">
        <v>94959.77</v>
      </c>
      <c r="AR10" t="n">
        <v>119599.024</v>
      </c>
      <c r="AS10" t="n">
        <v>133782.016</v>
      </c>
      <c r="AT10" t="n">
        <v>191462.664</v>
      </c>
      <c r="AU10" t="n">
        <v>194976.701</v>
      </c>
      <c r="AV10" t="n">
        <v>223636.444</v>
      </c>
      <c r="AW10" t="n">
        <v>184877.152</v>
      </c>
      <c r="AX10" t="n">
        <v>194605.341</v>
      </c>
      <c r="AY10" t="n">
        <v>191344.032</v>
      </c>
      <c r="AZ10" t="n">
        <v>182077.158</v>
      </c>
      <c r="BA10" t="n">
        <v>224025.941</v>
      </c>
      <c r="BB10" t="n">
        <v>186061.219</v>
      </c>
      <c r="BC10" t="n">
        <v>190515.386</v>
      </c>
      <c r="BD10" t="n">
        <v>185691.028</v>
      </c>
      <c r="BE10" t="n">
        <v>201518.028</v>
      </c>
      <c r="BF10" t="n">
        <v>207748.552</v>
      </c>
      <c r="BG10" t="n">
        <v>231640.341</v>
      </c>
      <c r="BH10" t="n">
        <v>209306.273</v>
      </c>
      <c r="BI10" t="n">
        <v>209502.299</v>
      </c>
      <c r="BJ10" t="n">
        <v>187705.417</v>
      </c>
      <c r="BK10" t="n">
        <v>155774.616</v>
      </c>
      <c r="BL10" t="n">
        <v>156857.012</v>
      </c>
      <c r="BM10" t="n">
        <v>153093.819</v>
      </c>
      <c r="BN10" t="n">
        <v>145108.823</v>
      </c>
      <c r="BO10" t="n">
        <v>139928.794</v>
      </c>
      <c r="BP10" t="n">
        <v>138866.717</v>
      </c>
      <c r="BQ10" t="n">
        <v>125107.754</v>
      </c>
      <c r="BR10" t="n">
        <v>111509.239</v>
      </c>
      <c r="BS10" t="n">
        <v>114725.022</v>
      </c>
      <c r="BT10" t="n">
        <v>117669.089</v>
      </c>
      <c r="BU10" t="n">
        <v>116100.179</v>
      </c>
      <c r="BV10" t="n">
        <v>114396.367</v>
      </c>
    </row>
    <row r="11">
      <c r="A11" t="inlineStr">
        <is>
          <t>Clupeidae</t>
        </is>
      </c>
      <c r="B11" t="inlineStr">
        <is>
          <t>Herrings, sardines, menhadens</t>
        </is>
      </c>
      <c r="C11" t="inlineStr">
        <is>
          <t>Small pelagics (&lt;30 cm)</t>
        </is>
      </c>
      <c r="D11" t="inlineStr">
        <is>
          <t>Herring-likes</t>
        </is>
      </c>
      <c r="E11" t="n">
        <v>38397.579</v>
      </c>
      <c r="F11" t="n">
        <v>37278.06</v>
      </c>
      <c r="G11" t="n">
        <v>39642.94</v>
      </c>
      <c r="H11" t="n">
        <v>34709.393</v>
      </c>
      <c r="I11" t="n">
        <v>41982.547</v>
      </c>
      <c r="J11" t="n">
        <v>45539.737</v>
      </c>
      <c r="K11" t="n">
        <v>41990.386</v>
      </c>
      <c r="L11" t="n">
        <v>36381.109</v>
      </c>
      <c r="M11" t="n">
        <v>33366.565</v>
      </c>
      <c r="N11" t="n">
        <v>34122.059</v>
      </c>
      <c r="O11" t="n">
        <v>37400.289</v>
      </c>
      <c r="P11" t="n">
        <v>37112.572</v>
      </c>
      <c r="Q11" t="n">
        <v>39237.361</v>
      </c>
      <c r="R11" t="n">
        <v>37545.12</v>
      </c>
      <c r="S11" t="n">
        <v>42784.071</v>
      </c>
      <c r="T11" t="n">
        <v>41463.148</v>
      </c>
      <c r="U11" t="n">
        <v>56643.42</v>
      </c>
      <c r="V11" t="n">
        <v>41207.936</v>
      </c>
      <c r="W11" t="n">
        <v>46492.029</v>
      </c>
      <c r="X11" t="n">
        <v>53329.5</v>
      </c>
      <c r="Y11" t="n">
        <v>54700.318</v>
      </c>
      <c r="Z11" t="n">
        <v>56957.958</v>
      </c>
      <c r="AA11" t="n">
        <v>55087.014</v>
      </c>
      <c r="AB11" t="n">
        <v>60118.993</v>
      </c>
      <c r="AC11" t="n">
        <v>58230.871</v>
      </c>
      <c r="AD11" t="n">
        <v>69140.079</v>
      </c>
      <c r="AE11" t="n">
        <v>77243.47199999999</v>
      </c>
      <c r="AF11" t="n">
        <v>58034.891</v>
      </c>
      <c r="AG11" t="n">
        <v>54583.978</v>
      </c>
      <c r="AH11" t="n">
        <v>64698.497</v>
      </c>
      <c r="AI11" t="n">
        <v>62506.988</v>
      </c>
      <c r="AJ11" t="n">
        <v>64967.058</v>
      </c>
      <c r="AK11" t="n">
        <v>81466.90700000001</v>
      </c>
      <c r="AL11" t="n">
        <v>89789.908</v>
      </c>
      <c r="AM11" t="n">
        <v>93866.58900000001</v>
      </c>
      <c r="AN11" t="n">
        <v>94668.95</v>
      </c>
      <c r="AO11" t="n">
        <v>95750.451</v>
      </c>
      <c r="AP11" t="n">
        <v>110452.488</v>
      </c>
      <c r="AQ11" t="n">
        <v>107597.573</v>
      </c>
      <c r="AR11" t="n">
        <v>112227.987</v>
      </c>
      <c r="AS11" t="n">
        <v>117707.615</v>
      </c>
      <c r="AT11" t="n">
        <v>104712.439</v>
      </c>
      <c r="AU11" t="n">
        <v>97063.41</v>
      </c>
      <c r="AV11" t="n">
        <v>102375.276</v>
      </c>
      <c r="AW11" t="n">
        <v>122171.925</v>
      </c>
      <c r="AX11" t="n">
        <v>119025.194</v>
      </c>
      <c r="AY11" t="n">
        <v>118418.231</v>
      </c>
      <c r="AZ11" t="n">
        <v>122157.721</v>
      </c>
      <c r="BA11" t="n">
        <v>114948.12</v>
      </c>
      <c r="BB11" t="n">
        <v>118771.157</v>
      </c>
      <c r="BC11" t="n">
        <v>133020.911</v>
      </c>
      <c r="BD11" t="n">
        <v>119248.671</v>
      </c>
      <c r="BE11" t="n">
        <v>120693.147</v>
      </c>
      <c r="BF11" t="n">
        <v>113276.172</v>
      </c>
      <c r="BG11" t="n">
        <v>119298.725</v>
      </c>
      <c r="BH11" t="n">
        <v>113853.799</v>
      </c>
      <c r="BI11" t="n">
        <v>128843.132</v>
      </c>
      <c r="BJ11" t="n">
        <v>146040.047</v>
      </c>
      <c r="BK11" t="n">
        <v>157428.032</v>
      </c>
      <c r="BL11" t="n">
        <v>182192.63</v>
      </c>
      <c r="BM11" t="n">
        <v>165622.288</v>
      </c>
      <c r="BN11" t="n">
        <v>179704.262</v>
      </c>
      <c r="BO11" t="n">
        <v>162881.462</v>
      </c>
      <c r="BP11" t="n">
        <v>151666.176</v>
      </c>
      <c r="BQ11" t="n">
        <v>150219.862</v>
      </c>
      <c r="BR11" t="n">
        <v>151803.663</v>
      </c>
      <c r="BS11" t="n">
        <v>144698.079</v>
      </c>
      <c r="BT11" t="n">
        <v>163567.007</v>
      </c>
      <c r="BU11" t="n">
        <v>137065.501</v>
      </c>
      <c r="BV11" t="n">
        <v>182606.874</v>
      </c>
    </row>
    <row r="12">
      <c r="A12" t="inlineStr">
        <is>
          <t>Rastrelliger kanagurta</t>
        </is>
      </c>
      <c r="B12" t="inlineStr">
        <is>
          <t>Indian mackerel</t>
        </is>
      </c>
      <c r="C12" t="inlineStr">
        <is>
          <t>Medium pelagics (30 - 89 cm)</t>
        </is>
      </c>
      <c r="D12" t="inlineStr">
        <is>
          <t>Perch-likes</t>
        </is>
      </c>
      <c r="E12" t="n">
        <v>17689.401</v>
      </c>
      <c r="F12" t="n">
        <v>19324.642</v>
      </c>
      <c r="G12" t="n">
        <v>17893.282</v>
      </c>
      <c r="H12" t="n">
        <v>17877.847</v>
      </c>
      <c r="I12" t="n">
        <v>17780.877</v>
      </c>
      <c r="J12" t="n">
        <v>18523.036</v>
      </c>
      <c r="K12" t="n">
        <v>19021.937</v>
      </c>
      <c r="L12" t="n">
        <v>20796.148</v>
      </c>
      <c r="M12" t="n">
        <v>18532.977</v>
      </c>
      <c r="N12" t="n">
        <v>17765.597</v>
      </c>
      <c r="O12" t="n">
        <v>17874.071</v>
      </c>
      <c r="P12" t="n">
        <v>16244.13</v>
      </c>
      <c r="Q12" t="n">
        <v>16113.352</v>
      </c>
      <c r="R12" t="n">
        <v>15029.701</v>
      </c>
      <c r="S12" t="n">
        <v>16670.935</v>
      </c>
      <c r="T12" t="n">
        <v>17385.387</v>
      </c>
      <c r="U12" t="n">
        <v>20375.191</v>
      </c>
      <c r="V12" t="n">
        <v>21532.404</v>
      </c>
      <c r="W12" t="n">
        <v>24119.263</v>
      </c>
      <c r="X12" t="n">
        <v>21522.291</v>
      </c>
      <c r="Y12" t="n">
        <v>18938.147</v>
      </c>
      <c r="Z12" t="n">
        <v>19527.16</v>
      </c>
      <c r="AA12" t="n">
        <v>21462.677</v>
      </c>
      <c r="AB12" t="n">
        <v>20533.913</v>
      </c>
      <c r="AC12" t="n">
        <v>18354.667</v>
      </c>
      <c r="AD12" t="n">
        <v>23222.111</v>
      </c>
      <c r="AE12" t="n">
        <v>30125.668</v>
      </c>
      <c r="AF12" t="n">
        <v>25340.037</v>
      </c>
      <c r="AG12" t="n">
        <v>20890.325</v>
      </c>
      <c r="AH12" t="n">
        <v>24328.579</v>
      </c>
      <c r="AI12" t="n">
        <v>21418.199</v>
      </c>
      <c r="AJ12" t="n">
        <v>26625.75</v>
      </c>
      <c r="AK12" t="n">
        <v>36713.897</v>
      </c>
      <c r="AL12" t="n">
        <v>50102.836</v>
      </c>
      <c r="AM12" t="n">
        <v>50661.862</v>
      </c>
      <c r="AN12" t="n">
        <v>46138.179</v>
      </c>
      <c r="AO12" t="n">
        <v>81585.16099999999</v>
      </c>
      <c r="AP12" t="n">
        <v>79367.711</v>
      </c>
      <c r="AQ12" t="n">
        <v>71788.162</v>
      </c>
      <c r="AR12" t="n">
        <v>74119.196</v>
      </c>
      <c r="AS12" t="n">
        <v>80939.458</v>
      </c>
      <c r="AT12" t="n">
        <v>114667.06</v>
      </c>
      <c r="AU12" t="n">
        <v>150376.628</v>
      </c>
      <c r="AV12" t="n">
        <v>175735.418</v>
      </c>
      <c r="AW12" t="n">
        <v>159241.876</v>
      </c>
      <c r="AX12" t="n">
        <v>162235.527</v>
      </c>
      <c r="AY12" t="n">
        <v>146540.748</v>
      </c>
      <c r="AZ12" t="n">
        <v>160348.979</v>
      </c>
      <c r="BA12" t="n">
        <v>159911.043</v>
      </c>
      <c r="BB12" t="n">
        <v>156027.533</v>
      </c>
      <c r="BC12" t="n">
        <v>119787.449</v>
      </c>
      <c r="BD12" t="n">
        <v>132164.112</v>
      </c>
      <c r="BE12" t="n">
        <v>142788.852</v>
      </c>
      <c r="BF12" t="n">
        <v>165341.255</v>
      </c>
      <c r="BG12" t="n">
        <v>163353.145</v>
      </c>
      <c r="BH12" t="n">
        <v>189171.313</v>
      </c>
      <c r="BI12" t="n">
        <v>195248.189</v>
      </c>
      <c r="BJ12" t="n">
        <v>190196.758</v>
      </c>
      <c r="BK12" t="n">
        <v>165501.931</v>
      </c>
      <c r="BL12" t="n">
        <v>201628.312</v>
      </c>
      <c r="BM12" t="n">
        <v>227059.41</v>
      </c>
      <c r="BN12" t="n">
        <v>214965.999</v>
      </c>
      <c r="BO12" t="n">
        <v>161297.551</v>
      </c>
      <c r="BP12" t="n">
        <v>167391.767</v>
      </c>
      <c r="BQ12" t="n">
        <v>187041.177</v>
      </c>
      <c r="BR12" t="n">
        <v>158131.448</v>
      </c>
      <c r="BS12" t="n">
        <v>163178.796</v>
      </c>
      <c r="BT12" t="n">
        <v>154945.864</v>
      </c>
      <c r="BU12" t="n">
        <v>147745.536</v>
      </c>
      <c r="BV12" t="n">
        <v>162150.912</v>
      </c>
    </row>
    <row r="13">
      <c r="A13" t="inlineStr">
        <is>
          <t>Stolephorus</t>
        </is>
      </c>
      <c r="B13" t="inlineStr">
        <is>
          <t>Garment anchovies</t>
        </is>
      </c>
      <c r="C13" t="inlineStr">
        <is>
          <t>Small pelagics (&lt;30 cm)</t>
        </is>
      </c>
      <c r="D13" t="inlineStr">
        <is>
          <t>Anchovies</t>
        </is>
      </c>
      <c r="E13" t="n">
        <v>13145.881</v>
      </c>
      <c r="F13" t="n">
        <v>13263.507</v>
      </c>
      <c r="G13" t="n">
        <v>14049.978</v>
      </c>
      <c r="H13" t="n">
        <v>13418.32</v>
      </c>
      <c r="I13" t="n">
        <v>13168.389</v>
      </c>
      <c r="J13" t="n">
        <v>14004.034</v>
      </c>
      <c r="K13" t="n">
        <v>13395.673</v>
      </c>
      <c r="L13" t="n">
        <v>13524.485</v>
      </c>
      <c r="M13" t="n">
        <v>14953.237</v>
      </c>
      <c r="N13" t="n">
        <v>15308.494</v>
      </c>
      <c r="O13" t="n">
        <v>17527.118</v>
      </c>
      <c r="P13" t="n">
        <v>19664.324</v>
      </c>
      <c r="Q13" t="n">
        <v>22163.303</v>
      </c>
      <c r="R13" t="n">
        <v>26943.974</v>
      </c>
      <c r="S13" t="n">
        <v>27539.209</v>
      </c>
      <c r="T13" t="n">
        <v>29544.007</v>
      </c>
      <c r="U13" t="n">
        <v>32519.251</v>
      </c>
      <c r="V13" t="n">
        <v>38900.452</v>
      </c>
      <c r="W13" t="n">
        <v>41855.025</v>
      </c>
      <c r="X13" t="n">
        <v>39587.018</v>
      </c>
      <c r="Y13" t="n">
        <v>36954.664</v>
      </c>
      <c r="Z13" t="n">
        <v>37851.097</v>
      </c>
      <c r="AA13" t="n">
        <v>34636.293</v>
      </c>
      <c r="AB13" t="n">
        <v>40003.142</v>
      </c>
      <c r="AC13" t="n">
        <v>41976.329</v>
      </c>
      <c r="AD13" t="n">
        <v>39968.909</v>
      </c>
      <c r="AE13" t="n">
        <v>142751.988</v>
      </c>
      <c r="AF13" t="n">
        <v>126174.381</v>
      </c>
      <c r="AG13" t="n">
        <v>150911.388</v>
      </c>
      <c r="AH13" t="n">
        <v>158706.044</v>
      </c>
      <c r="AI13" t="n">
        <v>145346.411</v>
      </c>
      <c r="AJ13" t="n">
        <v>164996.159</v>
      </c>
      <c r="AK13" t="n">
        <v>162000.847</v>
      </c>
      <c r="AL13" t="n">
        <v>156730.858</v>
      </c>
      <c r="AM13" t="n">
        <v>157088.324</v>
      </c>
      <c r="AN13" t="n">
        <v>81440.853</v>
      </c>
      <c r="AO13" t="n">
        <v>96448.145</v>
      </c>
      <c r="AP13" t="n">
        <v>102317.125</v>
      </c>
      <c r="AQ13" t="n">
        <v>102542.14</v>
      </c>
      <c r="AR13" t="n">
        <v>88478.149</v>
      </c>
      <c r="AS13" t="n">
        <v>104216.358</v>
      </c>
      <c r="AT13" t="n">
        <v>106058.165</v>
      </c>
      <c r="AU13" t="n">
        <v>111986.033</v>
      </c>
      <c r="AV13" t="n">
        <v>96732.09600000001</v>
      </c>
      <c r="AW13" t="n">
        <v>100304.059</v>
      </c>
      <c r="AX13" t="n">
        <v>97377.183</v>
      </c>
      <c r="AY13" t="n">
        <v>102520.594</v>
      </c>
      <c r="AZ13" t="n">
        <v>104224.883</v>
      </c>
      <c r="BA13" t="n">
        <v>117321.283</v>
      </c>
      <c r="BB13" t="n">
        <v>92574.883</v>
      </c>
      <c r="BC13" t="n">
        <v>91406.88800000001</v>
      </c>
      <c r="BD13" t="n">
        <v>93910.14599999999</v>
      </c>
      <c r="BE13" t="n">
        <v>83194.507</v>
      </c>
      <c r="BF13" t="n">
        <v>86385.732</v>
      </c>
      <c r="BG13" t="n">
        <v>90441.337</v>
      </c>
      <c r="BH13" t="n">
        <v>59053.666</v>
      </c>
      <c r="BI13" t="n">
        <v>66233.238</v>
      </c>
      <c r="BJ13" t="n">
        <v>77882.90300000001</v>
      </c>
      <c r="BK13" t="n">
        <v>88294.802</v>
      </c>
      <c r="BL13" t="n">
        <v>78572.48299999999</v>
      </c>
      <c r="BM13" t="n">
        <v>83545.26300000001</v>
      </c>
      <c r="BN13" t="n">
        <v>77941.849</v>
      </c>
      <c r="BO13" t="n">
        <v>76962.397</v>
      </c>
      <c r="BP13" t="n">
        <v>74648.16800000001</v>
      </c>
      <c r="BQ13" t="n">
        <v>79169.435</v>
      </c>
      <c r="BR13" t="n">
        <v>83315.611</v>
      </c>
      <c r="BS13" t="n">
        <v>86714.08500000001</v>
      </c>
      <c r="BT13" t="n">
        <v>97803.75900000001</v>
      </c>
      <c r="BU13" t="n">
        <v>77458.749</v>
      </c>
      <c r="BV13" t="n">
        <v>96106.81600000001</v>
      </c>
    </row>
    <row r="14">
      <c r="A14" t="inlineStr">
        <is>
          <t>Harpadon nehereus</t>
        </is>
      </c>
      <c r="B14" t="inlineStr">
        <is>
          <t>Bombay-duck</t>
        </is>
      </c>
      <c r="C14" t="inlineStr">
        <is>
          <t>Medium benthopelagics (30 - 89 cm)</t>
        </is>
      </c>
      <c r="D14" t="inlineStr">
        <is>
          <t>Other fishes &amp; inverts</t>
        </is>
      </c>
      <c r="E14" t="n">
        <v>24648.686</v>
      </c>
      <c r="F14" t="n">
        <v>24178.036</v>
      </c>
      <c r="G14" t="n">
        <v>24571.61</v>
      </c>
      <c r="H14" t="n">
        <v>24877.673</v>
      </c>
      <c r="I14" t="n">
        <v>24991.913</v>
      </c>
      <c r="J14" t="n">
        <v>24938.76</v>
      </c>
      <c r="K14" t="n">
        <v>27773.201</v>
      </c>
      <c r="L14" t="n">
        <v>26865.962</v>
      </c>
      <c r="M14" t="n">
        <v>25526.26</v>
      </c>
      <c r="N14" t="n">
        <v>25810.249</v>
      </c>
      <c r="O14" t="n">
        <v>26724.964</v>
      </c>
      <c r="P14" t="n">
        <v>27968.941</v>
      </c>
      <c r="Q14" t="n">
        <v>27876.635</v>
      </c>
      <c r="R14" t="n">
        <v>29107.014</v>
      </c>
      <c r="S14" t="n">
        <v>28520.487</v>
      </c>
      <c r="T14" t="n">
        <v>28772.035</v>
      </c>
      <c r="U14" t="n">
        <v>29066.479</v>
      </c>
      <c r="V14" t="n">
        <v>30440.991</v>
      </c>
      <c r="W14" t="n">
        <v>31666.128</v>
      </c>
      <c r="X14" t="n">
        <v>30694.122</v>
      </c>
      <c r="Y14" t="n">
        <v>29941.782</v>
      </c>
      <c r="Z14" t="n">
        <v>31627.117</v>
      </c>
      <c r="AA14" t="n">
        <v>31462.391</v>
      </c>
      <c r="AB14" t="n">
        <v>32910.671</v>
      </c>
      <c r="AC14" t="n">
        <v>32866.484</v>
      </c>
      <c r="AD14" t="n">
        <v>34428.316</v>
      </c>
      <c r="AE14" t="n">
        <v>35234.053</v>
      </c>
      <c r="AF14" t="n">
        <v>35704.731</v>
      </c>
      <c r="AG14" t="n">
        <v>37708.165</v>
      </c>
      <c r="AH14" t="n">
        <v>38944.501</v>
      </c>
      <c r="AI14" t="n">
        <v>39709.373</v>
      </c>
      <c r="AJ14" t="n">
        <v>41463.499</v>
      </c>
      <c r="AK14" t="n">
        <v>44490.479</v>
      </c>
      <c r="AL14" t="n">
        <v>48516.507</v>
      </c>
      <c r="AM14" t="n">
        <v>44827.332</v>
      </c>
      <c r="AN14" t="n">
        <v>46443.269</v>
      </c>
      <c r="AO14" t="n">
        <v>46353.893</v>
      </c>
      <c r="AP14" t="n">
        <v>47113.281</v>
      </c>
      <c r="AQ14" t="n">
        <v>48201.26</v>
      </c>
      <c r="AR14" t="n">
        <v>52078.126</v>
      </c>
      <c r="AS14" t="n">
        <v>62096.933</v>
      </c>
      <c r="AT14" t="n">
        <v>60352.748</v>
      </c>
      <c r="AU14" t="n">
        <v>72025.105</v>
      </c>
      <c r="AV14" t="n">
        <v>76051.364</v>
      </c>
      <c r="AW14" t="n">
        <v>56818.709</v>
      </c>
      <c r="AX14" t="n">
        <v>65242.375</v>
      </c>
      <c r="AY14" t="n">
        <v>65024.002</v>
      </c>
      <c r="AZ14" t="n">
        <v>61453.914</v>
      </c>
      <c r="BA14" t="n">
        <v>73695.664</v>
      </c>
      <c r="BB14" t="n">
        <v>63925.469</v>
      </c>
      <c r="BC14" t="n">
        <v>70260.376</v>
      </c>
      <c r="BD14" t="n">
        <v>83685.874</v>
      </c>
      <c r="BE14" t="n">
        <v>101519.111</v>
      </c>
      <c r="BF14" t="n">
        <v>121714.748</v>
      </c>
      <c r="BG14" t="n">
        <v>119330.064</v>
      </c>
      <c r="BH14" t="n">
        <v>117607.416</v>
      </c>
      <c r="BI14" t="n">
        <v>116712.09</v>
      </c>
      <c r="BJ14" t="n">
        <v>110933.349</v>
      </c>
      <c r="BK14" t="n">
        <v>109223.449</v>
      </c>
      <c r="BL14" t="n">
        <v>151728.754</v>
      </c>
      <c r="BM14" t="n">
        <v>141779.351</v>
      </c>
      <c r="BN14" t="n">
        <v>146103.746</v>
      </c>
      <c r="BO14" t="n">
        <v>142476.195</v>
      </c>
      <c r="BP14" t="n">
        <v>152322.429</v>
      </c>
      <c r="BQ14" t="n">
        <v>106145.353</v>
      </c>
      <c r="BR14" t="n">
        <v>113857.656</v>
      </c>
      <c r="BS14" t="n">
        <v>134638.396</v>
      </c>
      <c r="BT14" t="n">
        <v>153372.52</v>
      </c>
      <c r="BU14" t="n">
        <v>141114.83</v>
      </c>
      <c r="BV14" t="n">
        <v>140397.467</v>
      </c>
    </row>
    <row r="15">
      <c r="A15" t="inlineStr">
        <is>
          <t>Engraulidae</t>
        </is>
      </c>
      <c r="B15" t="inlineStr">
        <is>
          <t>Anchovies, round herrings</t>
        </is>
      </c>
      <c r="C15" t="inlineStr">
        <is>
          <t>Small pelagics (&lt;30 cm)</t>
        </is>
      </c>
      <c r="D15" t="inlineStr">
        <is>
          <t>Anchovies</t>
        </is>
      </c>
      <c r="E15" t="n">
        <v>25120.768</v>
      </c>
      <c r="F15" t="n">
        <v>48977.082</v>
      </c>
      <c r="G15" t="n">
        <v>36678.013</v>
      </c>
      <c r="H15" t="n">
        <v>27156.461</v>
      </c>
      <c r="I15" t="n">
        <v>30901.525</v>
      </c>
      <c r="J15" t="n">
        <v>27623.209</v>
      </c>
      <c r="K15" t="n">
        <v>26707.026</v>
      </c>
      <c r="L15" t="n">
        <v>24934.833</v>
      </c>
      <c r="M15" t="n">
        <v>44551.224</v>
      </c>
      <c r="N15" t="n">
        <v>32734.575</v>
      </c>
      <c r="O15" t="n">
        <v>40613.365</v>
      </c>
      <c r="P15" t="n">
        <v>32782.267</v>
      </c>
      <c r="Q15" t="n">
        <v>31075.542</v>
      </c>
      <c r="R15" t="n">
        <v>36167.147</v>
      </c>
      <c r="S15" t="n">
        <v>33808.189</v>
      </c>
      <c r="T15" t="n">
        <v>42938.784</v>
      </c>
      <c r="U15" t="n">
        <v>34147.735</v>
      </c>
      <c r="V15" t="n">
        <v>35554.166</v>
      </c>
      <c r="W15" t="n">
        <v>27424.691</v>
      </c>
      <c r="X15" t="n">
        <v>37988.217</v>
      </c>
      <c r="Y15" t="n">
        <v>27618.829</v>
      </c>
      <c r="Z15" t="n">
        <v>16483.015</v>
      </c>
      <c r="AA15" t="n">
        <v>17530.764</v>
      </c>
      <c r="AB15" t="n">
        <v>28239.713</v>
      </c>
      <c r="AC15" t="n">
        <v>34230.525</v>
      </c>
      <c r="AD15" t="n">
        <v>30098.739</v>
      </c>
      <c r="AE15" t="n">
        <v>33896.591</v>
      </c>
      <c r="AF15" t="n">
        <v>40438.756</v>
      </c>
      <c r="AG15" t="n">
        <v>33550.763</v>
      </c>
      <c r="AH15" t="n">
        <v>35006.362</v>
      </c>
      <c r="AI15" t="n">
        <v>39746.203</v>
      </c>
      <c r="AJ15" t="n">
        <v>22533.742</v>
      </c>
      <c r="AK15" t="n">
        <v>17605.648</v>
      </c>
      <c r="AL15" t="n">
        <v>20859.603</v>
      </c>
      <c r="AM15" t="n">
        <v>26051.76</v>
      </c>
      <c r="AN15" t="n">
        <v>22132.753</v>
      </c>
      <c r="AO15" t="n">
        <v>31665.103</v>
      </c>
      <c r="AP15" t="n">
        <v>34987.482</v>
      </c>
      <c r="AQ15" t="n">
        <v>37920.373</v>
      </c>
      <c r="AR15" t="n">
        <v>28642.414</v>
      </c>
      <c r="AS15" t="n">
        <v>30096.358</v>
      </c>
      <c r="AT15" t="n">
        <v>54064.628</v>
      </c>
      <c r="AU15" t="n">
        <v>94178.095</v>
      </c>
      <c r="AV15" t="n">
        <v>95936.334</v>
      </c>
      <c r="AW15" t="n">
        <v>125307.895</v>
      </c>
      <c r="AX15" t="n">
        <v>90115.792</v>
      </c>
      <c r="AY15" t="n">
        <v>81588.36199999999</v>
      </c>
      <c r="AZ15" t="n">
        <v>83922.765</v>
      </c>
      <c r="BA15" t="n">
        <v>84320.048</v>
      </c>
      <c r="BB15" t="n">
        <v>77608.993</v>
      </c>
      <c r="BC15" t="n">
        <v>77374.533</v>
      </c>
      <c r="BD15" t="n">
        <v>72465.30100000001</v>
      </c>
      <c r="BE15" t="n">
        <v>83876.39999999999</v>
      </c>
      <c r="BF15" t="n">
        <v>72830.325</v>
      </c>
      <c r="BG15" t="n">
        <v>76770.04300000001</v>
      </c>
      <c r="BH15" t="n">
        <v>79711.917</v>
      </c>
      <c r="BI15" t="n">
        <v>95952.37699999999</v>
      </c>
      <c r="BJ15" t="n">
        <v>98560.251</v>
      </c>
      <c r="BK15" t="n">
        <v>95172.719</v>
      </c>
      <c r="BL15" t="n">
        <v>112257.281</v>
      </c>
      <c r="BM15" t="n">
        <v>108006.824</v>
      </c>
      <c r="BN15" t="n">
        <v>119656.771</v>
      </c>
      <c r="BO15" t="n">
        <v>104343.747</v>
      </c>
      <c r="BP15" t="n">
        <v>106187.529</v>
      </c>
      <c r="BQ15" t="n">
        <v>94670.07799999999</v>
      </c>
      <c r="BR15" t="n">
        <v>80263.70299999999</v>
      </c>
      <c r="BS15" t="n">
        <v>86787.787</v>
      </c>
      <c r="BT15" t="n">
        <v>92726.37300000001</v>
      </c>
      <c r="BU15" t="n">
        <v>89981.435</v>
      </c>
      <c r="BV15" t="n">
        <v>96112.395</v>
      </c>
    </row>
    <row r="16">
      <c r="A16" t="inlineStr">
        <is>
          <t>Acetes</t>
        </is>
      </c>
      <c r="B16" t="inlineStr">
        <is>
          <t>Acetes shrimps</t>
        </is>
      </c>
      <c r="C16" t="inlineStr">
        <is>
          <t>Shrimps</t>
        </is>
      </c>
      <c r="D16" t="inlineStr">
        <is>
          <t>Crustaceans</t>
        </is>
      </c>
      <c r="E16" t="n">
        <v>16256.333</v>
      </c>
      <c r="F16" t="n">
        <v>16151.857</v>
      </c>
      <c r="G16" t="n">
        <v>16227.448</v>
      </c>
      <c r="H16" t="n">
        <v>16299.956</v>
      </c>
      <c r="I16" t="n">
        <v>16389.877</v>
      </c>
      <c r="J16" t="n">
        <v>16720.108</v>
      </c>
      <c r="K16" t="n">
        <v>16696.289</v>
      </c>
      <c r="L16" t="n">
        <v>16872.449</v>
      </c>
      <c r="M16" t="n">
        <v>17205.796</v>
      </c>
      <c r="N16" t="n">
        <v>17503.179</v>
      </c>
      <c r="O16" t="n">
        <v>18296.402</v>
      </c>
      <c r="P16" t="n">
        <v>19341.685</v>
      </c>
      <c r="Q16" t="n">
        <v>19941.132</v>
      </c>
      <c r="R16" t="n">
        <v>20547.795</v>
      </c>
      <c r="S16" t="n">
        <v>20989.9</v>
      </c>
      <c r="T16" t="n">
        <v>21494.339</v>
      </c>
      <c r="U16" t="n">
        <v>21976.207</v>
      </c>
      <c r="V16" t="n">
        <v>23229.547</v>
      </c>
      <c r="W16" t="n">
        <v>23926.54</v>
      </c>
      <c r="X16" t="n">
        <v>23671.867</v>
      </c>
      <c r="Y16" t="n">
        <v>17126.518</v>
      </c>
      <c r="Z16" t="n">
        <v>17634.241</v>
      </c>
      <c r="AA16" t="n">
        <v>17762.558</v>
      </c>
      <c r="AB16" t="n">
        <v>17844.219</v>
      </c>
      <c r="AC16" t="n">
        <v>18249.435</v>
      </c>
      <c r="AD16" t="n">
        <v>18130.951</v>
      </c>
      <c r="AE16" t="n">
        <v>44938.215</v>
      </c>
      <c r="AF16" t="n">
        <v>47866.274</v>
      </c>
      <c r="AG16" t="n">
        <v>51841.538</v>
      </c>
      <c r="AH16" t="n">
        <v>51633.507</v>
      </c>
      <c r="AI16" t="n">
        <v>53717.489</v>
      </c>
      <c r="AJ16" t="n">
        <v>50602.736</v>
      </c>
      <c r="AK16" t="n">
        <v>49743.645</v>
      </c>
      <c r="AL16" t="n">
        <v>50686.069</v>
      </c>
      <c r="AM16" t="n">
        <v>48318.815</v>
      </c>
      <c r="AN16" t="n">
        <v>41867.292</v>
      </c>
      <c r="AO16" t="n">
        <v>39877.677</v>
      </c>
      <c r="AP16" t="n">
        <v>39504.094</v>
      </c>
      <c r="AQ16" t="n">
        <v>39357.945</v>
      </c>
      <c r="AR16" t="n">
        <v>42347.162</v>
      </c>
      <c r="AS16" t="n">
        <v>55638.087</v>
      </c>
      <c r="AT16" t="n">
        <v>49468.996</v>
      </c>
      <c r="AU16" t="n">
        <v>51908.754</v>
      </c>
      <c r="AV16" t="n">
        <v>51584.156</v>
      </c>
      <c r="AW16" t="n">
        <v>51734.365</v>
      </c>
      <c r="AX16" t="n">
        <v>51124.347</v>
      </c>
      <c r="AY16" t="n">
        <v>50841.529</v>
      </c>
      <c r="AZ16" t="n">
        <v>54680.329</v>
      </c>
      <c r="BA16" t="n">
        <v>49867.227</v>
      </c>
      <c r="BB16" t="n">
        <v>54634.763</v>
      </c>
      <c r="BC16" t="n">
        <v>53091.374</v>
      </c>
      <c r="BD16" t="n">
        <v>53716.147</v>
      </c>
      <c r="BE16" t="n">
        <v>52864.11</v>
      </c>
      <c r="BF16" t="n">
        <v>72991.685</v>
      </c>
      <c r="BG16" t="n">
        <v>76375.00199999999</v>
      </c>
      <c r="BH16" t="n">
        <v>82338.962</v>
      </c>
      <c r="BI16" t="n">
        <v>86663.617</v>
      </c>
      <c r="BJ16" t="n">
        <v>93017.151</v>
      </c>
      <c r="BK16" t="n">
        <v>93945.58</v>
      </c>
      <c r="BL16" t="n">
        <v>128280.435</v>
      </c>
      <c r="BM16" t="n">
        <v>124318.872</v>
      </c>
      <c r="BN16" t="n">
        <v>120541.85</v>
      </c>
      <c r="BO16" t="n">
        <v>121916.414</v>
      </c>
      <c r="BP16" t="n">
        <v>116332.308</v>
      </c>
      <c r="BQ16" t="n">
        <v>121874.693</v>
      </c>
      <c r="BR16" t="n">
        <v>123467.255</v>
      </c>
      <c r="BS16" t="n">
        <v>130034.311</v>
      </c>
      <c r="BT16" t="n">
        <v>126061.936</v>
      </c>
      <c r="BU16" t="n">
        <v>118263.048</v>
      </c>
      <c r="BV16" t="n">
        <v>122640.403</v>
      </c>
    </row>
    <row r="17">
      <c r="A17" t="inlineStr">
        <is>
          <t>Elasmobranchii</t>
        </is>
      </c>
      <c r="B17" t="inlineStr">
        <is>
          <t>Sharks, rays, skates</t>
        </is>
      </c>
      <c r="C17" t="inlineStr">
        <is>
          <t>Large sharks (&gt;=90 cm)</t>
        </is>
      </c>
      <c r="D17" t="inlineStr">
        <is>
          <t>Sharks &amp; rays</t>
        </is>
      </c>
      <c r="E17" t="n">
        <v>23633.915</v>
      </c>
      <c r="F17" t="n">
        <v>34471.627</v>
      </c>
      <c r="G17" t="n">
        <v>44566.222</v>
      </c>
      <c r="H17" t="n">
        <v>30966.999</v>
      </c>
      <c r="I17" t="n">
        <v>26727.615</v>
      </c>
      <c r="J17" t="n">
        <v>24527.799</v>
      </c>
      <c r="K17" t="n">
        <v>24335.744</v>
      </c>
      <c r="L17" t="n">
        <v>32735.178</v>
      </c>
      <c r="M17" t="n">
        <v>33555.588</v>
      </c>
      <c r="N17" t="n">
        <v>35895.622</v>
      </c>
      <c r="O17" t="n">
        <v>51700.681</v>
      </c>
      <c r="P17" t="n">
        <v>45982.58</v>
      </c>
      <c r="Q17" t="n">
        <v>47071.042</v>
      </c>
      <c r="R17" t="n">
        <v>44662.034</v>
      </c>
      <c r="S17" t="n">
        <v>34883.876</v>
      </c>
      <c r="T17" t="n">
        <v>47445.49</v>
      </c>
      <c r="U17" t="n">
        <v>45925.085</v>
      </c>
      <c r="V17" t="n">
        <v>30717.838</v>
      </c>
      <c r="W17" t="n">
        <v>41334.704</v>
      </c>
      <c r="X17" t="n">
        <v>45447.982</v>
      </c>
      <c r="Y17" t="n">
        <v>53663.651</v>
      </c>
      <c r="Z17" t="n">
        <v>51875.936</v>
      </c>
      <c r="AA17" t="n">
        <v>60437.271</v>
      </c>
      <c r="AB17" t="n">
        <v>56368.326</v>
      </c>
      <c r="AC17" t="n">
        <v>77867.21799999999</v>
      </c>
      <c r="AD17" t="n">
        <v>68407.924</v>
      </c>
      <c r="AE17" t="n">
        <v>63288.061</v>
      </c>
      <c r="AF17" t="n">
        <v>55502.222</v>
      </c>
      <c r="AG17" t="n">
        <v>54681.667</v>
      </c>
      <c r="AH17" t="n">
        <v>48720.26</v>
      </c>
      <c r="AI17" t="n">
        <v>50667.647</v>
      </c>
      <c r="AJ17" t="n">
        <v>32763.57</v>
      </c>
      <c r="AK17" t="n">
        <v>33712.711</v>
      </c>
      <c r="AL17" t="n">
        <v>35068.037</v>
      </c>
      <c r="AM17" t="n">
        <v>31075.842</v>
      </c>
      <c r="AN17" t="n">
        <v>30135.399</v>
      </c>
      <c r="AO17" t="n">
        <v>34431.672</v>
      </c>
      <c r="AP17" t="n">
        <v>40047.608</v>
      </c>
      <c r="AQ17" t="n">
        <v>35303.004</v>
      </c>
      <c r="AR17" t="n">
        <v>38230.92</v>
      </c>
      <c r="AS17" t="n">
        <v>28625.709</v>
      </c>
      <c r="AT17" t="n">
        <v>30379.221</v>
      </c>
      <c r="AU17" t="n">
        <v>44299.243</v>
      </c>
      <c r="AV17" t="n">
        <v>40614.545</v>
      </c>
      <c r="AW17" t="n">
        <v>45999.754</v>
      </c>
      <c r="AX17" t="n">
        <v>49933.869</v>
      </c>
      <c r="AY17" t="n">
        <v>48952.461</v>
      </c>
      <c r="AZ17" t="n">
        <v>53528.41</v>
      </c>
      <c r="BA17" t="n">
        <v>54349.276</v>
      </c>
      <c r="BB17" t="n">
        <v>60060.411</v>
      </c>
      <c r="BC17" t="n">
        <v>61529.164</v>
      </c>
      <c r="BD17" t="n">
        <v>65132.401</v>
      </c>
      <c r="BE17" t="n">
        <v>67062.223</v>
      </c>
      <c r="BF17" t="n">
        <v>64454.795</v>
      </c>
      <c r="BG17" t="n">
        <v>75511.726</v>
      </c>
      <c r="BH17" t="n">
        <v>72215.393</v>
      </c>
      <c r="BI17" t="n">
        <v>68963.391</v>
      </c>
      <c r="BJ17" t="n">
        <v>68338.22199999999</v>
      </c>
      <c r="BK17" t="n">
        <v>64628.682</v>
      </c>
      <c r="BL17" t="n">
        <v>64794.989</v>
      </c>
      <c r="BM17" t="n">
        <v>63640.55</v>
      </c>
      <c r="BN17" t="n">
        <v>65641.625</v>
      </c>
      <c r="BO17" t="n">
        <v>60357.429</v>
      </c>
      <c r="BP17" t="n">
        <v>57574.517</v>
      </c>
      <c r="BQ17" t="n">
        <v>59470.593</v>
      </c>
      <c r="BR17" t="n">
        <v>57269.888</v>
      </c>
      <c r="BS17" t="n">
        <v>60639.169</v>
      </c>
      <c r="BT17" t="n">
        <v>65072.547</v>
      </c>
      <c r="BU17" t="n">
        <v>62916.038</v>
      </c>
      <c r="BV17" t="n">
        <v>58011.215</v>
      </c>
    </row>
    <row r="18">
      <c r="A18" t="inlineStr">
        <is>
          <t>Ariidae</t>
        </is>
      </c>
      <c r="B18" t="inlineStr">
        <is>
          <t>Sea catfishes, coblers</t>
        </is>
      </c>
      <c r="C18" t="inlineStr">
        <is>
          <t>Medium demersals (30 - 89 cm)</t>
        </is>
      </c>
      <c r="D18" t="inlineStr">
        <is>
          <t>Other fishes &amp; inverts</t>
        </is>
      </c>
      <c r="E18" t="n">
        <v>9762.052</v>
      </c>
      <c r="F18" t="n">
        <v>11817.376</v>
      </c>
      <c r="G18" t="n">
        <v>12280.868</v>
      </c>
      <c r="H18" t="n">
        <v>16897.866</v>
      </c>
      <c r="I18" t="n">
        <v>13047.547</v>
      </c>
      <c r="J18" t="n">
        <v>10785.433</v>
      </c>
      <c r="K18" t="n">
        <v>12506.63</v>
      </c>
      <c r="L18" t="n">
        <v>13890.846</v>
      </c>
      <c r="M18" t="n">
        <v>14481.201</v>
      </c>
      <c r="N18" t="n">
        <v>12854.477</v>
      </c>
      <c r="O18" t="n">
        <v>13037.864</v>
      </c>
      <c r="P18" t="n">
        <v>13205.901</v>
      </c>
      <c r="Q18" t="n">
        <v>16133.64</v>
      </c>
      <c r="R18" t="n">
        <v>16286.34</v>
      </c>
      <c r="S18" t="n">
        <v>22880.981</v>
      </c>
      <c r="T18" t="n">
        <v>21575.103</v>
      </c>
      <c r="U18" t="n">
        <v>20518.012</v>
      </c>
      <c r="V18" t="n">
        <v>21579.05</v>
      </c>
      <c r="W18" t="n">
        <v>22481.595</v>
      </c>
      <c r="X18" t="n">
        <v>22448.863</v>
      </c>
      <c r="Y18" t="n">
        <v>27726.763</v>
      </c>
      <c r="Z18" t="n">
        <v>32296.563</v>
      </c>
      <c r="AA18" t="n">
        <v>40653.511</v>
      </c>
      <c r="AB18" t="n">
        <v>55152.565</v>
      </c>
      <c r="AC18" t="n">
        <v>56146.839</v>
      </c>
      <c r="AD18" t="n">
        <v>58582.436</v>
      </c>
      <c r="AE18" t="n">
        <v>51736.061</v>
      </c>
      <c r="AF18" t="n">
        <v>52895.359</v>
      </c>
      <c r="AG18" t="n">
        <v>42488.263</v>
      </c>
      <c r="AH18" t="n">
        <v>44740.951</v>
      </c>
      <c r="AI18" t="n">
        <v>42630.776</v>
      </c>
      <c r="AJ18" t="n">
        <v>49193.594</v>
      </c>
      <c r="AK18" t="n">
        <v>46741.708</v>
      </c>
      <c r="AL18" t="n">
        <v>40568.897</v>
      </c>
      <c r="AM18" t="n">
        <v>41473.537</v>
      </c>
      <c r="AN18" t="n">
        <v>42179.732</v>
      </c>
      <c r="AO18" t="n">
        <v>40038.936</v>
      </c>
      <c r="AP18" t="n">
        <v>39283.29</v>
      </c>
      <c r="AQ18" t="n">
        <v>38915.551</v>
      </c>
      <c r="AR18" t="n">
        <v>43776.253</v>
      </c>
      <c r="AS18" t="n">
        <v>44521.896</v>
      </c>
      <c r="AT18" t="n">
        <v>45519.719</v>
      </c>
      <c r="AU18" t="n">
        <v>48150.508</v>
      </c>
      <c r="AV18" t="n">
        <v>50254.559</v>
      </c>
      <c r="AW18" t="n">
        <v>62382.977</v>
      </c>
      <c r="AX18" t="n">
        <v>62441.999</v>
      </c>
      <c r="AY18" t="n">
        <v>65996.33500000001</v>
      </c>
      <c r="AZ18" t="n">
        <v>67416.607</v>
      </c>
      <c r="BA18" t="n">
        <v>69255.753</v>
      </c>
      <c r="BB18" t="n">
        <v>72799.882</v>
      </c>
      <c r="BC18" t="n">
        <v>77440.899</v>
      </c>
      <c r="BD18" t="n">
        <v>80721.268</v>
      </c>
      <c r="BE18" t="n">
        <v>84484.092</v>
      </c>
      <c r="BF18" t="n">
        <v>86207.141</v>
      </c>
      <c r="BG18" t="n">
        <v>88563.675</v>
      </c>
      <c r="BH18" t="n">
        <v>81034.898</v>
      </c>
      <c r="BI18" t="n">
        <v>78894.73299999999</v>
      </c>
      <c r="BJ18" t="n">
        <v>80485.32000000001</v>
      </c>
      <c r="BK18" t="n">
        <v>81312.406</v>
      </c>
      <c r="BL18" t="n">
        <v>78347.201</v>
      </c>
      <c r="BM18" t="n">
        <v>77038.72900000001</v>
      </c>
      <c r="BN18" t="n">
        <v>78453.80499999999</v>
      </c>
      <c r="BO18" t="n">
        <v>80493.976</v>
      </c>
      <c r="BP18" t="n">
        <v>65853.692</v>
      </c>
      <c r="BQ18" t="n">
        <v>68500.208</v>
      </c>
      <c r="BR18" t="n">
        <v>67231.28</v>
      </c>
      <c r="BS18" t="n">
        <v>70044.95699999999</v>
      </c>
      <c r="BT18" t="n">
        <v>71368.611</v>
      </c>
      <c r="BU18" t="n">
        <v>68833.181</v>
      </c>
      <c r="BV18" t="n">
        <v>68577.97900000001</v>
      </c>
    </row>
    <row r="19">
      <c r="A19" t="inlineStr">
        <is>
          <t>Decapterus</t>
        </is>
      </c>
      <c r="B19" t="inlineStr">
        <is>
          <t>Scads</t>
        </is>
      </c>
      <c r="C19" t="inlineStr">
        <is>
          <t>Medium pelagics (30 - 89 cm)</t>
        </is>
      </c>
      <c r="D19" t="inlineStr">
        <is>
          <t>Perch-likes</t>
        </is>
      </c>
      <c r="E19" t="n">
        <v>4678.861</v>
      </c>
      <c r="F19" t="n">
        <v>4990.462</v>
      </c>
      <c r="G19" t="n">
        <v>5268.394</v>
      </c>
      <c r="H19" t="n">
        <v>5274.748</v>
      </c>
      <c r="I19" t="n">
        <v>5506.036</v>
      </c>
      <c r="J19" t="n">
        <v>5778.954</v>
      </c>
      <c r="K19" t="n">
        <v>5676.254</v>
      </c>
      <c r="L19" t="n">
        <v>5650.888</v>
      </c>
      <c r="M19" t="n">
        <v>6062.65</v>
      </c>
      <c r="N19" t="n">
        <v>6032.898</v>
      </c>
      <c r="O19" t="n">
        <v>6457.193</v>
      </c>
      <c r="P19" t="n">
        <v>7556.653</v>
      </c>
      <c r="Q19" t="n">
        <v>8272.433999999999</v>
      </c>
      <c r="R19" t="n">
        <v>8855.178</v>
      </c>
      <c r="S19" t="n">
        <v>9470.924999999999</v>
      </c>
      <c r="T19" t="n">
        <v>10363.288</v>
      </c>
      <c r="U19" t="n">
        <v>10996.819</v>
      </c>
      <c r="V19" t="n">
        <v>11677.858</v>
      </c>
      <c r="W19" t="n">
        <v>12677.313</v>
      </c>
      <c r="X19" t="n">
        <v>12730.225</v>
      </c>
      <c r="Y19" t="n">
        <v>11183.408</v>
      </c>
      <c r="Z19" t="n">
        <v>11387.339</v>
      </c>
      <c r="AA19" t="n">
        <v>14239.305</v>
      </c>
      <c r="AB19" t="n">
        <v>14583.313</v>
      </c>
      <c r="AC19" t="n">
        <v>15508.817</v>
      </c>
      <c r="AD19" t="n">
        <v>16963.29</v>
      </c>
      <c r="AE19" t="n">
        <v>31417.203</v>
      </c>
      <c r="AF19" t="n">
        <v>26587.282</v>
      </c>
      <c r="AG19" t="n">
        <v>32045.319</v>
      </c>
      <c r="AH19" t="n">
        <v>35097.532</v>
      </c>
      <c r="AI19" t="n">
        <v>39058.658</v>
      </c>
      <c r="AJ19" t="n">
        <v>43932.609</v>
      </c>
      <c r="AK19" t="n">
        <v>45406.345</v>
      </c>
      <c r="AL19" t="n">
        <v>45761.883</v>
      </c>
      <c r="AM19" t="n">
        <v>53969.899</v>
      </c>
      <c r="AN19" t="n">
        <v>84838.897</v>
      </c>
      <c r="AO19" t="n">
        <v>78935.072</v>
      </c>
      <c r="AP19" t="n">
        <v>76266.83100000001</v>
      </c>
      <c r="AQ19" t="n">
        <v>65196.184</v>
      </c>
      <c r="AR19" t="n">
        <v>71853.598</v>
      </c>
      <c r="AS19" t="n">
        <v>55647.729</v>
      </c>
      <c r="AT19" t="n">
        <v>53904.945</v>
      </c>
      <c r="AU19" t="n">
        <v>55509.354</v>
      </c>
      <c r="AV19" t="n">
        <v>52123.858</v>
      </c>
      <c r="AW19" t="n">
        <v>53388.389</v>
      </c>
      <c r="AX19" t="n">
        <v>64866.358</v>
      </c>
      <c r="AY19" t="n">
        <v>63843.584</v>
      </c>
      <c r="AZ19" t="n">
        <v>62854.252</v>
      </c>
      <c r="BA19" t="n">
        <v>61246.399</v>
      </c>
      <c r="BB19" t="n">
        <v>58183.476</v>
      </c>
      <c r="BC19" t="n">
        <v>43407.058</v>
      </c>
      <c r="BD19" t="n">
        <v>42023.339</v>
      </c>
      <c r="BE19" t="n">
        <v>44166.706</v>
      </c>
      <c r="BF19" t="n">
        <v>46030.118</v>
      </c>
      <c r="BG19" t="n">
        <v>47659.97</v>
      </c>
      <c r="BH19" t="n">
        <v>81060.817</v>
      </c>
      <c r="BI19" t="n">
        <v>82652.61500000001</v>
      </c>
      <c r="BJ19" t="n">
        <v>91069.681</v>
      </c>
      <c r="BK19" t="n">
        <v>92497.145</v>
      </c>
      <c r="BL19" t="n">
        <v>83252.978</v>
      </c>
      <c r="BM19" t="n">
        <v>79652.349</v>
      </c>
      <c r="BN19" t="n">
        <v>87904.71799999999</v>
      </c>
      <c r="BO19" t="n">
        <v>84694.04399999999</v>
      </c>
      <c r="BP19" t="n">
        <v>86711.736</v>
      </c>
      <c r="BQ19" t="n">
        <v>91225.966</v>
      </c>
      <c r="BR19" t="n">
        <v>115591.953</v>
      </c>
      <c r="BS19" t="n">
        <v>94292.849</v>
      </c>
      <c r="BT19" t="n">
        <v>108479.858</v>
      </c>
      <c r="BU19" t="n">
        <v>117617.429</v>
      </c>
      <c r="BV19" t="n">
        <v>138510.05</v>
      </c>
    </row>
    <row r="20">
      <c r="A20" t="inlineStr">
        <is>
          <t>Synodontidae</t>
        </is>
      </c>
      <c r="B20" t="inlineStr">
        <is>
          <t>Lizardfishes, sauries</t>
        </is>
      </c>
      <c r="C20" t="inlineStr">
        <is>
          <t>Medium demersals (30 - 89 cm)</t>
        </is>
      </c>
      <c r="D20" t="inlineStr">
        <is>
          <t>Other fishes &amp; inverts</t>
        </is>
      </c>
      <c r="E20" t="n">
        <v>1190.308</v>
      </c>
      <c r="F20" t="n">
        <v>754.598</v>
      </c>
      <c r="G20" t="n">
        <v>952.573</v>
      </c>
      <c r="H20" t="n">
        <v>1340.779</v>
      </c>
      <c r="I20" t="n">
        <v>1812.404</v>
      </c>
      <c r="J20" t="n">
        <v>1281.285</v>
      </c>
      <c r="K20" t="n">
        <v>1551.755</v>
      </c>
      <c r="L20" t="n">
        <v>1289.06</v>
      </c>
      <c r="M20" t="n">
        <v>1275.409</v>
      </c>
      <c r="N20" t="n">
        <v>1790.666</v>
      </c>
      <c r="O20" t="n">
        <v>1901.595</v>
      </c>
      <c r="P20" t="n">
        <v>3112.857</v>
      </c>
      <c r="Q20" t="n">
        <v>3738.554</v>
      </c>
      <c r="R20" t="n">
        <v>4150.849</v>
      </c>
      <c r="S20" t="n">
        <v>6767.677</v>
      </c>
      <c r="T20" t="n">
        <v>7036.79</v>
      </c>
      <c r="U20" t="n">
        <v>9001.102999999999</v>
      </c>
      <c r="V20" t="n">
        <v>14859.277</v>
      </c>
      <c r="W20" t="n">
        <v>16909.211</v>
      </c>
      <c r="X20" t="n">
        <v>22569.593</v>
      </c>
      <c r="Y20" t="n">
        <v>22596.456</v>
      </c>
      <c r="Z20" t="n">
        <v>25038.046</v>
      </c>
      <c r="AA20" t="n">
        <v>31147.422</v>
      </c>
      <c r="AB20" t="n">
        <v>17259.704</v>
      </c>
      <c r="AC20" t="n">
        <v>21369.785</v>
      </c>
      <c r="AD20" t="n">
        <v>18428.81</v>
      </c>
      <c r="AE20" t="n">
        <v>21379.909</v>
      </c>
      <c r="AF20" t="n">
        <v>49543.552</v>
      </c>
      <c r="AG20" t="n">
        <v>47141.668</v>
      </c>
      <c r="AH20" t="n">
        <v>48727.891</v>
      </c>
      <c r="AI20" t="n">
        <v>43657.319</v>
      </c>
      <c r="AJ20" t="n">
        <v>49562.013</v>
      </c>
      <c r="AK20" t="n">
        <v>49690.264</v>
      </c>
      <c r="AL20" t="n">
        <v>50652.162</v>
      </c>
      <c r="AM20" t="n">
        <v>55196.314</v>
      </c>
      <c r="AN20" t="n">
        <v>54584.689</v>
      </c>
      <c r="AO20" t="n">
        <v>64638.823</v>
      </c>
      <c r="AP20" t="n">
        <v>72603.447</v>
      </c>
      <c r="AQ20" t="n">
        <v>62193.829</v>
      </c>
      <c r="AR20" t="n">
        <v>68681.59299999999</v>
      </c>
      <c r="AS20" t="n">
        <v>77440.274</v>
      </c>
      <c r="AT20" t="n">
        <v>98367.073</v>
      </c>
      <c r="AU20" t="n">
        <v>104016.273</v>
      </c>
      <c r="AV20" t="n">
        <v>112491.485</v>
      </c>
      <c r="AW20" t="n">
        <v>90761.239</v>
      </c>
      <c r="AX20" t="n">
        <v>90126.075</v>
      </c>
      <c r="AY20" t="n">
        <v>86985.251</v>
      </c>
      <c r="AZ20" t="n">
        <v>75341.264</v>
      </c>
      <c r="BA20" t="n">
        <v>91815.485</v>
      </c>
      <c r="BB20" t="n">
        <v>76895.674</v>
      </c>
      <c r="BC20" t="n">
        <v>79479.16800000001</v>
      </c>
      <c r="BD20" t="n">
        <v>70258.04300000001</v>
      </c>
      <c r="BE20" t="n">
        <v>75315.183</v>
      </c>
      <c r="BF20" t="n">
        <v>79963.038</v>
      </c>
      <c r="BG20" t="n">
        <v>87744.114</v>
      </c>
      <c r="BH20" t="n">
        <v>81186.41899999999</v>
      </c>
      <c r="BI20" t="n">
        <v>75248.255</v>
      </c>
      <c r="BJ20" t="n">
        <v>62963.513</v>
      </c>
      <c r="BK20" t="n">
        <v>67205.412</v>
      </c>
      <c r="BL20" t="n">
        <v>70061.89599999999</v>
      </c>
      <c r="BM20" t="n">
        <v>65210.205</v>
      </c>
      <c r="BN20" t="n">
        <v>60614.232</v>
      </c>
      <c r="BO20" t="n">
        <v>58584.107</v>
      </c>
      <c r="BP20" t="n">
        <v>50395.91</v>
      </c>
      <c r="BQ20" t="n">
        <v>47383.592</v>
      </c>
      <c r="BR20" t="n">
        <v>45575.986</v>
      </c>
      <c r="BS20" t="n">
        <v>58857.801</v>
      </c>
      <c r="BT20" t="n">
        <v>39636.742</v>
      </c>
      <c r="BU20" t="n">
        <v>54078.749</v>
      </c>
      <c r="BV20" t="n">
        <v>52611.625</v>
      </c>
    </row>
    <row r="21">
      <c r="A21" t="inlineStr">
        <is>
          <t>Sardinella</t>
        </is>
      </c>
      <c r="B21" t="inlineStr">
        <is>
          <t>Sardinellas</t>
        </is>
      </c>
      <c r="C21" t="inlineStr">
        <is>
          <t>Small pelagics (&lt;30 cm)</t>
        </is>
      </c>
      <c r="D21" t="inlineStr">
        <is>
          <t>Herring-likes</t>
        </is>
      </c>
      <c r="E21" t="n">
        <v>11331.717</v>
      </c>
      <c r="F21" t="n">
        <v>11504.521</v>
      </c>
      <c r="G21" t="n">
        <v>11620.761</v>
      </c>
      <c r="H21" t="n">
        <v>11583.808</v>
      </c>
      <c r="I21" t="n">
        <v>11754.216</v>
      </c>
      <c r="J21" t="n">
        <v>12151.118</v>
      </c>
      <c r="K21" t="n">
        <v>11924.214</v>
      </c>
      <c r="L21" t="n">
        <v>12043.091</v>
      </c>
      <c r="M21" t="n">
        <v>12629.939</v>
      </c>
      <c r="N21" t="n">
        <v>12810.629</v>
      </c>
      <c r="O21" t="n">
        <v>13336.592</v>
      </c>
      <c r="P21" t="n">
        <v>14057.519</v>
      </c>
      <c r="Q21" t="n">
        <v>15115.045</v>
      </c>
      <c r="R21" t="n">
        <v>15879.403</v>
      </c>
      <c r="S21" t="n">
        <v>16812.343</v>
      </c>
      <c r="T21" t="n">
        <v>17622.139</v>
      </c>
      <c r="U21" t="n">
        <v>18211.235</v>
      </c>
      <c r="V21" t="n">
        <v>19803.327</v>
      </c>
      <c r="W21" t="n">
        <v>20972.629</v>
      </c>
      <c r="X21" t="n">
        <v>20393.979</v>
      </c>
      <c r="Y21" t="n">
        <v>19676.131</v>
      </c>
      <c r="Z21" t="n">
        <v>20231.536</v>
      </c>
      <c r="AA21" t="n">
        <v>19508.523</v>
      </c>
      <c r="AB21" t="n">
        <v>21814.424</v>
      </c>
      <c r="AC21" t="n">
        <v>22388.817</v>
      </c>
      <c r="AD21" t="n">
        <v>24440.532</v>
      </c>
      <c r="AE21" t="n">
        <v>30389.985</v>
      </c>
      <c r="AF21" t="n">
        <v>28847.908</v>
      </c>
      <c r="AG21" t="n">
        <v>32999.932</v>
      </c>
      <c r="AH21" t="n">
        <v>43584.501</v>
      </c>
      <c r="AI21" t="n">
        <v>44545.449</v>
      </c>
      <c r="AJ21" t="n">
        <v>43227.256</v>
      </c>
      <c r="AK21" t="n">
        <v>73948.47</v>
      </c>
      <c r="AL21" t="n">
        <v>68858.97900000001</v>
      </c>
      <c r="AM21" t="n">
        <v>76762.004</v>
      </c>
      <c r="AN21" t="n">
        <v>73018.554</v>
      </c>
      <c r="AO21" t="n">
        <v>71668.78</v>
      </c>
      <c r="AP21" t="n">
        <v>89211.74000000001</v>
      </c>
      <c r="AQ21" t="n">
        <v>77015.974</v>
      </c>
      <c r="AR21" t="n">
        <v>75127.57399999999</v>
      </c>
      <c r="AS21" t="n">
        <v>67867.78999999999</v>
      </c>
      <c r="AT21" t="n">
        <v>64249.144</v>
      </c>
      <c r="AU21" t="n">
        <v>60980.589</v>
      </c>
      <c r="AV21" t="n">
        <v>81857.874</v>
      </c>
      <c r="AW21" t="n">
        <v>73445.52</v>
      </c>
      <c r="AX21" t="n">
        <v>96589.038</v>
      </c>
      <c r="AY21" t="n">
        <v>94430.69899999999</v>
      </c>
      <c r="AZ21" t="n">
        <v>90834.742</v>
      </c>
      <c r="BA21" t="n">
        <v>104929.561</v>
      </c>
      <c r="BB21" t="n">
        <v>100837.639</v>
      </c>
      <c r="BC21" t="n">
        <v>86022.246</v>
      </c>
      <c r="BD21" t="n">
        <v>74096.095</v>
      </c>
      <c r="BE21" t="n">
        <v>55099.117</v>
      </c>
      <c r="BF21" t="n">
        <v>49359.753</v>
      </c>
      <c r="BG21" t="n">
        <v>48479.388</v>
      </c>
      <c r="BH21" t="n">
        <v>41359.756</v>
      </c>
      <c r="BI21" t="n">
        <v>48324.704</v>
      </c>
      <c r="BJ21" t="n">
        <v>46133.661</v>
      </c>
      <c r="BK21" t="n">
        <v>51097.043</v>
      </c>
      <c r="BL21" t="n">
        <v>43720.729</v>
      </c>
      <c r="BM21" t="n">
        <v>41872.131</v>
      </c>
      <c r="BN21" t="n">
        <v>45499.538</v>
      </c>
      <c r="BO21" t="n">
        <v>41450.95</v>
      </c>
      <c r="BP21" t="n">
        <v>38198.047</v>
      </c>
      <c r="BQ21" t="n">
        <v>39992.441</v>
      </c>
      <c r="BR21" t="n">
        <v>41625.917</v>
      </c>
      <c r="BS21" t="n">
        <v>38937.04</v>
      </c>
      <c r="BT21" t="n">
        <v>39290.273</v>
      </c>
      <c r="BU21" t="n">
        <v>37154.95</v>
      </c>
      <c r="BV21" t="n">
        <v>44906.576</v>
      </c>
    </row>
    <row r="22">
      <c r="A22" t="inlineStr">
        <is>
          <t>Sardinella longiceps</t>
        </is>
      </c>
      <c r="B22" t="inlineStr">
        <is>
          <t>Indian oil sardine</t>
        </is>
      </c>
      <c r="C22" t="inlineStr">
        <is>
          <t>Small pelagics (&lt;30 cm)</t>
        </is>
      </c>
      <c r="D22" t="inlineStr">
        <is>
          <t>Herring-likes</t>
        </is>
      </c>
      <c r="E22" t="n">
        <v>830.188</v>
      </c>
      <c r="F22" t="n">
        <v>13.497</v>
      </c>
      <c r="G22" t="n">
        <v>1554.145</v>
      </c>
      <c r="H22" t="n">
        <v>0</v>
      </c>
      <c r="I22" t="n">
        <v>1260.146</v>
      </c>
      <c r="J22" t="n">
        <v>4390.939</v>
      </c>
      <c r="K22" t="n">
        <v>496.873</v>
      </c>
      <c r="L22" t="n">
        <v>350.044</v>
      </c>
      <c r="M22" t="n">
        <v>131.334</v>
      </c>
      <c r="N22" t="n">
        <v>971.535</v>
      </c>
      <c r="O22" t="n">
        <v>15.779</v>
      </c>
      <c r="P22" t="n">
        <v>0.9</v>
      </c>
      <c r="Q22" t="n">
        <v>0</v>
      </c>
      <c r="R22" t="n">
        <v>0.9</v>
      </c>
      <c r="S22" t="n">
        <v>120.616</v>
      </c>
      <c r="T22" t="n">
        <v>28.794</v>
      </c>
      <c r="U22" t="n">
        <v>88.166</v>
      </c>
      <c r="V22" t="n">
        <v>28.808</v>
      </c>
      <c r="W22" t="n">
        <v>370.908</v>
      </c>
      <c r="X22" t="n">
        <v>237.405</v>
      </c>
      <c r="Y22" t="n">
        <v>41.204</v>
      </c>
      <c r="Z22" t="n">
        <v>42.147</v>
      </c>
      <c r="AA22" t="n">
        <v>130.454</v>
      </c>
      <c r="AB22" t="n">
        <v>186.129</v>
      </c>
      <c r="AC22" t="n">
        <v>509.748</v>
      </c>
      <c r="AD22" t="n">
        <v>117.491</v>
      </c>
      <c r="AE22" t="n">
        <v>100.322</v>
      </c>
      <c r="AF22" t="n">
        <v>639.842</v>
      </c>
      <c r="AG22" t="n">
        <v>32.228</v>
      </c>
      <c r="AH22" t="n">
        <v>905.908</v>
      </c>
      <c r="AI22" t="n">
        <v>286.833</v>
      </c>
      <c r="AJ22" t="n">
        <v>175.036</v>
      </c>
      <c r="AK22" t="n">
        <v>976.414</v>
      </c>
      <c r="AL22" t="n">
        <v>1318.62</v>
      </c>
      <c r="AM22" t="n">
        <v>2395.481</v>
      </c>
      <c r="AN22" t="n">
        <v>4206.447</v>
      </c>
      <c r="AO22" t="n">
        <v>8444.969999999999</v>
      </c>
      <c r="AP22" t="n">
        <v>1616.807</v>
      </c>
      <c r="AQ22" t="n">
        <v>3347.451</v>
      </c>
      <c r="AR22" t="n">
        <v>19862.488</v>
      </c>
      <c r="AS22" t="n">
        <v>35995.329</v>
      </c>
      <c r="AT22" t="n">
        <v>31753.988</v>
      </c>
      <c r="AU22" t="n">
        <v>35835.035</v>
      </c>
      <c r="AV22" t="n">
        <v>37677.821</v>
      </c>
      <c r="AW22" t="n">
        <v>41262.079</v>
      </c>
      <c r="AX22" t="n">
        <v>35307.788</v>
      </c>
      <c r="AY22" t="n">
        <v>66393.716</v>
      </c>
      <c r="AZ22" t="n">
        <v>107268.54</v>
      </c>
      <c r="BA22" t="n">
        <v>102067.982</v>
      </c>
      <c r="BB22" t="n">
        <v>67313.617</v>
      </c>
      <c r="BC22" t="n">
        <v>73582.258</v>
      </c>
      <c r="BD22" t="n">
        <v>53346.459</v>
      </c>
      <c r="BE22" t="n">
        <v>31816.713</v>
      </c>
      <c r="BF22" t="n">
        <v>51633.165</v>
      </c>
      <c r="BG22" t="n">
        <v>61795.996</v>
      </c>
      <c r="BH22" t="n">
        <v>52335.386</v>
      </c>
      <c r="BI22" t="n">
        <v>69537.132</v>
      </c>
      <c r="BJ22" t="n">
        <v>97984.64599999999</v>
      </c>
      <c r="BK22" t="n">
        <v>94611.053</v>
      </c>
      <c r="BL22" t="n">
        <v>131808.859</v>
      </c>
      <c r="BM22" t="n">
        <v>138211.774</v>
      </c>
      <c r="BN22" t="n">
        <v>194276.191</v>
      </c>
      <c r="BO22" t="n">
        <v>218140.102</v>
      </c>
      <c r="BP22" t="n">
        <v>180841.65</v>
      </c>
      <c r="BQ22" t="n">
        <v>87324.356</v>
      </c>
      <c r="BR22" t="n">
        <v>110110.189</v>
      </c>
      <c r="BS22" t="n">
        <v>91805.836</v>
      </c>
      <c r="BT22" t="n">
        <v>51427.352</v>
      </c>
      <c r="BU22" t="n">
        <v>29424.1</v>
      </c>
      <c r="BV22" t="n">
        <v>77922.07000000001</v>
      </c>
    </row>
    <row r="23">
      <c r="A23" t="inlineStr">
        <is>
          <t>Scombridae</t>
        </is>
      </c>
      <c r="B23" t="inlineStr">
        <is>
          <t>Mackerels, tunas, bonitos</t>
        </is>
      </c>
      <c r="C23" t="inlineStr">
        <is>
          <t>Medium pelagics (30 - 89 cm)</t>
        </is>
      </c>
      <c r="D23" t="inlineStr">
        <is>
          <t>Perch-likes</t>
        </is>
      </c>
      <c r="E23" t="n">
        <v>39746.233</v>
      </c>
      <c r="F23" t="n">
        <v>47929.729</v>
      </c>
      <c r="G23" t="n">
        <v>49088.915</v>
      </c>
      <c r="H23" t="n">
        <v>50481.605</v>
      </c>
      <c r="I23" t="n">
        <v>50948.3</v>
      </c>
      <c r="J23" t="n">
        <v>52671.32</v>
      </c>
      <c r="K23" t="n">
        <v>56445.945</v>
      </c>
      <c r="L23" t="n">
        <v>56977.278</v>
      </c>
      <c r="M23" t="n">
        <v>51650.326</v>
      </c>
      <c r="N23" t="n">
        <v>43226.039</v>
      </c>
      <c r="O23" t="n">
        <v>35002.325</v>
      </c>
      <c r="P23" t="n">
        <v>22319.736</v>
      </c>
      <c r="Q23" t="n">
        <v>25719.233</v>
      </c>
      <c r="R23" t="n">
        <v>16697.038</v>
      </c>
      <c r="S23" t="n">
        <v>21337.394</v>
      </c>
      <c r="T23" t="n">
        <v>21999.443</v>
      </c>
      <c r="U23" t="n">
        <v>24514.349</v>
      </c>
      <c r="V23" t="n">
        <v>23030.769</v>
      </c>
      <c r="W23" t="n">
        <v>27364.288</v>
      </c>
      <c r="X23" t="n">
        <v>23238.92</v>
      </c>
      <c r="Y23" t="n">
        <v>20466.113</v>
      </c>
      <c r="Z23" t="n">
        <v>21078.205</v>
      </c>
      <c r="AA23" t="n">
        <v>12652.532</v>
      </c>
      <c r="AB23" t="n">
        <v>24026.442</v>
      </c>
      <c r="AC23" t="n">
        <v>10874.52</v>
      </c>
      <c r="AD23" t="n">
        <v>14115.629</v>
      </c>
      <c r="AE23" t="n">
        <v>17110.398</v>
      </c>
      <c r="AF23" t="n">
        <v>14916.778</v>
      </c>
      <c r="AG23" t="n">
        <v>11768.21</v>
      </c>
      <c r="AH23" t="n">
        <v>14882.655</v>
      </c>
      <c r="AI23" t="n">
        <v>15449.342</v>
      </c>
      <c r="AJ23" t="n">
        <v>11673.618</v>
      </c>
      <c r="AK23" t="n">
        <v>16898.841</v>
      </c>
      <c r="AL23" t="n">
        <v>18774.804</v>
      </c>
      <c r="AM23" t="n">
        <v>20249.149</v>
      </c>
      <c r="AN23" t="n">
        <v>21076.587</v>
      </c>
      <c r="AO23" t="n">
        <v>19337.213</v>
      </c>
      <c r="AP23" t="n">
        <v>19644.135</v>
      </c>
      <c r="AQ23" t="n">
        <v>20369.247</v>
      </c>
      <c r="AR23" t="n">
        <v>23746.968</v>
      </c>
      <c r="AS23" t="n">
        <v>29222.851</v>
      </c>
      <c r="AT23" t="n">
        <v>29248.527</v>
      </c>
      <c r="AU23" t="n">
        <v>26785.741</v>
      </c>
      <c r="AV23" t="n">
        <v>37215.561</v>
      </c>
      <c r="AW23" t="n">
        <v>38355.094</v>
      </c>
      <c r="AX23" t="n">
        <v>30675.679</v>
      </c>
      <c r="AY23" t="n">
        <v>31144.708</v>
      </c>
      <c r="AZ23" t="n">
        <v>31751.334</v>
      </c>
      <c r="BA23" t="n">
        <v>30644.71</v>
      </c>
      <c r="BB23" t="n">
        <v>32529.127</v>
      </c>
      <c r="BC23" t="n">
        <v>35388.368</v>
      </c>
      <c r="BD23" t="n">
        <v>36876.546</v>
      </c>
      <c r="BE23" t="n">
        <v>35565.87</v>
      </c>
      <c r="BF23" t="n">
        <v>46331.468</v>
      </c>
      <c r="BG23" t="n">
        <v>43172.584</v>
      </c>
      <c r="BH23" t="n">
        <v>49036.279</v>
      </c>
      <c r="BI23" t="n">
        <v>51318.186</v>
      </c>
      <c r="BJ23" t="n">
        <v>63480.32</v>
      </c>
      <c r="BK23" t="n">
        <v>56848.165</v>
      </c>
      <c r="BL23" t="n">
        <v>56644.055</v>
      </c>
      <c r="BM23" t="n">
        <v>52835.805</v>
      </c>
      <c r="BN23" t="n">
        <v>56953.815</v>
      </c>
      <c r="BO23" t="n">
        <v>58191.616</v>
      </c>
      <c r="BP23" t="n">
        <v>56623.383</v>
      </c>
      <c r="BQ23" t="n">
        <v>57219.256</v>
      </c>
      <c r="BR23" t="n">
        <v>55271.289</v>
      </c>
      <c r="BS23" t="n">
        <v>55760.057</v>
      </c>
      <c r="BT23" t="n">
        <v>59948.427</v>
      </c>
      <c r="BU23" t="n">
        <v>64654.326</v>
      </c>
      <c r="BV23" t="n">
        <v>57983.304</v>
      </c>
    </row>
    <row r="24">
      <c r="A24" t="inlineStr">
        <is>
          <t>Anguilliformes</t>
        </is>
      </c>
      <c r="B24" t="inlineStr">
        <is>
          <t>Eels, morays</t>
        </is>
      </c>
      <c r="C24" t="inlineStr">
        <is>
          <t>Large demersals (&gt;=90 cm)</t>
        </is>
      </c>
      <c r="D24" t="inlineStr">
        <is>
          <t>Other fishes &amp; inverts</t>
        </is>
      </c>
      <c r="E24" t="n">
        <v>764.814</v>
      </c>
      <c r="F24" t="n">
        <v>782.503</v>
      </c>
      <c r="G24" t="n">
        <v>794.525</v>
      </c>
      <c r="H24" t="n">
        <v>868.433</v>
      </c>
      <c r="I24" t="n">
        <v>878.636</v>
      </c>
      <c r="J24" t="n">
        <v>732.826</v>
      </c>
      <c r="K24" t="n">
        <v>723.076</v>
      </c>
      <c r="L24" t="n">
        <v>1480.147</v>
      </c>
      <c r="M24" t="n">
        <v>1855.893</v>
      </c>
      <c r="N24" t="n">
        <v>2952.866</v>
      </c>
      <c r="O24" t="n">
        <v>3226.771</v>
      </c>
      <c r="P24" t="n">
        <v>6784.958</v>
      </c>
      <c r="Q24" t="n">
        <v>7039.652</v>
      </c>
      <c r="R24" t="n">
        <v>8006.38</v>
      </c>
      <c r="S24" t="n">
        <v>4548.406</v>
      </c>
      <c r="T24" t="n">
        <v>6009.467</v>
      </c>
      <c r="U24" t="n">
        <v>5767.143</v>
      </c>
      <c r="V24" t="n">
        <v>6533.019</v>
      </c>
      <c r="W24" t="n">
        <v>8118.557</v>
      </c>
      <c r="X24" t="n">
        <v>8848.75</v>
      </c>
      <c r="Y24" t="n">
        <v>10429.316</v>
      </c>
      <c r="Z24" t="n">
        <v>9999.311</v>
      </c>
      <c r="AA24" t="n">
        <v>9900.974</v>
      </c>
      <c r="AB24" t="n">
        <v>11901.327</v>
      </c>
      <c r="AC24" t="n">
        <v>13465.923</v>
      </c>
      <c r="AD24" t="n">
        <v>18534.429</v>
      </c>
      <c r="AE24" t="n">
        <v>16644.437</v>
      </c>
      <c r="AF24" t="n">
        <v>16267.56</v>
      </c>
      <c r="AG24" t="n">
        <v>18438.635</v>
      </c>
      <c r="AH24" t="n">
        <v>18392.085</v>
      </c>
      <c r="AI24" t="n">
        <v>18403.388</v>
      </c>
      <c r="AJ24" t="n">
        <v>19587.524</v>
      </c>
      <c r="AK24" t="n">
        <v>20532.06</v>
      </c>
      <c r="AL24" t="n">
        <v>21479.013</v>
      </c>
      <c r="AM24" t="n">
        <v>23212.741</v>
      </c>
      <c r="AN24" t="n">
        <v>24855.168</v>
      </c>
      <c r="AO24" t="n">
        <v>26085.2</v>
      </c>
      <c r="AP24" t="n">
        <v>26740.64</v>
      </c>
      <c r="AQ24" t="n">
        <v>28646.494</v>
      </c>
      <c r="AR24" t="n">
        <v>30156.532</v>
      </c>
      <c r="AS24" t="n">
        <v>31779.422</v>
      </c>
      <c r="AT24" t="n">
        <v>33757.586</v>
      </c>
      <c r="AU24" t="n">
        <v>35271.592</v>
      </c>
      <c r="AV24" t="n">
        <v>36833.367</v>
      </c>
      <c r="AW24" t="n">
        <v>37899.067</v>
      </c>
      <c r="AX24" t="n">
        <v>38827.014</v>
      </c>
      <c r="AY24" t="n">
        <v>40990.465</v>
      </c>
      <c r="AZ24" t="n">
        <v>42876.475</v>
      </c>
      <c r="BA24" t="n">
        <v>47561.123</v>
      </c>
      <c r="BB24" t="n">
        <v>52543.709</v>
      </c>
      <c r="BC24" t="n">
        <v>50312.972</v>
      </c>
      <c r="BD24" t="n">
        <v>54231.845</v>
      </c>
      <c r="BE24" t="n">
        <v>57049.808</v>
      </c>
      <c r="BF24" t="n">
        <v>58485.192</v>
      </c>
      <c r="BG24" t="n">
        <v>58604.621</v>
      </c>
      <c r="BH24" t="n">
        <v>59546.477</v>
      </c>
      <c r="BI24" t="n">
        <v>60999.44</v>
      </c>
      <c r="BJ24" t="n">
        <v>62767.3</v>
      </c>
      <c r="BK24" t="n">
        <v>60193.804</v>
      </c>
      <c r="BL24" t="n">
        <v>62003.49</v>
      </c>
      <c r="BM24" t="n">
        <v>61959.642</v>
      </c>
      <c r="BN24" t="n">
        <v>62197.297</v>
      </c>
      <c r="BO24" t="n">
        <v>63792.876</v>
      </c>
      <c r="BP24" t="n">
        <v>61080.249</v>
      </c>
      <c r="BQ24" t="n">
        <v>61211.158</v>
      </c>
      <c r="BR24" t="n">
        <v>61640.071</v>
      </c>
      <c r="BS24" t="n">
        <v>62064.591</v>
      </c>
      <c r="BT24" t="n">
        <v>64718.898</v>
      </c>
      <c r="BU24" t="n">
        <v>63092.051</v>
      </c>
      <c r="BV24" t="n">
        <v>62737.999</v>
      </c>
    </row>
    <row r="25">
      <c r="A25" t="inlineStr">
        <is>
          <t>Decapoda</t>
        </is>
      </c>
      <c r="B25" t="inlineStr">
        <is>
          <t>Crabs, lobsters, shrimps</t>
        </is>
      </c>
      <c r="C25" t="inlineStr">
        <is>
          <t>Lobsters, crabs</t>
        </is>
      </c>
      <c r="D25" t="inlineStr">
        <is>
          <t>Crustaceans</t>
        </is>
      </c>
      <c r="E25" t="n">
        <v>5440.235</v>
      </c>
      <c r="F25" t="n">
        <v>5183.866</v>
      </c>
      <c r="G25" t="n">
        <v>5358.854</v>
      </c>
      <c r="H25" t="n">
        <v>5588.48</v>
      </c>
      <c r="I25" t="n">
        <v>4741.999</v>
      </c>
      <c r="J25" t="n">
        <v>5705.354</v>
      </c>
      <c r="K25" t="n">
        <v>3665.884</v>
      </c>
      <c r="L25" t="n">
        <v>4950.119</v>
      </c>
      <c r="M25" t="n">
        <v>6382.981</v>
      </c>
      <c r="N25" t="n">
        <v>5501.337</v>
      </c>
      <c r="O25" t="n">
        <v>7993.995</v>
      </c>
      <c r="P25" t="n">
        <v>10393.879</v>
      </c>
      <c r="Q25" t="n">
        <v>8691.696</v>
      </c>
      <c r="R25" t="n">
        <v>5345.495</v>
      </c>
      <c r="S25" t="n">
        <v>7719.1</v>
      </c>
      <c r="T25" t="n">
        <v>4773.353</v>
      </c>
      <c r="U25" t="n">
        <v>5770.671</v>
      </c>
      <c r="V25" t="n">
        <v>8275.700999999999</v>
      </c>
      <c r="W25" t="n">
        <v>6248.95</v>
      </c>
      <c r="X25" t="n">
        <v>9090.919</v>
      </c>
      <c r="Y25" t="n">
        <v>9131.584000000001</v>
      </c>
      <c r="Z25" t="n">
        <v>8910.441000000001</v>
      </c>
      <c r="AA25" t="n">
        <v>12872.334</v>
      </c>
      <c r="AB25" t="n">
        <v>12525.73</v>
      </c>
      <c r="AC25" t="n">
        <v>16684.636</v>
      </c>
      <c r="AD25" t="n">
        <v>23408.205</v>
      </c>
      <c r="AE25" t="n">
        <v>29084.278</v>
      </c>
      <c r="AF25" t="n">
        <v>25184.29</v>
      </c>
      <c r="AG25" t="n">
        <v>20389.559</v>
      </c>
      <c r="AH25" t="n">
        <v>19010.779</v>
      </c>
      <c r="AI25" t="n">
        <v>18510.08</v>
      </c>
      <c r="AJ25" t="n">
        <v>19942.262</v>
      </c>
      <c r="AK25" t="n">
        <v>25994.015</v>
      </c>
      <c r="AL25" t="n">
        <v>28229.212</v>
      </c>
      <c r="AM25" t="n">
        <v>30232.612</v>
      </c>
      <c r="AN25" t="n">
        <v>19929.551</v>
      </c>
      <c r="AO25" t="n">
        <v>20060.345</v>
      </c>
      <c r="AP25" t="n">
        <v>20425.735</v>
      </c>
      <c r="AQ25" t="n">
        <v>21972.312</v>
      </c>
      <c r="AR25" t="n">
        <v>19996.099</v>
      </c>
      <c r="AS25" t="n">
        <v>27169.13</v>
      </c>
      <c r="AT25" t="n">
        <v>26415.099</v>
      </c>
      <c r="AU25" t="n">
        <v>26050.793</v>
      </c>
      <c r="AV25" t="n">
        <v>28991.515</v>
      </c>
      <c r="AW25" t="n">
        <v>30266.25</v>
      </c>
      <c r="AX25" t="n">
        <v>31294.434</v>
      </c>
      <c r="AY25" t="n">
        <v>30600.453</v>
      </c>
      <c r="AZ25" t="n">
        <v>33593.201</v>
      </c>
      <c r="BA25" t="n">
        <v>40627.963</v>
      </c>
      <c r="BB25" t="n">
        <v>38512.259</v>
      </c>
      <c r="BC25" t="n">
        <v>43652.265</v>
      </c>
      <c r="BD25" t="n">
        <v>45416.719</v>
      </c>
      <c r="BE25" t="n">
        <v>55056.46</v>
      </c>
      <c r="BF25" t="n">
        <v>61107.118</v>
      </c>
      <c r="BG25" t="n">
        <v>54671.444</v>
      </c>
      <c r="BH25" t="n">
        <v>52036.011</v>
      </c>
      <c r="BI25" t="n">
        <v>66067.039</v>
      </c>
      <c r="BJ25" t="n">
        <v>57560.927</v>
      </c>
      <c r="BK25" t="n">
        <v>70139.864</v>
      </c>
      <c r="BL25" t="n">
        <v>73997.439</v>
      </c>
      <c r="BM25" t="n">
        <v>68466.818</v>
      </c>
      <c r="BN25" t="n">
        <v>77352.63</v>
      </c>
      <c r="BO25" t="n">
        <v>66443.99099999999</v>
      </c>
      <c r="BP25" t="n">
        <v>53380.322</v>
      </c>
      <c r="BQ25" t="n">
        <v>53718.837</v>
      </c>
      <c r="BR25" t="n">
        <v>55253.04</v>
      </c>
      <c r="BS25" t="n">
        <v>60355.763</v>
      </c>
      <c r="BT25" t="n">
        <v>51089.035</v>
      </c>
      <c r="BU25" t="n">
        <v>57291.328</v>
      </c>
      <c r="BV25" t="n">
        <v>63068.483</v>
      </c>
    </row>
    <row r="26">
      <c r="A26" t="inlineStr">
        <is>
          <t>Megalaspis cordyla</t>
        </is>
      </c>
      <c r="B26" t="inlineStr">
        <is>
          <t>Torpedo scad</t>
        </is>
      </c>
      <c r="C26" t="inlineStr">
        <is>
          <t>Medium pelagics (30 - 89 cm)</t>
        </is>
      </c>
      <c r="D26" t="inlineStr">
        <is>
          <t>Perch-likes</t>
        </is>
      </c>
      <c r="E26" t="n">
        <v>3647.115</v>
      </c>
      <c r="F26" t="n">
        <v>3619.696</v>
      </c>
      <c r="G26" t="n">
        <v>3575.308</v>
      </c>
      <c r="H26" t="n">
        <v>3477.312</v>
      </c>
      <c r="I26" t="n">
        <v>3480.419</v>
      </c>
      <c r="J26" t="n">
        <v>3745.178</v>
      </c>
      <c r="K26" t="n">
        <v>3532.508</v>
      </c>
      <c r="L26" t="n">
        <v>3619.122</v>
      </c>
      <c r="M26" t="n">
        <v>4030.887</v>
      </c>
      <c r="N26" t="n">
        <v>4207.878</v>
      </c>
      <c r="O26" t="n">
        <v>4704.315</v>
      </c>
      <c r="P26" t="n">
        <v>5040.839</v>
      </c>
      <c r="Q26" t="n">
        <v>5832.457</v>
      </c>
      <c r="R26" t="n">
        <v>6497.883</v>
      </c>
      <c r="S26" t="n">
        <v>6915.887</v>
      </c>
      <c r="T26" t="n">
        <v>7376.187</v>
      </c>
      <c r="U26" t="n">
        <v>7779.984</v>
      </c>
      <c r="V26" t="n">
        <v>9289.339</v>
      </c>
      <c r="W26" t="n">
        <v>10148.261</v>
      </c>
      <c r="X26" t="n">
        <v>9590.666999999999</v>
      </c>
      <c r="Y26" t="n">
        <v>9267.459999999999</v>
      </c>
      <c r="Z26" t="n">
        <v>9259.293</v>
      </c>
      <c r="AA26" t="n">
        <v>8540.726000000001</v>
      </c>
      <c r="AB26" t="n">
        <v>9286.459000000001</v>
      </c>
      <c r="AC26" t="n">
        <v>9177.596</v>
      </c>
      <c r="AD26" t="n">
        <v>9302.468000000001</v>
      </c>
      <c r="AE26" t="n">
        <v>35890.29</v>
      </c>
      <c r="AF26" t="n">
        <v>30359.909</v>
      </c>
      <c r="AG26" t="n">
        <v>36771.865</v>
      </c>
      <c r="AH26" t="n">
        <v>40949.624</v>
      </c>
      <c r="AI26" t="n">
        <v>37357.308</v>
      </c>
      <c r="AJ26" t="n">
        <v>36520.519</v>
      </c>
      <c r="AK26" t="n">
        <v>38710.567</v>
      </c>
      <c r="AL26" t="n">
        <v>38700.352</v>
      </c>
      <c r="AM26" t="n">
        <v>40723.979</v>
      </c>
      <c r="AN26" t="n">
        <v>22373.352</v>
      </c>
      <c r="AO26" t="n">
        <v>19719.904</v>
      </c>
      <c r="AP26" t="n">
        <v>23502.037</v>
      </c>
      <c r="AQ26" t="n">
        <v>22087.289</v>
      </c>
      <c r="AR26" t="n">
        <v>27097.894</v>
      </c>
      <c r="AS26" t="n">
        <v>27860.274</v>
      </c>
      <c r="AT26" t="n">
        <v>30307.201</v>
      </c>
      <c r="AU26" t="n">
        <v>25933.351</v>
      </c>
      <c r="AV26" t="n">
        <v>24555.058</v>
      </c>
      <c r="AW26" t="n">
        <v>34502.792</v>
      </c>
      <c r="AX26" t="n">
        <v>46550.333</v>
      </c>
      <c r="AY26" t="n">
        <v>53166.688</v>
      </c>
      <c r="AZ26" t="n">
        <v>53988.885</v>
      </c>
      <c r="BA26" t="n">
        <v>55863.197</v>
      </c>
      <c r="BB26" t="n">
        <v>52915.668</v>
      </c>
      <c r="BC26" t="n">
        <v>30882.266</v>
      </c>
      <c r="BD26" t="n">
        <v>31036.698</v>
      </c>
      <c r="BE26" t="n">
        <v>31812.441</v>
      </c>
      <c r="BF26" t="n">
        <v>25172.789</v>
      </c>
      <c r="BG26" t="n">
        <v>26052.99</v>
      </c>
      <c r="BH26" t="n">
        <v>47046.92</v>
      </c>
      <c r="BI26" t="n">
        <v>44811.435</v>
      </c>
      <c r="BJ26" t="n">
        <v>43324.229</v>
      </c>
      <c r="BK26" t="n">
        <v>43151.022</v>
      </c>
      <c r="BL26" t="n">
        <v>58889.048</v>
      </c>
      <c r="BM26" t="n">
        <v>54286.588</v>
      </c>
      <c r="BN26" t="n">
        <v>57804.515</v>
      </c>
      <c r="BO26" t="n">
        <v>54461.892</v>
      </c>
      <c r="BP26" t="n">
        <v>51801.291</v>
      </c>
      <c r="BQ26" t="n">
        <v>54728.947</v>
      </c>
      <c r="BR26" t="n">
        <v>53799.539</v>
      </c>
      <c r="BS26" t="n">
        <v>62547.948</v>
      </c>
      <c r="BT26" t="n">
        <v>64256.286</v>
      </c>
      <c r="BU26" t="n">
        <v>54945.458</v>
      </c>
      <c r="BV26" t="n">
        <v>58922.895</v>
      </c>
    </row>
    <row r="27">
      <c r="A27" t="inlineStr">
        <is>
          <t>Pampus argenteus</t>
        </is>
      </c>
      <c r="B27" t="inlineStr">
        <is>
          <t>Silver pomfret</t>
        </is>
      </c>
      <c r="C27" t="inlineStr">
        <is>
          <t>Medium benthopelagics (30 - 89 cm)</t>
        </is>
      </c>
      <c r="D27" t="inlineStr">
        <is>
          <t>Perch-likes</t>
        </is>
      </c>
      <c r="E27" t="n">
        <v>5374.262</v>
      </c>
      <c r="F27" t="n">
        <v>5584.099</v>
      </c>
      <c r="G27" t="n">
        <v>6006.183</v>
      </c>
      <c r="H27" t="n">
        <v>6260.97</v>
      </c>
      <c r="I27" t="n">
        <v>6152.093</v>
      </c>
      <c r="J27" t="n">
        <v>6562.492</v>
      </c>
      <c r="K27" t="n">
        <v>6874.007</v>
      </c>
      <c r="L27" t="n">
        <v>7505.837</v>
      </c>
      <c r="M27" t="n">
        <v>7596.404</v>
      </c>
      <c r="N27" t="n">
        <v>7446.852</v>
      </c>
      <c r="O27" t="n">
        <v>7953.56</v>
      </c>
      <c r="P27" t="n">
        <v>8188.568</v>
      </c>
      <c r="Q27" t="n">
        <v>9222.641</v>
      </c>
      <c r="R27" t="n">
        <v>8873.68</v>
      </c>
      <c r="S27" t="n">
        <v>9159.52</v>
      </c>
      <c r="T27" t="n">
        <v>9471.492</v>
      </c>
      <c r="U27" t="n">
        <v>9310.620000000001</v>
      </c>
      <c r="V27" t="n">
        <v>9970.179</v>
      </c>
      <c r="W27" t="n">
        <v>10710.266</v>
      </c>
      <c r="X27" t="n">
        <v>10435.5</v>
      </c>
      <c r="Y27" t="n">
        <v>11749.58</v>
      </c>
      <c r="Z27" t="n">
        <v>12775.919</v>
      </c>
      <c r="AA27" t="n">
        <v>13275.416</v>
      </c>
      <c r="AB27" t="n">
        <v>23082.3</v>
      </c>
      <c r="AC27" t="n">
        <v>15923.769</v>
      </c>
      <c r="AD27" t="n">
        <v>16931.525</v>
      </c>
      <c r="AE27" t="n">
        <v>16844.587</v>
      </c>
      <c r="AF27" t="n">
        <v>11822.648</v>
      </c>
      <c r="AG27" t="n">
        <v>14221.864</v>
      </c>
      <c r="AH27" t="n">
        <v>17714.467</v>
      </c>
      <c r="AI27" t="n">
        <v>16141.491</v>
      </c>
      <c r="AJ27" t="n">
        <v>14843.921</v>
      </c>
      <c r="AK27" t="n">
        <v>15372.544</v>
      </c>
      <c r="AL27" t="n">
        <v>17769.44</v>
      </c>
      <c r="AM27" t="n">
        <v>14656.876</v>
      </c>
      <c r="AN27" t="n">
        <v>14665.347</v>
      </c>
      <c r="AO27" t="n">
        <v>15306.185</v>
      </c>
      <c r="AP27" t="n">
        <v>15343.875</v>
      </c>
      <c r="AQ27" t="n">
        <v>16253.827</v>
      </c>
      <c r="AR27" t="n">
        <v>19303.508</v>
      </c>
      <c r="AS27" t="n">
        <v>19558.565</v>
      </c>
      <c r="AT27" t="n">
        <v>18977.308</v>
      </c>
      <c r="AU27" t="n">
        <v>18020.34</v>
      </c>
      <c r="AV27" t="n">
        <v>20350.359</v>
      </c>
      <c r="AW27" t="n">
        <v>25744.365</v>
      </c>
      <c r="AX27" t="n">
        <v>24624.75</v>
      </c>
      <c r="AY27" t="n">
        <v>24290.241</v>
      </c>
      <c r="AZ27" t="n">
        <v>25198.134</v>
      </c>
      <c r="BA27" t="n">
        <v>28102.166</v>
      </c>
      <c r="BB27" t="n">
        <v>28333.343</v>
      </c>
      <c r="BC27" t="n">
        <v>30296.605</v>
      </c>
      <c r="BD27" t="n">
        <v>33372.147</v>
      </c>
      <c r="BE27" t="n">
        <v>37079.358</v>
      </c>
      <c r="BF27" t="n">
        <v>38315.075</v>
      </c>
      <c r="BG27" t="n">
        <v>40620.209</v>
      </c>
      <c r="BH27" t="n">
        <v>42580.77</v>
      </c>
      <c r="BI27" t="n">
        <v>45055.209</v>
      </c>
      <c r="BJ27" t="n">
        <v>48067.752</v>
      </c>
      <c r="BK27" t="n">
        <v>68040.72500000001</v>
      </c>
      <c r="BL27" t="n">
        <v>86620.175</v>
      </c>
      <c r="BM27" t="n">
        <v>90436.33100000001</v>
      </c>
      <c r="BN27" t="n">
        <v>70135.258</v>
      </c>
      <c r="BO27" t="n">
        <v>68590.871</v>
      </c>
      <c r="BP27" t="n">
        <v>67966.042</v>
      </c>
      <c r="BQ27" t="n">
        <v>72837.25599999999</v>
      </c>
      <c r="BR27" t="n">
        <v>75512.409</v>
      </c>
      <c r="BS27" t="n">
        <v>79590.102</v>
      </c>
      <c r="BT27" t="n">
        <v>79462.36599999999</v>
      </c>
      <c r="BU27" t="n">
        <v>76942.69899999999</v>
      </c>
      <c r="BV27" t="n">
        <v>77565.083</v>
      </c>
    </row>
    <row r="28">
      <c r="A28" t="inlineStr">
        <is>
          <t>Bivalvia</t>
        </is>
      </c>
      <c r="B28" t="inlineStr">
        <is>
          <t>Clams</t>
        </is>
      </c>
      <c r="C28" t="inlineStr">
        <is>
          <t>Other demersal invertebrates</t>
        </is>
      </c>
      <c r="D28" t="inlineStr">
        <is>
          <t>Molluscs</t>
        </is>
      </c>
      <c r="E28" t="n">
        <v>19540.969</v>
      </c>
      <c r="F28" t="n">
        <v>19408.164</v>
      </c>
      <c r="G28" t="n">
        <v>19545.755</v>
      </c>
      <c r="H28" t="n">
        <v>19679.324</v>
      </c>
      <c r="I28" t="n">
        <v>19818.158</v>
      </c>
      <c r="J28" t="n">
        <v>19978.715</v>
      </c>
      <c r="K28" t="n">
        <v>20092.745</v>
      </c>
      <c r="L28" t="n">
        <v>20231.565</v>
      </c>
      <c r="M28" t="n">
        <v>20394.685</v>
      </c>
      <c r="N28" t="n">
        <v>20534.731</v>
      </c>
      <c r="O28" t="n">
        <v>21170.037</v>
      </c>
      <c r="P28" t="n">
        <v>22271.513</v>
      </c>
      <c r="Q28" t="n">
        <v>22011.372</v>
      </c>
      <c r="R28" t="n">
        <v>22319.086</v>
      </c>
      <c r="S28" t="n">
        <v>22608.239</v>
      </c>
      <c r="T28" t="n">
        <v>22900.387</v>
      </c>
      <c r="U28" t="n">
        <v>23131.597</v>
      </c>
      <c r="V28" t="n">
        <v>23461.772</v>
      </c>
      <c r="W28" t="n">
        <v>23733.548</v>
      </c>
      <c r="X28" t="n">
        <v>23931.87</v>
      </c>
      <c r="Y28" t="n">
        <v>23689.437</v>
      </c>
      <c r="Z28" t="n">
        <v>24365.632</v>
      </c>
      <c r="AA28" t="n">
        <v>24533.486</v>
      </c>
      <c r="AB28" t="n">
        <v>24815.349</v>
      </c>
      <c r="AC28" t="n">
        <v>25408.407</v>
      </c>
      <c r="AD28" t="n">
        <v>25112.732</v>
      </c>
      <c r="AE28" t="n">
        <v>25439.036</v>
      </c>
      <c r="AF28" t="n">
        <v>25540.719</v>
      </c>
      <c r="AG28" t="n">
        <v>25812.966</v>
      </c>
      <c r="AH28" t="n">
        <v>25897.55</v>
      </c>
      <c r="AI28" t="n">
        <v>25978.561</v>
      </c>
      <c r="AJ28" t="n">
        <v>26036.361</v>
      </c>
      <c r="AK28" t="n">
        <v>26259.616</v>
      </c>
      <c r="AL28" t="n">
        <v>26272.9</v>
      </c>
      <c r="AM28" t="n">
        <v>26280.914</v>
      </c>
      <c r="AN28" t="n">
        <v>28132.669</v>
      </c>
      <c r="AO28" t="n">
        <v>27975.669</v>
      </c>
      <c r="AP28" t="n">
        <v>32450.188</v>
      </c>
      <c r="AQ28" t="n">
        <v>29720.654</v>
      </c>
      <c r="AR28" t="n">
        <v>27242.008</v>
      </c>
      <c r="AS28" t="n">
        <v>30518.442</v>
      </c>
      <c r="AT28" t="n">
        <v>30035.013</v>
      </c>
      <c r="AU28" t="n">
        <v>28719.905</v>
      </c>
      <c r="AV28" t="n">
        <v>28906.33</v>
      </c>
      <c r="AW28" t="n">
        <v>28811.609</v>
      </c>
      <c r="AX28" t="n">
        <v>29070.074</v>
      </c>
      <c r="AY28" t="n">
        <v>29330.255</v>
      </c>
      <c r="AZ28" t="n">
        <v>30323.528</v>
      </c>
      <c r="BA28" t="n">
        <v>29435.613</v>
      </c>
      <c r="BB28" t="n">
        <v>28962.427</v>
      </c>
      <c r="BC28" t="n">
        <v>28892.202</v>
      </c>
      <c r="BD28" t="n">
        <v>28490.841</v>
      </c>
      <c r="BE28" t="n">
        <v>31132.619</v>
      </c>
      <c r="BF28" t="n">
        <v>28192.478</v>
      </c>
      <c r="BG28" t="n">
        <v>27644.747</v>
      </c>
      <c r="BH28" t="n">
        <v>27235.551</v>
      </c>
      <c r="BI28" t="n">
        <v>30898.415</v>
      </c>
      <c r="BJ28" t="n">
        <v>31773.203</v>
      </c>
      <c r="BK28" t="n">
        <v>34216.533</v>
      </c>
      <c r="BL28" t="n">
        <v>28977.938</v>
      </c>
      <c r="BM28" t="n">
        <v>25994.546</v>
      </c>
      <c r="BN28" t="n">
        <v>29010.071</v>
      </c>
      <c r="BO28" t="n">
        <v>30908.864</v>
      </c>
      <c r="BP28" t="n">
        <v>30699.763</v>
      </c>
      <c r="BQ28" t="n">
        <v>29784.848</v>
      </c>
      <c r="BR28" t="n">
        <v>31472.461</v>
      </c>
      <c r="BS28" t="n">
        <v>27175.979</v>
      </c>
      <c r="BT28" t="n">
        <v>26128.964</v>
      </c>
      <c r="BU28" t="n">
        <v>28940.268</v>
      </c>
      <c r="BV28" t="n">
        <v>29024.287</v>
      </c>
    </row>
    <row r="29">
      <c r="A29" t="inlineStr">
        <is>
          <t>Cephalopoda</t>
        </is>
      </c>
      <c r="B29" t="inlineStr">
        <is>
          <t>Squids, cuttlefishes, octopuses</t>
        </is>
      </c>
      <c r="C29" t="inlineStr">
        <is>
          <t>Cephalopods</t>
        </is>
      </c>
      <c r="D29" t="inlineStr">
        <is>
          <t>Other fishes &amp; inverts</t>
        </is>
      </c>
      <c r="E29" t="n">
        <v>216.039</v>
      </c>
      <c r="F29" t="n">
        <v>227.035</v>
      </c>
      <c r="G29" t="n">
        <v>243.777</v>
      </c>
      <c r="H29" t="n">
        <v>249.49</v>
      </c>
      <c r="I29" t="n">
        <v>257.044</v>
      </c>
      <c r="J29" t="n">
        <v>269.112</v>
      </c>
      <c r="K29" t="n">
        <v>229.42</v>
      </c>
      <c r="L29" t="n">
        <v>256.642</v>
      </c>
      <c r="M29" t="n">
        <v>258.68</v>
      </c>
      <c r="N29" t="n">
        <v>274.647</v>
      </c>
      <c r="O29" t="n">
        <v>304.398</v>
      </c>
      <c r="P29" t="n">
        <v>301.646</v>
      </c>
      <c r="Q29" t="n">
        <v>362.853</v>
      </c>
      <c r="R29" t="n">
        <v>448.633</v>
      </c>
      <c r="S29" t="n">
        <v>6190.033</v>
      </c>
      <c r="T29" t="n">
        <v>6919.652</v>
      </c>
      <c r="U29" t="n">
        <v>7594.889</v>
      </c>
      <c r="V29" t="n">
        <v>6626.273</v>
      </c>
      <c r="W29" t="n">
        <v>6786.738</v>
      </c>
      <c r="X29" t="n">
        <v>5963.203</v>
      </c>
      <c r="Y29" t="n">
        <v>8378.558999999999</v>
      </c>
      <c r="Z29" t="n">
        <v>18631.724</v>
      </c>
      <c r="AA29" t="n">
        <v>22661.224</v>
      </c>
      <c r="AB29" t="n">
        <v>28714.491</v>
      </c>
      <c r="AC29" t="n">
        <v>34835.569</v>
      </c>
      <c r="AD29" t="n">
        <v>40271.223</v>
      </c>
      <c r="AE29" t="n">
        <v>5422.653</v>
      </c>
      <c r="AF29" t="n">
        <v>10666.673</v>
      </c>
      <c r="AG29" t="n">
        <v>10119.376</v>
      </c>
      <c r="AH29" t="n">
        <v>11680.354</v>
      </c>
      <c r="AI29" t="n">
        <v>11385.713</v>
      </c>
      <c r="AJ29" t="n">
        <v>11275.755</v>
      </c>
      <c r="AK29" t="n">
        <v>12123.16</v>
      </c>
      <c r="AL29" t="n">
        <v>13585.076</v>
      </c>
      <c r="AM29" t="n">
        <v>17710.252</v>
      </c>
      <c r="AN29" t="n">
        <v>19032.96</v>
      </c>
      <c r="AO29" t="n">
        <v>17936.382</v>
      </c>
      <c r="AP29" t="n">
        <v>17396.033</v>
      </c>
      <c r="AQ29" t="n">
        <v>18800.474</v>
      </c>
      <c r="AR29" t="n">
        <v>25182.336</v>
      </c>
      <c r="AS29" t="n">
        <v>26796.663</v>
      </c>
      <c r="AT29" t="n">
        <v>32880.398</v>
      </c>
      <c r="AU29" t="n">
        <v>44442.678</v>
      </c>
      <c r="AV29" t="n">
        <v>32467.074</v>
      </c>
      <c r="AW29" t="n">
        <v>45071.451</v>
      </c>
      <c r="AX29" t="n">
        <v>43085.695</v>
      </c>
      <c r="AY29" t="n">
        <v>50105.022</v>
      </c>
      <c r="AZ29" t="n">
        <v>44395.129</v>
      </c>
      <c r="BA29" t="n">
        <v>37757.098</v>
      </c>
      <c r="BB29" t="n">
        <v>47967.711</v>
      </c>
      <c r="BC29" t="n">
        <v>55879.512</v>
      </c>
      <c r="BD29" t="n">
        <v>54407.77</v>
      </c>
      <c r="BE29" t="n">
        <v>65255.173</v>
      </c>
      <c r="BF29" t="n">
        <v>58047.518</v>
      </c>
      <c r="BG29" t="n">
        <v>66646.701</v>
      </c>
      <c r="BH29" t="n">
        <v>48524.346</v>
      </c>
      <c r="BI29" t="n">
        <v>36449.511</v>
      </c>
      <c r="BJ29" t="n">
        <v>47586.862</v>
      </c>
      <c r="BK29" t="n">
        <v>40572.219</v>
      </c>
      <c r="BL29" t="n">
        <v>39529.622</v>
      </c>
      <c r="BM29" t="n">
        <v>41158.996</v>
      </c>
      <c r="BN29" t="n">
        <v>43448.351</v>
      </c>
      <c r="BO29" t="n">
        <v>42108.161</v>
      </c>
      <c r="BP29" t="n">
        <v>40830.233</v>
      </c>
      <c r="BQ29" t="n">
        <v>44550.566</v>
      </c>
      <c r="BR29" t="n">
        <v>43809.646</v>
      </c>
      <c r="BS29" t="n">
        <v>47050.954</v>
      </c>
      <c r="BT29" t="n">
        <v>53534.865</v>
      </c>
      <c r="BU29" t="n">
        <v>53238.051</v>
      </c>
      <c r="BV29" t="n">
        <v>50138.968</v>
      </c>
    </row>
    <row r="30">
      <c r="A30" t="inlineStr">
        <is>
          <t>Cephea</t>
        </is>
      </c>
      <c r="B30" t="inlineStr">
        <is>
          <t>Cepheid jellyfishes</t>
        </is>
      </c>
      <c r="C30" t="inlineStr">
        <is>
          <t>Jellyfish</t>
        </is>
      </c>
      <c r="D30" t="inlineStr">
        <is>
          <t>Other fishes &amp; inverts</t>
        </is>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3415.532</v>
      </c>
      <c r="AH30" t="n">
        <v>4375.949</v>
      </c>
      <c r="AI30" t="n">
        <v>127.981</v>
      </c>
      <c r="AJ30" t="n">
        <v>20429.561</v>
      </c>
      <c r="AK30" t="n">
        <v>86567.84</v>
      </c>
      <c r="AL30" t="n">
        <v>39051.187</v>
      </c>
      <c r="AM30" t="n">
        <v>6082.321</v>
      </c>
      <c r="AN30" t="n">
        <v>26975.386</v>
      </c>
      <c r="AO30" t="n">
        <v>70744.458</v>
      </c>
      <c r="AP30" t="n">
        <v>31868.801</v>
      </c>
      <c r="AQ30" t="n">
        <v>0</v>
      </c>
      <c r="AR30" t="n">
        <v>0</v>
      </c>
      <c r="AS30" t="n">
        <v>0</v>
      </c>
      <c r="AT30" t="n">
        <v>60.59</v>
      </c>
      <c r="AU30" t="n">
        <v>1230.629</v>
      </c>
      <c r="AV30" t="n">
        <v>7046.804</v>
      </c>
      <c r="AW30" t="n">
        <v>9552.358</v>
      </c>
      <c r="AX30" t="n">
        <v>20931.941</v>
      </c>
      <c r="AY30" t="n">
        <v>15444.958</v>
      </c>
      <c r="AZ30" t="n">
        <v>24676.496</v>
      </c>
      <c r="BA30" t="n">
        <v>7372.504</v>
      </c>
      <c r="BB30" t="n">
        <v>62.913</v>
      </c>
      <c r="BC30" t="n">
        <v>1309.206</v>
      </c>
      <c r="BD30" t="n">
        <v>1005.65</v>
      </c>
      <c r="BE30" t="n">
        <v>0</v>
      </c>
      <c r="BF30" t="n">
        <v>0</v>
      </c>
      <c r="BG30" t="n">
        <v>0</v>
      </c>
      <c r="BH30" t="n">
        <v>38946.439</v>
      </c>
      <c r="BI30" t="n">
        <v>184911.017</v>
      </c>
      <c r="BJ30" t="n">
        <v>40.731</v>
      </c>
      <c r="BK30" t="n">
        <v>211603.527</v>
      </c>
      <c r="BL30" t="n">
        <v>151390.693</v>
      </c>
      <c r="BM30" t="n">
        <v>42715.363</v>
      </c>
      <c r="BN30" t="n">
        <v>132011.218</v>
      </c>
      <c r="BO30" t="n">
        <v>51607.159</v>
      </c>
      <c r="BP30" t="n">
        <v>162345.823</v>
      </c>
      <c r="BQ30" t="n">
        <v>74066.60799999999</v>
      </c>
      <c r="BR30" t="n">
        <v>92041.985</v>
      </c>
      <c r="BS30" t="n">
        <v>68054.943</v>
      </c>
      <c r="BT30" t="n">
        <v>72622.356</v>
      </c>
      <c r="BU30" t="n">
        <v>58788.88</v>
      </c>
      <c r="BV30" t="n">
        <v>16065.475</v>
      </c>
    </row>
    <row r="31">
      <c r="A31" t="inlineStr">
        <is>
          <t>Miscellaneous marine crustaceans</t>
        </is>
      </c>
      <c r="B31" t="inlineStr">
        <is>
          <t>Marine crabs, shrimps, lobsters nei</t>
        </is>
      </c>
      <c r="C31" t="inlineStr">
        <is>
          <t>Shrimps</t>
        </is>
      </c>
      <c r="D31" t="inlineStr">
        <is>
          <t>Crustaceans</t>
        </is>
      </c>
      <c r="E31" t="n">
        <v>4810.413</v>
      </c>
      <c r="F31" t="n">
        <v>4897.488</v>
      </c>
      <c r="G31" t="n">
        <v>4994.366</v>
      </c>
      <c r="H31" t="n">
        <v>5071.905</v>
      </c>
      <c r="I31" t="n">
        <v>5168.669</v>
      </c>
      <c r="J31" t="n">
        <v>5196.216</v>
      </c>
      <c r="K31" t="n">
        <v>5293.514</v>
      </c>
      <c r="L31" t="n">
        <v>5322.068</v>
      </c>
      <c r="M31" t="n">
        <v>5448.878</v>
      </c>
      <c r="N31" t="n">
        <v>5477.833</v>
      </c>
      <c r="O31" t="n">
        <v>5535.167</v>
      </c>
      <c r="P31" t="n">
        <v>5656.969</v>
      </c>
      <c r="Q31" t="n">
        <v>5856.165</v>
      </c>
      <c r="R31" t="n">
        <v>5895.551</v>
      </c>
      <c r="S31" t="n">
        <v>6278.95</v>
      </c>
      <c r="T31" t="n">
        <v>6211.531</v>
      </c>
      <c r="U31" t="n">
        <v>6433.099</v>
      </c>
      <c r="V31" t="n">
        <v>6510.084</v>
      </c>
      <c r="W31" t="n">
        <v>6556.674</v>
      </c>
      <c r="X31" t="n">
        <v>6856.458</v>
      </c>
      <c r="Y31" t="n">
        <v>6854.469</v>
      </c>
      <c r="Z31" t="n">
        <v>7179.815</v>
      </c>
      <c r="AA31" t="n">
        <v>10099.685</v>
      </c>
      <c r="AB31" t="n">
        <v>10732.005</v>
      </c>
      <c r="AC31" t="n">
        <v>11352.797</v>
      </c>
      <c r="AD31" t="n">
        <v>11623.836</v>
      </c>
      <c r="AE31" t="n">
        <v>11647.443</v>
      </c>
      <c r="AF31" t="n">
        <v>11290.824</v>
      </c>
      <c r="AG31" t="n">
        <v>11385.998</v>
      </c>
      <c r="AH31" t="n">
        <v>12097.464</v>
      </c>
      <c r="AI31" t="n">
        <v>11791.518</v>
      </c>
      <c r="AJ31" t="n">
        <v>11839.534</v>
      </c>
      <c r="AK31" t="n">
        <v>17653.149</v>
      </c>
      <c r="AL31" t="n">
        <v>21678.78</v>
      </c>
      <c r="AM31" t="n">
        <v>23352.93</v>
      </c>
      <c r="AN31" t="n">
        <v>24254.493</v>
      </c>
      <c r="AO31" t="n">
        <v>24750.871</v>
      </c>
      <c r="AP31" t="n">
        <v>28651.914</v>
      </c>
      <c r="AQ31" t="n">
        <v>27403.828</v>
      </c>
      <c r="AR31" t="n">
        <v>27968.626</v>
      </c>
      <c r="AS31" t="n">
        <v>26781.173</v>
      </c>
      <c r="AT31" t="n">
        <v>27351.386</v>
      </c>
      <c r="AU31" t="n">
        <v>28371.689</v>
      </c>
      <c r="AV31" t="n">
        <v>27498.802</v>
      </c>
      <c r="AW31" t="n">
        <v>33652.648</v>
      </c>
      <c r="AX31" t="n">
        <v>31579.558</v>
      </c>
      <c r="AY31" t="n">
        <v>31661.264</v>
      </c>
      <c r="AZ31" t="n">
        <v>34688.337</v>
      </c>
      <c r="BA31" t="n">
        <v>36456.016</v>
      </c>
      <c r="BB31" t="n">
        <v>38413.053</v>
      </c>
      <c r="BC31" t="n">
        <v>32929.918</v>
      </c>
      <c r="BD31" t="n">
        <v>35006.993</v>
      </c>
      <c r="BE31" t="n">
        <v>36089.709</v>
      </c>
      <c r="BF31" t="n">
        <v>58647.214</v>
      </c>
      <c r="BG31" t="n">
        <v>68471.288</v>
      </c>
      <c r="BH31" t="n">
        <v>43380.927</v>
      </c>
      <c r="BI31" t="n">
        <v>43297.541</v>
      </c>
      <c r="BJ31" t="n">
        <v>47556.604</v>
      </c>
      <c r="BK31" t="n">
        <v>48481.501</v>
      </c>
      <c r="BL31" t="n">
        <v>46657.542</v>
      </c>
      <c r="BM31" t="n">
        <v>46166.367</v>
      </c>
      <c r="BN31" t="n">
        <v>48543.873</v>
      </c>
      <c r="BO31" t="n">
        <v>50045.549</v>
      </c>
      <c r="BP31" t="n">
        <v>43836.495</v>
      </c>
      <c r="BQ31" t="n">
        <v>46487.818</v>
      </c>
      <c r="BR31" t="n">
        <v>45452.346</v>
      </c>
      <c r="BS31" t="n">
        <v>47426.549</v>
      </c>
      <c r="BT31" t="n">
        <v>49729.514</v>
      </c>
      <c r="BU31" t="n">
        <v>47575.737</v>
      </c>
      <c r="BV31" t="n">
        <v>46032.351</v>
      </c>
    </row>
    <row r="32">
      <c r="A32" t="inlineStr">
        <is>
          <t>Scomberomorus</t>
        </is>
      </c>
      <c r="B32" t="inlineStr">
        <is>
          <t>Spanish mackerels</t>
        </is>
      </c>
      <c r="C32" t="inlineStr">
        <is>
          <t>Large pelagics (&gt;=90 cm)</t>
        </is>
      </c>
      <c r="D32" t="inlineStr">
        <is>
          <t>Perch-likes</t>
        </is>
      </c>
      <c r="E32" t="n">
        <v>11770.986</v>
      </c>
      <c r="F32" t="n">
        <v>11072.556</v>
      </c>
      <c r="G32" t="n">
        <v>11414.321</v>
      </c>
      <c r="H32" t="n">
        <v>9728.626</v>
      </c>
      <c r="I32" t="n">
        <v>10393.269</v>
      </c>
      <c r="J32" t="n">
        <v>9675.317999999999</v>
      </c>
      <c r="K32" t="n">
        <v>10671.998</v>
      </c>
      <c r="L32" t="n">
        <v>12284.436</v>
      </c>
      <c r="M32" t="n">
        <v>10902.954</v>
      </c>
      <c r="N32" t="n">
        <v>9931.891</v>
      </c>
      <c r="O32" t="n">
        <v>10659.796</v>
      </c>
      <c r="P32" t="n">
        <v>15405.329</v>
      </c>
      <c r="Q32" t="n">
        <v>18198.461</v>
      </c>
      <c r="R32" t="n">
        <v>14551.76</v>
      </c>
      <c r="S32" t="n">
        <v>15799.353</v>
      </c>
      <c r="T32" t="n">
        <v>14824.906</v>
      </c>
      <c r="U32" t="n">
        <v>16093.636</v>
      </c>
      <c r="V32" t="n">
        <v>17343.882</v>
      </c>
      <c r="W32" t="n">
        <v>17946.081</v>
      </c>
      <c r="X32" t="n">
        <v>16989.402</v>
      </c>
      <c r="Y32" t="n">
        <v>18659.506</v>
      </c>
      <c r="Z32" t="n">
        <v>21985.523</v>
      </c>
      <c r="AA32" t="n">
        <v>26293.43</v>
      </c>
      <c r="AB32" t="n">
        <v>27660.773</v>
      </c>
      <c r="AC32" t="n">
        <v>23521.299</v>
      </c>
      <c r="AD32" t="n">
        <v>22566.627</v>
      </c>
      <c r="AE32" t="n">
        <v>33525.617</v>
      </c>
      <c r="AF32" t="n">
        <v>36166.862</v>
      </c>
      <c r="AG32" t="n">
        <v>35565.636</v>
      </c>
      <c r="AH32" t="n">
        <v>43963.812</v>
      </c>
      <c r="AI32" t="n">
        <v>38715.086</v>
      </c>
      <c r="AJ32" t="n">
        <v>27043.882</v>
      </c>
      <c r="AK32" t="n">
        <v>24619.59</v>
      </c>
      <c r="AL32" t="n">
        <v>23332.87</v>
      </c>
      <c r="AM32" t="n">
        <v>22564.26</v>
      </c>
      <c r="AN32" t="n">
        <v>19954.212</v>
      </c>
      <c r="AO32" t="n">
        <v>19560.495</v>
      </c>
      <c r="AP32" t="n">
        <v>19546.011</v>
      </c>
      <c r="AQ32" t="n">
        <v>18015.146</v>
      </c>
      <c r="AR32" t="n">
        <v>21619.741</v>
      </c>
      <c r="AS32" t="n">
        <v>21125.864</v>
      </c>
      <c r="AT32" t="n">
        <v>19921.094</v>
      </c>
      <c r="AU32" t="n">
        <v>24551.185</v>
      </c>
      <c r="AV32" t="n">
        <v>22545.619</v>
      </c>
      <c r="AW32" t="n">
        <v>24766.074</v>
      </c>
      <c r="AX32" t="n">
        <v>26286.505</v>
      </c>
      <c r="AY32" t="n">
        <v>22680.419</v>
      </c>
      <c r="AZ32" t="n">
        <v>23447.545</v>
      </c>
      <c r="BA32" t="n">
        <v>22915.197</v>
      </c>
      <c r="BB32" t="n">
        <v>25760.182</v>
      </c>
      <c r="BC32" t="n">
        <v>28624.034</v>
      </c>
      <c r="BD32" t="n">
        <v>31414.386</v>
      </c>
      <c r="BE32" t="n">
        <v>34975.68</v>
      </c>
      <c r="BF32" t="n">
        <v>37090.378</v>
      </c>
      <c r="BG32" t="n">
        <v>38903.142</v>
      </c>
      <c r="BH32" t="n">
        <v>35716.798</v>
      </c>
      <c r="BI32" t="n">
        <v>39300.69</v>
      </c>
      <c r="BJ32" t="n">
        <v>39530.746</v>
      </c>
      <c r="BK32" t="n">
        <v>35603.392</v>
      </c>
      <c r="BL32" t="n">
        <v>35634.94</v>
      </c>
      <c r="BM32" t="n">
        <v>27687.519</v>
      </c>
      <c r="BN32" t="n">
        <v>25037.637</v>
      </c>
      <c r="BO32" t="n">
        <v>24923.307</v>
      </c>
      <c r="BP32" t="n">
        <v>22594.894</v>
      </c>
      <c r="BQ32" t="n">
        <v>23328.065</v>
      </c>
      <c r="BR32" t="n">
        <v>23224.214</v>
      </c>
      <c r="BS32" t="n">
        <v>25026.075</v>
      </c>
      <c r="BT32" t="n">
        <v>25001.995</v>
      </c>
      <c r="BU32" t="n">
        <v>23115.951</v>
      </c>
      <c r="BV32" t="n">
        <v>22550.811</v>
      </c>
    </row>
    <row r="33">
      <c r="A33" t="inlineStr">
        <is>
          <t>Platycephalidae</t>
        </is>
      </c>
      <c r="B33" t="inlineStr">
        <is>
          <t>Flatheads</t>
        </is>
      </c>
      <c r="C33" t="inlineStr">
        <is>
          <t>Medium demersals (30 - 89 cm)</t>
        </is>
      </c>
      <c r="D33" t="inlineStr">
        <is>
          <t>Scorpionfishes</t>
        </is>
      </c>
      <c r="E33" t="n">
        <v>100.398</v>
      </c>
      <c r="F33" t="n">
        <v>100.398</v>
      </c>
      <c r="G33" t="n">
        <v>135.19</v>
      </c>
      <c r="H33" t="n">
        <v>117.297</v>
      </c>
      <c r="I33" t="n">
        <v>100.398</v>
      </c>
      <c r="J33" t="n">
        <v>100.398</v>
      </c>
      <c r="K33" t="n">
        <v>100.398</v>
      </c>
      <c r="L33" t="n">
        <v>97.416</v>
      </c>
      <c r="M33" t="n">
        <v>104.374</v>
      </c>
      <c r="N33" t="n">
        <v>100.398</v>
      </c>
      <c r="O33" t="n">
        <v>134.196</v>
      </c>
      <c r="P33" t="n">
        <v>367.659</v>
      </c>
      <c r="Q33" t="n">
        <v>617.179</v>
      </c>
      <c r="R33" t="n">
        <v>1184.749</v>
      </c>
      <c r="S33" t="n">
        <v>1802.591</v>
      </c>
      <c r="T33" t="n">
        <v>3071.63</v>
      </c>
      <c r="U33" t="n">
        <v>4018.996</v>
      </c>
      <c r="V33" t="n">
        <v>5878.368</v>
      </c>
      <c r="W33" t="n">
        <v>7666.64</v>
      </c>
      <c r="X33" t="n">
        <v>10223.515</v>
      </c>
      <c r="Y33" t="n">
        <v>10479.544</v>
      </c>
      <c r="Z33" t="n">
        <v>11472.651</v>
      </c>
      <c r="AA33" t="n">
        <v>15221.659</v>
      </c>
      <c r="AB33" t="n">
        <v>4794.317</v>
      </c>
      <c r="AC33" t="n">
        <v>7160.099</v>
      </c>
      <c r="AD33" t="n">
        <v>7045.929</v>
      </c>
      <c r="AE33" t="n">
        <v>5353.266</v>
      </c>
      <c r="AF33" t="n">
        <v>24379.65</v>
      </c>
      <c r="AG33" t="n">
        <v>23425.599</v>
      </c>
      <c r="AH33" t="n">
        <v>23153.496</v>
      </c>
      <c r="AI33" t="n">
        <v>21400.981</v>
      </c>
      <c r="AJ33" t="n">
        <v>24068.636</v>
      </c>
      <c r="AK33" t="n">
        <v>22418.417</v>
      </c>
      <c r="AL33" t="n">
        <v>24225.771</v>
      </c>
      <c r="AM33" t="n">
        <v>26907.973</v>
      </c>
      <c r="AN33" t="n">
        <v>25333.562</v>
      </c>
      <c r="AO33" t="n">
        <v>33118.904</v>
      </c>
      <c r="AP33" t="n">
        <v>35617.95</v>
      </c>
      <c r="AQ33" t="n">
        <v>28184.985</v>
      </c>
      <c r="AR33" t="n">
        <v>34021.424</v>
      </c>
      <c r="AS33" t="n">
        <v>36710.745</v>
      </c>
      <c r="AT33" t="n">
        <v>50229.885</v>
      </c>
      <c r="AU33" t="n">
        <v>52851.231</v>
      </c>
      <c r="AV33" t="n">
        <v>60220.975</v>
      </c>
      <c r="AW33" t="n">
        <v>47079.593</v>
      </c>
      <c r="AX33" t="n">
        <v>47774.999</v>
      </c>
      <c r="AY33" t="n">
        <v>44815.549</v>
      </c>
      <c r="AZ33" t="n">
        <v>42235.634</v>
      </c>
      <c r="BA33" t="n">
        <v>46815.537</v>
      </c>
      <c r="BB33" t="n">
        <v>43138.018</v>
      </c>
      <c r="BC33" t="n">
        <v>41698.833</v>
      </c>
      <c r="BD33" t="n">
        <v>39808.365</v>
      </c>
      <c r="BE33" t="n">
        <v>40632.954</v>
      </c>
      <c r="BF33" t="n">
        <v>45236.236</v>
      </c>
      <c r="BG33" t="n">
        <v>48028.66</v>
      </c>
      <c r="BH33" t="n">
        <v>47018.032</v>
      </c>
      <c r="BI33" t="n">
        <v>43232.078</v>
      </c>
      <c r="BJ33" t="n">
        <v>33478.867</v>
      </c>
      <c r="BK33" t="n">
        <v>29957.21</v>
      </c>
      <c r="BL33" t="n">
        <v>29471.918</v>
      </c>
      <c r="BM33" t="n">
        <v>26265.981</v>
      </c>
      <c r="BN33" t="n">
        <v>23406.173</v>
      </c>
      <c r="BO33" t="n">
        <v>19978.247</v>
      </c>
      <c r="BP33" t="n">
        <v>19060.688</v>
      </c>
      <c r="BQ33" t="n">
        <v>16912.488</v>
      </c>
      <c r="BR33" t="n">
        <v>13693.687</v>
      </c>
      <c r="BS33" t="n">
        <v>15965.606</v>
      </c>
      <c r="BT33" t="n">
        <v>12933.612</v>
      </c>
      <c r="BU33" t="n">
        <v>16145.121</v>
      </c>
      <c r="BV33" t="n">
        <v>15562.804</v>
      </c>
    </row>
    <row r="34">
      <c r="A34" t="inlineStr">
        <is>
          <t>Selaroides leptolepis</t>
        </is>
      </c>
      <c r="B34" t="inlineStr">
        <is>
          <t>Yellowstripe scad</t>
        </is>
      </c>
      <c r="C34" t="inlineStr">
        <is>
          <t>Small pelagics (&lt;30 cm)</t>
        </is>
      </c>
      <c r="D34" t="inlineStr">
        <is>
          <t>Perch-likes</t>
        </is>
      </c>
      <c r="E34" t="n">
        <v>3460.526</v>
      </c>
      <c r="F34" t="n">
        <v>3614.832</v>
      </c>
      <c r="G34" t="n">
        <v>3746.382</v>
      </c>
      <c r="H34" t="n">
        <v>3720.898</v>
      </c>
      <c r="I34" t="n">
        <v>3839.927</v>
      </c>
      <c r="J34" t="n">
        <v>4067.718</v>
      </c>
      <c r="K34" t="n">
        <v>3943.878</v>
      </c>
      <c r="L34" t="n">
        <v>3946.198</v>
      </c>
      <c r="M34" t="n">
        <v>4304.413</v>
      </c>
      <c r="N34" t="n">
        <v>4330.238</v>
      </c>
      <c r="O34" t="n">
        <v>4707.421</v>
      </c>
      <c r="P34" t="n">
        <v>5420.147</v>
      </c>
      <c r="Q34" t="n">
        <v>6298.465</v>
      </c>
      <c r="R34" t="n">
        <v>7093.551</v>
      </c>
      <c r="S34" t="n">
        <v>8538.66</v>
      </c>
      <c r="T34" t="n">
        <v>9698.537</v>
      </c>
      <c r="U34" t="n">
        <v>10859.844</v>
      </c>
      <c r="V34" t="n">
        <v>11920.628</v>
      </c>
      <c r="W34" t="n">
        <v>13068.569</v>
      </c>
      <c r="X34" t="n">
        <v>13303.051</v>
      </c>
      <c r="Y34" t="n">
        <v>12094.185</v>
      </c>
      <c r="Z34" t="n">
        <v>13712.163</v>
      </c>
      <c r="AA34" t="n">
        <v>15057.579</v>
      </c>
      <c r="AB34" t="n">
        <v>19424.85</v>
      </c>
      <c r="AC34" t="n">
        <v>20628.746</v>
      </c>
      <c r="AD34" t="n">
        <v>20878.863</v>
      </c>
      <c r="AE34" t="n">
        <v>17341.929</v>
      </c>
      <c r="AF34" t="n">
        <v>16322.072</v>
      </c>
      <c r="AG34" t="n">
        <v>18269.552</v>
      </c>
      <c r="AH34" t="n">
        <v>20248.069</v>
      </c>
      <c r="AI34" t="n">
        <v>14964.195</v>
      </c>
      <c r="AJ34" t="n">
        <v>15228.888</v>
      </c>
      <c r="AK34" t="n">
        <v>15711.856</v>
      </c>
      <c r="AL34" t="n">
        <v>17764.604</v>
      </c>
      <c r="AM34" t="n">
        <v>16943.284</v>
      </c>
      <c r="AN34" t="n">
        <v>43702.752</v>
      </c>
      <c r="AO34" t="n">
        <v>42701.351</v>
      </c>
      <c r="AP34" t="n">
        <v>42812.719</v>
      </c>
      <c r="AQ34" t="n">
        <v>41307.375</v>
      </c>
      <c r="AR34" t="n">
        <v>44069.136</v>
      </c>
      <c r="AS34" t="n">
        <v>28754.992</v>
      </c>
      <c r="AT34" t="n">
        <v>28999.436</v>
      </c>
      <c r="AU34" t="n">
        <v>30076.332</v>
      </c>
      <c r="AV34" t="n">
        <v>32430.25</v>
      </c>
      <c r="AW34" t="n">
        <v>34053.826</v>
      </c>
      <c r="AX34" t="n">
        <v>33228.279</v>
      </c>
      <c r="AY34" t="n">
        <v>31283.167</v>
      </c>
      <c r="AZ34" t="n">
        <v>30989.963</v>
      </c>
      <c r="BA34" t="n">
        <v>29135.597</v>
      </c>
      <c r="BB34" t="n">
        <v>27775.982</v>
      </c>
      <c r="BC34" t="n">
        <v>28097.533</v>
      </c>
      <c r="BD34" t="n">
        <v>27327.863</v>
      </c>
      <c r="BE34" t="n">
        <v>27114.268</v>
      </c>
      <c r="BF34" t="n">
        <v>29995.634</v>
      </c>
      <c r="BG34" t="n">
        <v>26373.214</v>
      </c>
      <c r="BH34" t="n">
        <v>16007.093</v>
      </c>
      <c r="BI34" t="n">
        <v>17377.275</v>
      </c>
      <c r="BJ34" t="n">
        <v>18171.771</v>
      </c>
      <c r="BK34" t="n">
        <v>19450.684</v>
      </c>
      <c r="BL34" t="n">
        <v>20463.46</v>
      </c>
      <c r="BM34" t="n">
        <v>22257.928</v>
      </c>
      <c r="BN34" t="n">
        <v>23883.925</v>
      </c>
      <c r="BO34" t="n">
        <v>24402.245</v>
      </c>
      <c r="BP34" t="n">
        <v>24236.788</v>
      </c>
      <c r="BQ34" t="n">
        <v>25421.994</v>
      </c>
      <c r="BR34" t="n">
        <v>29352.463</v>
      </c>
      <c r="BS34" t="n">
        <v>28709.757</v>
      </c>
      <c r="BT34" t="n">
        <v>35353.918</v>
      </c>
      <c r="BU34" t="n">
        <v>29333.96</v>
      </c>
      <c r="BV34" t="n">
        <v>31908.569</v>
      </c>
    </row>
    <row r="35">
      <c r="A35" t="inlineStr">
        <is>
          <t>Parastromateus niger</t>
        </is>
      </c>
      <c r="B35" t="inlineStr">
        <is>
          <t>Black pomfret</t>
        </is>
      </c>
      <c r="C35" t="inlineStr">
        <is>
          <t>Medium benthopelagics (30 - 89 cm)</t>
        </is>
      </c>
      <c r="D35" t="inlineStr">
        <is>
          <t>Perch-likes</t>
        </is>
      </c>
      <c r="E35" t="n">
        <v>3079.268</v>
      </c>
      <c r="F35" t="n">
        <v>3074.2</v>
      </c>
      <c r="G35" t="n">
        <v>3215.61</v>
      </c>
      <c r="H35" t="n">
        <v>3493.982</v>
      </c>
      <c r="I35" t="n">
        <v>3126.86</v>
      </c>
      <c r="J35" t="n">
        <v>3431.912</v>
      </c>
      <c r="K35" t="n">
        <v>3730.102</v>
      </c>
      <c r="L35" t="n">
        <v>4463.074</v>
      </c>
      <c r="M35" t="n">
        <v>4245.736</v>
      </c>
      <c r="N35" t="n">
        <v>4573.556</v>
      </c>
      <c r="O35" t="n">
        <v>4994.414</v>
      </c>
      <c r="P35" t="n">
        <v>4442.801</v>
      </c>
      <c r="Q35" t="n">
        <v>6184.861</v>
      </c>
      <c r="R35" t="n">
        <v>5431.146</v>
      </c>
      <c r="S35" t="n">
        <v>6345.136</v>
      </c>
      <c r="T35" t="n">
        <v>6277.945</v>
      </c>
      <c r="U35" t="n">
        <v>6006.333</v>
      </c>
      <c r="V35" t="n">
        <v>7005.263</v>
      </c>
      <c r="W35" t="n">
        <v>8108.935</v>
      </c>
      <c r="X35" t="n">
        <v>6849.47</v>
      </c>
      <c r="Y35" t="n">
        <v>7638.32</v>
      </c>
      <c r="Z35" t="n">
        <v>9629.803</v>
      </c>
      <c r="AA35" t="n">
        <v>10197.891</v>
      </c>
      <c r="AB35" t="n">
        <v>11775.637</v>
      </c>
      <c r="AC35" t="n">
        <v>11104.112</v>
      </c>
      <c r="AD35" t="n">
        <v>12611.695</v>
      </c>
      <c r="AE35" t="n">
        <v>17084.539</v>
      </c>
      <c r="AF35" t="n">
        <v>16187.147</v>
      </c>
      <c r="AG35" t="n">
        <v>19181.397</v>
      </c>
      <c r="AH35" t="n">
        <v>22232.653</v>
      </c>
      <c r="AI35" t="n">
        <v>20284.693</v>
      </c>
      <c r="AJ35" t="n">
        <v>21212.52</v>
      </c>
      <c r="AK35" t="n">
        <v>21263.013</v>
      </c>
      <c r="AL35" t="n">
        <v>20826.255</v>
      </c>
      <c r="AM35" t="n">
        <v>26967.52</v>
      </c>
      <c r="AN35" t="n">
        <v>17346.021</v>
      </c>
      <c r="AO35" t="n">
        <v>15341.293</v>
      </c>
      <c r="AP35" t="n">
        <v>15678.654</v>
      </c>
      <c r="AQ35" t="n">
        <v>12859.428</v>
      </c>
      <c r="AR35" t="n">
        <v>18234.814</v>
      </c>
      <c r="AS35" t="n">
        <v>21803.172</v>
      </c>
      <c r="AT35" t="n">
        <v>20048.409</v>
      </c>
      <c r="AU35" t="n">
        <v>22116.718</v>
      </c>
      <c r="AV35" t="n">
        <v>22593.083</v>
      </c>
      <c r="AW35" t="n">
        <v>24794.042</v>
      </c>
      <c r="AX35" t="n">
        <v>32742.094</v>
      </c>
      <c r="AY35" t="n">
        <v>30043.85</v>
      </c>
      <c r="AZ35" t="n">
        <v>31660.53</v>
      </c>
      <c r="BA35" t="n">
        <v>30415.929</v>
      </c>
      <c r="BB35" t="n">
        <v>32148.693</v>
      </c>
      <c r="BC35" t="n">
        <v>31869.891</v>
      </c>
      <c r="BD35" t="n">
        <v>30393.24</v>
      </c>
      <c r="BE35" t="n">
        <v>32146.079</v>
      </c>
      <c r="BF35" t="n">
        <v>35894.757</v>
      </c>
      <c r="BG35" t="n">
        <v>37867.698</v>
      </c>
      <c r="BH35" t="n">
        <v>28591.477</v>
      </c>
      <c r="BI35" t="n">
        <v>30237.872</v>
      </c>
      <c r="BJ35" t="n">
        <v>29954.518</v>
      </c>
      <c r="BK35" t="n">
        <v>34199.837</v>
      </c>
      <c r="BL35" t="n">
        <v>37744.689</v>
      </c>
      <c r="BM35" t="n">
        <v>39980.527</v>
      </c>
      <c r="BN35" t="n">
        <v>39981.611</v>
      </c>
      <c r="BO35" t="n">
        <v>37874.397</v>
      </c>
      <c r="BP35" t="n">
        <v>35014.229</v>
      </c>
      <c r="BQ35" t="n">
        <v>31786.247</v>
      </c>
      <c r="BR35" t="n">
        <v>31893.315</v>
      </c>
      <c r="BS35" t="n">
        <v>31123.341</v>
      </c>
      <c r="BT35" t="n">
        <v>36206.264</v>
      </c>
      <c r="BU35" t="n">
        <v>34144.288</v>
      </c>
      <c r="BV35" t="n">
        <v>33347.243</v>
      </c>
    </row>
    <row r="36">
      <c r="A36" t="inlineStr">
        <is>
          <t>Nemipterus</t>
        </is>
      </c>
      <c r="B36" t="inlineStr">
        <is>
          <t>Threadfin breams</t>
        </is>
      </c>
      <c r="C36" t="inlineStr">
        <is>
          <t>Small demersals (&lt;30 cm)</t>
        </is>
      </c>
      <c r="D36" t="inlineStr">
        <is>
          <t>Perch-likes</t>
        </is>
      </c>
      <c r="E36" t="n">
        <v>1184.045</v>
      </c>
      <c r="F36" t="n">
        <v>1178.08</v>
      </c>
      <c r="G36" t="n">
        <v>1328.198</v>
      </c>
      <c r="H36" t="n">
        <v>1223.811</v>
      </c>
      <c r="I36" t="n">
        <v>1145.273</v>
      </c>
      <c r="J36" t="n">
        <v>1202.934</v>
      </c>
      <c r="K36" t="n">
        <v>1156.209</v>
      </c>
      <c r="L36" t="n">
        <v>1161.179</v>
      </c>
      <c r="M36" t="n">
        <v>1280.479</v>
      </c>
      <c r="N36" t="n">
        <v>1303.344</v>
      </c>
      <c r="O36" t="n">
        <v>1567.791</v>
      </c>
      <c r="P36" t="n">
        <v>1806.389</v>
      </c>
      <c r="Q36" t="n">
        <v>1992.338</v>
      </c>
      <c r="R36" t="n">
        <v>2729.675</v>
      </c>
      <c r="S36" t="n">
        <v>5163.22</v>
      </c>
      <c r="T36" t="n">
        <v>5667.952</v>
      </c>
      <c r="U36" t="n">
        <v>6295.972</v>
      </c>
      <c r="V36" t="n">
        <v>6646.76</v>
      </c>
      <c r="W36" t="n">
        <v>6804.614</v>
      </c>
      <c r="X36" t="n">
        <v>6049.19</v>
      </c>
      <c r="Y36" t="n">
        <v>6321.038</v>
      </c>
      <c r="Z36" t="n">
        <v>11205.328</v>
      </c>
      <c r="AA36" t="n">
        <v>12989.762</v>
      </c>
      <c r="AB36" t="n">
        <v>15550.207</v>
      </c>
      <c r="AC36" t="n">
        <v>18020.276</v>
      </c>
      <c r="AD36" t="n">
        <v>18536.236</v>
      </c>
      <c r="AE36" t="n">
        <v>22768.88</v>
      </c>
      <c r="AF36" t="n">
        <v>20231.463</v>
      </c>
      <c r="AG36" t="n">
        <v>23789.59</v>
      </c>
      <c r="AH36" t="n">
        <v>24987.932</v>
      </c>
      <c r="AI36" t="n">
        <v>25875.54</v>
      </c>
      <c r="AJ36" t="n">
        <v>25343.979</v>
      </c>
      <c r="AK36" t="n">
        <v>25930.849</v>
      </c>
      <c r="AL36" t="n">
        <v>24529.818</v>
      </c>
      <c r="AM36" t="n">
        <v>24355.887</v>
      </c>
      <c r="AN36" t="n">
        <v>21580.508</v>
      </c>
      <c r="AO36" t="n">
        <v>20881.077</v>
      </c>
      <c r="AP36" t="n">
        <v>21688.183</v>
      </c>
      <c r="AQ36" t="n">
        <v>18581.925</v>
      </c>
      <c r="AR36" t="n">
        <v>19785.15</v>
      </c>
      <c r="AS36" t="n">
        <v>36685.831</v>
      </c>
      <c r="AT36" t="n">
        <v>34372.691</v>
      </c>
      <c r="AU36" t="n">
        <v>39179.544</v>
      </c>
      <c r="AV36" t="n">
        <v>35127.775</v>
      </c>
      <c r="AW36" t="n">
        <v>34079.03</v>
      </c>
      <c r="AX36" t="n">
        <v>38015.724</v>
      </c>
      <c r="AY36" t="n">
        <v>35852.44</v>
      </c>
      <c r="AZ36" t="n">
        <v>35018.459</v>
      </c>
      <c r="BA36" t="n">
        <v>36260.465</v>
      </c>
      <c r="BB36" t="n">
        <v>34501.132</v>
      </c>
      <c r="BC36" t="n">
        <v>27572.651</v>
      </c>
      <c r="BD36" t="n">
        <v>25043.253</v>
      </c>
      <c r="BE36" t="n">
        <v>25242.152</v>
      </c>
      <c r="BF36" t="n">
        <v>28653.903</v>
      </c>
      <c r="BG36" t="n">
        <v>30117.796</v>
      </c>
      <c r="BH36" t="n">
        <v>21862.678</v>
      </c>
      <c r="BI36" t="n">
        <v>23723.56</v>
      </c>
      <c r="BJ36" t="n">
        <v>26688.014</v>
      </c>
      <c r="BK36" t="n">
        <v>26465.382</v>
      </c>
      <c r="BL36" t="n">
        <v>26778.078</v>
      </c>
      <c r="BM36" t="n">
        <v>27095.249</v>
      </c>
      <c r="BN36" t="n">
        <v>26590.354</v>
      </c>
      <c r="BO36" t="n">
        <v>26971.044</v>
      </c>
      <c r="BP36" t="n">
        <v>26387.577</v>
      </c>
      <c r="BQ36" t="n">
        <v>28033.966</v>
      </c>
      <c r="BR36" t="n">
        <v>28648.643</v>
      </c>
      <c r="BS36" t="n">
        <v>30600.921</v>
      </c>
      <c r="BT36" t="n">
        <v>28849.397</v>
      </c>
      <c r="BU36" t="n">
        <v>26311.78</v>
      </c>
      <c r="BV36" t="n">
        <v>35965.32</v>
      </c>
    </row>
    <row r="37">
      <c r="A37" t="inlineStr">
        <is>
          <t>Chirocentrus</t>
        </is>
      </c>
      <c r="B37" t="inlineStr">
        <is>
          <t>Wolf herrings</t>
        </is>
      </c>
      <c r="C37" t="inlineStr">
        <is>
          <t>Large pelagics (&gt;=90 cm)</t>
        </is>
      </c>
      <c r="D37" t="inlineStr">
        <is>
          <t>Herring-likes</t>
        </is>
      </c>
      <c r="E37" t="n">
        <v>7889.619</v>
      </c>
      <c r="F37" t="n">
        <v>3550.866</v>
      </c>
      <c r="G37" t="n">
        <v>4501.913</v>
      </c>
      <c r="H37" t="n">
        <v>5472.721</v>
      </c>
      <c r="I37" t="n">
        <v>10512.277</v>
      </c>
      <c r="J37" t="n">
        <v>7616.5</v>
      </c>
      <c r="K37" t="n">
        <v>7125.512</v>
      </c>
      <c r="L37" t="n">
        <v>9250.564</v>
      </c>
      <c r="M37" t="n">
        <v>8213.866</v>
      </c>
      <c r="N37" t="n">
        <v>7658.488</v>
      </c>
      <c r="O37" t="n">
        <v>9184.24</v>
      </c>
      <c r="P37" t="n">
        <v>11538.502</v>
      </c>
      <c r="Q37" t="n">
        <v>16380.772</v>
      </c>
      <c r="R37" t="n">
        <v>13516.309</v>
      </c>
      <c r="S37" t="n">
        <v>13087.344</v>
      </c>
      <c r="T37" t="n">
        <v>13860.201</v>
      </c>
      <c r="U37" t="n">
        <v>13846.041</v>
      </c>
      <c r="V37" t="n">
        <v>16140.276</v>
      </c>
      <c r="W37" t="n">
        <v>19553.706</v>
      </c>
      <c r="X37" t="n">
        <v>16171.741</v>
      </c>
      <c r="Y37" t="n">
        <v>15051.41</v>
      </c>
      <c r="Z37" t="n">
        <v>14554.503</v>
      </c>
      <c r="AA37" t="n">
        <v>14862.611</v>
      </c>
      <c r="AB37" t="n">
        <v>18149.482</v>
      </c>
      <c r="AC37" t="n">
        <v>14459.658</v>
      </c>
      <c r="AD37" t="n">
        <v>15970.078</v>
      </c>
      <c r="AE37" t="n">
        <v>17915.553</v>
      </c>
      <c r="AF37" t="n">
        <v>18077.872</v>
      </c>
      <c r="AG37" t="n">
        <v>19933.674</v>
      </c>
      <c r="AH37" t="n">
        <v>21570.582</v>
      </c>
      <c r="AI37" t="n">
        <v>19624.385</v>
      </c>
      <c r="AJ37" t="n">
        <v>17492.586</v>
      </c>
      <c r="AK37" t="n">
        <v>18083.076</v>
      </c>
      <c r="AL37" t="n">
        <v>19148.098</v>
      </c>
      <c r="AM37" t="n">
        <v>18134.631</v>
      </c>
      <c r="AN37" t="n">
        <v>14337.787</v>
      </c>
      <c r="AO37" t="n">
        <v>15069.76</v>
      </c>
      <c r="AP37" t="n">
        <v>16310.364</v>
      </c>
      <c r="AQ37" t="n">
        <v>16005.561</v>
      </c>
      <c r="AR37" t="n">
        <v>19124.361</v>
      </c>
      <c r="AS37" t="n">
        <v>19767.046</v>
      </c>
      <c r="AT37" t="n">
        <v>18568.82</v>
      </c>
      <c r="AU37" t="n">
        <v>18815.162</v>
      </c>
      <c r="AV37" t="n">
        <v>18346.494</v>
      </c>
      <c r="AW37" t="n">
        <v>20282.058</v>
      </c>
      <c r="AX37" t="n">
        <v>17493.743</v>
      </c>
      <c r="AY37" t="n">
        <v>19839.11</v>
      </c>
      <c r="AZ37" t="n">
        <v>20915.799</v>
      </c>
      <c r="BA37" t="n">
        <v>22675.46</v>
      </c>
      <c r="BB37" t="n">
        <v>21865.75</v>
      </c>
      <c r="BC37" t="n">
        <v>21801.047</v>
      </c>
      <c r="BD37" t="n">
        <v>23858.464</v>
      </c>
      <c r="BE37" t="n">
        <v>27184.361</v>
      </c>
      <c r="BF37" t="n">
        <v>26862.53</v>
      </c>
      <c r="BG37" t="n">
        <v>28360.507</v>
      </c>
      <c r="BH37" t="n">
        <v>26010.7</v>
      </c>
      <c r="BI37" t="n">
        <v>26872.749</v>
      </c>
      <c r="BJ37" t="n">
        <v>28549.076</v>
      </c>
      <c r="BK37" t="n">
        <v>33217.219</v>
      </c>
      <c r="BL37" t="n">
        <v>36364.218</v>
      </c>
      <c r="BM37" t="n">
        <v>33098.867</v>
      </c>
      <c r="BN37" t="n">
        <v>37177.101</v>
      </c>
      <c r="BO37" t="n">
        <v>32706.836</v>
      </c>
      <c r="BP37" t="n">
        <v>32141.609</v>
      </c>
      <c r="BQ37" t="n">
        <v>29612.964</v>
      </c>
      <c r="BR37" t="n">
        <v>27809.56</v>
      </c>
      <c r="BS37" t="n">
        <v>29465.017</v>
      </c>
      <c r="BT37" t="n">
        <v>32847.564</v>
      </c>
      <c r="BU37" t="n">
        <v>25736.967</v>
      </c>
      <c r="BV37" t="n">
        <v>35323.456</v>
      </c>
    </row>
    <row r="38">
      <c r="A38" t="inlineStr">
        <is>
          <t>Siluriformes</t>
        </is>
      </c>
      <c r="B38" t="inlineStr">
        <is>
          <t>Catfishes</t>
        </is>
      </c>
      <c r="C38" t="inlineStr">
        <is>
          <t>Medium demersals (30 - 89 cm)</t>
        </is>
      </c>
      <c r="D38" t="inlineStr">
        <is>
          <t>Other fishes &amp; inverts</t>
        </is>
      </c>
      <c r="E38" t="n">
        <v>6206.829</v>
      </c>
      <c r="F38" t="n">
        <v>8187.088</v>
      </c>
      <c r="G38" t="n">
        <v>8949.370000000001</v>
      </c>
      <c r="H38" t="n">
        <v>12128.983</v>
      </c>
      <c r="I38" t="n">
        <v>7790.021</v>
      </c>
      <c r="J38" t="n">
        <v>5517.622</v>
      </c>
      <c r="K38" t="n">
        <v>5746.154</v>
      </c>
      <c r="L38" t="n">
        <v>5211.388</v>
      </c>
      <c r="M38" t="n">
        <v>6088.492</v>
      </c>
      <c r="N38" t="n">
        <v>3754.737</v>
      </c>
      <c r="O38" t="n">
        <v>4016.105</v>
      </c>
      <c r="P38" t="n">
        <v>4028.661</v>
      </c>
      <c r="Q38" t="n">
        <v>6633.965</v>
      </c>
      <c r="R38" t="n">
        <v>6202.855</v>
      </c>
      <c r="S38" t="n">
        <v>12637.291</v>
      </c>
      <c r="T38" t="n">
        <v>8997.022000000001</v>
      </c>
      <c r="U38" t="n">
        <v>8083</v>
      </c>
      <c r="V38" t="n">
        <v>8077.529</v>
      </c>
      <c r="W38" t="n">
        <v>8630.727000000001</v>
      </c>
      <c r="X38" t="n">
        <v>8076.952</v>
      </c>
      <c r="Y38" t="n">
        <v>10474.33</v>
      </c>
      <c r="Z38" t="n">
        <v>11105.968</v>
      </c>
      <c r="AA38" t="n">
        <v>10274.229</v>
      </c>
      <c r="AB38" t="n">
        <v>21170.24</v>
      </c>
      <c r="AC38" t="n">
        <v>27052.975</v>
      </c>
      <c r="AD38" t="n">
        <v>20848.01</v>
      </c>
      <c r="AE38" t="n">
        <v>14656.06</v>
      </c>
      <c r="AF38" t="n">
        <v>22244.978</v>
      </c>
      <c r="AG38" t="n">
        <v>11654.643</v>
      </c>
      <c r="AH38" t="n">
        <v>11963.217</v>
      </c>
      <c r="AI38" t="n">
        <v>10588.446</v>
      </c>
      <c r="AJ38" t="n">
        <v>19254.711</v>
      </c>
      <c r="AK38" t="n">
        <v>22732.78</v>
      </c>
      <c r="AL38" t="n">
        <v>15331.922</v>
      </c>
      <c r="AM38" t="n">
        <v>18757.909</v>
      </c>
      <c r="AN38" t="n">
        <v>15514.316</v>
      </c>
      <c r="AO38" t="n">
        <v>13689.64</v>
      </c>
      <c r="AP38" t="n">
        <v>14635.142</v>
      </c>
      <c r="AQ38" t="n">
        <v>12692.574</v>
      </c>
      <c r="AR38" t="n">
        <v>15326.074</v>
      </c>
      <c r="AS38" t="n">
        <v>13773.388</v>
      </c>
      <c r="AT38" t="n">
        <v>15703.995</v>
      </c>
      <c r="AU38" t="n">
        <v>16845.979</v>
      </c>
      <c r="AV38" t="n">
        <v>19783.726</v>
      </c>
      <c r="AW38" t="n">
        <v>17270.198</v>
      </c>
      <c r="AX38" t="n">
        <v>17597.255</v>
      </c>
      <c r="AY38" t="n">
        <v>18620.554</v>
      </c>
      <c r="AZ38" t="n">
        <v>19880.036</v>
      </c>
      <c r="BA38" t="n">
        <v>21386.289</v>
      </c>
      <c r="BB38" t="n">
        <v>20213.596</v>
      </c>
      <c r="BC38" t="n">
        <v>25090.374</v>
      </c>
      <c r="BD38" t="n">
        <v>22193.544</v>
      </c>
      <c r="BE38" t="n">
        <v>23615.577</v>
      </c>
      <c r="BF38" t="n">
        <v>26138.017</v>
      </c>
      <c r="BG38" t="n">
        <v>25477.657</v>
      </c>
      <c r="BH38" t="n">
        <v>23031.901</v>
      </c>
      <c r="BI38" t="n">
        <v>26338.751</v>
      </c>
      <c r="BJ38" t="n">
        <v>29718.552</v>
      </c>
      <c r="BK38" t="n">
        <v>39598.091</v>
      </c>
      <c r="BL38" t="n">
        <v>55359.13</v>
      </c>
      <c r="BM38" t="n">
        <v>46430.348</v>
      </c>
      <c r="BN38" t="n">
        <v>46852.163</v>
      </c>
      <c r="BO38" t="n">
        <v>42482.101</v>
      </c>
      <c r="BP38" t="n">
        <v>36241.957</v>
      </c>
      <c r="BQ38" t="n">
        <v>29270.49</v>
      </c>
      <c r="BR38" t="n">
        <v>29443.805</v>
      </c>
      <c r="BS38" t="n">
        <v>36692.944</v>
      </c>
      <c r="BT38" t="n">
        <v>46892.78</v>
      </c>
      <c r="BU38" t="n">
        <v>22523.34</v>
      </c>
      <c r="BV38" t="n">
        <v>35969.999</v>
      </c>
    </row>
    <row r="39">
      <c r="A39" t="inlineStr">
        <is>
          <t>Dendrobranchiata</t>
        </is>
      </c>
      <c r="B39" t="inlineStr">
        <is>
          <t>Shrimps and prawns</t>
        </is>
      </c>
      <c r="C39" t="inlineStr">
        <is>
          <t>Shrimps</t>
        </is>
      </c>
      <c r="D39" t="inlineStr">
        <is>
          <t>Crustaceans</t>
        </is>
      </c>
      <c r="E39" t="n">
        <v>3692.164</v>
      </c>
      <c r="F39" t="n">
        <v>3734.212</v>
      </c>
      <c r="G39" t="n">
        <v>3768.165</v>
      </c>
      <c r="H39" t="n">
        <v>3951.251</v>
      </c>
      <c r="I39" t="n">
        <v>3658.234</v>
      </c>
      <c r="J39" t="n">
        <v>3879.688</v>
      </c>
      <c r="K39" t="n">
        <v>4779.14</v>
      </c>
      <c r="L39" t="n">
        <v>6311.622</v>
      </c>
      <c r="M39" t="n">
        <v>6399.922</v>
      </c>
      <c r="N39" t="n">
        <v>4573.885</v>
      </c>
      <c r="O39" t="n">
        <v>4682.715</v>
      </c>
      <c r="P39" t="n">
        <v>5210.919</v>
      </c>
      <c r="Q39" t="n">
        <v>3611.949</v>
      </c>
      <c r="R39" t="n">
        <v>5155.927</v>
      </c>
      <c r="S39" t="n">
        <v>5633.628</v>
      </c>
      <c r="T39" t="n">
        <v>4020.861</v>
      </c>
      <c r="U39" t="n">
        <v>5133.856</v>
      </c>
      <c r="V39" t="n">
        <v>7407.863</v>
      </c>
      <c r="W39" t="n">
        <v>5764.46</v>
      </c>
      <c r="X39" t="n">
        <v>7107.234</v>
      </c>
      <c r="Y39" t="n">
        <v>7640.52</v>
      </c>
      <c r="Z39" t="n">
        <v>5673.266</v>
      </c>
      <c r="AA39" t="n">
        <v>6497.151</v>
      </c>
      <c r="AB39" t="n">
        <v>9330.106</v>
      </c>
      <c r="AC39" t="n">
        <v>10857.313</v>
      </c>
      <c r="AD39" t="n">
        <v>14045.706</v>
      </c>
      <c r="AE39" t="n">
        <v>13106.257</v>
      </c>
      <c r="AF39" t="n">
        <v>14937.874</v>
      </c>
      <c r="AG39" t="n">
        <v>11137.597</v>
      </c>
      <c r="AH39" t="n">
        <v>12464.855</v>
      </c>
      <c r="AI39" t="n">
        <v>14878.659</v>
      </c>
      <c r="AJ39" t="n">
        <v>12745.123</v>
      </c>
      <c r="AK39" t="n">
        <v>13612.989</v>
      </c>
      <c r="AL39" t="n">
        <v>15719.069</v>
      </c>
      <c r="AM39" t="n">
        <v>17088.527</v>
      </c>
      <c r="AN39" t="n">
        <v>14352.041</v>
      </c>
      <c r="AO39" t="n">
        <v>14364.697</v>
      </c>
      <c r="AP39" t="n">
        <v>13083.432</v>
      </c>
      <c r="AQ39" t="n">
        <v>15291.483</v>
      </c>
      <c r="AR39" t="n">
        <v>15186.91</v>
      </c>
      <c r="AS39" t="n">
        <v>15799.223</v>
      </c>
      <c r="AT39" t="n">
        <v>15572.834</v>
      </c>
      <c r="AU39" t="n">
        <v>14085.792</v>
      </c>
      <c r="AV39" t="n">
        <v>15563.7</v>
      </c>
      <c r="AW39" t="n">
        <v>25784.029</v>
      </c>
      <c r="AX39" t="n">
        <v>26031.623</v>
      </c>
      <c r="AY39" t="n">
        <v>33855.346</v>
      </c>
      <c r="AZ39" t="n">
        <v>28435.799</v>
      </c>
      <c r="BA39" t="n">
        <v>31180.387</v>
      </c>
      <c r="BB39" t="n">
        <v>30899.923</v>
      </c>
      <c r="BC39" t="n">
        <v>32279.731</v>
      </c>
      <c r="BD39" t="n">
        <v>33635.815</v>
      </c>
      <c r="BE39" t="n">
        <v>36209.224</v>
      </c>
      <c r="BF39" t="n">
        <v>37046.993</v>
      </c>
      <c r="BG39" t="n">
        <v>38412.535</v>
      </c>
      <c r="BH39" t="n">
        <v>38874.328</v>
      </c>
      <c r="BI39" t="n">
        <v>40353.273</v>
      </c>
      <c r="BJ39" t="n">
        <v>40178.631</v>
      </c>
      <c r="BK39" t="n">
        <v>39966.698</v>
      </c>
      <c r="BL39" t="n">
        <v>39041.193</v>
      </c>
      <c r="BM39" t="n">
        <v>43847.958</v>
      </c>
      <c r="BN39" t="n">
        <v>26256.564</v>
      </c>
      <c r="BO39" t="n">
        <v>26038.835</v>
      </c>
      <c r="BP39" t="n">
        <v>25536.968</v>
      </c>
      <c r="BQ39" t="n">
        <v>26182.687</v>
      </c>
      <c r="BR39" t="n">
        <v>26173.956</v>
      </c>
      <c r="BS39" t="n">
        <v>27199.817</v>
      </c>
      <c r="BT39" t="n">
        <v>27325.284</v>
      </c>
      <c r="BU39" t="n">
        <v>26647.94</v>
      </c>
      <c r="BV39" t="n">
        <v>26414.942</v>
      </c>
    </row>
    <row r="40">
      <c r="A40" t="inlineStr">
        <is>
          <t>Pennahia</t>
        </is>
      </c>
      <c r="B40" t="inlineStr">
        <is>
          <t>Pennah croakers</t>
        </is>
      </c>
      <c r="C40" t="inlineStr">
        <is>
          <t>Medium benthopelagics (30 - 89 cm)</t>
        </is>
      </c>
      <c r="D40" t="inlineStr">
        <is>
          <t>Perch-likes</t>
        </is>
      </c>
      <c r="E40" t="n">
        <v>384.817</v>
      </c>
      <c r="F40" t="n">
        <v>384.342</v>
      </c>
      <c r="G40" t="n">
        <v>373.427</v>
      </c>
      <c r="H40" t="n">
        <v>362.268</v>
      </c>
      <c r="I40" t="n">
        <v>363.367</v>
      </c>
      <c r="J40" t="n">
        <v>395.944</v>
      </c>
      <c r="K40" t="n">
        <v>370.217</v>
      </c>
      <c r="L40" t="n">
        <v>379.233</v>
      </c>
      <c r="M40" t="n">
        <v>430.15</v>
      </c>
      <c r="N40" t="n">
        <v>449.704</v>
      </c>
      <c r="O40" t="n">
        <v>507.102</v>
      </c>
      <c r="P40" t="n">
        <v>535.4829999999999</v>
      </c>
      <c r="Q40" t="n">
        <v>632.309</v>
      </c>
      <c r="R40" t="n">
        <v>726.45</v>
      </c>
      <c r="S40" t="n">
        <v>6044.81</v>
      </c>
      <c r="T40" t="n">
        <v>6777.106</v>
      </c>
      <c r="U40" t="n">
        <v>7238.294</v>
      </c>
      <c r="V40" t="n">
        <v>6543.455</v>
      </c>
      <c r="W40" t="n">
        <v>6448.08</v>
      </c>
      <c r="X40" t="n">
        <v>5410.875</v>
      </c>
      <c r="Y40" t="n">
        <v>6689.542</v>
      </c>
      <c r="Z40" t="n">
        <v>16565.397</v>
      </c>
      <c r="AA40" t="n">
        <v>20916.532</v>
      </c>
      <c r="AB40" t="n">
        <v>25563.642</v>
      </c>
      <c r="AC40" t="n">
        <v>29550.888</v>
      </c>
      <c r="AD40" t="n">
        <v>31003.182</v>
      </c>
      <c r="AE40" t="n">
        <v>20887.979</v>
      </c>
      <c r="AF40" t="n">
        <v>18242.935</v>
      </c>
      <c r="AG40" t="n">
        <v>22422.087</v>
      </c>
      <c r="AH40" t="n">
        <v>24035.468</v>
      </c>
      <c r="AI40" t="n">
        <v>22261.279</v>
      </c>
      <c r="AJ40" t="n">
        <v>21316.197</v>
      </c>
      <c r="AK40" t="n">
        <v>21636.848</v>
      </c>
      <c r="AL40" t="n">
        <v>20369.982</v>
      </c>
      <c r="AM40" t="n">
        <v>20371.865</v>
      </c>
      <c r="AN40" t="n">
        <v>20798.243</v>
      </c>
      <c r="AO40" t="n">
        <v>19343.501</v>
      </c>
      <c r="AP40" t="n">
        <v>18460.136</v>
      </c>
      <c r="AQ40" t="n">
        <v>15923.813</v>
      </c>
      <c r="AR40" t="n">
        <v>16951.003</v>
      </c>
      <c r="AS40" t="n">
        <v>20484.543</v>
      </c>
      <c r="AT40" t="n">
        <v>19460.605</v>
      </c>
      <c r="AU40" t="n">
        <v>22341.063</v>
      </c>
      <c r="AV40" t="n">
        <v>19791.193</v>
      </c>
      <c r="AW40" t="n">
        <v>19041.816</v>
      </c>
      <c r="AX40" t="n">
        <v>22591.157</v>
      </c>
      <c r="AY40" t="n">
        <v>21014.743</v>
      </c>
      <c r="AZ40" t="n">
        <v>21278.653</v>
      </c>
      <c r="BA40" t="n">
        <v>20025.93</v>
      </c>
      <c r="BB40" t="n">
        <v>20283.845</v>
      </c>
      <c r="BC40" t="n">
        <v>22942.357</v>
      </c>
      <c r="BD40" t="n">
        <v>21043.707</v>
      </c>
      <c r="BE40" t="n">
        <v>20826.929</v>
      </c>
      <c r="BF40" t="n">
        <v>23654.788</v>
      </c>
      <c r="BG40" t="n">
        <v>25164.32</v>
      </c>
      <c r="BH40" t="n">
        <v>21485.628</v>
      </c>
      <c r="BI40" t="n">
        <v>22990.853</v>
      </c>
      <c r="BJ40" t="n">
        <v>26370.235</v>
      </c>
      <c r="BK40" t="n">
        <v>26409.646</v>
      </c>
      <c r="BL40" t="n">
        <v>34468.424</v>
      </c>
      <c r="BM40" t="n">
        <v>34141.119</v>
      </c>
      <c r="BN40" t="n">
        <v>31721.43</v>
      </c>
      <c r="BO40" t="n">
        <v>32149.402</v>
      </c>
      <c r="BP40" t="n">
        <v>31460.714</v>
      </c>
      <c r="BQ40" t="n">
        <v>33479.641</v>
      </c>
      <c r="BR40" t="n">
        <v>33950.623</v>
      </c>
      <c r="BS40" t="n">
        <v>36482.941</v>
      </c>
      <c r="BT40" t="n">
        <v>33736.878</v>
      </c>
      <c r="BU40" t="n">
        <v>31008.635</v>
      </c>
      <c r="BV40" t="n">
        <v>32363.83</v>
      </c>
    </row>
    <row r="41">
      <c r="A41" t="inlineStr">
        <is>
          <t>Trichiuridae</t>
        </is>
      </c>
      <c r="B41" t="inlineStr">
        <is>
          <t>Cutlassfishes</t>
        </is>
      </c>
      <c r="C41" t="inlineStr">
        <is>
          <t>Large benthopelagics (&gt;=90 cm)</t>
        </is>
      </c>
      <c r="D41" t="inlineStr">
        <is>
          <t>Perch-likes</t>
        </is>
      </c>
      <c r="E41" t="n">
        <v>3128.417</v>
      </c>
      <c r="F41" t="n">
        <v>4288.182</v>
      </c>
      <c r="G41" t="n">
        <v>11260.5</v>
      </c>
      <c r="H41" t="n">
        <v>10781.963</v>
      </c>
      <c r="I41" t="n">
        <v>7140.534</v>
      </c>
      <c r="J41" t="n">
        <v>10266.546</v>
      </c>
      <c r="K41" t="n">
        <v>8179.131</v>
      </c>
      <c r="L41" t="n">
        <v>14344.219</v>
      </c>
      <c r="M41" t="n">
        <v>20680.117</v>
      </c>
      <c r="N41" t="n">
        <v>19857.476</v>
      </c>
      <c r="O41" t="n">
        <v>10454.017</v>
      </c>
      <c r="P41" t="n">
        <v>7915.84</v>
      </c>
      <c r="Q41" t="n">
        <v>11882.095</v>
      </c>
      <c r="R41" t="n">
        <v>8737.584999999999</v>
      </c>
      <c r="S41" t="n">
        <v>10316.515</v>
      </c>
      <c r="T41" t="n">
        <v>12929.694</v>
      </c>
      <c r="U41" t="n">
        <v>9450.561</v>
      </c>
      <c r="V41" t="n">
        <v>9385.334000000001</v>
      </c>
      <c r="W41" t="n">
        <v>10483.6</v>
      </c>
      <c r="X41" t="n">
        <v>10073.218</v>
      </c>
      <c r="Y41" t="n">
        <v>7856.81</v>
      </c>
      <c r="Z41" t="n">
        <v>10580.921</v>
      </c>
      <c r="AA41" t="n">
        <v>9129.679</v>
      </c>
      <c r="AB41" t="n">
        <v>8356.047</v>
      </c>
      <c r="AC41" t="n">
        <v>9866.889999999999</v>
      </c>
      <c r="AD41" t="n">
        <v>13424.298</v>
      </c>
      <c r="AE41" t="n">
        <v>14145.186</v>
      </c>
      <c r="AF41" t="n">
        <v>10030.492</v>
      </c>
      <c r="AG41" t="n">
        <v>20423.025</v>
      </c>
      <c r="AH41" t="n">
        <v>16057.522</v>
      </c>
      <c r="AI41" t="n">
        <v>15197.418</v>
      </c>
      <c r="AJ41" t="n">
        <v>12252.241</v>
      </c>
      <c r="AK41" t="n">
        <v>9915.73</v>
      </c>
      <c r="AL41" t="n">
        <v>10602.937</v>
      </c>
      <c r="AM41" t="n">
        <v>14683.383</v>
      </c>
      <c r="AN41" t="n">
        <v>12140.724</v>
      </c>
      <c r="AO41" t="n">
        <v>15880.149</v>
      </c>
      <c r="AP41" t="n">
        <v>13084.727</v>
      </c>
      <c r="AQ41" t="n">
        <v>10994.173</v>
      </c>
      <c r="AR41" t="n">
        <v>11074.782</v>
      </c>
      <c r="AS41" t="n">
        <v>9681.759</v>
      </c>
      <c r="AT41" t="n">
        <v>15609.816</v>
      </c>
      <c r="AU41" t="n">
        <v>14895.887</v>
      </c>
      <c r="AV41" t="n">
        <v>10375.453</v>
      </c>
      <c r="AW41" t="n">
        <v>13506.138</v>
      </c>
      <c r="AX41" t="n">
        <v>18817.148</v>
      </c>
      <c r="AY41" t="n">
        <v>21455.866</v>
      </c>
      <c r="AZ41" t="n">
        <v>19711.55</v>
      </c>
      <c r="BA41" t="n">
        <v>21008.29</v>
      </c>
      <c r="BB41" t="n">
        <v>25479.632</v>
      </c>
      <c r="BC41" t="n">
        <v>25558.667</v>
      </c>
      <c r="BD41" t="n">
        <v>26094.571</v>
      </c>
      <c r="BE41" t="n">
        <v>28190.909</v>
      </c>
      <c r="BF41" t="n">
        <v>27494.453</v>
      </c>
      <c r="BG41" t="n">
        <v>27925.635</v>
      </c>
      <c r="BH41" t="n">
        <v>27754.988</v>
      </c>
      <c r="BI41" t="n">
        <v>28916.639</v>
      </c>
      <c r="BJ41" t="n">
        <v>29730.25</v>
      </c>
      <c r="BK41" t="n">
        <v>30382.728</v>
      </c>
      <c r="BL41" t="n">
        <v>29840.846</v>
      </c>
      <c r="BM41" t="n">
        <v>30533.464</v>
      </c>
      <c r="BN41" t="n">
        <v>31591.679</v>
      </c>
      <c r="BO41" t="n">
        <v>30778.962</v>
      </c>
      <c r="BP41" t="n">
        <v>29878.413</v>
      </c>
      <c r="BQ41" t="n">
        <v>30568.107</v>
      </c>
      <c r="BR41" t="n">
        <v>30357.199</v>
      </c>
      <c r="BS41" t="n">
        <v>31773.063</v>
      </c>
      <c r="BT41" t="n">
        <v>33250.691</v>
      </c>
      <c r="BU41" t="n">
        <v>31731.041</v>
      </c>
      <c r="BV41" t="n">
        <v>30354.487</v>
      </c>
    </row>
    <row r="42">
      <c r="A42" t="inlineStr">
        <is>
          <t>Perciformes</t>
        </is>
      </c>
      <c r="B42" t="inlineStr">
        <is>
          <t>Perch-likes</t>
        </is>
      </c>
      <c r="C42" t="inlineStr">
        <is>
          <t>Medium demersals (30 - 89 cm)</t>
        </is>
      </c>
      <c r="D42" t="inlineStr">
        <is>
          <t>Perch-likes</t>
        </is>
      </c>
      <c r="E42" t="n">
        <v>22520.238</v>
      </c>
      <c r="F42" t="n">
        <v>3502.587</v>
      </c>
      <c r="G42" t="n">
        <v>6482.139</v>
      </c>
      <c r="H42" t="n">
        <v>5141.137</v>
      </c>
      <c r="I42" t="n">
        <v>4545.209</v>
      </c>
      <c r="J42" t="n">
        <v>6146.76</v>
      </c>
      <c r="K42" t="n">
        <v>5377.888</v>
      </c>
      <c r="L42" t="n">
        <v>5232.111</v>
      </c>
      <c r="M42" t="n">
        <v>6101.996</v>
      </c>
      <c r="N42" t="n">
        <v>6621.121</v>
      </c>
      <c r="O42" t="n">
        <v>6924.247</v>
      </c>
      <c r="P42" t="n">
        <v>11501.166</v>
      </c>
      <c r="Q42" t="n">
        <v>5526.4</v>
      </c>
      <c r="R42" t="n">
        <v>6337.68</v>
      </c>
      <c r="S42" t="n">
        <v>7878.496</v>
      </c>
      <c r="T42" t="n">
        <v>7198.881</v>
      </c>
      <c r="U42" t="n">
        <v>8850.009</v>
      </c>
      <c r="V42" t="n">
        <v>6968.863</v>
      </c>
      <c r="W42" t="n">
        <v>7156.262</v>
      </c>
      <c r="X42" t="n">
        <v>9525.844999999999</v>
      </c>
      <c r="Y42" t="n">
        <v>7849.55</v>
      </c>
      <c r="Z42" t="n">
        <v>8988.299000000001</v>
      </c>
      <c r="AA42" t="n">
        <v>9346.26</v>
      </c>
      <c r="AB42" t="n">
        <v>8170.228</v>
      </c>
      <c r="AC42" t="n">
        <v>12242.381</v>
      </c>
      <c r="AD42" t="n">
        <v>14980.494</v>
      </c>
      <c r="AE42" t="n">
        <v>9229.540000000001</v>
      </c>
      <c r="AF42" t="n">
        <v>12537.547</v>
      </c>
      <c r="AG42" t="n">
        <v>13359.549</v>
      </c>
      <c r="AH42" t="n">
        <v>12010.608</v>
      </c>
      <c r="AI42" t="n">
        <v>14198.553</v>
      </c>
      <c r="AJ42" t="n">
        <v>8452.636</v>
      </c>
      <c r="AK42" t="n">
        <v>11351.805</v>
      </c>
      <c r="AL42" t="n">
        <v>13275.576</v>
      </c>
      <c r="AM42" t="n">
        <v>14475.968</v>
      </c>
      <c r="AN42" t="n">
        <v>12671.861</v>
      </c>
      <c r="AO42" t="n">
        <v>12662.579</v>
      </c>
      <c r="AP42" t="n">
        <v>18424.729</v>
      </c>
      <c r="AQ42" t="n">
        <v>14698.86</v>
      </c>
      <c r="AR42" t="n">
        <v>12960.954</v>
      </c>
      <c r="AS42" t="n">
        <v>12209.485</v>
      </c>
      <c r="AT42" t="n">
        <v>12435.17</v>
      </c>
      <c r="AU42" t="n">
        <v>15585.458</v>
      </c>
      <c r="AV42" t="n">
        <v>18281.388</v>
      </c>
      <c r="AW42" t="n">
        <v>15320.649</v>
      </c>
      <c r="AX42" t="n">
        <v>20535.166</v>
      </c>
      <c r="AY42" t="n">
        <v>18956.994</v>
      </c>
      <c r="AZ42" t="n">
        <v>17451.464</v>
      </c>
      <c r="BA42" t="n">
        <v>16160.66</v>
      </c>
      <c r="BB42" t="n">
        <v>17845.8</v>
      </c>
      <c r="BC42" t="n">
        <v>18198.513</v>
      </c>
      <c r="BD42" t="n">
        <v>18059.413</v>
      </c>
      <c r="BE42" t="n">
        <v>19023.618</v>
      </c>
      <c r="BF42" t="n">
        <v>22978.072</v>
      </c>
      <c r="BG42" t="n">
        <v>19511.794</v>
      </c>
      <c r="BH42" t="n">
        <v>18675.252</v>
      </c>
      <c r="BI42" t="n">
        <v>23640.461</v>
      </c>
      <c r="BJ42" t="n">
        <v>26815.5</v>
      </c>
      <c r="BK42" t="n">
        <v>43542.223</v>
      </c>
      <c r="BL42" t="n">
        <v>34211.888</v>
      </c>
      <c r="BM42" t="n">
        <v>33212.728</v>
      </c>
      <c r="BN42" t="n">
        <v>36973.77</v>
      </c>
      <c r="BO42" t="n">
        <v>40110.999</v>
      </c>
      <c r="BP42" t="n">
        <v>37124.362</v>
      </c>
      <c r="BQ42" t="n">
        <v>32158.107</v>
      </c>
      <c r="BR42" t="n">
        <v>38714.646</v>
      </c>
      <c r="BS42" t="n">
        <v>34323.321</v>
      </c>
      <c r="BT42" t="n">
        <v>46672.739</v>
      </c>
      <c r="BU42" t="n">
        <v>43302.273</v>
      </c>
      <c r="BV42" t="n">
        <v>44079.119</v>
      </c>
    </row>
    <row r="43">
      <c r="A43" t="inlineStr">
        <is>
          <t>Odontamblyopus rubicundus</t>
        </is>
      </c>
      <c r="B43" t="inlineStr">
        <is>
          <t>Rubicundus eelgoby</t>
        </is>
      </c>
      <c r="C43" t="inlineStr">
        <is>
          <t>Small pelagics (&lt;30 cm)</t>
        </is>
      </c>
      <c r="D43" t="inlineStr">
        <is>
          <t>Perch-likes</t>
        </is>
      </c>
      <c r="E43" t="n">
        <v>13496.866</v>
      </c>
      <c r="F43" t="n">
        <v>13371.969</v>
      </c>
      <c r="G43" t="n">
        <v>13454.788</v>
      </c>
      <c r="H43" t="n">
        <v>13536.059</v>
      </c>
      <c r="I43" t="n">
        <v>13615.287</v>
      </c>
      <c r="J43" t="n">
        <v>13692.892</v>
      </c>
      <c r="K43" t="n">
        <v>13768.374</v>
      </c>
      <c r="L43" t="n">
        <v>13841.541</v>
      </c>
      <c r="M43" t="n">
        <v>13912.778</v>
      </c>
      <c r="N43" t="n">
        <v>13981.584</v>
      </c>
      <c r="O43" t="n">
        <v>14407.491</v>
      </c>
      <c r="P43" t="n">
        <v>15203.151</v>
      </c>
      <c r="Q43" t="n">
        <v>15183.128</v>
      </c>
      <c r="R43" t="n">
        <v>15352.282</v>
      </c>
      <c r="S43" t="n">
        <v>15519.991</v>
      </c>
      <c r="T43" t="n">
        <v>15685.789</v>
      </c>
      <c r="U43" t="n">
        <v>15816.013</v>
      </c>
      <c r="V43" t="n">
        <v>15943.676</v>
      </c>
      <c r="W43" t="n">
        <v>16068.098</v>
      </c>
      <c r="X43" t="n">
        <v>16189.348</v>
      </c>
      <c r="Y43" t="n">
        <v>15960.816</v>
      </c>
      <c r="Z43" t="n">
        <v>16425.27</v>
      </c>
      <c r="AA43" t="n">
        <v>16539.59</v>
      </c>
      <c r="AB43" t="n">
        <v>16649.92</v>
      </c>
      <c r="AC43" t="n">
        <v>17070.133</v>
      </c>
      <c r="AD43" t="n">
        <v>16813.368</v>
      </c>
      <c r="AE43" t="n">
        <v>17412.159</v>
      </c>
      <c r="AF43" t="n">
        <v>17458.721</v>
      </c>
      <c r="AG43" t="n">
        <v>17602.359</v>
      </c>
      <c r="AH43" t="n">
        <v>17593.502</v>
      </c>
      <c r="AI43" t="n">
        <v>17599.447</v>
      </c>
      <c r="AJ43" t="n">
        <v>17578.452</v>
      </c>
      <c r="AK43" t="n">
        <v>17652.154</v>
      </c>
      <c r="AL43" t="n">
        <v>17605.073</v>
      </c>
      <c r="AM43" t="n">
        <v>17549.852</v>
      </c>
      <c r="AN43" t="n">
        <v>18038.78</v>
      </c>
      <c r="AO43" t="n">
        <v>17417.066</v>
      </c>
      <c r="AP43" t="n">
        <v>17336.908</v>
      </c>
      <c r="AQ43" t="n">
        <v>17516.895</v>
      </c>
      <c r="AR43" t="n">
        <v>17150.538</v>
      </c>
      <c r="AS43" t="n">
        <v>17527.029</v>
      </c>
      <c r="AT43" t="n">
        <v>17591.218</v>
      </c>
      <c r="AU43" t="n">
        <v>17640.67</v>
      </c>
      <c r="AV43" t="n">
        <v>17675.425</v>
      </c>
      <c r="AW43" t="n">
        <v>17695.485</v>
      </c>
      <c r="AX43" t="n">
        <v>17700.849</v>
      </c>
      <c r="AY43" t="n">
        <v>17691.517</v>
      </c>
      <c r="AZ43" t="n">
        <v>17667.49</v>
      </c>
      <c r="BA43" t="n">
        <v>17628.767</v>
      </c>
      <c r="BB43" t="n">
        <v>17575.348</v>
      </c>
      <c r="BC43" t="n">
        <v>17507.213</v>
      </c>
      <c r="BD43" t="n">
        <v>17583.718</v>
      </c>
      <c r="BE43" t="n">
        <v>17638.183</v>
      </c>
      <c r="BF43" t="n">
        <v>17670.529</v>
      </c>
      <c r="BG43" t="n">
        <v>17680.757</v>
      </c>
      <c r="BH43" t="n">
        <v>17668.866</v>
      </c>
      <c r="BI43" t="n">
        <v>17634.857</v>
      </c>
      <c r="BJ43" t="n">
        <v>17578.73</v>
      </c>
      <c r="BK43" t="n">
        <v>17500.484</v>
      </c>
      <c r="BL43" t="n">
        <v>17898.025</v>
      </c>
      <c r="BM43" t="n">
        <v>18295.638</v>
      </c>
      <c r="BN43" t="n">
        <v>18291.895</v>
      </c>
      <c r="BO43" t="n">
        <v>18512.698</v>
      </c>
      <c r="BP43" t="n">
        <v>18739.253</v>
      </c>
      <c r="BQ43" t="n">
        <v>18968.206</v>
      </c>
      <c r="BR43" t="n">
        <v>19133.089</v>
      </c>
      <c r="BS43" t="n">
        <v>19231.168</v>
      </c>
      <c r="BT43" t="n">
        <v>19262.042</v>
      </c>
      <c r="BU43" t="n">
        <v>19262.042</v>
      </c>
      <c r="BV43" t="n">
        <v>19262.042</v>
      </c>
    </row>
    <row r="44">
      <c r="A44" t="inlineStr">
        <is>
          <t>Scomberomorus commerson</t>
        </is>
      </c>
      <c r="B44" t="inlineStr">
        <is>
          <t>Narrow-barred Spanish mackerel</t>
        </is>
      </c>
      <c r="C44" t="inlineStr">
        <is>
          <t>Large pelagics (&gt;=90 cm)</t>
        </is>
      </c>
      <c r="D44" t="inlineStr">
        <is>
          <t>Perch-likes</t>
        </is>
      </c>
      <c r="E44" t="n">
        <v>2470.059</v>
      </c>
      <c r="F44" t="n">
        <v>3335.353</v>
      </c>
      <c r="G44" t="n">
        <v>3022.781</v>
      </c>
      <c r="H44" t="n">
        <v>2613.635</v>
      </c>
      <c r="I44" t="n">
        <v>2493.611</v>
      </c>
      <c r="J44" t="n">
        <v>2328.074</v>
      </c>
      <c r="K44" t="n">
        <v>2396.331</v>
      </c>
      <c r="L44" t="n">
        <v>2405.18</v>
      </c>
      <c r="M44" t="n">
        <v>2667.484</v>
      </c>
      <c r="N44" t="n">
        <v>2815.778</v>
      </c>
      <c r="O44" t="n">
        <v>2837.267</v>
      </c>
      <c r="P44" t="n">
        <v>3142.792</v>
      </c>
      <c r="Q44" t="n">
        <v>4209.467</v>
      </c>
      <c r="R44" t="n">
        <v>5246.001</v>
      </c>
      <c r="S44" t="n">
        <v>4736.551</v>
      </c>
      <c r="T44" t="n">
        <v>4318.808</v>
      </c>
      <c r="U44" t="n">
        <v>6377.642</v>
      </c>
      <c r="V44" t="n">
        <v>8172.956</v>
      </c>
      <c r="W44" t="n">
        <v>8143.777</v>
      </c>
      <c r="X44" t="n">
        <v>8175.458</v>
      </c>
      <c r="Y44" t="n">
        <v>6475.29</v>
      </c>
      <c r="Z44" t="n">
        <v>4955.239</v>
      </c>
      <c r="AA44" t="n">
        <v>5754.557</v>
      </c>
      <c r="AB44" t="n">
        <v>5920.234</v>
      </c>
      <c r="AC44" t="n">
        <v>6316.523</v>
      </c>
      <c r="AD44" t="n">
        <v>6229.404</v>
      </c>
      <c r="AE44" t="n">
        <v>6156.933</v>
      </c>
      <c r="AF44" t="n">
        <v>6355.862</v>
      </c>
      <c r="AG44" t="n">
        <v>6241.839</v>
      </c>
      <c r="AH44" t="n">
        <v>7105.349</v>
      </c>
      <c r="AI44" t="n">
        <v>11558.668</v>
      </c>
      <c r="AJ44" t="n">
        <v>16807.702</v>
      </c>
      <c r="AK44" t="n">
        <v>17593.345</v>
      </c>
      <c r="AL44" t="n">
        <v>16047.283</v>
      </c>
      <c r="AM44" t="n">
        <v>17333.517</v>
      </c>
      <c r="AN44" t="n">
        <v>13821.897</v>
      </c>
      <c r="AO44" t="n">
        <v>16839.043</v>
      </c>
      <c r="AP44" t="n">
        <v>16089.848</v>
      </c>
      <c r="AQ44" t="n">
        <v>18196.029</v>
      </c>
      <c r="AR44" t="n">
        <v>19650.807</v>
      </c>
      <c r="AS44" t="n">
        <v>16566.325</v>
      </c>
      <c r="AT44" t="n">
        <v>19487.954</v>
      </c>
      <c r="AU44" t="n">
        <v>23341.532</v>
      </c>
      <c r="AV44" t="n">
        <v>22251.124</v>
      </c>
      <c r="AW44" t="n">
        <v>22104.859</v>
      </c>
      <c r="AX44" t="n">
        <v>22737.115</v>
      </c>
      <c r="AY44" t="n">
        <v>23744.427</v>
      </c>
      <c r="AZ44" t="n">
        <v>25282.073</v>
      </c>
      <c r="BA44" t="n">
        <v>29606.01</v>
      </c>
      <c r="BB44" t="n">
        <v>29400.819</v>
      </c>
      <c r="BC44" t="n">
        <v>37198.351</v>
      </c>
      <c r="BD44" t="n">
        <v>26339.017</v>
      </c>
      <c r="BE44" t="n">
        <v>29516.325</v>
      </c>
      <c r="BF44" t="n">
        <v>28074.103</v>
      </c>
      <c r="BG44" t="n">
        <v>29324.313</v>
      </c>
      <c r="BH44" t="n">
        <v>23466.363</v>
      </c>
      <c r="BI44" t="n">
        <v>30562.837</v>
      </c>
      <c r="BJ44" t="n">
        <v>31116.071</v>
      </c>
      <c r="BK44" t="n">
        <v>26706.522</v>
      </c>
      <c r="BL44" t="n">
        <v>30623.052</v>
      </c>
      <c r="BM44" t="n">
        <v>25583.127</v>
      </c>
      <c r="BN44" t="n">
        <v>29955.723</v>
      </c>
      <c r="BO44" t="n">
        <v>34366.873</v>
      </c>
      <c r="BP44" t="n">
        <v>25640.53</v>
      </c>
      <c r="BQ44" t="n">
        <v>30910.9</v>
      </c>
      <c r="BR44" t="n">
        <v>42012.438</v>
      </c>
      <c r="BS44" t="n">
        <v>41018.928</v>
      </c>
      <c r="BT44" t="n">
        <v>39076.102</v>
      </c>
      <c r="BU44" t="n">
        <v>30631.001</v>
      </c>
      <c r="BV44" t="n">
        <v>35082.42</v>
      </c>
    </row>
    <row r="45">
      <c r="A45" t="inlineStr">
        <is>
          <t>Saurida</t>
        </is>
      </c>
      <c r="B45" t="inlineStr">
        <is>
          <t>Lizardfishes</t>
        </is>
      </c>
      <c r="C45" t="inlineStr">
        <is>
          <t>Medium demersals (30 - 89 cm)</t>
        </is>
      </c>
      <c r="D45" t="inlineStr">
        <is>
          <t>Other fishes &amp; inverts</t>
        </is>
      </c>
      <c r="E45" t="n">
        <v>1.988</v>
      </c>
      <c r="F45" t="n">
        <v>1.988</v>
      </c>
      <c r="G45" t="n">
        <v>1.988</v>
      </c>
      <c r="H45" t="n">
        <v>2.982</v>
      </c>
      <c r="I45" t="n">
        <v>3.977</v>
      </c>
      <c r="J45" t="n">
        <v>3.977</v>
      </c>
      <c r="K45" t="n">
        <v>3.977</v>
      </c>
      <c r="L45" t="n">
        <v>3.977</v>
      </c>
      <c r="M45" t="n">
        <v>3.977</v>
      </c>
      <c r="N45" t="n">
        <v>3.977</v>
      </c>
      <c r="O45" t="n">
        <v>3.977</v>
      </c>
      <c r="P45" t="n">
        <v>3.977</v>
      </c>
      <c r="Q45" t="n">
        <v>4.971</v>
      </c>
      <c r="R45" t="n">
        <v>4.971</v>
      </c>
      <c r="S45" t="n">
        <v>1063.151</v>
      </c>
      <c r="T45" t="n">
        <v>1199.659</v>
      </c>
      <c r="U45" t="n">
        <v>1283.354</v>
      </c>
      <c r="V45" t="n">
        <v>1105.992</v>
      </c>
      <c r="W45" t="n">
        <v>1073.111</v>
      </c>
      <c r="X45" t="n">
        <v>879.808</v>
      </c>
      <c r="Y45" t="n">
        <v>1956.125</v>
      </c>
      <c r="Z45" t="n">
        <v>4305.708</v>
      </c>
      <c r="AA45" t="n">
        <v>5373.398</v>
      </c>
      <c r="AB45" t="n">
        <v>7144.873</v>
      </c>
      <c r="AC45" t="n">
        <v>8295.976000000001</v>
      </c>
      <c r="AD45" t="n">
        <v>6674.511</v>
      </c>
      <c r="AE45" t="n">
        <v>11202.314</v>
      </c>
      <c r="AF45" t="n">
        <v>10023.172</v>
      </c>
      <c r="AG45" t="n">
        <v>8188.988</v>
      </c>
      <c r="AH45" t="n">
        <v>8953.877</v>
      </c>
      <c r="AI45" t="n">
        <v>6352.598</v>
      </c>
      <c r="AJ45" t="n">
        <v>7029.684</v>
      </c>
      <c r="AK45" t="n">
        <v>6853.233</v>
      </c>
      <c r="AL45" t="n">
        <v>6421.76</v>
      </c>
      <c r="AM45" t="n">
        <v>6697.3</v>
      </c>
      <c r="AN45" t="n">
        <v>5859.6</v>
      </c>
      <c r="AO45" t="n">
        <v>5712.245</v>
      </c>
      <c r="AP45" t="n">
        <v>5029.55</v>
      </c>
      <c r="AQ45" t="n">
        <v>4612.08</v>
      </c>
      <c r="AR45" t="n">
        <v>5414.914</v>
      </c>
      <c r="AS45" t="n">
        <v>16969.571</v>
      </c>
      <c r="AT45" t="n">
        <v>17055.901</v>
      </c>
      <c r="AU45" t="n">
        <v>21981.055</v>
      </c>
      <c r="AV45" t="n">
        <v>25583.354</v>
      </c>
      <c r="AW45" t="n">
        <v>27933.855</v>
      </c>
      <c r="AX45" t="n">
        <v>29074.473</v>
      </c>
      <c r="AY45" t="n">
        <v>26322.292</v>
      </c>
      <c r="AZ45" t="n">
        <v>23986.863</v>
      </c>
      <c r="BA45" t="n">
        <v>62058.363</v>
      </c>
      <c r="BB45" t="n">
        <v>29096.369</v>
      </c>
      <c r="BC45" t="n">
        <v>45766.25</v>
      </c>
      <c r="BD45" t="n">
        <v>28853.046</v>
      </c>
      <c r="BE45" t="n">
        <v>28091.012</v>
      </c>
      <c r="BF45" t="n">
        <v>32470.044</v>
      </c>
      <c r="BG45" t="n">
        <v>37557.75</v>
      </c>
      <c r="BH45" t="n">
        <v>20006.296</v>
      </c>
      <c r="BI45" t="n">
        <v>20632.561</v>
      </c>
      <c r="BJ45" t="n">
        <v>25405.493</v>
      </c>
      <c r="BK45" t="n">
        <v>37467.582</v>
      </c>
      <c r="BL45" t="n">
        <v>41643.601</v>
      </c>
      <c r="BM45" t="n">
        <v>44221.273</v>
      </c>
      <c r="BN45" t="n">
        <v>35708.752</v>
      </c>
      <c r="BO45" t="n">
        <v>37903.336</v>
      </c>
      <c r="BP45" t="n">
        <v>39999.591</v>
      </c>
      <c r="BQ45" t="n">
        <v>40317.201</v>
      </c>
      <c r="BR45" t="n">
        <v>40752.144</v>
      </c>
      <c r="BS45" t="n">
        <v>44472.746</v>
      </c>
      <c r="BT45" t="n">
        <v>40766.641</v>
      </c>
      <c r="BU45" t="n">
        <v>34947.268</v>
      </c>
      <c r="BV45" t="n">
        <v>48632.364</v>
      </c>
    </row>
    <row r="46">
      <c r="A46" t="inlineStr">
        <is>
          <t>Apogonidae</t>
        </is>
      </c>
      <c r="B46" t="inlineStr">
        <is>
          <t>Cardinalfishes</t>
        </is>
      </c>
      <c r="C46" t="inlineStr">
        <is>
          <t>Small reef assoc. fish (&lt;30 cm)</t>
        </is>
      </c>
      <c r="D46" t="inlineStr">
        <is>
          <t>Perch-likes</t>
        </is>
      </c>
      <c r="E46" t="n">
        <v>2354.592</v>
      </c>
      <c r="F46" t="n">
        <v>2354.592</v>
      </c>
      <c r="G46" t="n">
        <v>3151.59</v>
      </c>
      <c r="H46" t="n">
        <v>2747.344</v>
      </c>
      <c r="I46" t="n">
        <v>2354.592</v>
      </c>
      <c r="J46" t="n">
        <v>2354.592</v>
      </c>
      <c r="K46" t="n">
        <v>2354.592</v>
      </c>
      <c r="L46" t="n">
        <v>2285.621</v>
      </c>
      <c r="M46" t="n">
        <v>2436.016</v>
      </c>
      <c r="N46" t="n">
        <v>2354.592</v>
      </c>
      <c r="O46" t="n">
        <v>3140.095</v>
      </c>
      <c r="P46" t="n">
        <v>4040.55</v>
      </c>
      <c r="Q46" t="n">
        <v>4098.025</v>
      </c>
      <c r="R46" t="n">
        <v>7046.534</v>
      </c>
      <c r="S46" t="n">
        <v>6542.663</v>
      </c>
      <c r="T46" t="n">
        <v>6944.986</v>
      </c>
      <c r="U46" t="n">
        <v>8691.284</v>
      </c>
      <c r="V46" t="n">
        <v>10864.816</v>
      </c>
      <c r="W46" t="n">
        <v>11103.331</v>
      </c>
      <c r="X46" t="n">
        <v>10202.871</v>
      </c>
      <c r="Y46" t="n">
        <v>8920.200000000001</v>
      </c>
      <c r="Z46" t="n">
        <v>10474.898</v>
      </c>
      <c r="AA46" t="n">
        <v>9886.719999999999</v>
      </c>
      <c r="AB46" t="n">
        <v>11327.42</v>
      </c>
      <c r="AC46" t="n">
        <v>14731.853</v>
      </c>
      <c r="AD46" t="n">
        <v>14348.665</v>
      </c>
      <c r="AE46" t="n">
        <v>15261.56</v>
      </c>
      <c r="AF46" t="n">
        <v>18723.854</v>
      </c>
      <c r="AG46" t="n">
        <v>17237.755</v>
      </c>
      <c r="AH46" t="n">
        <v>15077.633</v>
      </c>
      <c r="AI46" t="n">
        <v>15325.759</v>
      </c>
      <c r="AJ46" t="n">
        <v>16131.37</v>
      </c>
      <c r="AK46" t="n">
        <v>16596.912</v>
      </c>
      <c r="AL46" t="n">
        <v>17247.328</v>
      </c>
      <c r="AM46" t="n">
        <v>15054.635</v>
      </c>
      <c r="AN46" t="n">
        <v>16625.628</v>
      </c>
      <c r="AO46" t="n">
        <v>19632.527</v>
      </c>
      <c r="AP46" t="n">
        <v>23861.703</v>
      </c>
      <c r="AQ46" t="n">
        <v>18722.476</v>
      </c>
      <c r="AR46" t="n">
        <v>22784.055</v>
      </c>
      <c r="AS46" t="n">
        <v>24781.291</v>
      </c>
      <c r="AT46" t="n">
        <v>18535.678</v>
      </c>
      <c r="AU46" t="n">
        <v>19225.384</v>
      </c>
      <c r="AV46" t="n">
        <v>19788.645</v>
      </c>
      <c r="AW46" t="n">
        <v>19441.882</v>
      </c>
      <c r="AX46" t="n">
        <v>20797.339</v>
      </c>
      <c r="AY46" t="n">
        <v>21165.177</v>
      </c>
      <c r="AZ46" t="n">
        <v>20739.863</v>
      </c>
      <c r="BA46" t="n">
        <v>24520.748</v>
      </c>
      <c r="BB46" t="n">
        <v>21731.29</v>
      </c>
      <c r="BC46" t="n">
        <v>24387.6</v>
      </c>
      <c r="BD46" t="n">
        <v>23371.252</v>
      </c>
      <c r="BE46" t="n">
        <v>25027.474</v>
      </c>
      <c r="BF46" t="n">
        <v>25329.226</v>
      </c>
      <c r="BG46" t="n">
        <v>26338.874</v>
      </c>
      <c r="BH46" t="n">
        <v>23320.47</v>
      </c>
      <c r="BI46" t="n">
        <v>27789.146</v>
      </c>
      <c r="BJ46" t="n">
        <v>27448.128</v>
      </c>
      <c r="BK46" t="n">
        <v>27279.539</v>
      </c>
      <c r="BL46" t="n">
        <v>24680.722</v>
      </c>
      <c r="BM46" t="n">
        <v>26297.684</v>
      </c>
      <c r="BN46" t="n">
        <v>24764.261</v>
      </c>
      <c r="BO46" t="n">
        <v>25134.691</v>
      </c>
      <c r="BP46" t="n">
        <v>24490.782</v>
      </c>
      <c r="BQ46" t="n">
        <v>25973.038</v>
      </c>
      <c r="BR46" t="n">
        <v>26325.135</v>
      </c>
      <c r="BS46" t="n">
        <v>28261.479</v>
      </c>
      <c r="BT46" t="n">
        <v>26135.935</v>
      </c>
      <c r="BU46" t="n">
        <v>23982.55</v>
      </c>
      <c r="BV46" t="n">
        <v>25003.869</v>
      </c>
    </row>
    <row r="47">
      <c r="A47" t="inlineStr">
        <is>
          <t>Decapterus russelli</t>
        </is>
      </c>
      <c r="B47" t="inlineStr">
        <is>
          <t>Indian scad</t>
        </is>
      </c>
      <c r="C47" t="inlineStr">
        <is>
          <t>Medium pelagics (30 - 89 cm)</t>
        </is>
      </c>
      <c r="D47" t="inlineStr">
        <is>
          <t>Perch-likes</t>
        </is>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155.845</v>
      </c>
      <c r="AF47" t="n">
        <v>1715.129</v>
      </c>
      <c r="AG47" t="n">
        <v>1049.868</v>
      </c>
      <c r="AH47" t="n">
        <v>1239.221</v>
      </c>
      <c r="AI47" t="n">
        <v>1064.8</v>
      </c>
      <c r="AJ47" t="n">
        <v>2824.983</v>
      </c>
      <c r="AK47" t="n">
        <v>4483.62</v>
      </c>
      <c r="AL47" t="n">
        <v>11459.051</v>
      </c>
      <c r="AM47" t="n">
        <v>20115.165</v>
      </c>
      <c r="AN47" t="n">
        <v>9652.598</v>
      </c>
      <c r="AO47" t="n">
        <v>2972.436</v>
      </c>
      <c r="AP47" t="n">
        <v>17282.301</v>
      </c>
      <c r="AQ47" t="n">
        <v>21519.594</v>
      </c>
      <c r="AR47" t="n">
        <v>27160.125</v>
      </c>
      <c r="AS47" t="n">
        <v>27507.331</v>
      </c>
      <c r="AT47" t="n">
        <v>29294.462</v>
      </c>
      <c r="AU47" t="n">
        <v>10342.716</v>
      </c>
      <c r="AV47" t="n">
        <v>11054.021</v>
      </c>
      <c r="AW47" t="n">
        <v>44467.898</v>
      </c>
      <c r="AX47" t="n">
        <v>28470.974</v>
      </c>
      <c r="AY47" t="n">
        <v>40506.878</v>
      </c>
      <c r="AZ47" t="n">
        <v>38289.374</v>
      </c>
      <c r="BA47" t="n">
        <v>37669.821</v>
      </c>
      <c r="BB47" t="n">
        <v>37191.912</v>
      </c>
      <c r="BC47" t="n">
        <v>33892.942</v>
      </c>
      <c r="BD47" t="n">
        <v>32028.814</v>
      </c>
      <c r="BE47" t="n">
        <v>40629.874</v>
      </c>
      <c r="BF47" t="n">
        <v>38579.323</v>
      </c>
      <c r="BG47" t="n">
        <v>40885.626</v>
      </c>
      <c r="BH47" t="n">
        <v>44293.829</v>
      </c>
      <c r="BI47" t="n">
        <v>39996.314</v>
      </c>
      <c r="BJ47" t="n">
        <v>30860.101</v>
      </c>
      <c r="BK47" t="n">
        <v>32563.26</v>
      </c>
      <c r="BL47" t="n">
        <v>32326.974</v>
      </c>
      <c r="BM47" t="n">
        <v>21593.844</v>
      </c>
      <c r="BN47" t="n">
        <v>19074.191</v>
      </c>
      <c r="BO47" t="n">
        <v>21957.847</v>
      </c>
      <c r="BP47" t="n">
        <v>17028.486</v>
      </c>
      <c r="BQ47" t="n">
        <v>18285.905</v>
      </c>
      <c r="BR47" t="n">
        <v>35556.801</v>
      </c>
      <c r="BS47" t="n">
        <v>54877.865</v>
      </c>
      <c r="BT47" t="n">
        <v>43751.475</v>
      </c>
      <c r="BU47" t="n">
        <v>48160.927</v>
      </c>
      <c r="BV47" t="n">
        <v>45117.539</v>
      </c>
    </row>
    <row r="48">
      <c r="A48" t="inlineStr">
        <is>
          <t>Sepia</t>
        </is>
      </c>
      <c r="B48" t="inlineStr">
        <is>
          <t>Sepia cuttlefishes</t>
        </is>
      </c>
      <c r="C48" t="inlineStr">
        <is>
          <t>Cephalopods</t>
        </is>
      </c>
      <c r="D48" t="inlineStr">
        <is>
          <t>Other fishes &amp; inverts</t>
        </is>
      </c>
      <c r="E48" t="n">
        <v>1948.525</v>
      </c>
      <c r="F48" t="n">
        <v>1943.093</v>
      </c>
      <c r="G48" t="n">
        <v>2010.26</v>
      </c>
      <c r="H48" t="n">
        <v>2022.038</v>
      </c>
      <c r="I48" t="n">
        <v>2005.861</v>
      </c>
      <c r="J48" t="n">
        <v>2014.429</v>
      </c>
      <c r="K48" t="n">
        <v>2022.757</v>
      </c>
      <c r="L48" t="n">
        <v>2027.248</v>
      </c>
      <c r="M48" t="n">
        <v>2045.964</v>
      </c>
      <c r="N48" t="n">
        <v>2047.937</v>
      </c>
      <c r="O48" t="n">
        <v>2128.779</v>
      </c>
      <c r="P48" t="n">
        <v>2322.381</v>
      </c>
      <c r="Q48" t="n">
        <v>2379.059</v>
      </c>
      <c r="R48" t="n">
        <v>2670.396</v>
      </c>
      <c r="S48" t="n">
        <v>2715.259</v>
      </c>
      <c r="T48" t="n">
        <v>2874.968</v>
      </c>
      <c r="U48" t="n">
        <v>3115.648</v>
      </c>
      <c r="V48" t="n">
        <v>3335.796</v>
      </c>
      <c r="W48" t="n">
        <v>3413.112</v>
      </c>
      <c r="X48" t="n">
        <v>3426.265</v>
      </c>
      <c r="Y48" t="n">
        <v>3388.404</v>
      </c>
      <c r="Z48" t="n">
        <v>3593.83</v>
      </c>
      <c r="AA48" t="n">
        <v>3544.056</v>
      </c>
      <c r="AB48" t="n">
        <v>3698.528</v>
      </c>
      <c r="AC48" t="n">
        <v>4056.613</v>
      </c>
      <c r="AD48" t="n">
        <v>4220.985</v>
      </c>
      <c r="AE48" t="n">
        <v>17465.532</v>
      </c>
      <c r="AF48" t="n">
        <v>15371.173</v>
      </c>
      <c r="AG48" t="n">
        <v>17505.245</v>
      </c>
      <c r="AH48" t="n">
        <v>18406.435</v>
      </c>
      <c r="AI48" t="n">
        <v>15261.866</v>
      </c>
      <c r="AJ48" t="n">
        <v>14916.799</v>
      </c>
      <c r="AK48" t="n">
        <v>15134.689</v>
      </c>
      <c r="AL48" t="n">
        <v>14500.599</v>
      </c>
      <c r="AM48" t="n">
        <v>14542.04</v>
      </c>
      <c r="AN48" t="n">
        <v>12072.539</v>
      </c>
      <c r="AO48" t="n">
        <v>11761.385</v>
      </c>
      <c r="AP48" t="n">
        <v>12234.099</v>
      </c>
      <c r="AQ48" t="n">
        <v>11321.213</v>
      </c>
      <c r="AR48" t="n">
        <v>11848.607</v>
      </c>
      <c r="AS48" t="n">
        <v>19814.373</v>
      </c>
      <c r="AT48" t="n">
        <v>19373.795</v>
      </c>
      <c r="AU48" t="n">
        <v>22019.366</v>
      </c>
      <c r="AV48" t="n">
        <v>20268.431</v>
      </c>
      <c r="AW48" t="n">
        <v>19803.229</v>
      </c>
      <c r="AX48" t="n">
        <v>23726.803</v>
      </c>
      <c r="AY48" t="n">
        <v>23375.221</v>
      </c>
      <c r="AZ48" t="n">
        <v>22606.678</v>
      </c>
      <c r="BA48" t="n">
        <v>23611.624</v>
      </c>
      <c r="BB48" t="n">
        <v>22563.421</v>
      </c>
      <c r="BC48" t="n">
        <v>39108.888</v>
      </c>
      <c r="BD48" t="n">
        <v>36848.038</v>
      </c>
      <c r="BE48" t="n">
        <v>36234.086</v>
      </c>
      <c r="BF48" t="n">
        <v>41570.401</v>
      </c>
      <c r="BG48" t="n">
        <v>42121.387</v>
      </c>
      <c r="BH48" t="n">
        <v>21696.557</v>
      </c>
      <c r="BI48" t="n">
        <v>23141.151</v>
      </c>
      <c r="BJ48" t="n">
        <v>26380.101</v>
      </c>
      <c r="BK48" t="n">
        <v>25468.561</v>
      </c>
      <c r="BL48" t="n">
        <v>32398.829</v>
      </c>
      <c r="BM48" t="n">
        <v>25726.454</v>
      </c>
      <c r="BN48" t="n">
        <v>24973.492</v>
      </c>
      <c r="BO48" t="n">
        <v>25154.089</v>
      </c>
      <c r="BP48" t="n">
        <v>24742.262</v>
      </c>
      <c r="BQ48" t="n">
        <v>26060.958</v>
      </c>
      <c r="BR48" t="n">
        <v>27421.517</v>
      </c>
      <c r="BS48" t="n">
        <v>28620.933</v>
      </c>
      <c r="BT48" t="n">
        <v>28708.7</v>
      </c>
      <c r="BU48" t="n">
        <v>25781.42</v>
      </c>
      <c r="BV48" t="n">
        <v>33119.073</v>
      </c>
    </row>
    <row r="49">
      <c r="A49" t="inlineStr">
        <is>
          <t>Mugilidae</t>
        </is>
      </c>
      <c r="B49" t="inlineStr">
        <is>
          <t>Mullets, grey mullets</t>
        </is>
      </c>
      <c r="C49" t="inlineStr">
        <is>
          <t>Medium reef assoc. fish (30 - 89 cm)</t>
        </is>
      </c>
      <c r="D49" t="inlineStr">
        <is>
          <t>Perch-likes</t>
        </is>
      </c>
      <c r="E49" t="n">
        <v>11789.669</v>
      </c>
      <c r="F49" t="n">
        <v>11387.133</v>
      </c>
      <c r="G49" t="n">
        <v>6588.634</v>
      </c>
      <c r="H49" t="n">
        <v>7425.441</v>
      </c>
      <c r="I49" t="n">
        <v>10969.768</v>
      </c>
      <c r="J49" t="n">
        <v>20551.984</v>
      </c>
      <c r="K49" t="n">
        <v>11793.062</v>
      </c>
      <c r="L49" t="n">
        <v>6836.139</v>
      </c>
      <c r="M49" t="n">
        <v>6452.146</v>
      </c>
      <c r="N49" t="n">
        <v>9809.637000000001</v>
      </c>
      <c r="O49" t="n">
        <v>7647.435</v>
      </c>
      <c r="P49" t="n">
        <v>8565.447</v>
      </c>
      <c r="Q49" t="n">
        <v>7909.354</v>
      </c>
      <c r="R49" t="n">
        <v>7979.943</v>
      </c>
      <c r="S49" t="n">
        <v>8446.927</v>
      </c>
      <c r="T49" t="n">
        <v>8717.174999999999</v>
      </c>
      <c r="U49" t="n">
        <v>9615.066999999999</v>
      </c>
      <c r="V49" t="n">
        <v>8454.403</v>
      </c>
      <c r="W49" t="n">
        <v>7554.226</v>
      </c>
      <c r="X49" t="n">
        <v>6441.942</v>
      </c>
      <c r="Y49" t="n">
        <v>4794.937</v>
      </c>
      <c r="Z49" t="n">
        <v>4797.207</v>
      </c>
      <c r="AA49" t="n">
        <v>5400.701</v>
      </c>
      <c r="AB49" t="n">
        <v>4731.229</v>
      </c>
      <c r="AC49" t="n">
        <v>4870.689</v>
      </c>
      <c r="AD49" t="n">
        <v>5165.226</v>
      </c>
      <c r="AE49" t="n">
        <v>6044.819</v>
      </c>
      <c r="AF49" t="n">
        <v>6536.179</v>
      </c>
      <c r="AG49" t="n">
        <v>9242.838</v>
      </c>
      <c r="AH49" t="n">
        <v>7300.583</v>
      </c>
      <c r="AI49" t="n">
        <v>6967.025</v>
      </c>
      <c r="AJ49" t="n">
        <v>6835.366</v>
      </c>
      <c r="AK49" t="n">
        <v>9006.996999999999</v>
      </c>
      <c r="AL49" t="n">
        <v>9833.201999999999</v>
      </c>
      <c r="AM49" t="n">
        <v>8935.918</v>
      </c>
      <c r="AN49" t="n">
        <v>10255.93</v>
      </c>
      <c r="AO49" t="n">
        <v>9016.683999999999</v>
      </c>
      <c r="AP49" t="n">
        <v>9878.714</v>
      </c>
      <c r="AQ49" t="n">
        <v>12365.37</v>
      </c>
      <c r="AR49" t="n">
        <v>11525.09</v>
      </c>
      <c r="AS49" t="n">
        <v>10496.959</v>
      </c>
      <c r="AT49" t="n">
        <v>11305.283</v>
      </c>
      <c r="AU49" t="n">
        <v>11207.325</v>
      </c>
      <c r="AV49" t="n">
        <v>11767.338</v>
      </c>
      <c r="AW49" t="n">
        <v>15467.065</v>
      </c>
      <c r="AX49" t="n">
        <v>14921.333</v>
      </c>
      <c r="AY49" t="n">
        <v>16909.823</v>
      </c>
      <c r="AZ49" t="n">
        <v>17400.502</v>
      </c>
      <c r="BA49" t="n">
        <v>21448.828</v>
      </c>
      <c r="BB49" t="n">
        <v>24779.495</v>
      </c>
      <c r="BC49" t="n">
        <v>27653.208</v>
      </c>
      <c r="BD49" t="n">
        <v>30346.547</v>
      </c>
      <c r="BE49" t="n">
        <v>29434.878</v>
      </c>
      <c r="BF49" t="n">
        <v>29873.963</v>
      </c>
      <c r="BG49" t="n">
        <v>25081.278</v>
      </c>
      <c r="BH49" t="n">
        <v>24835.142</v>
      </c>
      <c r="BI49" t="n">
        <v>26166.636</v>
      </c>
      <c r="BJ49" t="n">
        <v>27403.395</v>
      </c>
      <c r="BK49" t="n">
        <v>28165.135</v>
      </c>
      <c r="BL49" t="n">
        <v>29164.863</v>
      </c>
      <c r="BM49" t="n">
        <v>28513.593</v>
      </c>
      <c r="BN49" t="n">
        <v>28157.267</v>
      </c>
      <c r="BO49" t="n">
        <v>27696.702</v>
      </c>
      <c r="BP49" t="n">
        <v>25517.637</v>
      </c>
      <c r="BQ49" t="n">
        <v>25409.837</v>
      </c>
      <c r="BR49" t="n">
        <v>25808.529</v>
      </c>
      <c r="BS49" t="n">
        <v>25391.482</v>
      </c>
      <c r="BT49" t="n">
        <v>27879.457</v>
      </c>
      <c r="BU49" t="n">
        <v>25652.256</v>
      </c>
      <c r="BV49" t="n">
        <v>25626.628</v>
      </c>
    </row>
    <row r="50">
      <c r="A50" t="inlineStr">
        <is>
          <t>Thryssa</t>
        </is>
      </c>
      <c r="B50" t="inlineStr">
        <is>
          <t>Thryssas</t>
        </is>
      </c>
      <c r="C50" t="inlineStr">
        <is>
          <t>Small pelagics (&lt;30 cm)</t>
        </is>
      </c>
      <c r="D50" t="inlineStr">
        <is>
          <t>Anchovies</t>
        </is>
      </c>
      <c r="E50" t="n">
        <v>3339.478</v>
      </c>
      <c r="F50" t="n">
        <v>5319.787</v>
      </c>
      <c r="G50" t="n">
        <v>4239.999</v>
      </c>
      <c r="H50" t="n">
        <v>3178.698</v>
      </c>
      <c r="I50" t="n">
        <v>3574.528</v>
      </c>
      <c r="J50" t="n">
        <v>3387.737</v>
      </c>
      <c r="K50" t="n">
        <v>3422.411</v>
      </c>
      <c r="L50" t="n">
        <v>3860.329</v>
      </c>
      <c r="M50" t="n">
        <v>3201.944</v>
      </c>
      <c r="N50" t="n">
        <v>3565.964</v>
      </c>
      <c r="O50" t="n">
        <v>5388.68</v>
      </c>
      <c r="P50" t="n">
        <v>4196.539</v>
      </c>
      <c r="Q50" t="n">
        <v>5421.653</v>
      </c>
      <c r="R50" t="n">
        <v>4669.682</v>
      </c>
      <c r="S50" t="n">
        <v>5566.707</v>
      </c>
      <c r="T50" t="n">
        <v>4429.335</v>
      </c>
      <c r="U50" t="n">
        <v>5356.743</v>
      </c>
      <c r="V50" t="n">
        <v>7297.063</v>
      </c>
      <c r="W50" t="n">
        <v>7223.09</v>
      </c>
      <c r="X50" t="n">
        <v>8524.352999999999</v>
      </c>
      <c r="Y50" t="n">
        <v>8790.984</v>
      </c>
      <c r="Z50" t="n">
        <v>8254.254000000001</v>
      </c>
      <c r="AA50" t="n">
        <v>8984.700999999999</v>
      </c>
      <c r="AB50" t="n">
        <v>9890.785</v>
      </c>
      <c r="AC50" t="n">
        <v>9757.370000000001</v>
      </c>
      <c r="AD50" t="n">
        <v>8764.885</v>
      </c>
      <c r="AE50" t="n">
        <v>14091.96</v>
      </c>
      <c r="AF50" t="n">
        <v>7446.755</v>
      </c>
      <c r="AG50" t="n">
        <v>9800.578</v>
      </c>
      <c r="AH50" t="n">
        <v>11997.61</v>
      </c>
      <c r="AI50" t="n">
        <v>15281.492</v>
      </c>
      <c r="AJ50" t="n">
        <v>12017.546</v>
      </c>
      <c r="AK50" t="n">
        <v>10778.319</v>
      </c>
      <c r="AL50" t="n">
        <v>12163.716</v>
      </c>
      <c r="AM50" t="n">
        <v>14329.689</v>
      </c>
      <c r="AN50" t="n">
        <v>14368.799</v>
      </c>
      <c r="AO50" t="n">
        <v>13937.69</v>
      </c>
      <c r="AP50" t="n">
        <v>17320.761</v>
      </c>
      <c r="AQ50" t="n">
        <v>11740.609</v>
      </c>
      <c r="AR50" t="n">
        <v>13018.557</v>
      </c>
      <c r="AS50" t="n">
        <v>11760.654</v>
      </c>
      <c r="AT50" t="n">
        <v>16465.223</v>
      </c>
      <c r="AU50" t="n">
        <v>15241.749</v>
      </c>
      <c r="AV50" t="n">
        <v>18940.258</v>
      </c>
      <c r="AW50" t="n">
        <v>16843.618</v>
      </c>
      <c r="AX50" t="n">
        <v>16284.697</v>
      </c>
      <c r="AY50" t="n">
        <v>17014.824</v>
      </c>
      <c r="AZ50" t="n">
        <v>23188.001</v>
      </c>
      <c r="BA50" t="n">
        <v>18966.388</v>
      </c>
      <c r="BB50" t="n">
        <v>21226.982</v>
      </c>
      <c r="BC50" t="n">
        <v>21326.831</v>
      </c>
      <c r="BD50" t="n">
        <v>17441.835</v>
      </c>
      <c r="BE50" t="n">
        <v>22316.025</v>
      </c>
      <c r="BF50" t="n">
        <v>17698.199</v>
      </c>
      <c r="BG50" t="n">
        <v>15034.036</v>
      </c>
      <c r="BH50" t="n">
        <v>20203.262</v>
      </c>
      <c r="BI50" t="n">
        <v>17709.368</v>
      </c>
      <c r="BJ50" t="n">
        <v>19807.019</v>
      </c>
      <c r="BK50" t="n">
        <v>20523.588</v>
      </c>
      <c r="BL50" t="n">
        <v>34216.383</v>
      </c>
      <c r="BM50" t="n">
        <v>31503.274</v>
      </c>
      <c r="BN50" t="n">
        <v>30727.26</v>
      </c>
      <c r="BO50" t="n">
        <v>32537.679</v>
      </c>
      <c r="BP50" t="n">
        <v>32346.629</v>
      </c>
      <c r="BQ50" t="n">
        <v>39554.272</v>
      </c>
      <c r="BR50" t="n">
        <v>36604.984</v>
      </c>
      <c r="BS50" t="n">
        <v>26375.22</v>
      </c>
      <c r="BT50" t="n">
        <v>29416.704</v>
      </c>
      <c r="BU50" t="n">
        <v>31425.02</v>
      </c>
      <c r="BV50" t="n">
        <v>34917.725</v>
      </c>
    </row>
    <row r="51">
      <c r="A51" t="inlineStr">
        <is>
          <t>Portunidae</t>
        </is>
      </c>
      <c r="B51" t="inlineStr">
        <is>
          <t>Swimming crabs</t>
        </is>
      </c>
      <c r="C51" t="inlineStr">
        <is>
          <t>Lobsters, crabs</t>
        </is>
      </c>
      <c r="D51" t="inlineStr">
        <is>
          <t>Crustaceans</t>
        </is>
      </c>
      <c r="E51" t="n">
        <v>1339.379</v>
      </c>
      <c r="F51" t="n">
        <v>1344.954</v>
      </c>
      <c r="G51" t="n">
        <v>1349.94</v>
      </c>
      <c r="H51" t="n">
        <v>1389.557</v>
      </c>
      <c r="I51" t="n">
        <v>1362.274</v>
      </c>
      <c r="J51" t="n">
        <v>1389.659</v>
      </c>
      <c r="K51" t="n">
        <v>1452.23</v>
      </c>
      <c r="L51" t="n">
        <v>2271.783</v>
      </c>
      <c r="M51" t="n">
        <v>3502.317</v>
      </c>
      <c r="N51" t="n">
        <v>4577.182</v>
      </c>
      <c r="O51" t="n">
        <v>4508.095</v>
      </c>
      <c r="P51" t="n">
        <v>3983.232</v>
      </c>
      <c r="Q51" t="n">
        <v>2895.71</v>
      </c>
      <c r="R51" t="n">
        <v>4209.978</v>
      </c>
      <c r="S51" t="n">
        <v>4792.186</v>
      </c>
      <c r="T51" t="n">
        <v>3599.376</v>
      </c>
      <c r="U51" t="n">
        <v>3935.335</v>
      </c>
      <c r="V51" t="n">
        <v>4611.159</v>
      </c>
      <c r="W51" t="n">
        <v>4597.796</v>
      </c>
      <c r="X51" t="n">
        <v>4645.664</v>
      </c>
      <c r="Y51" t="n">
        <v>4992.991</v>
      </c>
      <c r="Z51" t="n">
        <v>6564.512</v>
      </c>
      <c r="AA51" t="n">
        <v>9277.102000000001</v>
      </c>
      <c r="AB51" t="n">
        <v>8637.940000000001</v>
      </c>
      <c r="AC51" t="n">
        <v>6418.719</v>
      </c>
      <c r="AD51" t="n">
        <v>9384.982</v>
      </c>
      <c r="AE51" t="n">
        <v>10590.421</v>
      </c>
      <c r="AF51" t="n">
        <v>11622.528</v>
      </c>
      <c r="AG51" t="n">
        <v>15302.722</v>
      </c>
      <c r="AH51" t="n">
        <v>10369.584</v>
      </c>
      <c r="AI51" t="n">
        <v>15309.411</v>
      </c>
      <c r="AJ51" t="n">
        <v>15482.21</v>
      </c>
      <c r="AK51" t="n">
        <v>14442.7</v>
      </c>
      <c r="AL51" t="n">
        <v>11808.174</v>
      </c>
      <c r="AM51" t="n">
        <v>12045.827</v>
      </c>
      <c r="AN51" t="n">
        <v>12190.174</v>
      </c>
      <c r="AO51" t="n">
        <v>13490.134</v>
      </c>
      <c r="AP51" t="n">
        <v>12330.468</v>
      </c>
      <c r="AQ51" t="n">
        <v>14041.21</v>
      </c>
      <c r="AR51" t="n">
        <v>13759.027</v>
      </c>
      <c r="AS51" t="n">
        <v>12605.95</v>
      </c>
      <c r="AT51" t="n">
        <v>14668.811</v>
      </c>
      <c r="AU51" t="n">
        <v>13350.152</v>
      </c>
      <c r="AV51" t="n">
        <v>13940.402</v>
      </c>
      <c r="AW51" t="n">
        <v>10301.85</v>
      </c>
      <c r="AX51" t="n">
        <v>7503.878</v>
      </c>
      <c r="AY51" t="n">
        <v>9858.197</v>
      </c>
      <c r="AZ51" t="n">
        <v>12586.859</v>
      </c>
      <c r="BA51" t="n">
        <v>17964.038</v>
      </c>
      <c r="BB51" t="n">
        <v>20430.491</v>
      </c>
      <c r="BC51" t="n">
        <v>25605.253</v>
      </c>
      <c r="BD51" t="n">
        <v>26312.109</v>
      </c>
      <c r="BE51" t="n">
        <v>29307.082</v>
      </c>
      <c r="BF51" t="n">
        <v>29329.231</v>
      </c>
      <c r="BG51" t="n">
        <v>28493.083</v>
      </c>
      <c r="BH51" t="n">
        <v>27906.616</v>
      </c>
      <c r="BI51" t="n">
        <v>29685.003</v>
      </c>
      <c r="BJ51" t="n">
        <v>31626.382</v>
      </c>
      <c r="BK51" t="n">
        <v>29847.785</v>
      </c>
      <c r="BL51" t="n">
        <v>28991.051</v>
      </c>
      <c r="BM51" t="n">
        <v>29791.721</v>
      </c>
      <c r="BN51" t="n">
        <v>31382.876</v>
      </c>
      <c r="BO51" t="n">
        <v>29852.252</v>
      </c>
      <c r="BP51" t="n">
        <v>28584.845</v>
      </c>
      <c r="BQ51" t="n">
        <v>29406.592</v>
      </c>
      <c r="BR51" t="n">
        <v>29373.622</v>
      </c>
      <c r="BS51" t="n">
        <v>31310.908</v>
      </c>
      <c r="BT51" t="n">
        <v>33225.427</v>
      </c>
      <c r="BU51" t="n">
        <v>31148.566</v>
      </c>
      <c r="BV51" t="n">
        <v>28990.981</v>
      </c>
    </row>
    <row r="52">
      <c r="A52" t="inlineStr">
        <is>
          <t>Pterotolithus maculatus</t>
        </is>
      </c>
      <c r="B52" t="inlineStr">
        <is>
          <t>Blotched tiger-toothed croaker</t>
        </is>
      </c>
      <c r="C52" t="inlineStr">
        <is>
          <t>Small pelagics (&lt;30 cm)</t>
        </is>
      </c>
      <c r="D52" t="inlineStr">
        <is>
          <t>Perch-likes</t>
        </is>
      </c>
      <c r="E52" t="n">
        <v>10013.479</v>
      </c>
      <c r="F52" t="n">
        <v>10001.553</v>
      </c>
      <c r="G52" t="n">
        <v>10141.386</v>
      </c>
      <c r="H52" t="n">
        <v>10280.088</v>
      </c>
      <c r="I52" t="n">
        <v>10417.298</v>
      </c>
      <c r="J52" t="n">
        <v>10553.321</v>
      </c>
      <c r="K52" t="n">
        <v>10687.794</v>
      </c>
      <c r="L52" t="n">
        <v>10820.575</v>
      </c>
      <c r="M52" t="n">
        <v>10951.946</v>
      </c>
      <c r="N52" t="n">
        <v>11081.541</v>
      </c>
      <c r="O52" t="n">
        <v>11472.037</v>
      </c>
      <c r="P52" t="n">
        <v>12132.679</v>
      </c>
      <c r="Q52" t="n">
        <v>12197.374</v>
      </c>
      <c r="R52" t="n">
        <v>12400.284</v>
      </c>
      <c r="S52" t="n">
        <v>12602.139</v>
      </c>
      <c r="T52" t="n">
        <v>12802.597</v>
      </c>
      <c r="U52" t="n">
        <v>12977.065</v>
      </c>
      <c r="V52" t="n">
        <v>13149.661</v>
      </c>
      <c r="W52" t="n">
        <v>13319.89</v>
      </c>
      <c r="X52" t="n">
        <v>13487.801</v>
      </c>
      <c r="Y52" t="n">
        <v>13400.158</v>
      </c>
      <c r="Z52" t="n">
        <v>13760.195</v>
      </c>
      <c r="AA52" t="n">
        <v>13864.421</v>
      </c>
      <c r="AB52" t="n">
        <v>13965.732</v>
      </c>
      <c r="AC52" t="n">
        <v>14293.446</v>
      </c>
      <c r="AD52" t="n">
        <v>14126.554</v>
      </c>
      <c r="AE52" t="n">
        <v>14584.739</v>
      </c>
      <c r="AF52" t="n">
        <v>14639.461</v>
      </c>
      <c r="AG52" t="n">
        <v>14765.107</v>
      </c>
      <c r="AH52" t="n">
        <v>14779.339</v>
      </c>
      <c r="AI52" t="n">
        <v>14804.385</v>
      </c>
      <c r="AJ52" t="n">
        <v>14809.749</v>
      </c>
      <c r="AK52" t="n">
        <v>14884.299</v>
      </c>
      <c r="AL52" t="n">
        <v>14870.604</v>
      </c>
      <c r="AM52" t="n">
        <v>14850.962</v>
      </c>
      <c r="AN52" t="n">
        <v>15228.88</v>
      </c>
      <c r="AO52" t="n">
        <v>14795.354</v>
      </c>
      <c r="AP52" t="n">
        <v>14757.492</v>
      </c>
      <c r="AQ52" t="n">
        <v>14909.695</v>
      </c>
      <c r="AR52" t="n">
        <v>14662.734</v>
      </c>
      <c r="AS52" t="n">
        <v>14958.505</v>
      </c>
      <c r="AT52" t="n">
        <v>15026.105</v>
      </c>
      <c r="AU52" t="n">
        <v>15166.819</v>
      </c>
      <c r="AV52" t="n">
        <v>15296.797</v>
      </c>
      <c r="AW52" t="n">
        <v>15416.037</v>
      </c>
      <c r="AX52" t="n">
        <v>15524.541</v>
      </c>
      <c r="AY52" t="n">
        <v>15622.308</v>
      </c>
      <c r="AZ52" t="n">
        <v>15709.338</v>
      </c>
      <c r="BA52" t="n">
        <v>15785.632</v>
      </c>
      <c r="BB52" t="n">
        <v>15851.188</v>
      </c>
      <c r="BC52" t="n">
        <v>15905.993</v>
      </c>
      <c r="BD52" t="n">
        <v>16066.474</v>
      </c>
      <c r="BE52" t="n">
        <v>16210.851</v>
      </c>
      <c r="BF52" t="n">
        <v>16339.068</v>
      </c>
      <c r="BG52" t="n">
        <v>16451.125</v>
      </c>
      <c r="BH52" t="n">
        <v>16547.023</v>
      </c>
      <c r="BI52" t="n">
        <v>16626.76</v>
      </c>
      <c r="BJ52" t="n">
        <v>16690.337</v>
      </c>
      <c r="BK52" t="n">
        <v>16737.755</v>
      </c>
      <c r="BL52" t="n">
        <v>17132.787</v>
      </c>
      <c r="BM52" t="n">
        <v>17527.871</v>
      </c>
      <c r="BN52" t="n">
        <v>15937.384</v>
      </c>
      <c r="BO52" t="n">
        <v>15960.49</v>
      </c>
      <c r="BP52" t="n">
        <v>16184.541</v>
      </c>
      <c r="BQ52" t="n">
        <v>16632.749</v>
      </c>
      <c r="BR52" t="n">
        <v>16862.518</v>
      </c>
      <c r="BS52" t="n">
        <v>17146.298</v>
      </c>
      <c r="BT52" t="n">
        <v>16937.032</v>
      </c>
      <c r="BU52" t="n">
        <v>16685.757</v>
      </c>
      <c r="BV52" t="n">
        <v>16786.745</v>
      </c>
    </row>
    <row r="53">
      <c r="A53" t="inlineStr">
        <is>
          <t>Rastrelliger brachysoma</t>
        </is>
      </c>
      <c r="B53" t="inlineStr">
        <is>
          <t>Short mackerel</t>
        </is>
      </c>
      <c r="C53" t="inlineStr">
        <is>
          <t>Medium pelagics (30 - 89 cm)</t>
        </is>
      </c>
      <c r="D53" t="inlineStr">
        <is>
          <t>Perch-likes</t>
        </is>
      </c>
      <c r="E53" t="n">
        <v>3079.624</v>
      </c>
      <c r="F53" t="n">
        <v>3520.326</v>
      </c>
      <c r="G53" t="n">
        <v>3974.949</v>
      </c>
      <c r="H53" t="n">
        <v>4085.51</v>
      </c>
      <c r="I53" t="n">
        <v>4357.661</v>
      </c>
      <c r="J53" t="n">
        <v>4460.492</v>
      </c>
      <c r="K53" t="n">
        <v>4533.942</v>
      </c>
      <c r="L53" t="n">
        <v>4415.428</v>
      </c>
      <c r="M53" t="n">
        <v>4565.311</v>
      </c>
      <c r="N53" t="n">
        <v>4342.971</v>
      </c>
      <c r="O53" t="n">
        <v>4459.721</v>
      </c>
      <c r="P53" t="n">
        <v>5679.221</v>
      </c>
      <c r="Q53" t="n">
        <v>5669.826</v>
      </c>
      <c r="R53" t="n">
        <v>5662.932</v>
      </c>
      <c r="S53" t="n">
        <v>5714.982</v>
      </c>
      <c r="T53" t="n">
        <v>6129.654</v>
      </c>
      <c r="U53" t="n">
        <v>6319.865</v>
      </c>
      <c r="V53" t="n">
        <v>5653.792</v>
      </c>
      <c r="W53" t="n">
        <v>6012.21</v>
      </c>
      <c r="X53" t="n">
        <v>6532.888</v>
      </c>
      <c r="Y53" t="n">
        <v>7297.983</v>
      </c>
      <c r="Z53" t="n">
        <v>7484.586</v>
      </c>
      <c r="AA53" t="n">
        <v>7245.719</v>
      </c>
      <c r="AB53" t="n">
        <v>6682.111</v>
      </c>
      <c r="AC53" t="n">
        <v>8100.52</v>
      </c>
      <c r="AD53" t="n">
        <v>8885.659</v>
      </c>
      <c r="AE53" t="n">
        <v>8237.102999999999</v>
      </c>
      <c r="AF53" t="n">
        <v>8562.189</v>
      </c>
      <c r="AG53" t="n">
        <v>8083.688</v>
      </c>
      <c r="AH53" t="n">
        <v>8590.779</v>
      </c>
      <c r="AI53" t="n">
        <v>10263.028</v>
      </c>
      <c r="AJ53" t="n">
        <v>10749.109</v>
      </c>
      <c r="AK53" t="n">
        <v>11230.23</v>
      </c>
      <c r="AL53" t="n">
        <v>11153.44</v>
      </c>
      <c r="AM53" t="n">
        <v>12272.774</v>
      </c>
      <c r="AN53" t="n">
        <v>14810.323</v>
      </c>
      <c r="AO53" t="n">
        <v>16213.986</v>
      </c>
      <c r="AP53" t="n">
        <v>15454.792</v>
      </c>
      <c r="AQ53" t="n">
        <v>15186.604</v>
      </c>
      <c r="AR53" t="n">
        <v>17249.18</v>
      </c>
      <c r="AS53" t="n">
        <v>17299.182</v>
      </c>
      <c r="AT53" t="n">
        <v>16470.214</v>
      </c>
      <c r="AU53" t="n">
        <v>19617.662</v>
      </c>
      <c r="AV53" t="n">
        <v>22227.974</v>
      </c>
      <c r="AW53" t="n">
        <v>22886.336</v>
      </c>
      <c r="AX53" t="n">
        <v>23709.847</v>
      </c>
      <c r="AY53" t="n">
        <v>22973.388</v>
      </c>
      <c r="AZ53" t="n">
        <v>24277.672</v>
      </c>
      <c r="BA53" t="n">
        <v>23620.521</v>
      </c>
      <c r="BB53" t="n">
        <v>22047.257</v>
      </c>
      <c r="BC53" t="n">
        <v>23507.727</v>
      </c>
      <c r="BD53" t="n">
        <v>25026.099</v>
      </c>
      <c r="BE53" t="n">
        <v>25627.188</v>
      </c>
      <c r="BF53" t="n">
        <v>20620.464</v>
      </c>
      <c r="BG53" t="n">
        <v>19531.4</v>
      </c>
      <c r="BH53" t="n">
        <v>18735.431</v>
      </c>
      <c r="BI53" t="n">
        <v>19797.946</v>
      </c>
      <c r="BJ53" t="n">
        <v>21469.879</v>
      </c>
      <c r="BK53" t="n">
        <v>20726.881</v>
      </c>
      <c r="BL53" t="n">
        <v>19872.022</v>
      </c>
      <c r="BM53" t="n">
        <v>20277.653</v>
      </c>
      <c r="BN53" t="n">
        <v>22077.728</v>
      </c>
      <c r="BO53" t="n">
        <v>22576.087</v>
      </c>
      <c r="BP53" t="n">
        <v>22458.142</v>
      </c>
      <c r="BQ53" t="n">
        <v>23520.933</v>
      </c>
      <c r="BR53" t="n">
        <v>27506.453</v>
      </c>
      <c r="BS53" t="n">
        <v>26661.34</v>
      </c>
      <c r="BT53" t="n">
        <v>33661.069</v>
      </c>
      <c r="BU53" t="n">
        <v>27705.207</v>
      </c>
      <c r="BV53" t="n">
        <v>29743.458</v>
      </c>
    </row>
    <row r="54">
      <c r="A54" t="inlineStr">
        <is>
          <t>Polynemidae</t>
        </is>
      </c>
      <c r="B54" t="inlineStr">
        <is>
          <t>Threadfins</t>
        </is>
      </c>
      <c r="C54" t="inlineStr">
        <is>
          <t>Small demersals (&lt;30 cm)</t>
        </is>
      </c>
      <c r="D54" t="inlineStr">
        <is>
          <t>Perch-likes</t>
        </is>
      </c>
      <c r="E54" t="n">
        <v>1594.669</v>
      </c>
      <c r="F54" t="n">
        <v>1196.131</v>
      </c>
      <c r="G54" t="n">
        <v>1637.454</v>
      </c>
      <c r="H54" t="n">
        <v>1704.098</v>
      </c>
      <c r="I54" t="n">
        <v>2860.493</v>
      </c>
      <c r="J54" t="n">
        <v>1279.126</v>
      </c>
      <c r="K54" t="n">
        <v>2247.521</v>
      </c>
      <c r="L54" t="n">
        <v>1460.655</v>
      </c>
      <c r="M54" t="n">
        <v>2065.411</v>
      </c>
      <c r="N54" t="n">
        <v>2053.728</v>
      </c>
      <c r="O54" t="n">
        <v>2573.598</v>
      </c>
      <c r="P54" t="n">
        <v>2738.533</v>
      </c>
      <c r="Q54" t="n">
        <v>3034.439</v>
      </c>
      <c r="R54" t="n">
        <v>4162.714</v>
      </c>
      <c r="S54" t="n">
        <v>3090.313</v>
      </c>
      <c r="T54" t="n">
        <v>3025.054</v>
      </c>
      <c r="U54" t="n">
        <v>2821.63</v>
      </c>
      <c r="V54" t="n">
        <v>3293.973</v>
      </c>
      <c r="W54" t="n">
        <v>4223.935</v>
      </c>
      <c r="X54" t="n">
        <v>5492.622</v>
      </c>
      <c r="Y54" t="n">
        <v>6689.985</v>
      </c>
      <c r="Z54" t="n">
        <v>8320.819</v>
      </c>
      <c r="AA54" t="n">
        <v>8210.672</v>
      </c>
      <c r="AB54" t="n">
        <v>12781.94</v>
      </c>
      <c r="AC54" t="n">
        <v>13153.593</v>
      </c>
      <c r="AD54" t="n">
        <v>9742.343000000001</v>
      </c>
      <c r="AE54" t="n">
        <v>9900.736999999999</v>
      </c>
      <c r="AF54" t="n">
        <v>7847.001</v>
      </c>
      <c r="AG54" t="n">
        <v>9167.994000000001</v>
      </c>
      <c r="AH54" t="n">
        <v>9528.552</v>
      </c>
      <c r="AI54" t="n">
        <v>9585.133</v>
      </c>
      <c r="AJ54" t="n">
        <v>8005.734</v>
      </c>
      <c r="AK54" t="n">
        <v>8914.933000000001</v>
      </c>
      <c r="AL54" t="n">
        <v>7488.369</v>
      </c>
      <c r="AM54" t="n">
        <v>9499.554</v>
      </c>
      <c r="AN54" t="n">
        <v>9427.822</v>
      </c>
      <c r="AO54" t="n">
        <v>9541.557000000001</v>
      </c>
      <c r="AP54" t="n">
        <v>9652.258</v>
      </c>
      <c r="AQ54" t="n">
        <v>10331.692</v>
      </c>
      <c r="AR54" t="n">
        <v>12148.803</v>
      </c>
      <c r="AS54" t="n">
        <v>12597.656</v>
      </c>
      <c r="AT54" t="n">
        <v>13471.941</v>
      </c>
      <c r="AU54" t="n">
        <v>13352.341</v>
      </c>
      <c r="AV54" t="n">
        <v>12161.301</v>
      </c>
      <c r="AW54" t="n">
        <v>22884.003</v>
      </c>
      <c r="AX54" t="n">
        <v>17822.263</v>
      </c>
      <c r="AY54" t="n">
        <v>18998.222</v>
      </c>
      <c r="AZ54" t="n">
        <v>17784.803</v>
      </c>
      <c r="BA54" t="n">
        <v>16907.941</v>
      </c>
      <c r="BB54" t="n">
        <v>24588.025</v>
      </c>
      <c r="BC54" t="n">
        <v>25505.828</v>
      </c>
      <c r="BD54" t="n">
        <v>23650.409</v>
      </c>
      <c r="BE54" t="n">
        <v>25067.249</v>
      </c>
      <c r="BF54" t="n">
        <v>25657.427</v>
      </c>
      <c r="BG54" t="n">
        <v>26528.214</v>
      </c>
      <c r="BH54" t="n">
        <v>28048.385</v>
      </c>
      <c r="BI54" t="n">
        <v>27543.274</v>
      </c>
      <c r="BJ54" t="n">
        <v>27891.286</v>
      </c>
      <c r="BK54" t="n">
        <v>28508.158</v>
      </c>
      <c r="BL54" t="n">
        <v>30420.51</v>
      </c>
      <c r="BM54" t="n">
        <v>29125.835</v>
      </c>
      <c r="BN54" t="n">
        <v>30971.875</v>
      </c>
      <c r="BO54" t="n">
        <v>32458.61</v>
      </c>
      <c r="BP54" t="n">
        <v>30428.305</v>
      </c>
      <c r="BQ54" t="n">
        <v>27892.908</v>
      </c>
      <c r="BR54" t="n">
        <v>26947.004</v>
      </c>
      <c r="BS54" t="n">
        <v>27801.038</v>
      </c>
      <c r="BT54" t="n">
        <v>30482.865</v>
      </c>
      <c r="BU54" t="n">
        <v>28916.262</v>
      </c>
      <c r="BV54" t="n">
        <v>29389.143</v>
      </c>
    </row>
    <row r="55">
      <c r="A55" t="inlineStr">
        <is>
          <t>Thunnus albacares</t>
        </is>
      </c>
      <c r="B55" t="inlineStr">
        <is>
          <t>Yellowfin tuna</t>
        </is>
      </c>
      <c r="C55" t="inlineStr">
        <is>
          <t>Large pelagics (&gt;=90 cm)</t>
        </is>
      </c>
      <c r="D55" t="inlineStr">
        <is>
          <t>Tuna &amp; billfishes</t>
        </is>
      </c>
      <c r="E55" t="n">
        <v>0</v>
      </c>
      <c r="F55" t="n">
        <v>0</v>
      </c>
      <c r="G55" t="n">
        <v>0</v>
      </c>
      <c r="H55" t="n">
        <v>0</v>
      </c>
      <c r="I55" t="n">
        <v>1920.298</v>
      </c>
      <c r="J55" t="n">
        <v>10967.322</v>
      </c>
      <c r="K55" t="n">
        <v>14384.6</v>
      </c>
      <c r="L55" t="n">
        <v>3564.402</v>
      </c>
      <c r="M55" t="n">
        <v>3463.557</v>
      </c>
      <c r="N55" t="n">
        <v>8516.137000000001</v>
      </c>
      <c r="O55" t="n">
        <v>9489.275</v>
      </c>
      <c r="P55" t="n">
        <v>10522.781</v>
      </c>
      <c r="Q55" t="n">
        <v>6835.756</v>
      </c>
      <c r="R55" t="n">
        <v>4762.878</v>
      </c>
      <c r="S55" t="n">
        <v>9306.906000000001</v>
      </c>
      <c r="T55" t="n">
        <v>4428.329</v>
      </c>
      <c r="U55" t="n">
        <v>9547.181</v>
      </c>
      <c r="V55" t="n">
        <v>5338.135</v>
      </c>
      <c r="W55" t="n">
        <v>18154.892</v>
      </c>
      <c r="X55" t="n">
        <v>24508.421</v>
      </c>
      <c r="Y55" t="n">
        <v>1924.014</v>
      </c>
      <c r="Z55" t="n">
        <v>8285.477999999999</v>
      </c>
      <c r="AA55" t="n">
        <v>3359.422</v>
      </c>
      <c r="AB55" t="n">
        <v>767.157</v>
      </c>
      <c r="AC55" t="n">
        <v>1371.047</v>
      </c>
      <c r="AD55" t="n">
        <v>2100.394</v>
      </c>
      <c r="AE55" t="n">
        <v>1014.503</v>
      </c>
      <c r="AF55" t="n">
        <v>2632.884</v>
      </c>
      <c r="AG55" t="n">
        <v>3260.735</v>
      </c>
      <c r="AH55" t="n">
        <v>1508.004</v>
      </c>
      <c r="AI55" t="n">
        <v>1270.858</v>
      </c>
      <c r="AJ55" t="n">
        <v>3803.731</v>
      </c>
      <c r="AK55" t="n">
        <v>4563.616</v>
      </c>
      <c r="AL55" t="n">
        <v>8155.089</v>
      </c>
      <c r="AM55" t="n">
        <v>21969.88</v>
      </c>
      <c r="AN55" t="n">
        <v>22738.409</v>
      </c>
      <c r="AO55" t="n">
        <v>30052.173</v>
      </c>
      <c r="AP55" t="n">
        <v>30672.264</v>
      </c>
      <c r="AQ55" t="n">
        <v>38631.646</v>
      </c>
      <c r="AR55" t="n">
        <v>31479.905</v>
      </c>
      <c r="AS55" t="n">
        <v>14792.538</v>
      </c>
      <c r="AT55" t="n">
        <v>14701.021</v>
      </c>
      <c r="AU55" t="n">
        <v>18701.79</v>
      </c>
      <c r="AV55" t="n">
        <v>32479.883</v>
      </c>
      <c r="AW55" t="n">
        <v>10341.697</v>
      </c>
      <c r="AX55" t="n">
        <v>16673.51</v>
      </c>
      <c r="AY55" t="n">
        <v>16407.9</v>
      </c>
      <c r="AZ55" t="n">
        <v>14227.129</v>
      </c>
      <c r="BA55" t="n">
        <v>31560.934</v>
      </c>
      <c r="BB55" t="n">
        <v>22560.595</v>
      </c>
      <c r="BC55" t="n">
        <v>27939.031</v>
      </c>
      <c r="BD55" t="n">
        <v>18985.775</v>
      </c>
      <c r="BE55" t="n">
        <v>30040.965</v>
      </c>
      <c r="BF55" t="n">
        <v>22045.782</v>
      </c>
      <c r="BG55" t="n">
        <v>27123.189</v>
      </c>
      <c r="BH55" t="n">
        <v>44480.865</v>
      </c>
      <c r="BI55" t="n">
        <v>20450.669</v>
      </c>
      <c r="BJ55" t="n">
        <v>55328.686</v>
      </c>
      <c r="BK55" t="n">
        <v>19475.674</v>
      </c>
      <c r="BL55" t="n">
        <v>10948.608</v>
      </c>
      <c r="BM55" t="n">
        <v>10007.929</v>
      </c>
      <c r="BN55" t="n">
        <v>9862.414000000001</v>
      </c>
      <c r="BO55" t="n">
        <v>9908.522999999999</v>
      </c>
      <c r="BP55" t="n">
        <v>3679.916</v>
      </c>
      <c r="BQ55" t="n">
        <v>9819.079</v>
      </c>
      <c r="BR55" t="n">
        <v>18691.777</v>
      </c>
      <c r="BS55" t="n">
        <v>17365.584</v>
      </c>
      <c r="BT55" t="n">
        <v>15257.375</v>
      </c>
      <c r="BU55" t="n">
        <v>17581.153</v>
      </c>
      <c r="BV55" t="n">
        <v>21709.179</v>
      </c>
    </row>
    <row r="56">
      <c r="A56" t="inlineStr">
        <is>
          <t>Mullidae</t>
        </is>
      </c>
      <c r="B56" t="inlineStr">
        <is>
          <t>Goatfishes</t>
        </is>
      </c>
      <c r="C56" t="inlineStr">
        <is>
          <t>Medium reef assoc. fish (30 - 89 cm)</t>
        </is>
      </c>
      <c r="D56" t="inlineStr">
        <is>
          <t>Perch-likes</t>
        </is>
      </c>
      <c r="E56" t="n">
        <v>2203.817</v>
      </c>
      <c r="F56" t="n">
        <v>2688.038</v>
      </c>
      <c r="G56" t="n">
        <v>1881.984</v>
      </c>
      <c r="H56" t="n">
        <v>2237.87</v>
      </c>
      <c r="I56" t="n">
        <v>2057.789</v>
      </c>
      <c r="J56" t="n">
        <v>2636.863</v>
      </c>
      <c r="K56" t="n">
        <v>7240.049</v>
      </c>
      <c r="L56" t="n">
        <v>4100.187</v>
      </c>
      <c r="M56" t="n">
        <v>2831.025</v>
      </c>
      <c r="N56" t="n">
        <v>2708.518</v>
      </c>
      <c r="O56" t="n">
        <v>3502.22</v>
      </c>
      <c r="P56" t="n">
        <v>2909.976</v>
      </c>
      <c r="Q56" t="n">
        <v>2208.346</v>
      </c>
      <c r="R56" t="n">
        <v>3688.88</v>
      </c>
      <c r="S56" t="n">
        <v>3931.173</v>
      </c>
      <c r="T56" t="n">
        <v>2552.404</v>
      </c>
      <c r="U56" t="n">
        <v>2780.858</v>
      </c>
      <c r="V56" t="n">
        <v>4404.604</v>
      </c>
      <c r="W56" t="n">
        <v>4057.916</v>
      </c>
      <c r="X56" t="n">
        <v>4665.806</v>
      </c>
      <c r="Y56" t="n">
        <v>4554.941</v>
      </c>
      <c r="Z56" t="n">
        <v>5414.456</v>
      </c>
      <c r="AA56" t="n">
        <v>4847.401</v>
      </c>
      <c r="AB56" t="n">
        <v>5648.954</v>
      </c>
      <c r="AC56" t="n">
        <v>7145.044</v>
      </c>
      <c r="AD56" t="n">
        <v>7608.348</v>
      </c>
      <c r="AE56" t="n">
        <v>5410.677</v>
      </c>
      <c r="AF56" t="n">
        <v>5462.924</v>
      </c>
      <c r="AG56" t="n">
        <v>6731.399</v>
      </c>
      <c r="AH56" t="n">
        <v>5994.751</v>
      </c>
      <c r="AI56" t="n">
        <v>6190.078</v>
      </c>
      <c r="AJ56" t="n">
        <v>6310.477</v>
      </c>
      <c r="AK56" t="n">
        <v>7814.491</v>
      </c>
      <c r="AL56" t="n">
        <v>8418.288</v>
      </c>
      <c r="AM56" t="n">
        <v>7121.795</v>
      </c>
      <c r="AN56" t="n">
        <v>8679.798000000001</v>
      </c>
      <c r="AO56" t="n">
        <v>9157.666999999999</v>
      </c>
      <c r="AP56" t="n">
        <v>12825.21</v>
      </c>
      <c r="AQ56" t="n">
        <v>19884.447</v>
      </c>
      <c r="AR56" t="n">
        <v>16036.453</v>
      </c>
      <c r="AS56" t="n">
        <v>17454.429</v>
      </c>
      <c r="AT56" t="n">
        <v>20073.27</v>
      </c>
      <c r="AU56" t="n">
        <v>13857.605</v>
      </c>
      <c r="AV56" t="n">
        <v>14872.367</v>
      </c>
      <c r="AW56" t="n">
        <v>18720.333</v>
      </c>
      <c r="AX56" t="n">
        <v>12958.033</v>
      </c>
      <c r="AY56" t="n">
        <v>14000.471</v>
      </c>
      <c r="AZ56" t="n">
        <v>14712.477</v>
      </c>
      <c r="BA56" t="n">
        <v>16559.455</v>
      </c>
      <c r="BB56" t="n">
        <v>24203.58</v>
      </c>
      <c r="BC56" t="n">
        <v>19176.101</v>
      </c>
      <c r="BD56" t="n">
        <v>15825.644</v>
      </c>
      <c r="BE56" t="n">
        <v>17736.33</v>
      </c>
      <c r="BF56" t="n">
        <v>18087.57</v>
      </c>
      <c r="BG56" t="n">
        <v>22236.583</v>
      </c>
      <c r="BH56" t="n">
        <v>22762.298</v>
      </c>
      <c r="BI56" t="n">
        <v>22587.001</v>
      </c>
      <c r="BJ56" t="n">
        <v>21985.771</v>
      </c>
      <c r="BK56" t="n">
        <v>28433.815</v>
      </c>
      <c r="BL56" t="n">
        <v>35884.386</v>
      </c>
      <c r="BM56" t="n">
        <v>37289.449</v>
      </c>
      <c r="BN56" t="n">
        <v>39105.364</v>
      </c>
      <c r="BO56" t="n">
        <v>34477.63</v>
      </c>
      <c r="BP56" t="n">
        <v>33094.802</v>
      </c>
      <c r="BQ56" t="n">
        <v>27763.848</v>
      </c>
      <c r="BR56" t="n">
        <v>33213.647</v>
      </c>
      <c r="BS56" t="n">
        <v>31986.345</v>
      </c>
      <c r="BT56" t="n">
        <v>27769.648</v>
      </c>
      <c r="BU56" t="n">
        <v>25106.246</v>
      </c>
      <c r="BV56" t="n">
        <v>31803.112</v>
      </c>
    </row>
    <row r="57">
      <c r="A57" t="inlineStr">
        <is>
          <t>Saurida tumbil</t>
        </is>
      </c>
      <c r="B57" t="inlineStr">
        <is>
          <t>Greater lizardfish</t>
        </is>
      </c>
      <c r="C57" t="inlineStr">
        <is>
          <t>Medium demersals (30 - 89 cm)</t>
        </is>
      </c>
      <c r="D57" t="inlineStr">
        <is>
          <t>Other fishes &amp; inverts</t>
        </is>
      </c>
      <c r="E57" t="n">
        <v>1938.888</v>
      </c>
      <c r="F57" t="n">
        <v>1938.888</v>
      </c>
      <c r="G57" t="n">
        <v>2594.747</v>
      </c>
      <c r="H57" t="n">
        <v>2262.366</v>
      </c>
      <c r="I57" t="n">
        <v>1938.888</v>
      </c>
      <c r="J57" t="n">
        <v>1938.888</v>
      </c>
      <c r="K57" t="n">
        <v>1938.888</v>
      </c>
      <c r="L57" t="n">
        <v>1881.513</v>
      </c>
      <c r="M57" t="n">
        <v>2005.167</v>
      </c>
      <c r="N57" t="n">
        <v>1938.888</v>
      </c>
      <c r="O57" t="n">
        <v>2584.855</v>
      </c>
      <c r="P57" t="n">
        <v>3326.776</v>
      </c>
      <c r="Q57" t="n">
        <v>3374.259</v>
      </c>
      <c r="R57" t="n">
        <v>5800.837</v>
      </c>
      <c r="S57" t="n">
        <v>5386.351</v>
      </c>
      <c r="T57" t="n">
        <v>5716.809</v>
      </c>
      <c r="U57" t="n">
        <v>7156.192</v>
      </c>
      <c r="V57" t="n">
        <v>8945.794</v>
      </c>
      <c r="W57" t="n">
        <v>9140.736000000001</v>
      </c>
      <c r="X57" t="n">
        <v>8399.843999999999</v>
      </c>
      <c r="Y57" t="n">
        <v>7345.342</v>
      </c>
      <c r="Z57" t="n">
        <v>8624.567999999999</v>
      </c>
      <c r="AA57" t="n">
        <v>8139.913</v>
      </c>
      <c r="AB57" t="n">
        <v>9327.172</v>
      </c>
      <c r="AC57" t="n">
        <v>12130.013</v>
      </c>
      <c r="AD57" t="n">
        <v>11813.567</v>
      </c>
      <c r="AE57" t="n">
        <v>12566.46</v>
      </c>
      <c r="AF57" t="n">
        <v>15416.577</v>
      </c>
      <c r="AG57" t="n">
        <v>14192.852</v>
      </c>
      <c r="AH57" t="n">
        <v>12416.123</v>
      </c>
      <c r="AI57" t="n">
        <v>12618.763</v>
      </c>
      <c r="AJ57" t="n">
        <v>13282.596</v>
      </c>
      <c r="AK57" t="n">
        <v>13665.509</v>
      </c>
      <c r="AL57" t="n">
        <v>14201.799</v>
      </c>
      <c r="AM57" t="n">
        <v>12396.391</v>
      </c>
      <c r="AN57" t="n">
        <v>13689.403</v>
      </c>
      <c r="AO57" t="n">
        <v>16166.734</v>
      </c>
      <c r="AP57" t="n">
        <v>19647.438</v>
      </c>
      <c r="AQ57" t="n">
        <v>15416.029</v>
      </c>
      <c r="AR57" t="n">
        <v>18760.925</v>
      </c>
      <c r="AS57" t="n">
        <v>20406.347</v>
      </c>
      <c r="AT57" t="n">
        <v>15262.71</v>
      </c>
      <c r="AU57" t="n">
        <v>15830.557</v>
      </c>
      <c r="AV57" t="n">
        <v>16294.517</v>
      </c>
      <c r="AW57" t="n">
        <v>16008.574</v>
      </c>
      <c r="AX57" t="n">
        <v>17124.524</v>
      </c>
      <c r="AY57" t="n">
        <v>17428.268</v>
      </c>
      <c r="AZ57" t="n">
        <v>17079.022</v>
      </c>
      <c r="BA57" t="n">
        <v>20191.592</v>
      </c>
      <c r="BB57" t="n">
        <v>17894.358</v>
      </c>
      <c r="BC57" t="n">
        <v>20080.769</v>
      </c>
      <c r="BD57" t="n">
        <v>19244.754</v>
      </c>
      <c r="BE57" t="n">
        <v>20607.197</v>
      </c>
      <c r="BF57" t="n">
        <v>20856.453</v>
      </c>
      <c r="BG57" t="n">
        <v>21687.482</v>
      </c>
      <c r="BH57" t="n">
        <v>19201.314</v>
      </c>
      <c r="BI57" t="n">
        <v>22881.719</v>
      </c>
      <c r="BJ57" t="n">
        <v>22599.753</v>
      </c>
      <c r="BK57" t="n">
        <v>22463.189</v>
      </c>
      <c r="BL57" t="n">
        <v>20322.168</v>
      </c>
      <c r="BM57" t="n">
        <v>21654.829</v>
      </c>
      <c r="BN57" t="n">
        <v>20392.134</v>
      </c>
      <c r="BO57" t="n">
        <v>20697.165</v>
      </c>
      <c r="BP57" t="n">
        <v>20166.935</v>
      </c>
      <c r="BQ57" t="n">
        <v>21387.498</v>
      </c>
      <c r="BR57" t="n">
        <v>21677.432</v>
      </c>
      <c r="BS57" t="n">
        <v>23271.914</v>
      </c>
      <c r="BT57" t="n">
        <v>21521.634</v>
      </c>
      <c r="BU57" t="n">
        <v>19748.429</v>
      </c>
      <c r="BV57" t="n">
        <v>20589.433</v>
      </c>
    </row>
    <row r="58">
      <c r="A58" t="inlineStr">
        <is>
          <t>Scomberomorus guttatus</t>
        </is>
      </c>
      <c r="B58" t="inlineStr">
        <is>
          <t>Indo-Pacific king mackerel</t>
        </is>
      </c>
      <c r="C58" t="inlineStr">
        <is>
          <t>Medium pelagics (30 - 89 cm)</t>
        </is>
      </c>
      <c r="D58" t="inlineStr">
        <is>
          <t>Perch-likes</t>
        </is>
      </c>
      <c r="E58" t="n">
        <v>3539.802</v>
      </c>
      <c r="F58" t="n">
        <v>3663.422</v>
      </c>
      <c r="G58" t="n">
        <v>3770.962</v>
      </c>
      <c r="H58" t="n">
        <v>3875.968</v>
      </c>
      <c r="I58" t="n">
        <v>4202.803</v>
      </c>
      <c r="J58" t="n">
        <v>4361.005</v>
      </c>
      <c r="K58" t="n">
        <v>4462.545</v>
      </c>
      <c r="L58" t="n">
        <v>4425.529</v>
      </c>
      <c r="M58" t="n">
        <v>5337.028</v>
      </c>
      <c r="N58" t="n">
        <v>6028.047</v>
      </c>
      <c r="O58" t="n">
        <v>6404.257</v>
      </c>
      <c r="P58" t="n">
        <v>8289.687</v>
      </c>
      <c r="Q58" t="n">
        <v>8527.236999999999</v>
      </c>
      <c r="R58" t="n">
        <v>9820.939</v>
      </c>
      <c r="S58" t="n">
        <v>10678.095</v>
      </c>
      <c r="T58" t="n">
        <v>11088.022</v>
      </c>
      <c r="U58" t="n">
        <v>9977.977999999999</v>
      </c>
      <c r="V58" t="n">
        <v>9287.385</v>
      </c>
      <c r="W58" t="n">
        <v>7539.787</v>
      </c>
      <c r="X58" t="n">
        <v>5629.293</v>
      </c>
      <c r="Y58" t="n">
        <v>2472.859</v>
      </c>
      <c r="Z58" t="n">
        <v>2382.968</v>
      </c>
      <c r="AA58" t="n">
        <v>2660.821</v>
      </c>
      <c r="AB58" t="n">
        <v>3054.518</v>
      </c>
      <c r="AC58" t="n">
        <v>3450.224</v>
      </c>
      <c r="AD58" t="n">
        <v>1901.135</v>
      </c>
      <c r="AE58" t="n">
        <v>2089.348</v>
      </c>
      <c r="AF58" t="n">
        <v>1837.576</v>
      </c>
      <c r="AG58" t="n">
        <v>1829.357</v>
      </c>
      <c r="AH58" t="n">
        <v>2153.004</v>
      </c>
      <c r="AI58" t="n">
        <v>3965.462</v>
      </c>
      <c r="AJ58" t="n">
        <v>9555.684999999999</v>
      </c>
      <c r="AK58" t="n">
        <v>9397.556</v>
      </c>
      <c r="AL58" t="n">
        <v>9813.468999999999</v>
      </c>
      <c r="AM58" t="n">
        <v>11289.717</v>
      </c>
      <c r="AN58" t="n">
        <v>9077.163</v>
      </c>
      <c r="AO58" t="n">
        <v>7195.007</v>
      </c>
      <c r="AP58" t="n">
        <v>8251.311</v>
      </c>
      <c r="AQ58" t="n">
        <v>17953.883</v>
      </c>
      <c r="AR58" t="n">
        <v>21742.838</v>
      </c>
      <c r="AS58" t="n">
        <v>13081.4</v>
      </c>
      <c r="AT58" t="n">
        <v>13777.794</v>
      </c>
      <c r="AU58" t="n">
        <v>11657.414</v>
      </c>
      <c r="AV58" t="n">
        <v>22079.136</v>
      </c>
      <c r="AW58" t="n">
        <v>16525.184</v>
      </c>
      <c r="AX58" t="n">
        <v>20966.45</v>
      </c>
      <c r="AY58" t="n">
        <v>25141.947</v>
      </c>
      <c r="AZ58" t="n">
        <v>22213.089</v>
      </c>
      <c r="BA58" t="n">
        <v>22440.536</v>
      </c>
      <c r="BB58" t="n">
        <v>20066.915</v>
      </c>
      <c r="BC58" t="n">
        <v>22433.75</v>
      </c>
      <c r="BD58" t="n">
        <v>21800.407</v>
      </c>
      <c r="BE58" t="n">
        <v>20113.465</v>
      </c>
      <c r="BF58" t="n">
        <v>20959.399</v>
      </c>
      <c r="BG58" t="n">
        <v>17382.847</v>
      </c>
      <c r="BH58" t="n">
        <v>14262.851</v>
      </c>
      <c r="BI58" t="n">
        <v>16336.925</v>
      </c>
      <c r="BJ58" t="n">
        <v>25224.312</v>
      </c>
      <c r="BK58" t="n">
        <v>23582.305</v>
      </c>
      <c r="BL58" t="n">
        <v>25311.274</v>
      </c>
      <c r="BM58" t="n">
        <v>20641.842</v>
      </c>
      <c r="BN58" t="n">
        <v>23641.871</v>
      </c>
      <c r="BO58" t="n">
        <v>21906.917</v>
      </c>
      <c r="BP58" t="n">
        <v>22046.693</v>
      </c>
      <c r="BQ58" t="n">
        <v>35963.233</v>
      </c>
      <c r="BR58" t="n">
        <v>24754.238</v>
      </c>
      <c r="BS58" t="n">
        <v>26201.786</v>
      </c>
      <c r="BT58" t="n">
        <v>31318.055</v>
      </c>
      <c r="BU58" t="n">
        <v>21991.411</v>
      </c>
      <c r="BV58" t="n">
        <v>40281.703</v>
      </c>
    </row>
    <row r="59">
      <c r="A59" t="inlineStr">
        <is>
          <t>Priacanthus</t>
        </is>
      </c>
      <c r="B59" t="inlineStr">
        <is>
          <t>Bigeyes</t>
        </is>
      </c>
      <c r="C59" t="inlineStr">
        <is>
          <t>Medium reef assoc. fish (30 - 89 cm)</t>
        </is>
      </c>
      <c r="D59" t="inlineStr">
        <is>
          <t>Perch-likes</t>
        </is>
      </c>
      <c r="E59" t="n">
        <v>371.807</v>
      </c>
      <c r="F59" t="n">
        <v>371.807</v>
      </c>
      <c r="G59" t="n">
        <v>497.069</v>
      </c>
      <c r="H59" t="n">
        <v>433.444</v>
      </c>
      <c r="I59" t="n">
        <v>371.807</v>
      </c>
      <c r="J59" t="n">
        <v>371.807</v>
      </c>
      <c r="K59" t="n">
        <v>371.807</v>
      </c>
      <c r="L59" t="n">
        <v>360.872</v>
      </c>
      <c r="M59" t="n">
        <v>383.737</v>
      </c>
      <c r="N59" t="n">
        <v>371.807</v>
      </c>
      <c r="O59" t="n">
        <v>495.08</v>
      </c>
      <c r="P59" t="n">
        <v>637.242</v>
      </c>
      <c r="Q59" t="n">
        <v>646.189</v>
      </c>
      <c r="R59" t="n">
        <v>1111.445</v>
      </c>
      <c r="S59" t="n">
        <v>1031.914</v>
      </c>
      <c r="T59" t="n">
        <v>1096.701</v>
      </c>
      <c r="U59" t="n">
        <v>1371.243</v>
      </c>
      <c r="V59" t="n">
        <v>1714.475</v>
      </c>
      <c r="W59" t="n">
        <v>1751.446</v>
      </c>
      <c r="X59" t="n">
        <v>1609.401</v>
      </c>
      <c r="Y59" t="n">
        <v>1408.634</v>
      </c>
      <c r="Z59" t="n">
        <v>1652.646</v>
      </c>
      <c r="AA59" t="n">
        <v>1561.383</v>
      </c>
      <c r="AB59" t="n">
        <v>2017.556</v>
      </c>
      <c r="AC59" t="n">
        <v>3610.971</v>
      </c>
      <c r="AD59" t="n">
        <v>2900.848</v>
      </c>
      <c r="AE59" t="n">
        <v>3091.504</v>
      </c>
      <c r="AF59" t="n">
        <v>5622.802</v>
      </c>
      <c r="AG59" t="n">
        <v>3858.197</v>
      </c>
      <c r="AH59" t="n">
        <v>3637.597</v>
      </c>
      <c r="AI59" t="n">
        <v>3983.865</v>
      </c>
      <c r="AJ59" t="n">
        <v>4252.509</v>
      </c>
      <c r="AK59" t="n">
        <v>3634.634</v>
      </c>
      <c r="AL59" t="n">
        <v>3527.125</v>
      </c>
      <c r="AM59" t="n">
        <v>3323.809</v>
      </c>
      <c r="AN59" t="n">
        <v>4853.202</v>
      </c>
      <c r="AO59" t="n">
        <v>4297.59</v>
      </c>
      <c r="AP59" t="n">
        <v>4929.958</v>
      </c>
      <c r="AQ59" t="n">
        <v>3879.318</v>
      </c>
      <c r="AR59" t="n">
        <v>4422.455</v>
      </c>
      <c r="AS59" t="n">
        <v>6233.327</v>
      </c>
      <c r="AT59" t="n">
        <v>13191.413</v>
      </c>
      <c r="AU59" t="n">
        <v>13028.881</v>
      </c>
      <c r="AV59" t="n">
        <v>15028.615</v>
      </c>
      <c r="AW59" t="n">
        <v>12088.788</v>
      </c>
      <c r="AX59" t="n">
        <v>16586.461</v>
      </c>
      <c r="AY59" t="n">
        <v>20025.195</v>
      </c>
      <c r="AZ59" t="n">
        <v>20374.239</v>
      </c>
      <c r="BA59" t="n">
        <v>21786.39</v>
      </c>
      <c r="BB59" t="n">
        <v>17581.751</v>
      </c>
      <c r="BC59" t="n">
        <v>17291.476</v>
      </c>
      <c r="BD59" t="n">
        <v>45152.034</v>
      </c>
      <c r="BE59" t="n">
        <v>51487.377</v>
      </c>
      <c r="BF59" t="n">
        <v>53164.111</v>
      </c>
      <c r="BG59" t="n">
        <v>59225.818</v>
      </c>
      <c r="BH59" t="n">
        <v>51686.098</v>
      </c>
      <c r="BI59" t="n">
        <v>57322.344</v>
      </c>
      <c r="BJ59" t="n">
        <v>50331.657</v>
      </c>
      <c r="BK59" t="n">
        <v>26621.215</v>
      </c>
      <c r="BL59" t="n">
        <v>26506.547</v>
      </c>
      <c r="BM59" t="n">
        <v>31680.439</v>
      </c>
      <c r="BN59" t="n">
        <v>27036.191</v>
      </c>
      <c r="BO59" t="n">
        <v>26910.482</v>
      </c>
      <c r="BP59" t="n">
        <v>29631.469</v>
      </c>
      <c r="BQ59" t="n">
        <v>23691.067</v>
      </c>
      <c r="BR59" t="n">
        <v>18899.915</v>
      </c>
      <c r="BS59" t="n">
        <v>21056.885</v>
      </c>
      <c r="BT59" t="n">
        <v>18775.934</v>
      </c>
      <c r="BU59" t="n">
        <v>15514.073</v>
      </c>
      <c r="BV59" t="n">
        <v>19266.497</v>
      </c>
    </row>
    <row r="60">
      <c r="A60" t="inlineStr">
        <is>
          <t>Marine pelagic fishes not identified</t>
        </is>
      </c>
      <c r="B60" t="inlineStr">
        <is>
          <t>Pelagic fishes</t>
        </is>
      </c>
      <c r="C60" t="inlineStr">
        <is>
          <t>Medium pelagics (30 - 89 cm)</t>
        </is>
      </c>
      <c r="D60" t="inlineStr">
        <is>
          <t>Other fishes &amp; inverts</t>
        </is>
      </c>
      <c r="E60" t="n">
        <v>9397.82</v>
      </c>
      <c r="F60" t="n">
        <v>9465.535</v>
      </c>
      <c r="G60" t="n">
        <v>9524.468999999999</v>
      </c>
      <c r="H60" t="n">
        <v>9595.458000000001</v>
      </c>
      <c r="I60" t="n">
        <v>9758.847</v>
      </c>
      <c r="J60" t="n">
        <v>10244.903</v>
      </c>
      <c r="K60" t="n">
        <v>10476.364</v>
      </c>
      <c r="L60" t="n">
        <v>10227.524</v>
      </c>
      <c r="M60" t="n">
        <v>10617.956</v>
      </c>
      <c r="N60" t="n">
        <v>11169.997</v>
      </c>
      <c r="O60" t="n">
        <v>10546.99</v>
      </c>
      <c r="P60" t="n">
        <v>10631.755</v>
      </c>
      <c r="Q60" t="n">
        <v>10298.325</v>
      </c>
      <c r="R60" t="n">
        <v>10126.597</v>
      </c>
      <c r="S60" t="n">
        <v>10914.726</v>
      </c>
      <c r="T60" t="n">
        <v>10442.955</v>
      </c>
      <c r="U60" t="n">
        <v>10634.73</v>
      </c>
      <c r="V60" t="n">
        <v>10595.791</v>
      </c>
      <c r="W60" t="n">
        <v>10541.316</v>
      </c>
      <c r="X60" t="n">
        <v>11813.951</v>
      </c>
      <c r="Y60" t="n">
        <v>10101.154</v>
      </c>
      <c r="Z60" t="n">
        <v>12405.373</v>
      </c>
      <c r="AA60" t="n">
        <v>9913.619000000001</v>
      </c>
      <c r="AB60" t="n">
        <v>9472.312</v>
      </c>
      <c r="AC60" t="n">
        <v>9457.339</v>
      </c>
      <c r="AD60" t="n">
        <v>9390.977999999999</v>
      </c>
      <c r="AE60" t="n">
        <v>9176.575999999999</v>
      </c>
      <c r="AF60" t="n">
        <v>9119.699000000001</v>
      </c>
      <c r="AG60" t="n">
        <v>9415.911</v>
      </c>
      <c r="AH60" t="n">
        <v>8941.179</v>
      </c>
      <c r="AI60" t="n">
        <v>8939.219999999999</v>
      </c>
      <c r="AJ60" t="n">
        <v>8782.357</v>
      </c>
      <c r="AK60" t="n">
        <v>8581.298000000001</v>
      </c>
      <c r="AL60" t="n">
        <v>10666.206</v>
      </c>
      <c r="AM60" t="n">
        <v>8567.767</v>
      </c>
      <c r="AN60" t="n">
        <v>9916.468000000001</v>
      </c>
      <c r="AO60" t="n">
        <v>14935.164</v>
      </c>
      <c r="AP60" t="n">
        <v>14390.495</v>
      </c>
      <c r="AQ60" t="n">
        <v>15006.17</v>
      </c>
      <c r="AR60" t="n">
        <v>15339.505</v>
      </c>
      <c r="AS60" t="n">
        <v>14280.383</v>
      </c>
      <c r="AT60" t="n">
        <v>16109.355</v>
      </c>
      <c r="AU60" t="n">
        <v>17290.966</v>
      </c>
      <c r="AV60" t="n">
        <v>10740.999</v>
      </c>
      <c r="AW60" t="n">
        <v>9148.151</v>
      </c>
      <c r="AX60" t="n">
        <v>9493.162</v>
      </c>
      <c r="AY60" t="n">
        <v>10941.854</v>
      </c>
      <c r="AZ60" t="n">
        <v>12456.47</v>
      </c>
      <c r="BA60" t="n">
        <v>14211.587</v>
      </c>
      <c r="BB60" t="n">
        <v>12744.988</v>
      </c>
      <c r="BC60" t="n">
        <v>11954.331</v>
      </c>
      <c r="BD60" t="n">
        <v>12644.598</v>
      </c>
      <c r="BE60" t="n">
        <v>13041.248</v>
      </c>
      <c r="BF60" t="n">
        <v>13227.246</v>
      </c>
      <c r="BG60" t="n">
        <v>12856.671</v>
      </c>
      <c r="BH60" t="n">
        <v>8029.006</v>
      </c>
      <c r="BI60" t="n">
        <v>12184.089</v>
      </c>
      <c r="BJ60" t="n">
        <v>14757.125</v>
      </c>
      <c r="BK60" t="n">
        <v>16089.818</v>
      </c>
      <c r="BL60" t="n">
        <v>21676.338</v>
      </c>
      <c r="BM60" t="n">
        <v>16444.167</v>
      </c>
      <c r="BN60" t="n">
        <v>23617.623</v>
      </c>
      <c r="BO60" t="n">
        <v>21969.741</v>
      </c>
      <c r="BP60" t="n">
        <v>23346.496</v>
      </c>
      <c r="BQ60" t="n">
        <v>22615.792</v>
      </c>
      <c r="BR60" t="n">
        <v>23426.763</v>
      </c>
      <c r="BS60" t="n">
        <v>24707.408</v>
      </c>
      <c r="BT60" t="n">
        <v>21101.518</v>
      </c>
      <c r="BU60" t="n">
        <v>20448.809</v>
      </c>
      <c r="BV60" t="n">
        <v>7107.661</v>
      </c>
    </row>
    <row r="61">
      <c r="A61" t="inlineStr">
        <is>
          <t>Batoidea</t>
        </is>
      </c>
      <c r="B61" t="inlineStr">
        <is>
          <t>Batoids, skates, rays, sawfishes</t>
        </is>
      </c>
      <c r="C61" t="inlineStr">
        <is>
          <t>Large rays (&gt;=90 cm)</t>
        </is>
      </c>
      <c r="D61" t="inlineStr">
        <is>
          <t>Sharks &amp; rays</t>
        </is>
      </c>
      <c r="E61" t="n">
        <v>2636.117</v>
      </c>
      <c r="F61" t="n">
        <v>2574.368</v>
      </c>
      <c r="G61" t="n">
        <v>2752.261</v>
      </c>
      <c r="H61" t="n">
        <v>2587.788</v>
      </c>
      <c r="I61" t="n">
        <v>2651.148</v>
      </c>
      <c r="J61" t="n">
        <v>2006.11</v>
      </c>
      <c r="K61" t="n">
        <v>2036.467</v>
      </c>
      <c r="L61" t="n">
        <v>3796.922</v>
      </c>
      <c r="M61" t="n">
        <v>3722.678</v>
      </c>
      <c r="N61" t="n">
        <v>4255.462</v>
      </c>
      <c r="O61" t="n">
        <v>6214.666</v>
      </c>
      <c r="P61" t="n">
        <v>3750.366</v>
      </c>
      <c r="Q61" t="n">
        <v>3909.411</v>
      </c>
      <c r="R61" t="n">
        <v>3900.671</v>
      </c>
      <c r="S61" t="n">
        <v>3235.267</v>
      </c>
      <c r="T61" t="n">
        <v>9053.257</v>
      </c>
      <c r="U61" t="n">
        <v>9841.769</v>
      </c>
      <c r="V61" t="n">
        <v>3393.537</v>
      </c>
      <c r="W61" t="n">
        <v>4420.326</v>
      </c>
      <c r="X61" t="n">
        <v>6299.256</v>
      </c>
      <c r="Y61" t="n">
        <v>4050.892</v>
      </c>
      <c r="Z61" t="n">
        <v>4307.831</v>
      </c>
      <c r="AA61" t="n">
        <v>5341.41</v>
      </c>
      <c r="AB61" t="n">
        <v>3826.143</v>
      </c>
      <c r="AC61" t="n">
        <v>6802.45</v>
      </c>
      <c r="AD61" t="n">
        <v>4817.65</v>
      </c>
      <c r="AE61" t="n">
        <v>5255.13</v>
      </c>
      <c r="AF61" t="n">
        <v>2820.06</v>
      </c>
      <c r="AG61" t="n">
        <v>1484.775</v>
      </c>
      <c r="AH61" t="n">
        <v>1812.429</v>
      </c>
      <c r="AI61" t="n">
        <v>1956.298</v>
      </c>
      <c r="AJ61" t="n">
        <v>16028.892</v>
      </c>
      <c r="AK61" t="n">
        <v>15657.017</v>
      </c>
      <c r="AL61" t="n">
        <v>21017.324</v>
      </c>
      <c r="AM61" t="n">
        <v>14816.617</v>
      </c>
      <c r="AN61" t="n">
        <v>11318.351</v>
      </c>
      <c r="AO61" t="n">
        <v>12021.393</v>
      </c>
      <c r="AP61" t="n">
        <v>20236.544</v>
      </c>
      <c r="AQ61" t="n">
        <v>15226.372</v>
      </c>
      <c r="AR61" t="n">
        <v>14528.783</v>
      </c>
      <c r="AS61" t="n">
        <v>14476.026</v>
      </c>
      <c r="AT61" t="n">
        <v>15670.522</v>
      </c>
      <c r="AU61" t="n">
        <v>13801.025</v>
      </c>
      <c r="AV61" t="n">
        <v>16638.532</v>
      </c>
      <c r="AW61" t="n">
        <v>15214.079</v>
      </c>
      <c r="AX61" t="n">
        <v>19231.72</v>
      </c>
      <c r="AY61" t="n">
        <v>21637.143</v>
      </c>
      <c r="AZ61" t="n">
        <v>27541.959</v>
      </c>
      <c r="BA61" t="n">
        <v>23664.742</v>
      </c>
      <c r="BB61" t="n">
        <v>23856.533</v>
      </c>
      <c r="BC61" t="n">
        <v>23746.002</v>
      </c>
      <c r="BD61" t="n">
        <v>21547.769</v>
      </c>
      <c r="BE61" t="n">
        <v>22126.966</v>
      </c>
      <c r="BF61" t="n">
        <v>26468.394</v>
      </c>
      <c r="BG61" t="n">
        <v>23752.377</v>
      </c>
      <c r="BH61" t="n">
        <v>23440.681</v>
      </c>
      <c r="BI61" t="n">
        <v>21631.366</v>
      </c>
      <c r="BJ61" t="n">
        <v>18036.766</v>
      </c>
      <c r="BK61" t="n">
        <v>19152.304</v>
      </c>
      <c r="BL61" t="n">
        <v>20426.663</v>
      </c>
      <c r="BM61" t="n">
        <v>17470.283</v>
      </c>
      <c r="BN61" t="n">
        <v>21247.928</v>
      </c>
      <c r="BO61" t="n">
        <v>23640.457</v>
      </c>
      <c r="BP61" t="n">
        <v>18177.109</v>
      </c>
      <c r="BQ61" t="n">
        <v>17110.834</v>
      </c>
      <c r="BR61" t="n">
        <v>19342.344</v>
      </c>
      <c r="BS61" t="n">
        <v>18624.307</v>
      </c>
      <c r="BT61" t="n">
        <v>13949.082</v>
      </c>
      <c r="BU61" t="n">
        <v>13791.715</v>
      </c>
      <c r="BV61" t="n">
        <v>18135.561</v>
      </c>
    </row>
    <row r="62">
      <c r="A62" t="inlineStr">
        <is>
          <t>Parapenaeopsis</t>
        </is>
      </c>
      <c r="B62" t="inlineStr">
        <is>
          <t>Leafy-legged shrimps</t>
        </is>
      </c>
      <c r="C62" t="inlineStr">
        <is>
          <t>Shrimps</t>
        </is>
      </c>
      <c r="D62" t="inlineStr">
        <is>
          <t>Crustaceans</t>
        </is>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22330.18</v>
      </c>
      <c r="AO62" t="n">
        <v>20747.899</v>
      </c>
      <c r="AP62" t="n">
        <v>20797.688</v>
      </c>
      <c r="AQ62" t="n">
        <v>18417.793</v>
      </c>
      <c r="AR62" t="n">
        <v>18547.244</v>
      </c>
      <c r="AS62" t="n">
        <v>48245.139</v>
      </c>
      <c r="AT62" t="n">
        <v>46719.617</v>
      </c>
      <c r="AU62" t="n">
        <v>53864.455</v>
      </c>
      <c r="AV62" t="n">
        <v>47488.154</v>
      </c>
      <c r="AW62" t="n">
        <v>45966.525</v>
      </c>
      <c r="AX62" t="n">
        <v>23109.235</v>
      </c>
      <c r="AY62" t="n">
        <v>21582.628</v>
      </c>
      <c r="AZ62" t="n">
        <v>21035.917</v>
      </c>
      <c r="BA62" t="n">
        <v>21412.341</v>
      </c>
      <c r="BB62" t="n">
        <v>20544.973</v>
      </c>
      <c r="BC62" t="n">
        <v>16083.653</v>
      </c>
      <c r="BD62" t="n">
        <v>14415.638</v>
      </c>
      <c r="BE62" t="n">
        <v>14317.051</v>
      </c>
      <c r="BF62" t="n">
        <v>16717.997</v>
      </c>
      <c r="BG62" t="n">
        <v>17608.269</v>
      </c>
      <c r="BH62" t="n">
        <v>10657.249</v>
      </c>
      <c r="BI62" t="n">
        <v>11239.357</v>
      </c>
      <c r="BJ62" t="n">
        <v>13025.713</v>
      </c>
      <c r="BK62" t="n">
        <v>13155.729</v>
      </c>
      <c r="BL62" t="n">
        <v>18859.486</v>
      </c>
      <c r="BM62" t="n">
        <v>18713.451</v>
      </c>
      <c r="BN62" t="n">
        <v>22491.433</v>
      </c>
      <c r="BO62" t="n">
        <v>22794.703</v>
      </c>
      <c r="BP62" t="n">
        <v>22306.915</v>
      </c>
      <c r="BQ62" t="n">
        <v>23738.849</v>
      </c>
      <c r="BR62" t="n">
        <v>24072.863</v>
      </c>
      <c r="BS62" t="n">
        <v>25868.547</v>
      </c>
      <c r="BT62" t="n">
        <v>23921.419</v>
      </c>
      <c r="BU62" t="n">
        <v>21986.248</v>
      </c>
      <c r="BV62" t="n">
        <v>22947.128</v>
      </c>
    </row>
    <row r="63">
      <c r="A63" t="inlineStr">
        <is>
          <t>Sphyraena</t>
        </is>
      </c>
      <c r="B63" t="inlineStr">
        <is>
          <t>Barracudas, sennets</t>
        </is>
      </c>
      <c r="C63" t="inlineStr">
        <is>
          <t>Large pelagics (&gt;=90 cm)</t>
        </is>
      </c>
      <c r="D63" t="inlineStr">
        <is>
          <t>Perch-likes</t>
        </is>
      </c>
      <c r="E63" t="n">
        <v>672.534</v>
      </c>
      <c r="F63" t="n">
        <v>174.347</v>
      </c>
      <c r="G63" t="n">
        <v>691.282</v>
      </c>
      <c r="H63" t="n">
        <v>279.936</v>
      </c>
      <c r="I63" t="n">
        <v>1873.49</v>
      </c>
      <c r="J63" t="n">
        <v>272.792</v>
      </c>
      <c r="K63" t="n">
        <v>1469.334</v>
      </c>
      <c r="L63" t="n">
        <v>351.98</v>
      </c>
      <c r="M63" t="n">
        <v>500.295</v>
      </c>
      <c r="N63" t="n">
        <v>532.446</v>
      </c>
      <c r="O63" t="n">
        <v>684.0359999999999</v>
      </c>
      <c r="P63" t="n">
        <v>1126.956</v>
      </c>
      <c r="Q63" t="n">
        <v>1098.742</v>
      </c>
      <c r="R63" t="n">
        <v>1084.424</v>
      </c>
      <c r="S63" t="n">
        <v>1411.382</v>
      </c>
      <c r="T63" t="n">
        <v>1410.643</v>
      </c>
      <c r="U63" t="n">
        <v>1150.413</v>
      </c>
      <c r="V63" t="n">
        <v>1959.054</v>
      </c>
      <c r="W63" t="n">
        <v>1487.82</v>
      </c>
      <c r="X63" t="n">
        <v>1942.109</v>
      </c>
      <c r="Y63" t="n">
        <v>1838.814</v>
      </c>
      <c r="Z63" t="n">
        <v>2038.107</v>
      </c>
      <c r="AA63" t="n">
        <v>2300.301</v>
      </c>
      <c r="AB63" t="n">
        <v>2607.427</v>
      </c>
      <c r="AC63" t="n">
        <v>3282.69</v>
      </c>
      <c r="AD63" t="n">
        <v>4009.554</v>
      </c>
      <c r="AE63" t="n">
        <v>6081.867</v>
      </c>
      <c r="AF63" t="n">
        <v>6607.859</v>
      </c>
      <c r="AG63" t="n">
        <v>7475.486</v>
      </c>
      <c r="AH63" t="n">
        <v>7914.839</v>
      </c>
      <c r="AI63" t="n">
        <v>8365.709000000001</v>
      </c>
      <c r="AJ63" t="n">
        <v>8509.509</v>
      </c>
      <c r="AK63" t="n">
        <v>9943.731</v>
      </c>
      <c r="AL63" t="n">
        <v>9413.361999999999</v>
      </c>
      <c r="AM63" t="n">
        <v>10021.481</v>
      </c>
      <c r="AN63" t="n">
        <v>6820.72</v>
      </c>
      <c r="AO63" t="n">
        <v>7794.439</v>
      </c>
      <c r="AP63" t="n">
        <v>8503.584999999999</v>
      </c>
      <c r="AQ63" t="n">
        <v>8298.887000000001</v>
      </c>
      <c r="AR63" t="n">
        <v>9346.196</v>
      </c>
      <c r="AS63" t="n">
        <v>12994.393</v>
      </c>
      <c r="AT63" t="n">
        <v>16212.111</v>
      </c>
      <c r="AU63" t="n">
        <v>16547.998</v>
      </c>
      <c r="AV63" t="n">
        <v>16284.547</v>
      </c>
      <c r="AW63" t="n">
        <v>14664.732</v>
      </c>
      <c r="AX63" t="n">
        <v>17338.751</v>
      </c>
      <c r="AY63" t="n">
        <v>21013.125</v>
      </c>
      <c r="AZ63" t="n">
        <v>20898.408</v>
      </c>
      <c r="BA63" t="n">
        <v>21996.811</v>
      </c>
      <c r="BB63" t="n">
        <v>23846.051</v>
      </c>
      <c r="BC63" t="n">
        <v>23870.524</v>
      </c>
      <c r="BD63" t="n">
        <v>18567.45</v>
      </c>
      <c r="BE63" t="n">
        <v>23594.674</v>
      </c>
      <c r="BF63" t="n">
        <v>16530.599</v>
      </c>
      <c r="BG63" t="n">
        <v>16709.579</v>
      </c>
      <c r="BH63" t="n">
        <v>13942.916</v>
      </c>
      <c r="BI63" t="n">
        <v>15435.051</v>
      </c>
      <c r="BJ63" t="n">
        <v>14899.49</v>
      </c>
      <c r="BK63" t="n">
        <v>17994.781</v>
      </c>
      <c r="BL63" t="n">
        <v>22132.12</v>
      </c>
      <c r="BM63" t="n">
        <v>25003.517</v>
      </c>
      <c r="BN63" t="n">
        <v>24990.964</v>
      </c>
      <c r="BO63" t="n">
        <v>25307.448</v>
      </c>
      <c r="BP63" t="n">
        <v>19622.143</v>
      </c>
      <c r="BQ63" t="n">
        <v>17783.228</v>
      </c>
      <c r="BR63" t="n">
        <v>22360.702</v>
      </c>
      <c r="BS63" t="n">
        <v>31485.336</v>
      </c>
      <c r="BT63" t="n">
        <v>29632.698</v>
      </c>
      <c r="BU63" t="n">
        <v>35728.737</v>
      </c>
      <c r="BV63" t="n">
        <v>46729.029</v>
      </c>
    </row>
    <row r="64">
      <c r="A64" t="inlineStr">
        <is>
          <t>Sepiidae</t>
        </is>
      </c>
      <c r="B64" t="inlineStr">
        <is>
          <t>Cuttlefishes</t>
        </is>
      </c>
      <c r="C64" t="inlineStr">
        <is>
          <t>Cephalopods</t>
        </is>
      </c>
      <c r="D64" t="inlineStr">
        <is>
          <t>Other fishes &amp; inverts</t>
        </is>
      </c>
      <c r="E64" t="n">
        <v>3.964</v>
      </c>
      <c r="F64" t="n">
        <v>3.525</v>
      </c>
      <c r="G64" t="n">
        <v>3.188</v>
      </c>
      <c r="H64" t="n">
        <v>4.723</v>
      </c>
      <c r="I64" t="n">
        <v>4.576</v>
      </c>
      <c r="J64" t="n">
        <v>4.495</v>
      </c>
      <c r="K64" t="n">
        <v>4.52</v>
      </c>
      <c r="L64" t="n">
        <v>4.747</v>
      </c>
      <c r="M64" t="n">
        <v>4.695</v>
      </c>
      <c r="N64" t="n">
        <v>5.048</v>
      </c>
      <c r="O64" t="n">
        <v>4.991</v>
      </c>
      <c r="P64" t="n">
        <v>6.75</v>
      </c>
      <c r="Q64" t="n">
        <v>6.59</v>
      </c>
      <c r="R64" t="n">
        <v>6.443</v>
      </c>
      <c r="S64" t="n">
        <v>6.139</v>
      </c>
      <c r="T64" t="n">
        <v>6.528</v>
      </c>
      <c r="U64" t="n">
        <v>5.922</v>
      </c>
      <c r="V64" t="n">
        <v>5.974</v>
      </c>
      <c r="W64" t="n">
        <v>5.768</v>
      </c>
      <c r="X64" t="n">
        <v>5.423</v>
      </c>
      <c r="Y64" t="n">
        <v>237.151</v>
      </c>
      <c r="Z64" t="n">
        <v>343.679</v>
      </c>
      <c r="AA64" t="n">
        <v>346.919</v>
      </c>
      <c r="AB64" t="n">
        <v>502.439</v>
      </c>
      <c r="AC64" t="n">
        <v>922.954</v>
      </c>
      <c r="AD64" t="n">
        <v>839.957</v>
      </c>
      <c r="AE64" t="n">
        <v>578.1</v>
      </c>
      <c r="AF64" t="n">
        <v>5804.235</v>
      </c>
      <c r="AG64" t="n">
        <v>5089.521</v>
      </c>
      <c r="AH64" t="n">
        <v>5669.959</v>
      </c>
      <c r="AI64" t="n">
        <v>4548.833</v>
      </c>
      <c r="AJ64" t="n">
        <v>4914.189</v>
      </c>
      <c r="AK64" t="n">
        <v>5013.86</v>
      </c>
      <c r="AL64" t="n">
        <v>6380.314</v>
      </c>
      <c r="AM64" t="n">
        <v>11028.05</v>
      </c>
      <c r="AN64" t="n">
        <v>9115.305</v>
      </c>
      <c r="AO64" t="n">
        <v>8422.894</v>
      </c>
      <c r="AP64" t="n">
        <v>6566.103</v>
      </c>
      <c r="AQ64" t="n">
        <v>5236.523</v>
      </c>
      <c r="AR64" t="n">
        <v>9958.049000000001</v>
      </c>
      <c r="AS64" t="n">
        <v>8259.575000000001</v>
      </c>
      <c r="AT64" t="n">
        <v>17753.284</v>
      </c>
      <c r="AU64" t="n">
        <v>20181.744</v>
      </c>
      <c r="AV64" t="n">
        <v>18704.224</v>
      </c>
      <c r="AW64" t="n">
        <v>16981.723</v>
      </c>
      <c r="AX64" t="n">
        <v>19240.545</v>
      </c>
      <c r="AY64" t="n">
        <v>23221.775</v>
      </c>
      <c r="AZ64" t="n">
        <v>23305.281</v>
      </c>
      <c r="BA64" t="n">
        <v>21215.688</v>
      </c>
      <c r="BB64" t="n">
        <v>21902.137</v>
      </c>
      <c r="BC64" t="n">
        <v>24052.051</v>
      </c>
      <c r="BD64" t="n">
        <v>22045.801</v>
      </c>
      <c r="BE64" t="n">
        <v>24377.834</v>
      </c>
      <c r="BF64" t="n">
        <v>19761.38</v>
      </c>
      <c r="BG64" t="n">
        <v>25451.375</v>
      </c>
      <c r="BH64" t="n">
        <v>18730.744</v>
      </c>
      <c r="BI64" t="n">
        <v>27216.223</v>
      </c>
      <c r="BJ64" t="n">
        <v>24900.97</v>
      </c>
      <c r="BK64" t="n">
        <v>19928.886</v>
      </c>
      <c r="BL64" t="n">
        <v>25033.573</v>
      </c>
      <c r="BM64" t="n">
        <v>24083.326</v>
      </c>
      <c r="BN64" t="n">
        <v>25367.537</v>
      </c>
      <c r="BO64" t="n">
        <v>22366.665</v>
      </c>
      <c r="BP64" t="n">
        <v>18868.676</v>
      </c>
      <c r="BQ64" t="n">
        <v>19705.945</v>
      </c>
      <c r="BR64" t="n">
        <v>31241.032</v>
      </c>
      <c r="BS64" t="n">
        <v>35286.971</v>
      </c>
      <c r="BT64" t="n">
        <v>37426.407</v>
      </c>
      <c r="BU64" t="n">
        <v>31677.654</v>
      </c>
      <c r="BV64" t="n">
        <v>33552.835</v>
      </c>
    </row>
    <row r="65">
      <c r="A65" t="inlineStr">
        <is>
          <t>Trichiurus lepturus</t>
        </is>
      </c>
      <c r="B65" t="inlineStr">
        <is>
          <t>Largehead hairtail</t>
        </is>
      </c>
      <c r="C65" t="inlineStr">
        <is>
          <t>Large benthopelagics (&gt;=90 cm)</t>
        </is>
      </c>
      <c r="D65" t="inlineStr">
        <is>
          <t>Perch-likes</t>
        </is>
      </c>
      <c r="E65" t="n">
        <v>1174.002</v>
      </c>
      <c r="F65" t="n">
        <v>1176.068</v>
      </c>
      <c r="G65" t="n">
        <v>1575.675</v>
      </c>
      <c r="H65" t="n">
        <v>1377.883</v>
      </c>
      <c r="I65" t="n">
        <v>1182.592</v>
      </c>
      <c r="J65" t="n">
        <v>1182.537</v>
      </c>
      <c r="K65" t="n">
        <v>1197.535</v>
      </c>
      <c r="L65" t="n">
        <v>1185.763</v>
      </c>
      <c r="M65" t="n">
        <v>1270.194</v>
      </c>
      <c r="N65" t="n">
        <v>1223.863</v>
      </c>
      <c r="O65" t="n">
        <v>1627.764</v>
      </c>
      <c r="P65" t="n">
        <v>2125.903</v>
      </c>
      <c r="Q65" t="n">
        <v>2152.878</v>
      </c>
      <c r="R65" t="n">
        <v>3639.009</v>
      </c>
      <c r="S65" t="n">
        <v>3387.755</v>
      </c>
      <c r="T65" t="n">
        <v>3557.691</v>
      </c>
      <c r="U65" t="n">
        <v>4488.645</v>
      </c>
      <c r="V65" t="n">
        <v>5570.903</v>
      </c>
      <c r="W65" t="n">
        <v>5684.892</v>
      </c>
      <c r="X65" t="n">
        <v>5254.015</v>
      </c>
      <c r="Y65" t="n">
        <v>4451.208</v>
      </c>
      <c r="Z65" t="n">
        <v>5228.938</v>
      </c>
      <c r="AA65" t="n">
        <v>4935.293</v>
      </c>
      <c r="AB65" t="n">
        <v>5770.25</v>
      </c>
      <c r="AC65" t="n">
        <v>7906.96</v>
      </c>
      <c r="AD65" t="n">
        <v>7521.055</v>
      </c>
      <c r="AE65" t="n">
        <v>7833.251</v>
      </c>
      <c r="AF65" t="n">
        <v>11365.49</v>
      </c>
      <c r="AG65" t="n">
        <v>10047.968</v>
      </c>
      <c r="AH65" t="n">
        <v>8718.053</v>
      </c>
      <c r="AI65" t="n">
        <v>8480.203</v>
      </c>
      <c r="AJ65" t="n">
        <v>9289.882</v>
      </c>
      <c r="AK65" t="n">
        <v>9013.736999999999</v>
      </c>
      <c r="AL65" t="n">
        <v>9354.893</v>
      </c>
      <c r="AM65" t="n">
        <v>8556.17</v>
      </c>
      <c r="AN65" t="n">
        <v>10452.294</v>
      </c>
      <c r="AO65" t="n">
        <v>11629.643</v>
      </c>
      <c r="AP65" t="n">
        <v>13566.438</v>
      </c>
      <c r="AQ65" t="n">
        <v>11490.793</v>
      </c>
      <c r="AR65" t="n">
        <v>13839.685</v>
      </c>
      <c r="AS65" t="n">
        <v>15733.226</v>
      </c>
      <c r="AT65" t="n">
        <v>12470.068</v>
      </c>
      <c r="AU65" t="n">
        <v>11090.011</v>
      </c>
      <c r="AV65" t="n">
        <v>13388.225</v>
      </c>
      <c r="AW65" t="n">
        <v>15977.184</v>
      </c>
      <c r="AX65" t="n">
        <v>22038.37</v>
      </c>
      <c r="AY65" t="n">
        <v>23879.559</v>
      </c>
      <c r="AZ65" t="n">
        <v>25097.853</v>
      </c>
      <c r="BA65" t="n">
        <v>31205.836</v>
      </c>
      <c r="BB65" t="n">
        <v>22472.614</v>
      </c>
      <c r="BC65" t="n">
        <v>23369.677</v>
      </c>
      <c r="BD65" t="n">
        <v>21843.565</v>
      </c>
      <c r="BE65" t="n">
        <v>24160.335</v>
      </c>
      <c r="BF65" t="n">
        <v>22591.341</v>
      </c>
      <c r="BG65" t="n">
        <v>21783.963</v>
      </c>
      <c r="BH65" t="n">
        <v>19998.008</v>
      </c>
      <c r="BI65" t="n">
        <v>23484.792</v>
      </c>
      <c r="BJ65" t="n">
        <v>21184.436</v>
      </c>
      <c r="BK65" t="n">
        <v>18144.241</v>
      </c>
      <c r="BL65" t="n">
        <v>16884.929</v>
      </c>
      <c r="BM65" t="n">
        <v>16538.094</v>
      </c>
      <c r="BN65" t="n">
        <v>15997.59</v>
      </c>
      <c r="BO65" t="n">
        <v>16316.757</v>
      </c>
      <c r="BP65" t="n">
        <v>13275.861</v>
      </c>
      <c r="BQ65" t="n">
        <v>13689.489</v>
      </c>
      <c r="BR65" t="n">
        <v>16224.192</v>
      </c>
      <c r="BS65" t="n">
        <v>17268.295</v>
      </c>
      <c r="BT65" t="n">
        <v>15736.558</v>
      </c>
      <c r="BU65" t="n">
        <v>14143.344</v>
      </c>
      <c r="BV65" t="n">
        <v>15265.842</v>
      </c>
    </row>
    <row r="66">
      <c r="A66" t="inlineStr">
        <is>
          <t>Alepes</t>
        </is>
      </c>
      <c r="B66" t="inlineStr">
        <is>
          <t>Crevalles</t>
        </is>
      </c>
      <c r="C66" t="inlineStr">
        <is>
          <t>Medium reef assoc. fish (30 - 89 cm)</t>
        </is>
      </c>
      <c r="D66" t="inlineStr">
        <is>
          <t>Perch-likes</t>
        </is>
      </c>
      <c r="E66" t="n">
        <v>234.461</v>
      </c>
      <c r="F66" t="n">
        <v>233.472</v>
      </c>
      <c r="G66" t="n">
        <v>239.408</v>
      </c>
      <c r="H66" t="n">
        <v>227.536</v>
      </c>
      <c r="I66" t="n">
        <v>223.579</v>
      </c>
      <c r="J66" t="n">
        <v>241.386</v>
      </c>
      <c r="K66" t="n">
        <v>226.547</v>
      </c>
      <c r="L66" t="n">
        <v>230.504</v>
      </c>
      <c r="M66" t="n">
        <v>260.183</v>
      </c>
      <c r="N66" t="n">
        <v>270.076</v>
      </c>
      <c r="O66" t="n">
        <v>309.647</v>
      </c>
      <c r="P66" t="n">
        <v>336.358</v>
      </c>
      <c r="Q66" t="n">
        <v>388.79</v>
      </c>
      <c r="R66" t="n">
        <v>461.008</v>
      </c>
      <c r="S66" t="n">
        <v>564.896</v>
      </c>
      <c r="T66" t="n">
        <v>611.395</v>
      </c>
      <c r="U66" t="n">
        <v>659.871</v>
      </c>
      <c r="V66" t="n">
        <v>766.7140000000001</v>
      </c>
      <c r="W66" t="n">
        <v>820.135</v>
      </c>
      <c r="X66" t="n">
        <v>758.798</v>
      </c>
      <c r="Y66" t="n">
        <v>743.962</v>
      </c>
      <c r="Z66" t="n">
        <v>914.144</v>
      </c>
      <c r="AA66" t="n">
        <v>931.962</v>
      </c>
      <c r="AB66" t="n">
        <v>1065.528</v>
      </c>
      <c r="AC66" t="n">
        <v>1138.749</v>
      </c>
      <c r="AD66" t="n">
        <v>1129.85</v>
      </c>
      <c r="AE66" t="n">
        <v>12356.84</v>
      </c>
      <c r="AF66" t="n">
        <v>10249.775</v>
      </c>
      <c r="AG66" t="n">
        <v>12612.092</v>
      </c>
      <c r="AH66" t="n">
        <v>13628.228</v>
      </c>
      <c r="AI66" t="n">
        <v>18413.991</v>
      </c>
      <c r="AJ66" t="n">
        <v>17815.403</v>
      </c>
      <c r="AK66" t="n">
        <v>18172.589</v>
      </c>
      <c r="AL66" t="n">
        <v>16999.137</v>
      </c>
      <c r="AM66" t="n">
        <v>17143.603</v>
      </c>
      <c r="AN66" t="n">
        <v>32761.134</v>
      </c>
      <c r="AO66" t="n">
        <v>30373.715</v>
      </c>
      <c r="AP66" t="n">
        <v>30049.245</v>
      </c>
      <c r="AQ66" t="n">
        <v>26227.213</v>
      </c>
      <c r="AR66" t="n">
        <v>27234.334</v>
      </c>
      <c r="AS66" t="n">
        <v>8909.692999999999</v>
      </c>
      <c r="AT66" t="n">
        <v>8539.656000000001</v>
      </c>
      <c r="AU66" t="n">
        <v>9819.962</v>
      </c>
      <c r="AV66" t="n">
        <v>8686.089</v>
      </c>
      <c r="AW66" t="n">
        <v>8413.01</v>
      </c>
      <c r="AX66" t="n">
        <v>18132.107</v>
      </c>
      <c r="AY66" t="n">
        <v>16954.697</v>
      </c>
      <c r="AZ66" t="n">
        <v>16531.225</v>
      </c>
      <c r="BA66" t="n">
        <v>16854.766</v>
      </c>
      <c r="BB66" t="n">
        <v>16157.225</v>
      </c>
      <c r="BC66" t="n">
        <v>13165.211</v>
      </c>
      <c r="BD66" t="n">
        <v>11820.589</v>
      </c>
      <c r="BE66" t="n">
        <v>11760.236</v>
      </c>
      <c r="BF66" t="n">
        <v>13682.678</v>
      </c>
      <c r="BG66" t="n">
        <v>14408.911</v>
      </c>
      <c r="BH66" t="n">
        <v>17884.686</v>
      </c>
      <c r="BI66" t="n">
        <v>18893.89</v>
      </c>
      <c r="BJ66" t="n">
        <v>22069.919</v>
      </c>
      <c r="BK66" t="n">
        <v>21894.788</v>
      </c>
      <c r="BL66" t="n">
        <v>18140.937</v>
      </c>
      <c r="BM66" t="n">
        <v>18168.643</v>
      </c>
      <c r="BN66" t="n">
        <v>16903.953</v>
      </c>
      <c r="BO66" t="n">
        <v>17134.442</v>
      </c>
      <c r="BP66" t="n">
        <v>16760.346</v>
      </c>
      <c r="BQ66" t="n">
        <v>17829.92</v>
      </c>
      <c r="BR66" t="n">
        <v>18079.87</v>
      </c>
      <c r="BS66" t="n">
        <v>19426.598</v>
      </c>
      <c r="BT66" t="n">
        <v>17964.475</v>
      </c>
      <c r="BU66" t="n">
        <v>16512.677</v>
      </c>
      <c r="BV66" t="n">
        <v>17233.097</v>
      </c>
    </row>
    <row r="67">
      <c r="A67" t="inlineStr">
        <is>
          <t>Euthynnus affinis</t>
        </is>
      </c>
      <c r="B67" t="inlineStr">
        <is>
          <t>Kawakawa</t>
        </is>
      </c>
      <c r="C67" t="inlineStr">
        <is>
          <t>Large pelagics (&gt;=90 cm)</t>
        </is>
      </c>
      <c r="D67" t="inlineStr">
        <is>
          <t>Tuna &amp; billfishes</t>
        </is>
      </c>
      <c r="E67" t="n">
        <v>1411.067</v>
      </c>
      <c r="F67" t="n">
        <v>396.356</v>
      </c>
      <c r="G67" t="n">
        <v>359.598</v>
      </c>
      <c r="H67" t="n">
        <v>508.832</v>
      </c>
      <c r="I67" t="n">
        <v>1265.153</v>
      </c>
      <c r="J67" t="n">
        <v>1407.988</v>
      </c>
      <c r="K67" t="n">
        <v>1558.859</v>
      </c>
      <c r="L67" t="n">
        <v>2247.279</v>
      </c>
      <c r="M67" t="n">
        <v>1038.779</v>
      </c>
      <c r="N67" t="n">
        <v>696.682</v>
      </c>
      <c r="O67" t="n">
        <v>730.687</v>
      </c>
      <c r="P67" t="n">
        <v>1901.46</v>
      </c>
      <c r="Q67" t="n">
        <v>1187.714</v>
      </c>
      <c r="R67" t="n">
        <v>1360.72</v>
      </c>
      <c r="S67" t="n">
        <v>2891.538</v>
      </c>
      <c r="T67" t="n">
        <v>1561.948</v>
      </c>
      <c r="U67" t="n">
        <v>1377.62</v>
      </c>
      <c r="V67" t="n">
        <v>1130.816</v>
      </c>
      <c r="W67" t="n">
        <v>1328.94</v>
      </c>
      <c r="X67" t="n">
        <v>1699.519</v>
      </c>
      <c r="Y67" t="n">
        <v>1254.364</v>
      </c>
      <c r="Z67" t="n">
        <v>2046.122</v>
      </c>
      <c r="AA67" t="n">
        <v>1844.56</v>
      </c>
      <c r="AB67" t="n">
        <v>3508.525</v>
      </c>
      <c r="AC67" t="n">
        <v>2728.898</v>
      </c>
      <c r="AD67" t="n">
        <v>5529.93</v>
      </c>
      <c r="AE67" t="n">
        <v>3122.762</v>
      </c>
      <c r="AF67" t="n">
        <v>2361.164</v>
      </c>
      <c r="AG67" t="n">
        <v>2778.53</v>
      </c>
      <c r="AH67" t="n">
        <v>2765.385</v>
      </c>
      <c r="AI67" t="n">
        <v>3755.071</v>
      </c>
      <c r="AJ67" t="n">
        <v>7933.582</v>
      </c>
      <c r="AK67" t="n">
        <v>9548.780000000001</v>
      </c>
      <c r="AL67" t="n">
        <v>7305.461</v>
      </c>
      <c r="AM67" t="n">
        <v>8094.984</v>
      </c>
      <c r="AN67" t="n">
        <v>9490.571</v>
      </c>
      <c r="AO67" t="n">
        <v>7161.747</v>
      </c>
      <c r="AP67" t="n">
        <v>12390.352</v>
      </c>
      <c r="AQ67" t="n">
        <v>12002.463</v>
      </c>
      <c r="AR67" t="n">
        <v>13216.576</v>
      </c>
      <c r="AS67" t="n">
        <v>13735.319</v>
      </c>
      <c r="AT67" t="n">
        <v>21948.584</v>
      </c>
      <c r="AU67" t="n">
        <v>22241.933</v>
      </c>
      <c r="AV67" t="n">
        <v>25625.748</v>
      </c>
      <c r="AW67" t="n">
        <v>26360.574</v>
      </c>
      <c r="AX67" t="n">
        <v>20213.371</v>
      </c>
      <c r="AY67" t="n">
        <v>16621.248</v>
      </c>
      <c r="AZ67" t="n">
        <v>17792.031</v>
      </c>
      <c r="BA67" t="n">
        <v>15624.105</v>
      </c>
      <c r="BB67" t="n">
        <v>13468.501</v>
      </c>
      <c r="BC67" t="n">
        <v>21012.738</v>
      </c>
      <c r="BD67" t="n">
        <v>18474.546</v>
      </c>
      <c r="BE67" t="n">
        <v>17188.812</v>
      </c>
      <c r="BF67" t="n">
        <v>20731.625</v>
      </c>
      <c r="BG67" t="n">
        <v>22536.704</v>
      </c>
      <c r="BH67" t="n">
        <v>27012.017</v>
      </c>
      <c r="BI67" t="n">
        <v>30467.903</v>
      </c>
      <c r="BJ67" t="n">
        <v>24847.399</v>
      </c>
      <c r="BK67" t="n">
        <v>27334.374</v>
      </c>
      <c r="BL67" t="n">
        <v>21212.577</v>
      </c>
      <c r="BM67" t="n">
        <v>18524.978</v>
      </c>
      <c r="BN67" t="n">
        <v>13261.421</v>
      </c>
      <c r="BO67" t="n">
        <v>11188.979</v>
      </c>
      <c r="BP67" t="n">
        <v>10811.571</v>
      </c>
      <c r="BQ67" t="n">
        <v>24765.219</v>
      </c>
      <c r="BR67" t="n">
        <v>26339.203</v>
      </c>
      <c r="BS67" t="n">
        <v>21845.235</v>
      </c>
      <c r="BT67" t="n">
        <v>20200.275</v>
      </c>
      <c r="BU67" t="n">
        <v>19391.063</v>
      </c>
      <c r="BV67" t="n">
        <v>25826.196</v>
      </c>
    </row>
    <row r="68">
      <c r="A68" t="inlineStr">
        <is>
          <t>Trichiurus</t>
        </is>
      </c>
      <c r="B68" t="inlineStr">
        <is>
          <t>Hairtails</t>
        </is>
      </c>
      <c r="C68" t="inlineStr">
        <is>
          <t>Large benthopelagics (&gt;=90 cm)</t>
        </is>
      </c>
      <c r="D68" t="inlineStr">
        <is>
          <t>Perch-likes</t>
        </is>
      </c>
      <c r="E68" t="n">
        <v>291.655</v>
      </c>
      <c r="F68" t="n">
        <v>336.303</v>
      </c>
      <c r="G68" t="n">
        <v>377.885</v>
      </c>
      <c r="H68" t="n">
        <v>374.973</v>
      </c>
      <c r="I68" t="n">
        <v>389.568</v>
      </c>
      <c r="J68" t="n">
        <v>412.044</v>
      </c>
      <c r="K68" t="n">
        <v>406.121</v>
      </c>
      <c r="L68" t="n">
        <v>408.1</v>
      </c>
      <c r="M68" t="n">
        <v>420.045</v>
      </c>
      <c r="N68" t="n">
        <v>410.521</v>
      </c>
      <c r="O68" t="n">
        <v>437.018</v>
      </c>
      <c r="P68" t="n">
        <v>540.6900000000001</v>
      </c>
      <c r="Q68" t="n">
        <v>649.667</v>
      </c>
      <c r="R68" t="n">
        <v>770.965</v>
      </c>
      <c r="S68" t="n">
        <v>2066.577</v>
      </c>
      <c r="T68" t="n">
        <v>2425.209</v>
      </c>
      <c r="U68" t="n">
        <v>2795.597</v>
      </c>
      <c r="V68" t="n">
        <v>2773.325</v>
      </c>
      <c r="W68" t="n">
        <v>2962.646</v>
      </c>
      <c r="X68" t="n">
        <v>2994.093</v>
      </c>
      <c r="Y68" t="n">
        <v>3595.687</v>
      </c>
      <c r="Z68" t="n">
        <v>5953.128</v>
      </c>
      <c r="AA68" t="n">
        <v>6847.847</v>
      </c>
      <c r="AB68" t="n">
        <v>8006.952</v>
      </c>
      <c r="AC68" t="n">
        <v>8873.338</v>
      </c>
      <c r="AD68" t="n">
        <v>9761.916999999999</v>
      </c>
      <c r="AE68" t="n">
        <v>9504.779</v>
      </c>
      <c r="AF68" t="n">
        <v>8716.508</v>
      </c>
      <c r="AG68" t="n">
        <v>10198.282</v>
      </c>
      <c r="AH68" t="n">
        <v>11174.489</v>
      </c>
      <c r="AI68" t="n">
        <v>15412.731</v>
      </c>
      <c r="AJ68" t="n">
        <v>15882.885</v>
      </c>
      <c r="AK68" t="n">
        <v>16969.242</v>
      </c>
      <c r="AL68" t="n">
        <v>16752.057</v>
      </c>
      <c r="AM68" t="n">
        <v>18506.197</v>
      </c>
      <c r="AN68" t="n">
        <v>12187.274</v>
      </c>
      <c r="AO68" t="n">
        <v>11650.047</v>
      </c>
      <c r="AP68" t="n">
        <v>12515.566</v>
      </c>
      <c r="AQ68" t="n">
        <v>14434.54</v>
      </c>
      <c r="AR68" t="n">
        <v>12959.387</v>
      </c>
      <c r="AS68" t="n">
        <v>14155.197</v>
      </c>
      <c r="AT68" t="n">
        <v>14504.168</v>
      </c>
      <c r="AU68" t="n">
        <v>15956.949</v>
      </c>
      <c r="AV68" t="n">
        <v>15881.23</v>
      </c>
      <c r="AW68" t="n">
        <v>16485.863</v>
      </c>
      <c r="AX68" t="n">
        <v>18188.821</v>
      </c>
      <c r="AY68" t="n">
        <v>18650.53</v>
      </c>
      <c r="AZ68" t="n">
        <v>19039.06</v>
      </c>
      <c r="BA68" t="n">
        <v>18655.399</v>
      </c>
      <c r="BB68" t="n">
        <v>18132.053</v>
      </c>
      <c r="BC68" t="n">
        <v>16281.044</v>
      </c>
      <c r="BD68" t="n">
        <v>15433.399</v>
      </c>
      <c r="BE68" t="n">
        <v>15885.974</v>
      </c>
      <c r="BF68" t="n">
        <v>16246.338</v>
      </c>
      <c r="BG68" t="n">
        <v>14096.724</v>
      </c>
      <c r="BH68" t="n">
        <v>15282.666</v>
      </c>
      <c r="BI68" t="n">
        <v>16153.453</v>
      </c>
      <c r="BJ68" t="n">
        <v>19538.38</v>
      </c>
      <c r="BK68" t="n">
        <v>18399.249</v>
      </c>
      <c r="BL68" t="n">
        <v>17104.445</v>
      </c>
      <c r="BM68" t="n">
        <v>15821.464</v>
      </c>
      <c r="BN68" t="n">
        <v>15847.487</v>
      </c>
      <c r="BO68" t="n">
        <v>16136.918</v>
      </c>
      <c r="BP68" t="n">
        <v>15926.204</v>
      </c>
      <c r="BQ68" t="n">
        <v>16805.139</v>
      </c>
      <c r="BR68" t="n">
        <v>18408.33</v>
      </c>
      <c r="BS68" t="n">
        <v>18697.345</v>
      </c>
      <c r="BT68" t="n">
        <v>20658.993</v>
      </c>
      <c r="BU68" t="n">
        <v>17779.575</v>
      </c>
      <c r="BV68" t="n">
        <v>19060.841</v>
      </c>
    </row>
    <row r="69">
      <c r="A69" t="inlineStr">
        <is>
          <t>Portunus pelagicus</t>
        </is>
      </c>
      <c r="B69" t="inlineStr">
        <is>
          <t>Blue swimming crab</t>
        </is>
      </c>
      <c r="C69" t="inlineStr">
        <is>
          <t>Lobsters, crabs</t>
        </is>
      </c>
      <c r="D69" t="inlineStr">
        <is>
          <t>Crustaceans</t>
        </is>
      </c>
      <c r="E69" t="n">
        <v>569.974</v>
      </c>
      <c r="F69" t="n">
        <v>565.026</v>
      </c>
      <c r="G69" t="n">
        <v>553.152</v>
      </c>
      <c r="H69" t="n">
        <v>537.319</v>
      </c>
      <c r="I69" t="n">
        <v>539.298</v>
      </c>
      <c r="J69" t="n">
        <v>585.806</v>
      </c>
      <c r="K69" t="n">
        <v>547.2140000000001</v>
      </c>
      <c r="L69" t="n">
        <v>562.057</v>
      </c>
      <c r="M69" t="n">
        <v>636.273</v>
      </c>
      <c r="N69" t="n">
        <v>667.938</v>
      </c>
      <c r="O69" t="n">
        <v>750.0700000000001</v>
      </c>
      <c r="P69" t="n">
        <v>794.723</v>
      </c>
      <c r="Q69" t="n">
        <v>937.335</v>
      </c>
      <c r="R69" t="n">
        <v>1659.881</v>
      </c>
      <c r="S69" t="n">
        <v>2864.964</v>
      </c>
      <c r="T69" t="n">
        <v>3130.095</v>
      </c>
      <c r="U69" t="n">
        <v>3448.331</v>
      </c>
      <c r="V69" t="n">
        <v>3425.131</v>
      </c>
      <c r="W69" t="n">
        <v>3837.374</v>
      </c>
      <c r="X69" t="n">
        <v>3097.706</v>
      </c>
      <c r="Y69" t="n">
        <v>3364.464</v>
      </c>
      <c r="Z69" t="n">
        <v>5871.886</v>
      </c>
      <c r="AA69" t="n">
        <v>6831.47</v>
      </c>
      <c r="AB69" t="n">
        <v>8065.216</v>
      </c>
      <c r="AC69" t="n">
        <v>8500.295</v>
      </c>
      <c r="AD69" t="n">
        <v>8961.986999999999</v>
      </c>
      <c r="AE69" t="n">
        <v>10547.456</v>
      </c>
      <c r="AF69" t="n">
        <v>11748.985</v>
      </c>
      <c r="AG69" t="n">
        <v>16421.121</v>
      </c>
      <c r="AH69" t="n">
        <v>16408.557</v>
      </c>
      <c r="AI69" t="n">
        <v>16979.409</v>
      </c>
      <c r="AJ69" t="n">
        <v>16510.952</v>
      </c>
      <c r="AK69" t="n">
        <v>15067.917</v>
      </c>
      <c r="AL69" t="n">
        <v>13470.941</v>
      </c>
      <c r="AM69" t="n">
        <v>13959.649</v>
      </c>
      <c r="AN69" t="n">
        <v>10970.548</v>
      </c>
      <c r="AO69" t="n">
        <v>13743.859</v>
      </c>
      <c r="AP69" t="n">
        <v>12188.094</v>
      </c>
      <c r="AQ69" t="n">
        <v>10853.719</v>
      </c>
      <c r="AR69" t="n">
        <v>12152.723</v>
      </c>
      <c r="AS69" t="n">
        <v>12434.28</v>
      </c>
      <c r="AT69" t="n">
        <v>12572.022</v>
      </c>
      <c r="AU69" t="n">
        <v>13070.521</v>
      </c>
      <c r="AV69" t="n">
        <v>14150.046</v>
      </c>
      <c r="AW69" t="n">
        <v>12504.023</v>
      </c>
      <c r="AX69" t="n">
        <v>14073.755</v>
      </c>
      <c r="AY69" t="n">
        <v>13406.379</v>
      </c>
      <c r="AZ69" t="n">
        <v>13119.512</v>
      </c>
      <c r="BA69" t="n">
        <v>18413.865</v>
      </c>
      <c r="BB69" t="n">
        <v>16054.022</v>
      </c>
      <c r="BC69" t="n">
        <v>18424.455</v>
      </c>
      <c r="BD69" t="n">
        <v>17824.984</v>
      </c>
      <c r="BE69" t="n">
        <v>17890.578</v>
      </c>
      <c r="BF69" t="n">
        <v>22047.592</v>
      </c>
      <c r="BG69" t="n">
        <v>19996.62</v>
      </c>
      <c r="BH69" t="n">
        <v>18537.148</v>
      </c>
      <c r="BI69" t="n">
        <v>17740.689</v>
      </c>
      <c r="BJ69" t="n">
        <v>17819.712</v>
      </c>
      <c r="BK69" t="n">
        <v>18614.972</v>
      </c>
      <c r="BL69" t="n">
        <v>18131.69</v>
      </c>
      <c r="BM69" t="n">
        <v>17867.686</v>
      </c>
      <c r="BN69" t="n">
        <v>19770.845</v>
      </c>
      <c r="BO69" t="n">
        <v>17579.459</v>
      </c>
      <c r="BP69" t="n">
        <v>14595.263</v>
      </c>
      <c r="BQ69" t="n">
        <v>13192.656</v>
      </c>
      <c r="BR69" t="n">
        <v>13500.89</v>
      </c>
      <c r="BS69" t="n">
        <v>11572.78</v>
      </c>
      <c r="BT69" t="n">
        <v>12754.438</v>
      </c>
      <c r="BU69" t="n">
        <v>12002.922</v>
      </c>
      <c r="BV69" t="n">
        <v>15906.12</v>
      </c>
    </row>
    <row r="70">
      <c r="A70" t="inlineStr">
        <is>
          <t>Penaeus merguiensis</t>
        </is>
      </c>
      <c r="B70" t="inlineStr">
        <is>
          <t>Banana prawn</t>
        </is>
      </c>
      <c r="C70" t="inlineStr">
        <is>
          <t>Shrimps</t>
        </is>
      </c>
      <c r="D70" t="inlineStr">
        <is>
          <t>Crustaceans</t>
        </is>
      </c>
      <c r="E70" t="n">
        <v>475.329</v>
      </c>
      <c r="F70" t="n">
        <v>471.366</v>
      </c>
      <c r="G70" t="n">
        <v>483.414</v>
      </c>
      <c r="H70" t="n">
        <v>495.413</v>
      </c>
      <c r="I70" t="n">
        <v>545.027</v>
      </c>
      <c r="J70" t="n">
        <v>528.649</v>
      </c>
      <c r="K70" t="n">
        <v>578.145</v>
      </c>
      <c r="L70" t="n">
        <v>561.626</v>
      </c>
      <c r="M70" t="n">
        <v>639.247</v>
      </c>
      <c r="N70" t="n">
        <v>622.59</v>
      </c>
      <c r="O70" t="n">
        <v>645.524</v>
      </c>
      <c r="P70" t="n">
        <v>651.928</v>
      </c>
      <c r="Q70" t="n">
        <v>764.335</v>
      </c>
      <c r="R70" t="n">
        <v>713.181</v>
      </c>
      <c r="S70" t="n">
        <v>954.006</v>
      </c>
      <c r="T70" t="n">
        <v>752.022</v>
      </c>
      <c r="U70" t="n">
        <v>803.255</v>
      </c>
      <c r="V70" t="n">
        <v>835.566</v>
      </c>
      <c r="W70" t="n">
        <v>754.732</v>
      </c>
      <c r="X70" t="n">
        <v>890.461</v>
      </c>
      <c r="Y70" t="n">
        <v>836.11</v>
      </c>
      <c r="Z70" t="n">
        <v>822.585</v>
      </c>
      <c r="AA70" t="n">
        <v>873.313</v>
      </c>
      <c r="AB70" t="n">
        <v>839.133</v>
      </c>
      <c r="AC70" t="n">
        <v>1272.213</v>
      </c>
      <c r="AD70" t="n">
        <v>2613.407</v>
      </c>
      <c r="AE70" t="n">
        <v>4142.818</v>
      </c>
      <c r="AF70" t="n">
        <v>5602.136</v>
      </c>
      <c r="AG70" t="n">
        <v>13193.325</v>
      </c>
      <c r="AH70" t="n">
        <v>12730.436</v>
      </c>
      <c r="AI70" t="n">
        <v>8038.543</v>
      </c>
      <c r="AJ70" t="n">
        <v>6098.278</v>
      </c>
      <c r="AK70" t="n">
        <v>6397.395</v>
      </c>
      <c r="AL70" t="n">
        <v>5108.925</v>
      </c>
      <c r="AM70" t="n">
        <v>6578.941</v>
      </c>
      <c r="AN70" t="n">
        <v>18571.902</v>
      </c>
      <c r="AO70" t="n">
        <v>18096.33</v>
      </c>
      <c r="AP70" t="n">
        <v>17862.603</v>
      </c>
      <c r="AQ70" t="n">
        <v>15477.398</v>
      </c>
      <c r="AR70" t="n">
        <v>17027.999</v>
      </c>
      <c r="AS70" t="n">
        <v>11562.844</v>
      </c>
      <c r="AT70" t="n">
        <v>11209.451</v>
      </c>
      <c r="AU70" t="n">
        <v>13086.893</v>
      </c>
      <c r="AV70" t="n">
        <v>12965.877</v>
      </c>
      <c r="AW70" t="n">
        <v>10904.587</v>
      </c>
      <c r="AX70" t="n">
        <v>18152.355</v>
      </c>
      <c r="AY70" t="n">
        <v>17538.348</v>
      </c>
      <c r="AZ70" t="n">
        <v>17013.404</v>
      </c>
      <c r="BA70" t="n">
        <v>15020.753</v>
      </c>
      <c r="BB70" t="n">
        <v>15453.769</v>
      </c>
      <c r="BC70" t="n">
        <v>15724.253</v>
      </c>
      <c r="BD70" t="n">
        <v>17020.792</v>
      </c>
      <c r="BE70" t="n">
        <v>20330.254</v>
      </c>
      <c r="BF70" t="n">
        <v>25645.066</v>
      </c>
      <c r="BG70" t="n">
        <v>18570.799</v>
      </c>
      <c r="BH70" t="n">
        <v>19255.932</v>
      </c>
      <c r="BI70" t="n">
        <v>20370.417</v>
      </c>
      <c r="BJ70" t="n">
        <v>18897.791</v>
      </c>
      <c r="BK70" t="n">
        <v>19498.417</v>
      </c>
      <c r="BL70" t="n">
        <v>22452.41</v>
      </c>
      <c r="BM70" t="n">
        <v>22083.376</v>
      </c>
      <c r="BN70" t="n">
        <v>20389.294</v>
      </c>
      <c r="BO70" t="n">
        <v>23856.244</v>
      </c>
      <c r="BP70" t="n">
        <v>21624.284</v>
      </c>
      <c r="BQ70" t="n">
        <v>22020.216</v>
      </c>
      <c r="BR70" t="n">
        <v>21827.729</v>
      </c>
      <c r="BS70" t="n">
        <v>22125.729</v>
      </c>
      <c r="BT70" t="n">
        <v>19963.465</v>
      </c>
      <c r="BU70" t="n">
        <v>19244.313</v>
      </c>
      <c r="BV70" t="n">
        <v>20326.438</v>
      </c>
    </row>
    <row r="71">
      <c r="A71" t="inlineStr">
        <is>
          <t>Metapenaeus</t>
        </is>
      </c>
      <c r="B71" t="inlineStr">
        <is>
          <t>Indo-Pacific prawns</t>
        </is>
      </c>
      <c r="C71" t="inlineStr">
        <is>
          <t>Shrimps</t>
        </is>
      </c>
      <c r="D71" t="inlineStr">
        <is>
          <t>Crustaceans</t>
        </is>
      </c>
      <c r="E71" t="n">
        <v>575.124</v>
      </c>
      <c r="F71" t="n">
        <v>637.138</v>
      </c>
      <c r="G71" t="n">
        <v>739.76</v>
      </c>
      <c r="H71" t="n">
        <v>811.375</v>
      </c>
      <c r="I71" t="n">
        <v>1029.917</v>
      </c>
      <c r="J71" t="n">
        <v>979.7089999999999</v>
      </c>
      <c r="K71" t="n">
        <v>1213.754</v>
      </c>
      <c r="L71" t="n">
        <v>1148.042</v>
      </c>
      <c r="M71" t="n">
        <v>1457.399</v>
      </c>
      <c r="N71" t="n">
        <v>1407.191</v>
      </c>
      <c r="O71" t="n">
        <v>1463.302</v>
      </c>
      <c r="P71" t="n">
        <v>1506.116</v>
      </c>
      <c r="Q71" t="n">
        <v>2021.907</v>
      </c>
      <c r="R71" t="n">
        <v>1790.088</v>
      </c>
      <c r="S71" t="n">
        <v>2847.604</v>
      </c>
      <c r="T71" t="n">
        <v>1993.985</v>
      </c>
      <c r="U71" t="n">
        <v>2300.313</v>
      </c>
      <c r="V71" t="n">
        <v>2386.755</v>
      </c>
      <c r="W71" t="n">
        <v>1970.449</v>
      </c>
      <c r="X71" t="n">
        <v>2577.621</v>
      </c>
      <c r="Y71" t="n">
        <v>2361.288</v>
      </c>
      <c r="Z71" t="n">
        <v>2260.411</v>
      </c>
      <c r="AA71" t="n">
        <v>2570.944</v>
      </c>
      <c r="AB71" t="n">
        <v>2199.521</v>
      </c>
      <c r="AC71" t="n">
        <v>3559.43</v>
      </c>
      <c r="AD71" t="n">
        <v>5101.313</v>
      </c>
      <c r="AE71" t="n">
        <v>21718.272</v>
      </c>
      <c r="AF71" t="n">
        <v>9244.745000000001</v>
      </c>
      <c r="AG71" t="n">
        <v>7199.401</v>
      </c>
      <c r="AH71" t="n">
        <v>6677.101</v>
      </c>
      <c r="AI71" t="n">
        <v>3990.763</v>
      </c>
      <c r="AJ71" t="n">
        <v>6963.059</v>
      </c>
      <c r="AK71" t="n">
        <v>7755.781</v>
      </c>
      <c r="AL71" t="n">
        <v>6878.399</v>
      </c>
      <c r="AM71" t="n">
        <v>6658.682</v>
      </c>
      <c r="AN71" t="n">
        <v>4959.182</v>
      </c>
      <c r="AO71" t="n">
        <v>6617.687</v>
      </c>
      <c r="AP71" t="n">
        <v>6558.125</v>
      </c>
      <c r="AQ71" t="n">
        <v>6694.569</v>
      </c>
      <c r="AR71" t="n">
        <v>6282.193</v>
      </c>
      <c r="AS71" t="n">
        <v>5813.587</v>
      </c>
      <c r="AT71" t="n">
        <v>7283.804</v>
      </c>
      <c r="AU71" t="n">
        <v>7403.886</v>
      </c>
      <c r="AV71" t="n">
        <v>7346.177</v>
      </c>
      <c r="AW71" t="n">
        <v>6857.234</v>
      </c>
      <c r="AX71" t="n">
        <v>12622.614</v>
      </c>
      <c r="AY71" t="n">
        <v>10679.9</v>
      </c>
      <c r="AZ71" t="n">
        <v>11920.092</v>
      </c>
      <c r="BA71" t="n">
        <v>11110.266</v>
      </c>
      <c r="BB71" t="n">
        <v>10651.06</v>
      </c>
      <c r="BC71" t="n">
        <v>10347.95</v>
      </c>
      <c r="BD71" t="n">
        <v>9521.414000000001</v>
      </c>
      <c r="BE71" t="n">
        <v>9094.790000000001</v>
      </c>
      <c r="BF71" t="n">
        <v>13751.861</v>
      </c>
      <c r="BG71" t="n">
        <v>14521.405</v>
      </c>
      <c r="BH71" t="n">
        <v>20508.648</v>
      </c>
      <c r="BI71" t="n">
        <v>24328.05</v>
      </c>
      <c r="BJ71" t="n">
        <v>26115.763</v>
      </c>
      <c r="BK71" t="n">
        <v>27386.636</v>
      </c>
      <c r="BL71" t="n">
        <v>23913.823</v>
      </c>
      <c r="BM71" t="n">
        <v>25136.159</v>
      </c>
      <c r="BN71" t="n">
        <v>22770.714</v>
      </c>
      <c r="BO71" t="n">
        <v>23484.763</v>
      </c>
      <c r="BP71" t="n">
        <v>23653.774</v>
      </c>
      <c r="BQ71" t="n">
        <v>29583.365</v>
      </c>
      <c r="BR71" t="n">
        <v>30344.823</v>
      </c>
      <c r="BS71" t="n">
        <v>33667.737</v>
      </c>
      <c r="BT71" t="n">
        <v>32490.155</v>
      </c>
      <c r="BU71" t="n">
        <v>29606.113</v>
      </c>
      <c r="BV71" t="n">
        <v>31476.823</v>
      </c>
    </row>
    <row r="72">
      <c r="A72" t="inlineStr">
        <is>
          <t>Tegillarca granosa</t>
        </is>
      </c>
      <c r="B72" t="inlineStr">
        <is>
          <t>Granular ark</t>
        </is>
      </c>
      <c r="C72" t="inlineStr">
        <is>
          <t>Other demersal invertebrates</t>
        </is>
      </c>
      <c r="D72" t="inlineStr">
        <is>
          <t>Molluscs</t>
        </is>
      </c>
      <c r="E72" t="n">
        <v>26.767</v>
      </c>
      <c r="F72" t="n">
        <v>26.767</v>
      </c>
      <c r="G72" t="n">
        <v>26.767</v>
      </c>
      <c r="H72" t="n">
        <v>26.767</v>
      </c>
      <c r="I72" t="n">
        <v>40.15</v>
      </c>
      <c r="J72" t="n">
        <v>40.15</v>
      </c>
      <c r="K72" t="n">
        <v>40.15</v>
      </c>
      <c r="L72" t="n">
        <v>40.15</v>
      </c>
      <c r="M72" t="n">
        <v>40.15</v>
      </c>
      <c r="N72" t="n">
        <v>40.15</v>
      </c>
      <c r="O72" t="n">
        <v>40.15</v>
      </c>
      <c r="P72" t="n">
        <v>168.082</v>
      </c>
      <c r="Q72" t="n">
        <v>585.547</v>
      </c>
      <c r="R72" t="n">
        <v>1042.493</v>
      </c>
      <c r="S72" t="n">
        <v>1547.528</v>
      </c>
      <c r="T72" t="n">
        <v>2247.767</v>
      </c>
      <c r="U72" t="n">
        <v>3033.084</v>
      </c>
      <c r="V72" t="n">
        <v>3253.482</v>
      </c>
      <c r="W72" t="n">
        <v>3501.268</v>
      </c>
      <c r="X72" t="n">
        <v>3858.101</v>
      </c>
      <c r="Y72" t="n">
        <v>4050.943</v>
      </c>
      <c r="Z72" t="n">
        <v>4157.498</v>
      </c>
      <c r="AA72" t="n">
        <v>4135.176</v>
      </c>
      <c r="AB72" t="n">
        <v>4537.227</v>
      </c>
      <c r="AC72" t="n">
        <v>4815.688</v>
      </c>
      <c r="AD72" t="n">
        <v>7630.396</v>
      </c>
      <c r="AE72" t="n">
        <v>19904.369</v>
      </c>
      <c r="AF72" t="n">
        <v>14937.577</v>
      </c>
      <c r="AG72" t="n">
        <v>16679.502</v>
      </c>
      <c r="AH72" t="n">
        <v>19896.583</v>
      </c>
      <c r="AI72" t="n">
        <v>16442.383</v>
      </c>
      <c r="AJ72" t="n">
        <v>15778.337</v>
      </c>
      <c r="AK72" t="n">
        <v>14604.348</v>
      </c>
      <c r="AL72" t="n">
        <v>19382.565</v>
      </c>
      <c r="AM72" t="n">
        <v>24127.544</v>
      </c>
      <c r="AN72" t="n">
        <v>22433.785</v>
      </c>
      <c r="AO72" t="n">
        <v>14513.248</v>
      </c>
      <c r="AP72" t="n">
        <v>17196.337</v>
      </c>
      <c r="AQ72" t="n">
        <v>14182.149</v>
      </c>
      <c r="AR72" t="n">
        <v>17651.961</v>
      </c>
      <c r="AS72" t="n">
        <v>18408.992</v>
      </c>
      <c r="AT72" t="n">
        <v>16861.915</v>
      </c>
      <c r="AU72" t="n">
        <v>18711.401</v>
      </c>
      <c r="AV72" t="n">
        <v>16733.97</v>
      </c>
      <c r="AW72" t="n">
        <v>18974.895</v>
      </c>
      <c r="AX72" t="n">
        <v>16504.745</v>
      </c>
      <c r="AY72" t="n">
        <v>17298.561</v>
      </c>
      <c r="AZ72" t="n">
        <v>16675.154</v>
      </c>
      <c r="BA72" t="n">
        <v>13618.431</v>
      </c>
      <c r="BB72" t="n">
        <v>12453.963</v>
      </c>
      <c r="BC72" t="n">
        <v>11833.019</v>
      </c>
      <c r="BD72" t="n">
        <v>15553.866</v>
      </c>
      <c r="BE72" t="n">
        <v>16460.207</v>
      </c>
      <c r="BF72" t="n">
        <v>12147.299</v>
      </c>
      <c r="BG72" t="n">
        <v>15763.394</v>
      </c>
      <c r="BH72" t="n">
        <v>15465.657</v>
      </c>
      <c r="BI72" t="n">
        <v>14779.452</v>
      </c>
      <c r="BJ72" t="n">
        <v>15551.511</v>
      </c>
      <c r="BK72" t="n">
        <v>15615.829</v>
      </c>
      <c r="BL72" t="n">
        <v>7665.833</v>
      </c>
      <c r="BM72" t="n">
        <v>7682.666</v>
      </c>
      <c r="BN72" t="n">
        <v>8765.550999999999</v>
      </c>
      <c r="BO72" t="n">
        <v>8964.687</v>
      </c>
      <c r="BP72" t="n">
        <v>8921.313</v>
      </c>
      <c r="BQ72" t="n">
        <v>9341.316999999999</v>
      </c>
      <c r="BR72" t="n">
        <v>10952.06</v>
      </c>
      <c r="BS72" t="n">
        <v>10597.041</v>
      </c>
      <c r="BT72" t="n">
        <v>13443.631</v>
      </c>
      <c r="BU72" t="n">
        <v>11048.29</v>
      </c>
      <c r="BV72" t="n">
        <v>15927.188</v>
      </c>
    </row>
    <row r="73">
      <c r="A73" t="inlineStr">
        <is>
          <t>Setipinna taty</t>
        </is>
      </c>
      <c r="B73" t="inlineStr">
        <is>
          <t>Scaly hairfin anchovy</t>
        </is>
      </c>
      <c r="C73" t="inlineStr">
        <is>
          <t>Small pelagics (&lt;30 cm)</t>
        </is>
      </c>
      <c r="D73" t="inlineStr">
        <is>
          <t>Anchovies</t>
        </is>
      </c>
      <c r="E73" t="n">
        <v>7113.757</v>
      </c>
      <c r="F73" t="n">
        <v>7058.703</v>
      </c>
      <c r="G73" t="n">
        <v>7112.314</v>
      </c>
      <c r="H73" t="n">
        <v>7165.116</v>
      </c>
      <c r="I73" t="n">
        <v>7216.848</v>
      </c>
      <c r="J73" t="n">
        <v>7267.731</v>
      </c>
      <c r="K73" t="n">
        <v>7317.504</v>
      </c>
      <c r="L73" t="n">
        <v>7366.066</v>
      </c>
      <c r="M73" t="n">
        <v>7413.618</v>
      </c>
      <c r="N73" t="n">
        <v>7459.899</v>
      </c>
      <c r="O73" t="n">
        <v>7692.994</v>
      </c>
      <c r="P73" t="n">
        <v>8119.524</v>
      </c>
      <c r="Q73" t="n">
        <v>8119.334</v>
      </c>
      <c r="R73" t="n">
        <v>8218.111000000001</v>
      </c>
      <c r="S73" t="n">
        <v>8316.132</v>
      </c>
      <c r="T73" t="n">
        <v>8413.153</v>
      </c>
      <c r="U73" t="n">
        <v>8491.564</v>
      </c>
      <c r="V73" t="n">
        <v>8568.635</v>
      </c>
      <c r="W73" t="n">
        <v>8644.011</v>
      </c>
      <c r="X73" t="n">
        <v>8717.727000000001</v>
      </c>
      <c r="Y73" t="n">
        <v>8608.456</v>
      </c>
      <c r="Z73" t="n">
        <v>8861.718000000001</v>
      </c>
      <c r="AA73" t="n">
        <v>8931.808000000001</v>
      </c>
      <c r="AB73" t="n">
        <v>8999.812</v>
      </c>
      <c r="AC73" t="n">
        <v>9229.929</v>
      </c>
      <c r="AD73" t="n">
        <v>9105.888000000001</v>
      </c>
      <c r="AE73" t="n">
        <v>9429.427</v>
      </c>
      <c r="AF73" t="n">
        <v>9464.071</v>
      </c>
      <c r="AG73" t="n">
        <v>9549.499</v>
      </c>
      <c r="AH73" t="n">
        <v>9555.15</v>
      </c>
      <c r="AI73" t="n">
        <v>9568.545</v>
      </c>
      <c r="AJ73" t="n">
        <v>9567.847</v>
      </c>
      <c r="AK73" t="n">
        <v>9616.689</v>
      </c>
      <c r="AL73" t="n">
        <v>9602.343000000001</v>
      </c>
      <c r="AM73" t="n">
        <v>9583.739</v>
      </c>
      <c r="AN73" t="n">
        <v>9849.804</v>
      </c>
      <c r="AO73" t="n">
        <v>9691.737999999999</v>
      </c>
      <c r="AP73" t="n">
        <v>9816.984</v>
      </c>
      <c r="AQ73" t="n">
        <v>10078.323</v>
      </c>
      <c r="AR73" t="n">
        <v>10053.845</v>
      </c>
      <c r="AS73" t="n">
        <v>10417.985</v>
      </c>
      <c r="AT73" t="n">
        <v>10618.745</v>
      </c>
      <c r="AU73" t="n">
        <v>10675.099</v>
      </c>
      <c r="AV73" t="n">
        <v>10723.765</v>
      </c>
      <c r="AW73" t="n">
        <v>10764.743</v>
      </c>
      <c r="AX73" t="n">
        <v>10798.034</v>
      </c>
      <c r="AY73" t="n">
        <v>10823.636</v>
      </c>
      <c r="AZ73" t="n">
        <v>10841.55</v>
      </c>
      <c r="BA73" t="n">
        <v>10851.776</v>
      </c>
      <c r="BB73" t="n">
        <v>10854.315</v>
      </c>
      <c r="BC73" t="n">
        <v>10849.154</v>
      </c>
      <c r="BD73" t="n">
        <v>10919.662</v>
      </c>
      <c r="BE73" t="n">
        <v>10978.639</v>
      </c>
      <c r="BF73" t="n">
        <v>11026.045</v>
      </c>
      <c r="BG73" t="n">
        <v>11061.879</v>
      </c>
      <c r="BH73" t="n">
        <v>11086.143</v>
      </c>
      <c r="BI73" t="n">
        <v>11098.835</v>
      </c>
      <c r="BJ73" t="n">
        <v>11099.956</v>
      </c>
      <c r="BK73" t="n">
        <v>11089.506</v>
      </c>
      <c r="BL73" t="n">
        <v>11327.962</v>
      </c>
      <c r="BM73" t="n">
        <v>11566.455</v>
      </c>
      <c r="BN73" t="n">
        <v>10803.157</v>
      </c>
      <c r="BO73" t="n">
        <v>10852.394</v>
      </c>
      <c r="BP73" t="n">
        <v>10998.979</v>
      </c>
      <c r="BQ73" t="n">
        <v>11253.464</v>
      </c>
      <c r="BR73" t="n">
        <v>11392.134</v>
      </c>
      <c r="BS73" t="n">
        <v>11545.158</v>
      </c>
      <c r="BT73" t="n">
        <v>11450.149</v>
      </c>
      <c r="BU73" t="n">
        <v>11476.12</v>
      </c>
      <c r="BV73" t="n">
        <v>11524.544</v>
      </c>
    </row>
    <row r="74">
      <c r="A74" t="inlineStr">
        <is>
          <t>Loliginidae</t>
        </is>
      </c>
      <c r="B74" t="inlineStr">
        <is>
          <t>Common pencil squids</t>
        </is>
      </c>
      <c r="C74" t="inlineStr">
        <is>
          <t>Cephalopods</t>
        </is>
      </c>
      <c r="D74" t="inlineStr">
        <is>
          <t>Other fishes &amp; inverts</t>
        </is>
      </c>
      <c r="E74" t="n">
        <v>41.525</v>
      </c>
      <c r="F74" t="n">
        <v>41.677</v>
      </c>
      <c r="G74" t="n">
        <v>41.99</v>
      </c>
      <c r="H74" t="n">
        <v>42.984</v>
      </c>
      <c r="I74" t="n">
        <v>44.417</v>
      </c>
      <c r="J74" t="n">
        <v>46.316</v>
      </c>
      <c r="K74" t="n">
        <v>46.608</v>
      </c>
      <c r="L74" t="n">
        <v>47.506</v>
      </c>
      <c r="M74" t="n">
        <v>48.372</v>
      </c>
      <c r="N74" t="n">
        <v>49.006</v>
      </c>
      <c r="O74" t="n">
        <v>51.645</v>
      </c>
      <c r="P74" t="n">
        <v>52.794</v>
      </c>
      <c r="Q74" t="n">
        <v>53.499</v>
      </c>
      <c r="R74" t="n">
        <v>54.309</v>
      </c>
      <c r="S74" t="n">
        <v>56.331</v>
      </c>
      <c r="T74" t="n">
        <v>57.81</v>
      </c>
      <c r="U74" t="n">
        <v>58.724</v>
      </c>
      <c r="V74" t="n">
        <v>60.311</v>
      </c>
      <c r="W74" t="n">
        <v>61.028</v>
      </c>
      <c r="X74" t="n">
        <v>62.922</v>
      </c>
      <c r="Y74" t="n">
        <v>234.883</v>
      </c>
      <c r="Z74" t="n">
        <v>232.286</v>
      </c>
      <c r="AA74" t="n">
        <v>241.749</v>
      </c>
      <c r="AB74" t="n">
        <v>312.253</v>
      </c>
      <c r="AC74" t="n">
        <v>796.149</v>
      </c>
      <c r="AD74" t="n">
        <v>1190.259</v>
      </c>
      <c r="AE74" t="n">
        <v>1091.694</v>
      </c>
      <c r="AF74" t="n">
        <v>6786.102</v>
      </c>
      <c r="AG74" t="n">
        <v>6673.058</v>
      </c>
      <c r="AH74" t="n">
        <v>6668.584</v>
      </c>
      <c r="AI74" t="n">
        <v>5085.021</v>
      </c>
      <c r="AJ74" t="n">
        <v>5691.142</v>
      </c>
      <c r="AK74" t="n">
        <v>5878.663</v>
      </c>
      <c r="AL74" t="n">
        <v>5756.163</v>
      </c>
      <c r="AM74" t="n">
        <v>8577.530000000001</v>
      </c>
      <c r="AN74" t="n">
        <v>6414.463</v>
      </c>
      <c r="AO74" t="n">
        <v>7872.17</v>
      </c>
      <c r="AP74" t="n">
        <v>9405.691999999999</v>
      </c>
      <c r="AQ74" t="n">
        <v>8269.744000000001</v>
      </c>
      <c r="AR74" t="n">
        <v>9051.489</v>
      </c>
      <c r="AS74" t="n">
        <v>8604.579</v>
      </c>
      <c r="AT74" t="n">
        <v>15246.088</v>
      </c>
      <c r="AU74" t="n">
        <v>16164.75</v>
      </c>
      <c r="AV74" t="n">
        <v>19168.862</v>
      </c>
      <c r="AW74" t="n">
        <v>19516.319</v>
      </c>
      <c r="AX74" t="n">
        <v>21515.242</v>
      </c>
      <c r="AY74" t="n">
        <v>26345.936</v>
      </c>
      <c r="AZ74" t="n">
        <v>26229.532</v>
      </c>
      <c r="BA74" t="n">
        <v>28140.195</v>
      </c>
      <c r="BB74" t="n">
        <v>25062.986</v>
      </c>
      <c r="BC74" t="n">
        <v>27570.008</v>
      </c>
      <c r="BD74" t="n">
        <v>20877.199</v>
      </c>
      <c r="BE74" t="n">
        <v>23333.638</v>
      </c>
      <c r="BF74" t="n">
        <v>18239.13</v>
      </c>
      <c r="BG74" t="n">
        <v>19626.613</v>
      </c>
      <c r="BH74" t="n">
        <v>14606.104</v>
      </c>
      <c r="BI74" t="n">
        <v>16728.366</v>
      </c>
      <c r="BJ74" t="n">
        <v>16565.127</v>
      </c>
      <c r="BK74" t="n">
        <v>20151.796</v>
      </c>
      <c r="BL74" t="n">
        <v>19283.343</v>
      </c>
      <c r="BM74" t="n">
        <v>22212.881</v>
      </c>
      <c r="BN74" t="n">
        <v>18494.97</v>
      </c>
      <c r="BO74" t="n">
        <v>16453.346</v>
      </c>
      <c r="BP74" t="n">
        <v>15036.859</v>
      </c>
      <c r="BQ74" t="n">
        <v>15259.682</v>
      </c>
      <c r="BR74" t="n">
        <v>12557.845</v>
      </c>
      <c r="BS74" t="n">
        <v>17507.505</v>
      </c>
      <c r="BT74" t="n">
        <v>16713.418</v>
      </c>
      <c r="BU74" t="n">
        <v>17925.821</v>
      </c>
      <c r="BV74" t="n">
        <v>21324.345</v>
      </c>
    </row>
    <row r="75">
      <c r="A75" t="inlineStr">
        <is>
          <t>Lethrinidae</t>
        </is>
      </c>
      <c r="B75" t="inlineStr">
        <is>
          <t>Emperors, scavengers</t>
        </is>
      </c>
      <c r="C75" t="inlineStr">
        <is>
          <t>Medium reef assoc. fish (30 - 89 cm)</t>
        </is>
      </c>
      <c r="D75" t="inlineStr">
        <is>
          <t>Perch-likes</t>
        </is>
      </c>
      <c r="E75" t="n">
        <v>5015.708</v>
      </c>
      <c r="F75" t="n">
        <v>5051.66</v>
      </c>
      <c r="G75" t="n">
        <v>5084.256</v>
      </c>
      <c r="H75" t="n">
        <v>5123.27</v>
      </c>
      <c r="I75" t="n">
        <v>5165.648</v>
      </c>
      <c r="J75" t="n">
        <v>5186.591</v>
      </c>
      <c r="K75" t="n">
        <v>5204.483</v>
      </c>
      <c r="L75" t="n">
        <v>5234.584</v>
      </c>
      <c r="M75" t="n">
        <v>5251.868</v>
      </c>
      <c r="N75" t="n">
        <v>5271.523</v>
      </c>
      <c r="O75" t="n">
        <v>5197.938</v>
      </c>
      <c r="P75" t="n">
        <v>5215.587</v>
      </c>
      <c r="Q75" t="n">
        <v>5227.261</v>
      </c>
      <c r="R75" t="n">
        <v>5233.501</v>
      </c>
      <c r="S75" t="n">
        <v>5235.999</v>
      </c>
      <c r="T75" t="n">
        <v>5235.714</v>
      </c>
      <c r="U75" t="n">
        <v>5232.739</v>
      </c>
      <c r="V75" t="n">
        <v>5226.141</v>
      </c>
      <c r="W75" t="n">
        <v>5214.581</v>
      </c>
      <c r="X75" t="n">
        <v>5196.386</v>
      </c>
      <c r="Y75" t="n">
        <v>5187.993</v>
      </c>
      <c r="Z75" t="n">
        <v>5159.868</v>
      </c>
      <c r="AA75" t="n">
        <v>5118.562</v>
      </c>
      <c r="AB75" t="n">
        <v>5072.401</v>
      </c>
      <c r="AC75" t="n">
        <v>5016.572</v>
      </c>
      <c r="AD75" t="n">
        <v>4951.995</v>
      </c>
      <c r="AE75" t="n">
        <v>4889.576</v>
      </c>
      <c r="AF75" t="n">
        <v>4817.425</v>
      </c>
      <c r="AG75" t="n">
        <v>4735.141</v>
      </c>
      <c r="AH75" t="n">
        <v>4645.737</v>
      </c>
      <c r="AI75" t="n">
        <v>4818.485</v>
      </c>
      <c r="AJ75" t="n">
        <v>5470.576</v>
      </c>
      <c r="AK75" t="n">
        <v>6732.951</v>
      </c>
      <c r="AL75" t="n">
        <v>6716.482</v>
      </c>
      <c r="AM75" t="n">
        <v>6060.095</v>
      </c>
      <c r="AN75" t="n">
        <v>6353.523</v>
      </c>
      <c r="AO75" t="n">
        <v>6709.915</v>
      </c>
      <c r="AP75" t="n">
        <v>6467.563</v>
      </c>
      <c r="AQ75" t="n">
        <v>7328.494</v>
      </c>
      <c r="AR75" t="n">
        <v>6672.577</v>
      </c>
      <c r="AS75" t="n">
        <v>8452.299000000001</v>
      </c>
      <c r="AT75" t="n">
        <v>10240.152</v>
      </c>
      <c r="AU75" t="n">
        <v>8934.065000000001</v>
      </c>
      <c r="AV75" t="n">
        <v>11510.409</v>
      </c>
      <c r="AW75" t="n">
        <v>13627.135</v>
      </c>
      <c r="AX75" t="n">
        <v>13842.211</v>
      </c>
      <c r="AY75" t="n">
        <v>15278.539</v>
      </c>
      <c r="AZ75" t="n">
        <v>16285.551</v>
      </c>
      <c r="BA75" t="n">
        <v>14902.386</v>
      </c>
      <c r="BB75" t="n">
        <v>14433.822</v>
      </c>
      <c r="BC75" t="n">
        <v>15192.182</v>
      </c>
      <c r="BD75" t="n">
        <v>17391.257</v>
      </c>
      <c r="BE75" t="n">
        <v>15743.273</v>
      </c>
      <c r="BF75" t="n">
        <v>15163.736</v>
      </c>
      <c r="BG75" t="n">
        <v>15551.488</v>
      </c>
      <c r="BH75" t="n">
        <v>11958.699</v>
      </c>
      <c r="BI75" t="n">
        <v>15540.818</v>
      </c>
      <c r="BJ75" t="n">
        <v>15586.31</v>
      </c>
      <c r="BK75" t="n">
        <v>16373.522</v>
      </c>
      <c r="BL75" t="n">
        <v>20657.36</v>
      </c>
      <c r="BM75" t="n">
        <v>11984.926</v>
      </c>
      <c r="BN75" t="n">
        <v>19399.372</v>
      </c>
      <c r="BO75" t="n">
        <v>19002.066</v>
      </c>
      <c r="BP75" t="n">
        <v>13259.189</v>
      </c>
      <c r="BQ75" t="n">
        <v>14975.823</v>
      </c>
      <c r="BR75" t="n">
        <v>21002.248</v>
      </c>
      <c r="BS75" t="n">
        <v>14769.835</v>
      </c>
      <c r="BT75" t="n">
        <v>18763.565</v>
      </c>
      <c r="BU75" t="n">
        <v>14305.387</v>
      </c>
      <c r="BV75" t="n">
        <v>18079.585</v>
      </c>
    </row>
    <row r="76">
      <c r="A76" t="inlineStr">
        <is>
          <t>Setipinna phasa</t>
        </is>
      </c>
      <c r="B76" t="inlineStr">
        <is>
          <t>Gangetic hairfin anchovy</t>
        </is>
      </c>
      <c r="C76" t="inlineStr">
        <is>
          <t>Medium pelagics (30 - 89 cm)</t>
        </is>
      </c>
      <c r="D76" t="inlineStr">
        <is>
          <t>Anchovies</t>
        </is>
      </c>
      <c r="E76" t="n">
        <v>7003.047</v>
      </c>
      <c r="F76" t="n">
        <v>6948.85</v>
      </c>
      <c r="G76" t="n">
        <v>7001.627</v>
      </c>
      <c r="H76" t="n">
        <v>7053.606</v>
      </c>
      <c r="I76" t="n">
        <v>7104.534</v>
      </c>
      <c r="J76" t="n">
        <v>7154.625</v>
      </c>
      <c r="K76" t="n">
        <v>7203.623</v>
      </c>
      <c r="L76" t="n">
        <v>7251.43</v>
      </c>
      <c r="M76" t="n">
        <v>7298.241</v>
      </c>
      <c r="N76" t="n">
        <v>7343.802</v>
      </c>
      <c r="O76" t="n">
        <v>7573.27</v>
      </c>
      <c r="P76" t="n">
        <v>7993.162</v>
      </c>
      <c r="Q76" t="n">
        <v>7992.975</v>
      </c>
      <c r="R76" t="n">
        <v>8090.214</v>
      </c>
      <c r="S76" t="n">
        <v>8186.71</v>
      </c>
      <c r="T76" t="n">
        <v>8282.221</v>
      </c>
      <c r="U76" t="n">
        <v>8359.412</v>
      </c>
      <c r="V76" t="n">
        <v>8435.282999999999</v>
      </c>
      <c r="W76" t="n">
        <v>8509.485000000001</v>
      </c>
      <c r="X76" t="n">
        <v>8582.055</v>
      </c>
      <c r="Y76" t="n">
        <v>8474.485000000001</v>
      </c>
      <c r="Z76" t="n">
        <v>8723.804</v>
      </c>
      <c r="AA76" t="n">
        <v>8792.804</v>
      </c>
      <c r="AB76" t="n">
        <v>8859.749</v>
      </c>
      <c r="AC76" t="n">
        <v>9086.285</v>
      </c>
      <c r="AD76" t="n">
        <v>8964.174999999999</v>
      </c>
      <c r="AE76" t="n">
        <v>9282.679</v>
      </c>
      <c r="AF76" t="n">
        <v>9316.784</v>
      </c>
      <c r="AG76" t="n">
        <v>9400.882</v>
      </c>
      <c r="AH76" t="n">
        <v>9406.445</v>
      </c>
      <c r="AI76" t="n">
        <v>9419.632</v>
      </c>
      <c r="AJ76" t="n">
        <v>9418.944</v>
      </c>
      <c r="AK76" t="n">
        <v>9467.026</v>
      </c>
      <c r="AL76" t="n">
        <v>9452.904</v>
      </c>
      <c r="AM76" t="n">
        <v>9434.589</v>
      </c>
      <c r="AN76" t="n">
        <v>9696.513999999999</v>
      </c>
      <c r="AO76" t="n">
        <v>9540.907999999999</v>
      </c>
      <c r="AP76" t="n">
        <v>9664.204</v>
      </c>
      <c r="AQ76" t="n">
        <v>9921.476000000001</v>
      </c>
      <c r="AR76" t="n">
        <v>9897.379000000001</v>
      </c>
      <c r="AS76" t="n">
        <v>10255.852</v>
      </c>
      <c r="AT76" t="n">
        <v>10453.487</v>
      </c>
      <c r="AU76" t="n">
        <v>10508.964</v>
      </c>
      <c r="AV76" t="n">
        <v>10556.873</v>
      </c>
      <c r="AW76" t="n">
        <v>10597.214</v>
      </c>
      <c r="AX76" t="n">
        <v>10629.986</v>
      </c>
      <c r="AY76" t="n">
        <v>10655.19</v>
      </c>
      <c r="AZ76" t="n">
        <v>10672.825</v>
      </c>
      <c r="BA76" t="n">
        <v>10682.892</v>
      </c>
      <c r="BB76" t="n">
        <v>10685.391</v>
      </c>
      <c r="BC76" t="n">
        <v>10680.311</v>
      </c>
      <c r="BD76" t="n">
        <v>10749.721</v>
      </c>
      <c r="BE76" t="n">
        <v>10807.78</v>
      </c>
      <c r="BF76" t="n">
        <v>10854.448</v>
      </c>
      <c r="BG76" t="n">
        <v>10889.725</v>
      </c>
      <c r="BH76" t="n">
        <v>10913.611</v>
      </c>
      <c r="BI76" t="n">
        <v>10926.106</v>
      </c>
      <c r="BJ76" t="n">
        <v>10927.21</v>
      </c>
      <c r="BK76" t="n">
        <v>10916.923</v>
      </c>
      <c r="BL76" t="n">
        <v>11151.667</v>
      </c>
      <c r="BM76" t="n">
        <v>11386.449</v>
      </c>
      <c r="BN76" t="n">
        <v>10635.029</v>
      </c>
      <c r="BO76" t="n">
        <v>10683.5</v>
      </c>
      <c r="BP76" t="n">
        <v>10827.805</v>
      </c>
      <c r="BQ76" t="n">
        <v>11078.329</v>
      </c>
      <c r="BR76" t="n">
        <v>11214.84</v>
      </c>
      <c r="BS76" t="n">
        <v>11365.483</v>
      </c>
      <c r="BT76" t="n">
        <v>11271.953</v>
      </c>
      <c r="BU76" t="n">
        <v>10208.369</v>
      </c>
      <c r="BV76" t="n">
        <v>10208.369</v>
      </c>
    </row>
    <row r="77">
      <c r="A77" t="inlineStr">
        <is>
          <t>Auxis thazard</t>
        </is>
      </c>
      <c r="B77" t="inlineStr">
        <is>
          <t>Frigate tuna</t>
        </is>
      </c>
      <c r="C77" t="inlineStr">
        <is>
          <t>Medium pelagics (30 - 89 cm)</t>
        </is>
      </c>
      <c r="D77" t="inlineStr">
        <is>
          <t>Tuna &amp; billfishes</t>
        </is>
      </c>
      <c r="E77" t="n">
        <v>6282.573</v>
      </c>
      <c r="F77" t="n">
        <v>6328.892</v>
      </c>
      <c r="G77" t="n">
        <v>6369.352</v>
      </c>
      <c r="H77" t="n">
        <v>6416.983</v>
      </c>
      <c r="I77" t="n">
        <v>6472.01</v>
      </c>
      <c r="J77" t="n">
        <v>6496.73</v>
      </c>
      <c r="K77" t="n">
        <v>6518.8</v>
      </c>
      <c r="L77" t="n">
        <v>6554.09</v>
      </c>
      <c r="M77" t="n">
        <v>6574.19</v>
      </c>
      <c r="N77" t="n">
        <v>6597.329</v>
      </c>
      <c r="O77" t="n">
        <v>6503.334</v>
      </c>
      <c r="P77" t="n">
        <v>6525.299</v>
      </c>
      <c r="Q77" t="n">
        <v>6541.823</v>
      </c>
      <c r="R77" t="n">
        <v>6546.462</v>
      </c>
      <c r="S77" t="n">
        <v>6546.365</v>
      </c>
      <c r="T77" t="n">
        <v>6543.415</v>
      </c>
      <c r="U77" t="n">
        <v>6539.288</v>
      </c>
      <c r="V77" t="n">
        <v>6527.392</v>
      </c>
      <c r="W77" t="n">
        <v>6509.496</v>
      </c>
      <c r="X77" t="n">
        <v>6485.453</v>
      </c>
      <c r="Y77" t="n">
        <v>6447.991</v>
      </c>
      <c r="Z77" t="n">
        <v>6471.484</v>
      </c>
      <c r="AA77" t="n">
        <v>6428.25</v>
      </c>
      <c r="AB77" t="n">
        <v>6375.366</v>
      </c>
      <c r="AC77" t="n">
        <v>6290.8</v>
      </c>
      <c r="AD77" t="n">
        <v>7255.758</v>
      </c>
      <c r="AE77" t="n">
        <v>6160.153</v>
      </c>
      <c r="AF77" t="n">
        <v>5989.678</v>
      </c>
      <c r="AG77" t="n">
        <v>6124.024</v>
      </c>
      <c r="AH77" t="n">
        <v>6011.221</v>
      </c>
      <c r="AI77" t="n">
        <v>5893.27</v>
      </c>
      <c r="AJ77" t="n">
        <v>6357.849</v>
      </c>
      <c r="AK77" t="n">
        <v>6556.534</v>
      </c>
      <c r="AL77" t="n">
        <v>6359.014</v>
      </c>
      <c r="AM77" t="n">
        <v>6305.142</v>
      </c>
      <c r="AN77" t="n">
        <v>6366.286</v>
      </c>
      <c r="AO77" t="n">
        <v>7698.37</v>
      </c>
      <c r="AP77" t="n">
        <v>7329.616</v>
      </c>
      <c r="AQ77" t="n">
        <v>7833.699</v>
      </c>
      <c r="AR77" t="n">
        <v>8976.856</v>
      </c>
      <c r="AS77" t="n">
        <v>8475.361000000001</v>
      </c>
      <c r="AT77" t="n">
        <v>8852.342000000001</v>
      </c>
      <c r="AU77" t="n">
        <v>9414.224</v>
      </c>
      <c r="AV77" t="n">
        <v>9990.781000000001</v>
      </c>
      <c r="AW77" t="n">
        <v>10439.193</v>
      </c>
      <c r="AX77" t="n">
        <v>9384.115</v>
      </c>
      <c r="AY77" t="n">
        <v>9923.937</v>
      </c>
      <c r="AZ77" t="n">
        <v>9335.166999999999</v>
      </c>
      <c r="BA77" t="n">
        <v>8957.339</v>
      </c>
      <c r="BB77" t="n">
        <v>9187.259</v>
      </c>
      <c r="BC77" t="n">
        <v>9385.069</v>
      </c>
      <c r="BD77" t="n">
        <v>8408.632</v>
      </c>
      <c r="BE77" t="n">
        <v>8619.888000000001</v>
      </c>
      <c r="BF77" t="n">
        <v>9420.594999999999</v>
      </c>
      <c r="BG77" t="n">
        <v>13997.96</v>
      </c>
      <c r="BH77" t="n">
        <v>11475.654</v>
      </c>
      <c r="BI77" t="n">
        <v>15492.892</v>
      </c>
      <c r="BJ77" t="n">
        <v>18754.235</v>
      </c>
      <c r="BK77" t="n">
        <v>15848.397</v>
      </c>
      <c r="BL77" t="n">
        <v>15111.01</v>
      </c>
      <c r="BM77" t="n">
        <v>15682.105</v>
      </c>
      <c r="BN77" t="n">
        <v>16051.546</v>
      </c>
      <c r="BO77" t="n">
        <v>13817.728</v>
      </c>
      <c r="BP77" t="n">
        <v>13348.525</v>
      </c>
      <c r="BQ77" t="n">
        <v>13606.26</v>
      </c>
      <c r="BR77" t="n">
        <v>17093.171</v>
      </c>
      <c r="BS77" t="n">
        <v>17309.181</v>
      </c>
      <c r="BT77" t="n">
        <v>16656.478</v>
      </c>
      <c r="BU77" t="n">
        <v>17578.755</v>
      </c>
      <c r="BV77" t="n">
        <v>15387.005</v>
      </c>
    </row>
    <row r="78">
      <c r="A78" t="inlineStr">
        <is>
          <t>Miscellaneous aquatic invertebrates</t>
        </is>
      </c>
      <c r="B78" t="inlineStr">
        <is>
          <t>Aquatic invertebrates</t>
        </is>
      </c>
      <c r="C78" t="inlineStr">
        <is>
          <t>Other demersal invertebrates</t>
        </is>
      </c>
      <c r="D78" t="inlineStr">
        <is>
          <t>Other fishes &amp; inverts</t>
        </is>
      </c>
      <c r="E78" t="n">
        <v>9340.438</v>
      </c>
      <c r="F78" t="n">
        <v>9403.308999999999</v>
      </c>
      <c r="G78" t="n">
        <v>9461.621999999999</v>
      </c>
      <c r="H78" t="n">
        <v>9529.458000000001</v>
      </c>
      <c r="I78" t="n">
        <v>9602.105</v>
      </c>
      <c r="J78" t="n">
        <v>9642.123</v>
      </c>
      <c r="K78" t="n">
        <v>9677.254999999999</v>
      </c>
      <c r="L78" t="n">
        <v>9730.558999999999</v>
      </c>
      <c r="M78" t="n">
        <v>9764.205</v>
      </c>
      <c r="N78" t="n">
        <v>9801.119000000001</v>
      </c>
      <c r="O78" t="n">
        <v>9743.964</v>
      </c>
      <c r="P78" t="n">
        <v>9898.065000000001</v>
      </c>
      <c r="Q78" t="n">
        <v>9910.050999999999</v>
      </c>
      <c r="R78" t="n">
        <v>9938.718000000001</v>
      </c>
      <c r="S78" t="n">
        <v>9961.525</v>
      </c>
      <c r="T78" t="n">
        <v>9980.084999999999</v>
      </c>
      <c r="U78" t="n">
        <v>9989.437</v>
      </c>
      <c r="V78" t="n">
        <v>9993.269</v>
      </c>
      <c r="W78" t="n">
        <v>10013.618</v>
      </c>
      <c r="X78" t="n">
        <v>10023.689</v>
      </c>
      <c r="Y78" t="n">
        <v>9951.423000000001</v>
      </c>
      <c r="Z78" t="n">
        <v>9982.817999999999</v>
      </c>
      <c r="AA78" t="n">
        <v>9907.312</v>
      </c>
      <c r="AB78" t="n">
        <v>9745.050999999999</v>
      </c>
      <c r="AC78" t="n">
        <v>9712.156000000001</v>
      </c>
      <c r="AD78" t="n">
        <v>9580.628000000001</v>
      </c>
      <c r="AE78" t="n">
        <v>9552.057000000001</v>
      </c>
      <c r="AF78" t="n">
        <v>9441.037</v>
      </c>
      <c r="AG78" t="n">
        <v>9375.203</v>
      </c>
      <c r="AH78" t="n">
        <v>9255.960999999999</v>
      </c>
      <c r="AI78" t="n">
        <v>9158.328</v>
      </c>
      <c r="AJ78" t="n">
        <v>9048.638999999999</v>
      </c>
      <c r="AK78" t="n">
        <v>8947.847</v>
      </c>
      <c r="AL78" t="n">
        <v>8710.763999999999</v>
      </c>
      <c r="AM78" t="n">
        <v>8591.856</v>
      </c>
      <c r="AN78" t="n">
        <v>8491.355</v>
      </c>
      <c r="AO78" t="n">
        <v>8231.656999999999</v>
      </c>
      <c r="AP78" t="n">
        <v>8326.975</v>
      </c>
      <c r="AQ78" t="n">
        <v>8435.593999999999</v>
      </c>
      <c r="AR78" t="n">
        <v>8471.809999999999</v>
      </c>
      <c r="AS78" t="n">
        <v>8576.632</v>
      </c>
      <c r="AT78" t="n">
        <v>8668.281000000001</v>
      </c>
      <c r="AU78" t="n">
        <v>8756.078</v>
      </c>
      <c r="AV78" t="n">
        <v>8838.916999999999</v>
      </c>
      <c r="AW78" t="n">
        <v>8915.449000000001</v>
      </c>
      <c r="AX78" t="n">
        <v>8984.714</v>
      </c>
      <c r="AY78" t="n">
        <v>9046.407999999999</v>
      </c>
      <c r="AZ78" t="n">
        <v>9100.781000000001</v>
      </c>
      <c r="BA78" t="n">
        <v>9148.171</v>
      </c>
      <c r="BB78" t="n">
        <v>9189.188</v>
      </c>
      <c r="BC78" t="n">
        <v>9224.454</v>
      </c>
      <c r="BD78" t="n">
        <v>9271.717000000001</v>
      </c>
      <c r="BE78" t="n">
        <v>9331.236999999999</v>
      </c>
      <c r="BF78" t="n">
        <v>9435.440000000001</v>
      </c>
      <c r="BG78" t="n">
        <v>9550.654</v>
      </c>
      <c r="BH78" t="n">
        <v>6186.543</v>
      </c>
      <c r="BI78" t="n">
        <v>9715.652</v>
      </c>
      <c r="BJ78" t="n">
        <v>9762.49</v>
      </c>
      <c r="BK78" t="n">
        <v>9812.556</v>
      </c>
      <c r="BL78" t="n">
        <v>9296.148999999999</v>
      </c>
      <c r="BM78" t="n">
        <v>8339.802</v>
      </c>
      <c r="BN78" t="n">
        <v>9504.507</v>
      </c>
      <c r="BO78" t="n">
        <v>6950.928</v>
      </c>
      <c r="BP78" t="n">
        <v>8186.459</v>
      </c>
      <c r="BQ78" t="n">
        <v>6247.73</v>
      </c>
      <c r="BR78" t="n">
        <v>7879.993</v>
      </c>
      <c r="BS78" t="n">
        <v>8851.039000000001</v>
      </c>
      <c r="BT78" t="n">
        <v>7069.243</v>
      </c>
      <c r="BU78" t="n">
        <v>7396.613</v>
      </c>
      <c r="BV78" t="n">
        <v>7232.95</v>
      </c>
    </row>
    <row r="79">
      <c r="A79" t="inlineStr">
        <is>
          <t>Leiognathus</t>
        </is>
      </c>
      <c r="B79" t="inlineStr">
        <is>
          <t>Ponyfishes</t>
        </is>
      </c>
      <c r="C79" t="inlineStr">
        <is>
          <t>Small benthopelagics (&lt;30 cm)</t>
        </is>
      </c>
      <c r="D79" t="inlineStr">
        <is>
          <t>Perch-likes</t>
        </is>
      </c>
      <c r="E79" t="n">
        <v>372.147</v>
      </c>
      <c r="F79" t="n">
        <v>408.858</v>
      </c>
      <c r="G79" t="n">
        <v>442.278</v>
      </c>
      <c r="H79" t="n">
        <v>447.662</v>
      </c>
      <c r="I79" t="n">
        <v>477.968</v>
      </c>
      <c r="J79" t="n">
        <v>499.428</v>
      </c>
      <c r="K79" t="n">
        <v>500.875</v>
      </c>
      <c r="L79" t="n">
        <v>488.177</v>
      </c>
      <c r="M79" t="n">
        <v>512.739</v>
      </c>
      <c r="N79" t="n">
        <v>495.833</v>
      </c>
      <c r="O79" t="n">
        <v>522.2569999999999</v>
      </c>
      <c r="P79" t="n">
        <v>638.949</v>
      </c>
      <c r="Q79" t="n">
        <v>726.3049999999999</v>
      </c>
      <c r="R79" t="n">
        <v>831.1950000000001</v>
      </c>
      <c r="S79" t="n">
        <v>2624.499</v>
      </c>
      <c r="T79" t="n">
        <v>3036.236</v>
      </c>
      <c r="U79" t="n">
        <v>3508.906</v>
      </c>
      <c r="V79" t="n">
        <v>3415.142</v>
      </c>
      <c r="W79" t="n">
        <v>3664.824</v>
      </c>
      <c r="X79" t="n">
        <v>3686.613</v>
      </c>
      <c r="Y79" t="n">
        <v>4531.534</v>
      </c>
      <c r="Z79" t="n">
        <v>7932.307</v>
      </c>
      <c r="AA79" t="n">
        <v>9217.468000000001</v>
      </c>
      <c r="AB79" t="n">
        <v>10813.969</v>
      </c>
      <c r="AC79" t="n">
        <v>12067.272</v>
      </c>
      <c r="AD79" t="n">
        <v>13916.74</v>
      </c>
      <c r="AE79" t="n">
        <v>7195.262</v>
      </c>
      <c r="AF79" t="n">
        <v>8120.226</v>
      </c>
      <c r="AG79" t="n">
        <v>9140.646000000001</v>
      </c>
      <c r="AH79" t="n">
        <v>9604.749</v>
      </c>
      <c r="AI79" t="n">
        <v>8760.814</v>
      </c>
      <c r="AJ79" t="n">
        <v>8974.739</v>
      </c>
      <c r="AK79" t="n">
        <v>9283.552</v>
      </c>
      <c r="AL79" t="n">
        <v>9298.032999999999</v>
      </c>
      <c r="AM79" t="n">
        <v>9394.963</v>
      </c>
      <c r="AN79" t="n">
        <v>10636.5</v>
      </c>
      <c r="AO79" t="n">
        <v>10961.307</v>
      </c>
      <c r="AP79" t="n">
        <v>11256.879</v>
      </c>
      <c r="AQ79" t="n">
        <v>12192.86</v>
      </c>
      <c r="AR79" t="n">
        <v>12633.918</v>
      </c>
      <c r="AS79" t="n">
        <v>10864.274</v>
      </c>
      <c r="AT79" t="n">
        <v>10773.183</v>
      </c>
      <c r="AU79" t="n">
        <v>11855.823</v>
      </c>
      <c r="AV79" t="n">
        <v>13472.15</v>
      </c>
      <c r="AW79" t="n">
        <v>14353.854</v>
      </c>
      <c r="AX79" t="n">
        <v>14192.764</v>
      </c>
      <c r="AY79" t="n">
        <v>14206.496</v>
      </c>
      <c r="AZ79" t="n">
        <v>15979.863</v>
      </c>
      <c r="BA79" t="n">
        <v>14345.001</v>
      </c>
      <c r="BB79" t="n">
        <v>14469.396</v>
      </c>
      <c r="BC79" t="n">
        <v>11536.224</v>
      </c>
      <c r="BD79" t="n">
        <v>12726.998</v>
      </c>
      <c r="BE79" t="n">
        <v>13646.29</v>
      </c>
      <c r="BF79" t="n">
        <v>14384.988</v>
      </c>
      <c r="BG79" t="n">
        <v>13769.213</v>
      </c>
      <c r="BH79" t="n">
        <v>12575.003</v>
      </c>
      <c r="BI79" t="n">
        <v>11465.176</v>
      </c>
      <c r="BJ79" t="n">
        <v>11408.604</v>
      </c>
      <c r="BK79" t="n">
        <v>11287.038</v>
      </c>
      <c r="BL79" t="n">
        <v>11092.304</v>
      </c>
      <c r="BM79" t="n">
        <v>11008.587</v>
      </c>
      <c r="BN79" t="n">
        <v>11967.186</v>
      </c>
      <c r="BO79" t="n">
        <v>12235.66</v>
      </c>
      <c r="BP79" t="n">
        <v>12170.219</v>
      </c>
      <c r="BQ79" t="n">
        <v>12749.412</v>
      </c>
      <c r="BR79" t="n">
        <v>14885.396</v>
      </c>
      <c r="BS79" t="n">
        <v>14445.163</v>
      </c>
      <c r="BT79" t="n">
        <v>18174.805</v>
      </c>
      <c r="BU79" t="n">
        <v>14974.709</v>
      </c>
      <c r="BV79" t="n">
        <v>17449.646</v>
      </c>
    </row>
    <row r="80">
      <c r="A80" t="inlineStr">
        <is>
          <t>Lutjanidae</t>
        </is>
      </c>
      <c r="B80" t="inlineStr">
        <is>
          <t>Snappers</t>
        </is>
      </c>
      <c r="C80" t="inlineStr">
        <is>
          <t>Medium reef assoc. fish (30 - 89 cm)</t>
        </is>
      </c>
      <c r="D80" t="inlineStr">
        <is>
          <t>Perch-likes</t>
        </is>
      </c>
      <c r="E80" t="n">
        <v>3327.818</v>
      </c>
      <c r="F80" t="n">
        <v>451.723</v>
      </c>
      <c r="G80" t="n">
        <v>1002.964</v>
      </c>
      <c r="H80" t="n">
        <v>1011.095</v>
      </c>
      <c r="I80" t="n">
        <v>945.181</v>
      </c>
      <c r="J80" t="n">
        <v>1009.566</v>
      </c>
      <c r="K80" t="n">
        <v>972.9400000000001</v>
      </c>
      <c r="L80" t="n">
        <v>1264.783</v>
      </c>
      <c r="M80" t="n">
        <v>1382.315</v>
      </c>
      <c r="N80" t="n">
        <v>1753.335</v>
      </c>
      <c r="O80" t="n">
        <v>1382.575</v>
      </c>
      <c r="P80" t="n">
        <v>2251.303</v>
      </c>
      <c r="Q80" t="n">
        <v>978.2670000000001</v>
      </c>
      <c r="R80" t="n">
        <v>1234.908</v>
      </c>
      <c r="S80" t="n">
        <v>1178.664</v>
      </c>
      <c r="T80" t="n">
        <v>1196.379</v>
      </c>
      <c r="U80" t="n">
        <v>1427.895</v>
      </c>
      <c r="V80" t="n">
        <v>1173.88</v>
      </c>
      <c r="W80" t="n">
        <v>1244.598</v>
      </c>
      <c r="X80" t="n">
        <v>1619.236</v>
      </c>
      <c r="Y80" t="n">
        <v>2147.83</v>
      </c>
      <c r="Z80" t="n">
        <v>2392.784</v>
      </c>
      <c r="AA80" t="n">
        <v>2607.047</v>
      </c>
      <c r="AB80" t="n">
        <v>4698.59</v>
      </c>
      <c r="AC80" t="n">
        <v>4676.139</v>
      </c>
      <c r="AD80" t="n">
        <v>2686.813</v>
      </c>
      <c r="AE80" t="n">
        <v>974.2</v>
      </c>
      <c r="AF80" t="n">
        <v>3207.832</v>
      </c>
      <c r="AG80" t="n">
        <v>1937.627</v>
      </c>
      <c r="AH80" t="n">
        <v>3879.167</v>
      </c>
      <c r="AI80" t="n">
        <v>3213.861</v>
      </c>
      <c r="AJ80" t="n">
        <v>3871.822</v>
      </c>
      <c r="AK80" t="n">
        <v>4633.473</v>
      </c>
      <c r="AL80" t="n">
        <v>7301.691</v>
      </c>
      <c r="AM80" t="n">
        <v>6064.526</v>
      </c>
      <c r="AN80" t="n">
        <v>6422.57</v>
      </c>
      <c r="AO80" t="n">
        <v>4430.944</v>
      </c>
      <c r="AP80" t="n">
        <v>5953.934</v>
      </c>
      <c r="AQ80" t="n">
        <v>6628.672</v>
      </c>
      <c r="AR80" t="n">
        <v>5439.947</v>
      </c>
      <c r="AS80" t="n">
        <v>5680.932</v>
      </c>
      <c r="AT80" t="n">
        <v>7916.424</v>
      </c>
      <c r="AU80" t="n">
        <v>6888.209</v>
      </c>
      <c r="AV80" t="n">
        <v>13130.116</v>
      </c>
      <c r="AW80" t="n">
        <v>14525.799</v>
      </c>
      <c r="AX80" t="n">
        <v>13316.127</v>
      </c>
      <c r="AY80" t="n">
        <v>13500.162</v>
      </c>
      <c r="AZ80" t="n">
        <v>12090.014</v>
      </c>
      <c r="BA80" t="n">
        <v>10939.391</v>
      </c>
      <c r="BB80" t="n">
        <v>14161.999</v>
      </c>
      <c r="BC80" t="n">
        <v>12118.706</v>
      </c>
      <c r="BD80" t="n">
        <v>13869.589</v>
      </c>
      <c r="BE80" t="n">
        <v>15489.765</v>
      </c>
      <c r="BF80" t="n">
        <v>21667.886</v>
      </c>
      <c r="BG80" t="n">
        <v>22634.247</v>
      </c>
      <c r="BH80" t="n">
        <v>20101.76</v>
      </c>
      <c r="BI80" t="n">
        <v>19143.738</v>
      </c>
      <c r="BJ80" t="n">
        <v>17696.113</v>
      </c>
      <c r="BK80" t="n">
        <v>17155.495</v>
      </c>
      <c r="BL80" t="n">
        <v>17878.407</v>
      </c>
      <c r="BM80" t="n">
        <v>18366.453</v>
      </c>
      <c r="BN80" t="n">
        <v>20470.898</v>
      </c>
      <c r="BO80" t="n">
        <v>19245.235</v>
      </c>
      <c r="BP80" t="n">
        <v>15977.154</v>
      </c>
      <c r="BQ80" t="n">
        <v>16296.272</v>
      </c>
      <c r="BR80" t="n">
        <v>22817.251</v>
      </c>
      <c r="BS80" t="n">
        <v>23482.134</v>
      </c>
      <c r="BT80" t="n">
        <v>23930.743</v>
      </c>
      <c r="BU80" t="n">
        <v>23394.672</v>
      </c>
      <c r="BV80" t="n">
        <v>24507.358</v>
      </c>
    </row>
    <row r="81">
      <c r="A81" t="inlineStr">
        <is>
          <t>Penaeus</t>
        </is>
      </c>
      <c r="B81" t="inlineStr">
        <is>
          <t>Tiger prawns</t>
        </is>
      </c>
      <c r="C81" t="inlineStr">
        <is>
          <t>Shrimps</t>
        </is>
      </c>
      <c r="D81" t="inlineStr">
        <is>
          <t>Crustaceans</t>
        </is>
      </c>
      <c r="E81" t="n">
        <v>2661.479</v>
      </c>
      <c r="F81" t="n">
        <v>2391.979</v>
      </c>
      <c r="G81" t="n">
        <v>2601.152</v>
      </c>
      <c r="H81" t="n">
        <v>2531.2</v>
      </c>
      <c r="I81" t="n">
        <v>2746.494</v>
      </c>
      <c r="J81" t="n">
        <v>3017.576</v>
      </c>
      <c r="K81" t="n">
        <v>3096.961</v>
      </c>
      <c r="L81" t="n">
        <v>2959.132</v>
      </c>
      <c r="M81" t="n">
        <v>2889.347</v>
      </c>
      <c r="N81" t="n">
        <v>2994.926</v>
      </c>
      <c r="O81" t="n">
        <v>3794.887</v>
      </c>
      <c r="P81" t="n">
        <v>3300.694</v>
      </c>
      <c r="Q81" t="n">
        <v>3648.748</v>
      </c>
      <c r="R81" t="n">
        <v>3810.484</v>
      </c>
      <c r="S81" t="n">
        <v>3717.603</v>
      </c>
      <c r="T81" t="n">
        <v>5297.013</v>
      </c>
      <c r="U81" t="n">
        <v>6544.444</v>
      </c>
      <c r="V81" t="n">
        <v>7868.883</v>
      </c>
      <c r="W81" t="n">
        <v>8268.682000000001</v>
      </c>
      <c r="X81" t="n">
        <v>8290.428</v>
      </c>
      <c r="Y81" t="n">
        <v>4391.215</v>
      </c>
      <c r="Z81" t="n">
        <v>4519.343</v>
      </c>
      <c r="AA81" t="n">
        <v>5845.372</v>
      </c>
      <c r="AB81" t="n">
        <v>10244.976</v>
      </c>
      <c r="AC81" t="n">
        <v>2441.691</v>
      </c>
      <c r="AD81" t="n">
        <v>3940.887</v>
      </c>
      <c r="AE81" t="n">
        <v>3177.616</v>
      </c>
      <c r="AF81" t="n">
        <v>13365.356</v>
      </c>
      <c r="AG81" t="n">
        <v>12398.503</v>
      </c>
      <c r="AH81" t="n">
        <v>11495.293</v>
      </c>
      <c r="AI81" t="n">
        <v>5762.86</v>
      </c>
      <c r="AJ81" t="n">
        <v>12431.079</v>
      </c>
      <c r="AK81" t="n">
        <v>11925.244</v>
      </c>
      <c r="AL81" t="n">
        <v>11641.11</v>
      </c>
      <c r="AM81" t="n">
        <v>10788.957</v>
      </c>
      <c r="AN81" t="n">
        <v>10268.04</v>
      </c>
      <c r="AO81" t="n">
        <v>11227.978</v>
      </c>
      <c r="AP81" t="n">
        <v>9948.678</v>
      </c>
      <c r="AQ81" t="n">
        <v>9352.012000000001</v>
      </c>
      <c r="AR81" t="n">
        <v>9799.636</v>
      </c>
      <c r="AS81" t="n">
        <v>8771.306</v>
      </c>
      <c r="AT81" t="n">
        <v>20613.529</v>
      </c>
      <c r="AU81" t="n">
        <v>15168.95</v>
      </c>
      <c r="AV81" t="n">
        <v>14721.281</v>
      </c>
      <c r="AW81" t="n">
        <v>15878.812</v>
      </c>
      <c r="AX81" t="n">
        <v>15602.634</v>
      </c>
      <c r="AY81" t="n">
        <v>15637.077</v>
      </c>
      <c r="AZ81" t="n">
        <v>17750.863</v>
      </c>
      <c r="BA81" t="n">
        <v>14720.003</v>
      </c>
      <c r="BB81" t="n">
        <v>17011.113</v>
      </c>
      <c r="BC81" t="n">
        <v>15026.96</v>
      </c>
      <c r="BD81" t="n">
        <v>21181.295</v>
      </c>
      <c r="BE81" t="n">
        <v>12953.477</v>
      </c>
      <c r="BF81" t="n">
        <v>13425.471</v>
      </c>
      <c r="BG81" t="n">
        <v>12955.904</v>
      </c>
      <c r="BH81" t="n">
        <v>11792.128</v>
      </c>
      <c r="BI81" t="n">
        <v>13492.552</v>
      </c>
      <c r="BJ81" t="n">
        <v>10907.898</v>
      </c>
      <c r="BK81" t="n">
        <v>9101.468999999999</v>
      </c>
      <c r="BL81" t="n">
        <v>11280.186</v>
      </c>
      <c r="BM81" t="n">
        <v>7654.62</v>
      </c>
      <c r="BN81" t="n">
        <v>7820.193</v>
      </c>
      <c r="BO81" t="n">
        <v>7257.309</v>
      </c>
      <c r="BP81" t="n">
        <v>5229.997</v>
      </c>
      <c r="BQ81" t="n">
        <v>5712.343</v>
      </c>
      <c r="BR81" t="n">
        <v>4133.419</v>
      </c>
      <c r="BS81" t="n">
        <v>4558.383</v>
      </c>
      <c r="BT81" t="n">
        <v>6649.026</v>
      </c>
      <c r="BU81" t="n">
        <v>4712.558</v>
      </c>
      <c r="BV81" t="n">
        <v>5001.976</v>
      </c>
    </row>
    <row r="82">
      <c r="A82" t="inlineStr">
        <is>
          <t>Katsuwonus pelamis</t>
        </is>
      </c>
      <c r="B82" t="inlineStr">
        <is>
          <t>Skipjack tuna</t>
        </is>
      </c>
      <c r="C82" t="inlineStr">
        <is>
          <t>Large pelagics (&gt;=90 cm)</t>
        </is>
      </c>
      <c r="D82" t="inlineStr">
        <is>
          <t>Tuna &amp; billfishes</t>
        </is>
      </c>
      <c r="E82" t="n">
        <v>8.130000000000001</v>
      </c>
      <c r="F82" t="n">
        <v>5.332</v>
      </c>
      <c r="G82" t="n">
        <v>4.567</v>
      </c>
      <c r="H82" t="n">
        <v>5.716</v>
      </c>
      <c r="I82" t="n">
        <v>17.868</v>
      </c>
      <c r="J82" t="n">
        <v>67.619</v>
      </c>
      <c r="K82" t="n">
        <v>94.199</v>
      </c>
      <c r="L82" t="n">
        <v>52.103</v>
      </c>
      <c r="M82" t="n">
        <v>102.011</v>
      </c>
      <c r="N82" t="n">
        <v>115.936</v>
      </c>
      <c r="O82" t="n">
        <v>90.15600000000001</v>
      </c>
      <c r="P82" t="n">
        <v>100.812</v>
      </c>
      <c r="Q82" t="n">
        <v>143.83</v>
      </c>
      <c r="R82" t="n">
        <v>124.255</v>
      </c>
      <c r="S82" t="n">
        <v>176.914</v>
      </c>
      <c r="T82" t="n">
        <v>101.527</v>
      </c>
      <c r="U82" t="n">
        <v>120.488</v>
      </c>
      <c r="V82" t="n">
        <v>108.394</v>
      </c>
      <c r="W82" t="n">
        <v>141.44</v>
      </c>
      <c r="X82" t="n">
        <v>92.586</v>
      </c>
      <c r="Y82" t="n">
        <v>63.028</v>
      </c>
      <c r="Z82" t="n">
        <v>69.229</v>
      </c>
      <c r="AA82" t="n">
        <v>106.705</v>
      </c>
      <c r="AB82" t="n">
        <v>103.097</v>
      </c>
      <c r="AC82" t="n">
        <v>75.14</v>
      </c>
      <c r="AD82" t="n">
        <v>109.778</v>
      </c>
      <c r="AE82" t="n">
        <v>86.108</v>
      </c>
      <c r="AF82" t="n">
        <v>102.869</v>
      </c>
      <c r="AG82" t="n">
        <v>147.866</v>
      </c>
      <c r="AH82" t="n">
        <v>111.286</v>
      </c>
      <c r="AI82" t="n">
        <v>119.595</v>
      </c>
      <c r="AJ82" t="n">
        <v>5610.939</v>
      </c>
      <c r="AK82" t="n">
        <v>7631.074</v>
      </c>
      <c r="AL82" t="n">
        <v>10260.392</v>
      </c>
      <c r="AM82" t="n">
        <v>17087.341</v>
      </c>
      <c r="AN82" t="n">
        <v>19455.265</v>
      </c>
      <c r="AO82" t="n">
        <v>22240.518</v>
      </c>
      <c r="AP82" t="n">
        <v>22736.925</v>
      </c>
      <c r="AQ82" t="n">
        <v>23508.087</v>
      </c>
      <c r="AR82" t="n">
        <v>26820.906</v>
      </c>
      <c r="AS82" t="n">
        <v>10354.047</v>
      </c>
      <c r="AT82" t="n">
        <v>9598.102999999999</v>
      </c>
      <c r="AU82" t="n">
        <v>15595.557</v>
      </c>
      <c r="AV82" t="n">
        <v>19525.142</v>
      </c>
      <c r="AW82" t="n">
        <v>16322.127</v>
      </c>
      <c r="AX82" t="n">
        <v>2727.877</v>
      </c>
      <c r="AY82" t="n">
        <v>1715.481</v>
      </c>
      <c r="AZ82" t="n">
        <v>1805.129</v>
      </c>
      <c r="BA82" t="n">
        <v>3825.566</v>
      </c>
      <c r="BB82" t="n">
        <v>2818.671</v>
      </c>
      <c r="BC82" t="n">
        <v>14660.23</v>
      </c>
      <c r="BD82" t="n">
        <v>3314.217</v>
      </c>
      <c r="BE82" t="n">
        <v>14573.019</v>
      </c>
      <c r="BF82" t="n">
        <v>2886.684</v>
      </c>
      <c r="BG82" t="n">
        <v>2226.456</v>
      </c>
      <c r="BH82" t="n">
        <v>4598.208</v>
      </c>
      <c r="BI82" t="n">
        <v>4794.222</v>
      </c>
      <c r="BJ82" t="n">
        <v>28662.033</v>
      </c>
      <c r="BK82" t="n">
        <v>4001.279</v>
      </c>
      <c r="BL82" t="n">
        <v>5838.289</v>
      </c>
      <c r="BM82" t="n">
        <v>5528.362</v>
      </c>
      <c r="BN82" t="n">
        <v>3055.557</v>
      </c>
      <c r="BO82" t="n">
        <v>2519.462</v>
      </c>
      <c r="BP82" t="n">
        <v>5509.548</v>
      </c>
      <c r="BQ82" t="n">
        <v>43872.59</v>
      </c>
      <c r="BR82" t="n">
        <v>41804.899</v>
      </c>
      <c r="BS82" t="n">
        <v>40044.33</v>
      </c>
      <c r="BT82" t="n">
        <v>39063.266</v>
      </c>
      <c r="BU82" t="n">
        <v>34690.473</v>
      </c>
      <c r="BV82" t="n">
        <v>42747.143</v>
      </c>
    </row>
    <row r="83">
      <c r="A83" t="inlineStr">
        <is>
          <t>Mollusca</t>
        </is>
      </c>
      <c r="B83" t="inlineStr">
        <is>
          <t>Clams, seasnails, squids, octopuses</t>
        </is>
      </c>
      <c r="C83" t="inlineStr">
        <is>
          <t>Other demersal invertebrates</t>
        </is>
      </c>
      <c r="D83" t="inlineStr">
        <is>
          <t>Molluscs</t>
        </is>
      </c>
      <c r="E83" t="n">
        <v>3067.106</v>
      </c>
      <c r="F83" t="n">
        <v>4229.749</v>
      </c>
      <c r="G83" t="n">
        <v>5273.035</v>
      </c>
      <c r="H83" t="n">
        <v>7517.485</v>
      </c>
      <c r="I83" t="n">
        <v>5149.63</v>
      </c>
      <c r="J83" t="n">
        <v>4572.407</v>
      </c>
      <c r="K83" t="n">
        <v>4316.377</v>
      </c>
      <c r="L83" t="n">
        <v>6054.611</v>
      </c>
      <c r="M83" t="n">
        <v>5183.233</v>
      </c>
      <c r="N83" t="n">
        <v>5494.798</v>
      </c>
      <c r="O83" t="n">
        <v>4625.798</v>
      </c>
      <c r="P83" t="n">
        <v>4247.056</v>
      </c>
      <c r="Q83" t="n">
        <v>4766.36</v>
      </c>
      <c r="R83" t="n">
        <v>4758.507</v>
      </c>
      <c r="S83" t="n">
        <v>5139.796</v>
      </c>
      <c r="T83" t="n">
        <v>4929.203</v>
      </c>
      <c r="U83" t="n">
        <v>3988.462</v>
      </c>
      <c r="V83" t="n">
        <v>4618.229</v>
      </c>
      <c r="W83" t="n">
        <v>4200.245</v>
      </c>
      <c r="X83" t="n">
        <v>4214.65</v>
      </c>
      <c r="Y83" t="n">
        <v>5858.639</v>
      </c>
      <c r="Z83" t="n">
        <v>5558.069</v>
      </c>
      <c r="AA83" t="n">
        <v>6414.251</v>
      </c>
      <c r="AB83" t="n">
        <v>5296.738</v>
      </c>
      <c r="AC83" t="n">
        <v>5954.052</v>
      </c>
      <c r="AD83" t="n">
        <v>5032.056</v>
      </c>
      <c r="AE83" t="n">
        <v>17233.806</v>
      </c>
      <c r="AF83" t="n">
        <v>5457.708</v>
      </c>
      <c r="AG83" t="n">
        <v>6556.501</v>
      </c>
      <c r="AH83" t="n">
        <v>12358.384</v>
      </c>
      <c r="AI83" t="n">
        <v>4930.371</v>
      </c>
      <c r="AJ83" t="n">
        <v>9121.244000000001</v>
      </c>
      <c r="AK83" t="n">
        <v>6153.046</v>
      </c>
      <c r="AL83" t="n">
        <v>10874.021</v>
      </c>
      <c r="AM83" t="n">
        <v>8484.079</v>
      </c>
      <c r="AN83" t="n">
        <v>17907.919</v>
      </c>
      <c r="AO83" t="n">
        <v>20268.963</v>
      </c>
      <c r="AP83" t="n">
        <v>23057.962</v>
      </c>
      <c r="AQ83" t="n">
        <v>23019.173</v>
      </c>
      <c r="AR83" t="n">
        <v>17598.172</v>
      </c>
      <c r="AS83" t="n">
        <v>7587.039</v>
      </c>
      <c r="AT83" t="n">
        <v>2023.481</v>
      </c>
      <c r="AU83" t="n">
        <v>4162.671</v>
      </c>
      <c r="AV83" t="n">
        <v>3224.635</v>
      </c>
      <c r="AW83" t="n">
        <v>4252.56</v>
      </c>
      <c r="AX83" t="n">
        <v>19327.642</v>
      </c>
      <c r="AY83" t="n">
        <v>20070.72</v>
      </c>
      <c r="AZ83" t="n">
        <v>20829.626</v>
      </c>
      <c r="BA83" t="n">
        <v>13691.629</v>
      </c>
      <c r="BB83" t="n">
        <v>28193.672</v>
      </c>
      <c r="BC83" t="n">
        <v>20818.183</v>
      </c>
      <c r="BD83" t="n">
        <v>18828.517</v>
      </c>
      <c r="BE83" t="n">
        <v>6623.953</v>
      </c>
      <c r="BF83" t="n">
        <v>7450.12</v>
      </c>
      <c r="BG83" t="n">
        <v>8477.514999999999</v>
      </c>
      <c r="BH83" t="n">
        <v>3042.64</v>
      </c>
      <c r="BI83" t="n">
        <v>3622.793</v>
      </c>
      <c r="BJ83" t="n">
        <v>3578.388</v>
      </c>
      <c r="BK83" t="n">
        <v>4215.438</v>
      </c>
      <c r="BL83" t="n">
        <v>5482.16</v>
      </c>
      <c r="BM83" t="n">
        <v>5918.39</v>
      </c>
      <c r="BN83" t="n">
        <v>6300.768</v>
      </c>
      <c r="BO83" t="n">
        <v>6503.091</v>
      </c>
      <c r="BP83" t="n">
        <v>7030.594</v>
      </c>
      <c r="BQ83" t="n">
        <v>6950.538</v>
      </c>
      <c r="BR83" t="n">
        <v>6029.466</v>
      </c>
      <c r="BS83" t="n">
        <v>5277.701</v>
      </c>
      <c r="BT83" t="n">
        <v>6013.506</v>
      </c>
      <c r="BU83" t="n">
        <v>6041.752</v>
      </c>
      <c r="BV83" t="n">
        <v>6611.804</v>
      </c>
    </row>
    <row r="84">
      <c r="A84" t="inlineStr">
        <is>
          <t>Serranidae</t>
        </is>
      </c>
      <c r="B84" t="inlineStr">
        <is>
          <t>Basses, groupers, hinds</t>
        </is>
      </c>
      <c r="C84" t="inlineStr">
        <is>
          <t>Medium reef assoc. fish (30 - 89 cm)</t>
        </is>
      </c>
      <c r="D84" t="inlineStr">
        <is>
          <t>Perch-likes</t>
        </is>
      </c>
      <c r="E84" t="n">
        <v>1432.536</v>
      </c>
      <c r="F84" t="n">
        <v>177.592</v>
      </c>
      <c r="G84" t="n">
        <v>419.871</v>
      </c>
      <c r="H84" t="n">
        <v>422.849</v>
      </c>
      <c r="I84" t="n">
        <v>429.091</v>
      </c>
      <c r="J84" t="n">
        <v>388.772</v>
      </c>
      <c r="K84" t="n">
        <v>469.688</v>
      </c>
      <c r="L84" t="n">
        <v>589.127</v>
      </c>
      <c r="M84" t="n">
        <v>692.7190000000001</v>
      </c>
      <c r="N84" t="n">
        <v>841.359</v>
      </c>
      <c r="O84" t="n">
        <v>682.193</v>
      </c>
      <c r="P84" t="n">
        <v>1129.65</v>
      </c>
      <c r="Q84" t="n">
        <v>599.72</v>
      </c>
      <c r="R84" t="n">
        <v>726.085</v>
      </c>
      <c r="S84" t="n">
        <v>659.158</v>
      </c>
      <c r="T84" t="n">
        <v>716.814</v>
      </c>
      <c r="U84" t="n">
        <v>990.657</v>
      </c>
      <c r="V84" t="n">
        <v>893.0940000000001</v>
      </c>
      <c r="W84" t="n">
        <v>897.1130000000001</v>
      </c>
      <c r="X84" t="n">
        <v>1093.697</v>
      </c>
      <c r="Y84" t="n">
        <v>865.472</v>
      </c>
      <c r="Z84" t="n">
        <v>989.639</v>
      </c>
      <c r="AA84" t="n">
        <v>1153.358</v>
      </c>
      <c r="AB84" t="n">
        <v>979.778</v>
      </c>
      <c r="AC84" t="n">
        <v>1025.308</v>
      </c>
      <c r="AD84" t="n">
        <v>1080.403</v>
      </c>
      <c r="AE84" t="n">
        <v>928.317</v>
      </c>
      <c r="AF84" t="n">
        <v>1331.256</v>
      </c>
      <c r="AG84" t="n">
        <v>1557.503</v>
      </c>
      <c r="AH84" t="n">
        <v>1294.486</v>
      </c>
      <c r="AI84" t="n">
        <v>1716.181</v>
      </c>
      <c r="AJ84" t="n">
        <v>2238.128</v>
      </c>
      <c r="AK84" t="n">
        <v>4351.448</v>
      </c>
      <c r="AL84" t="n">
        <v>4345.625</v>
      </c>
      <c r="AM84" t="n">
        <v>4563.332</v>
      </c>
      <c r="AN84" t="n">
        <v>5858.854</v>
      </c>
      <c r="AO84" t="n">
        <v>4978.701</v>
      </c>
      <c r="AP84" t="n">
        <v>5506.44</v>
      </c>
      <c r="AQ84" t="n">
        <v>6117.372</v>
      </c>
      <c r="AR84" t="n">
        <v>5448.622</v>
      </c>
      <c r="AS84" t="n">
        <v>5991.828</v>
      </c>
      <c r="AT84" t="n">
        <v>10589.45</v>
      </c>
      <c r="AU84" t="n">
        <v>9324.976000000001</v>
      </c>
      <c r="AV84" t="n">
        <v>11156.335</v>
      </c>
      <c r="AW84" t="n">
        <v>12622.9</v>
      </c>
      <c r="AX84" t="n">
        <v>14333.033</v>
      </c>
      <c r="AY84" t="n">
        <v>13835.376</v>
      </c>
      <c r="AZ84" t="n">
        <v>14762.145</v>
      </c>
      <c r="BA84" t="n">
        <v>16500.113</v>
      </c>
      <c r="BB84" t="n">
        <v>13623.67</v>
      </c>
      <c r="BC84" t="n">
        <v>15021.327</v>
      </c>
      <c r="BD84" t="n">
        <v>15952.229</v>
      </c>
      <c r="BE84" t="n">
        <v>17472.037</v>
      </c>
      <c r="BF84" t="n">
        <v>17417.436</v>
      </c>
      <c r="BG84" t="n">
        <v>18236.12</v>
      </c>
      <c r="BH84" t="n">
        <v>17996.78</v>
      </c>
      <c r="BI84" t="n">
        <v>17685.009</v>
      </c>
      <c r="BJ84" t="n">
        <v>18136.452</v>
      </c>
      <c r="BK84" t="n">
        <v>16228.315</v>
      </c>
      <c r="BL84" t="n">
        <v>16310.791</v>
      </c>
      <c r="BM84" t="n">
        <v>18185.595</v>
      </c>
      <c r="BN84" t="n">
        <v>17042.301</v>
      </c>
      <c r="BO84" t="n">
        <v>18050.182</v>
      </c>
      <c r="BP84" t="n">
        <v>16486.949</v>
      </c>
      <c r="BQ84" t="n">
        <v>16579.79</v>
      </c>
      <c r="BR84" t="n">
        <v>18423.612</v>
      </c>
      <c r="BS84" t="n">
        <v>19444.193</v>
      </c>
      <c r="BT84" t="n">
        <v>20714.7</v>
      </c>
      <c r="BU84" t="n">
        <v>22655.677</v>
      </c>
      <c r="BV84" t="n">
        <v>20670.026</v>
      </c>
    </row>
    <row r="85">
      <c r="A85" t="inlineStr">
        <is>
          <t>Auxis</t>
        </is>
      </c>
      <c r="B85" t="inlineStr">
        <is>
          <t>Bullet and frigate tunas</t>
        </is>
      </c>
      <c r="C85" t="inlineStr">
        <is>
          <t>Medium pelagics (30 - 89 cm)</t>
        </is>
      </c>
      <c r="D85" t="inlineStr">
        <is>
          <t>Tuna &amp; billfishes</t>
        </is>
      </c>
      <c r="E85" t="n">
        <v>934.035</v>
      </c>
      <c r="F85" t="n">
        <v>316.887</v>
      </c>
      <c r="G85" t="n">
        <v>308.418</v>
      </c>
      <c r="H85" t="n">
        <v>412.162</v>
      </c>
      <c r="I85" t="n">
        <v>846.235</v>
      </c>
      <c r="J85" t="n">
        <v>926.9690000000001</v>
      </c>
      <c r="K85" t="n">
        <v>1026.825</v>
      </c>
      <c r="L85" t="n">
        <v>1484.267</v>
      </c>
      <c r="M85" t="n">
        <v>668.4059999999999</v>
      </c>
      <c r="N85" t="n">
        <v>422.178</v>
      </c>
      <c r="O85" t="n">
        <v>379.964</v>
      </c>
      <c r="P85" t="n">
        <v>1199.757</v>
      </c>
      <c r="Q85" t="n">
        <v>928.73</v>
      </c>
      <c r="R85" t="n">
        <v>911.472</v>
      </c>
      <c r="S85" t="n">
        <v>1996.382</v>
      </c>
      <c r="T85" t="n">
        <v>858.278</v>
      </c>
      <c r="U85" t="n">
        <v>1600.432</v>
      </c>
      <c r="V85" t="n">
        <v>1602.417</v>
      </c>
      <c r="W85" t="n">
        <v>1879.581</v>
      </c>
      <c r="X85" t="n">
        <v>2169.977</v>
      </c>
      <c r="Y85" t="n">
        <v>1736.998</v>
      </c>
      <c r="Z85" t="n">
        <v>2352.088</v>
      </c>
      <c r="AA85" t="n">
        <v>2543.623</v>
      </c>
      <c r="AB85" t="n">
        <v>5759.045</v>
      </c>
      <c r="AC85" t="n">
        <v>3461.41</v>
      </c>
      <c r="AD85" t="n">
        <v>6692.473</v>
      </c>
      <c r="AE85" t="n">
        <v>4742.96</v>
      </c>
      <c r="AF85" t="n">
        <v>3235.332</v>
      </c>
      <c r="AG85" t="n">
        <v>3936.551</v>
      </c>
      <c r="AH85" t="n">
        <v>2134.466</v>
      </c>
      <c r="AI85" t="n">
        <v>2291.469</v>
      </c>
      <c r="AJ85" t="n">
        <v>3036.889</v>
      </c>
      <c r="AK85" t="n">
        <v>6381.228</v>
      </c>
      <c r="AL85" t="n">
        <v>4665.56</v>
      </c>
      <c r="AM85" t="n">
        <v>4204.835</v>
      </c>
      <c r="AN85" t="n">
        <v>6208.724</v>
      </c>
      <c r="AO85" t="n">
        <v>4826.832</v>
      </c>
      <c r="AP85" t="n">
        <v>16542.539</v>
      </c>
      <c r="AQ85" t="n">
        <v>6589.886</v>
      </c>
      <c r="AR85" t="n">
        <v>6755.345</v>
      </c>
      <c r="AS85" t="n">
        <v>5958.372</v>
      </c>
      <c r="AT85" t="n">
        <v>6402.94</v>
      </c>
      <c r="AU85" t="n">
        <v>7508.829</v>
      </c>
      <c r="AV85" t="n">
        <v>7646.706</v>
      </c>
      <c r="AW85" t="n">
        <v>8604.298000000001</v>
      </c>
      <c r="AX85" t="n">
        <v>10599.93</v>
      </c>
      <c r="AY85" t="n">
        <v>11132.652</v>
      </c>
      <c r="AZ85" t="n">
        <v>13839.444</v>
      </c>
      <c r="BA85" t="n">
        <v>14466.903</v>
      </c>
      <c r="BB85" t="n">
        <v>10673.032</v>
      </c>
      <c r="BC85" t="n">
        <v>10293.044</v>
      </c>
      <c r="BD85" t="n">
        <v>5475.711</v>
      </c>
      <c r="BE85" t="n">
        <v>13728.383</v>
      </c>
      <c r="BF85" t="n">
        <v>14382.506</v>
      </c>
      <c r="BG85" t="n">
        <v>14100.828</v>
      </c>
      <c r="BH85" t="n">
        <v>12205.271</v>
      </c>
      <c r="BI85" t="n">
        <v>13865.108</v>
      </c>
      <c r="BJ85" t="n">
        <v>13465.151</v>
      </c>
      <c r="BK85" t="n">
        <v>13291.098</v>
      </c>
      <c r="BL85" t="n">
        <v>13256.912</v>
      </c>
      <c r="BM85" t="n">
        <v>18533.942</v>
      </c>
      <c r="BN85" t="n">
        <v>22345.379</v>
      </c>
      <c r="BO85" t="n">
        <v>19816.277</v>
      </c>
      <c r="BP85" t="n">
        <v>18015.432</v>
      </c>
      <c r="BQ85" t="n">
        <v>19041.048</v>
      </c>
      <c r="BR85" t="n">
        <v>12991.678</v>
      </c>
      <c r="BS85" t="n">
        <v>11950.04</v>
      </c>
      <c r="BT85" t="n">
        <v>7926.676</v>
      </c>
      <c r="BU85" t="n">
        <v>11932.729</v>
      </c>
      <c r="BV85" t="n">
        <v>9671.121999999999</v>
      </c>
    </row>
    <row r="86">
      <c r="A86" t="inlineStr">
        <is>
          <t>Lactarius lactarius</t>
        </is>
      </c>
      <c r="B86" t="inlineStr">
        <is>
          <t>False trevally</t>
        </is>
      </c>
      <c r="C86" t="inlineStr">
        <is>
          <t>Medium pelagics (30 - 89 cm)</t>
        </is>
      </c>
      <c r="D86" t="inlineStr">
        <is>
          <t>Perch-likes</t>
        </is>
      </c>
      <c r="E86" t="n">
        <v>5233.007</v>
      </c>
      <c r="F86" t="n">
        <v>4840.443</v>
      </c>
      <c r="G86" t="n">
        <v>5641.458</v>
      </c>
      <c r="H86" t="n">
        <v>5582.842</v>
      </c>
      <c r="I86" t="n">
        <v>7599.548</v>
      </c>
      <c r="J86" t="n">
        <v>7919.728</v>
      </c>
      <c r="K86" t="n">
        <v>10484.618</v>
      </c>
      <c r="L86" t="n">
        <v>7982.301</v>
      </c>
      <c r="M86" t="n">
        <v>22813.61</v>
      </c>
      <c r="N86" t="n">
        <v>18889.685</v>
      </c>
      <c r="O86" t="n">
        <v>12166.057</v>
      </c>
      <c r="P86" t="n">
        <v>12122.269</v>
      </c>
      <c r="Q86" t="n">
        <v>10416.219</v>
      </c>
      <c r="R86" t="n">
        <v>10452.929</v>
      </c>
      <c r="S86" t="n">
        <v>9309.34</v>
      </c>
      <c r="T86" t="n">
        <v>7839.762</v>
      </c>
      <c r="U86" t="n">
        <v>5872.011</v>
      </c>
      <c r="V86" t="n">
        <v>6416.751</v>
      </c>
      <c r="W86" t="n">
        <v>5666.478</v>
      </c>
      <c r="X86" t="n">
        <v>4778.702</v>
      </c>
      <c r="Y86" t="n">
        <v>4732.423</v>
      </c>
      <c r="Z86" t="n">
        <v>4365.306</v>
      </c>
      <c r="AA86" t="n">
        <v>6830.971</v>
      </c>
      <c r="AB86" t="n">
        <v>8668.251</v>
      </c>
      <c r="AC86" t="n">
        <v>6617.654</v>
      </c>
      <c r="AD86" t="n">
        <v>9546.519</v>
      </c>
      <c r="AE86" t="n">
        <v>5641.818</v>
      </c>
      <c r="AF86" t="n">
        <v>4707.718</v>
      </c>
      <c r="AG86" t="n">
        <v>3880.334</v>
      </c>
      <c r="AH86" t="n">
        <v>4862.379</v>
      </c>
      <c r="AI86" t="n">
        <v>4954.5</v>
      </c>
      <c r="AJ86" t="n">
        <v>4551.139</v>
      </c>
      <c r="AK86" t="n">
        <v>3999.228</v>
      </c>
      <c r="AL86" t="n">
        <v>3696.159</v>
      </c>
      <c r="AM86" t="n">
        <v>3949.133</v>
      </c>
      <c r="AN86" t="n">
        <v>3696.69</v>
      </c>
      <c r="AO86" t="n">
        <v>3917.296</v>
      </c>
      <c r="AP86" t="n">
        <v>4953.234</v>
      </c>
      <c r="AQ86" t="n">
        <v>4791.568</v>
      </c>
      <c r="AR86" t="n">
        <v>3009.727</v>
      </c>
      <c r="AS86" t="n">
        <v>5057.481</v>
      </c>
      <c r="AT86" t="n">
        <v>4851.768</v>
      </c>
      <c r="AU86" t="n">
        <v>5549.898</v>
      </c>
      <c r="AV86" t="n">
        <v>5259.439</v>
      </c>
      <c r="AW86" t="n">
        <v>6229.318</v>
      </c>
      <c r="AX86" t="n">
        <v>5341.25</v>
      </c>
      <c r="AY86" t="n">
        <v>4464.795</v>
      </c>
      <c r="AZ86" t="n">
        <v>4887.572</v>
      </c>
      <c r="BA86" t="n">
        <v>4813.155</v>
      </c>
      <c r="BB86" t="n">
        <v>5140.502</v>
      </c>
      <c r="BC86" t="n">
        <v>5818.119</v>
      </c>
      <c r="BD86" t="n">
        <v>5500.219</v>
      </c>
      <c r="BE86" t="n">
        <v>6730.391</v>
      </c>
      <c r="BF86" t="n">
        <v>5058.604</v>
      </c>
      <c r="BG86" t="n">
        <v>4139.977</v>
      </c>
      <c r="BH86" t="n">
        <v>4485.127</v>
      </c>
      <c r="BI86" t="n">
        <v>5698.936</v>
      </c>
      <c r="BJ86" t="n">
        <v>6098.442</v>
      </c>
      <c r="BK86" t="n">
        <v>7885.933</v>
      </c>
      <c r="BL86" t="n">
        <v>8419.607</v>
      </c>
      <c r="BM86" t="n">
        <v>9040.562</v>
      </c>
      <c r="BN86" t="n">
        <v>9008.855</v>
      </c>
      <c r="BO86" t="n">
        <v>8708.987999999999</v>
      </c>
      <c r="BP86" t="n">
        <v>8369.405000000001</v>
      </c>
      <c r="BQ86" t="n">
        <v>8425.835999999999</v>
      </c>
      <c r="BR86" t="n">
        <v>8825.263000000001</v>
      </c>
      <c r="BS86" t="n">
        <v>8788.268</v>
      </c>
      <c r="BT86" t="n">
        <v>10568.719</v>
      </c>
      <c r="BU86" t="n">
        <v>9546.284</v>
      </c>
      <c r="BV86" t="n">
        <v>9675.135</v>
      </c>
    </row>
    <row r="87">
      <c r="A87" t="inlineStr">
        <is>
          <t>Himantura</t>
        </is>
      </c>
      <c r="B87" t="inlineStr">
        <is>
          <t>Whiprays</t>
        </is>
      </c>
      <c r="C87" t="inlineStr">
        <is>
          <t>Large rays (&gt;=90 cm)</t>
        </is>
      </c>
      <c r="D87" t="inlineStr">
        <is>
          <t>Sharks &amp; rays</t>
        </is>
      </c>
      <c r="E87" t="n">
        <v>546.523</v>
      </c>
      <c r="F87" t="n">
        <v>543.542</v>
      </c>
      <c r="G87" t="n">
        <v>532.611</v>
      </c>
      <c r="H87" t="n">
        <v>516.713</v>
      </c>
      <c r="I87" t="n">
        <v>517.706</v>
      </c>
      <c r="J87" t="n">
        <v>564.409</v>
      </c>
      <c r="K87" t="n">
        <v>525.6559999999999</v>
      </c>
      <c r="L87" t="n">
        <v>541.5549999999999</v>
      </c>
      <c r="M87" t="n">
        <v>611.112</v>
      </c>
      <c r="N87" t="n">
        <v>641.9160000000001</v>
      </c>
      <c r="O87" t="n">
        <v>721.41</v>
      </c>
      <c r="P87" t="n">
        <v>765.1319999999999</v>
      </c>
      <c r="Q87" t="n">
        <v>900.272</v>
      </c>
      <c r="R87" t="n">
        <v>1002.621</v>
      </c>
      <c r="S87" t="n">
        <v>2669.321</v>
      </c>
      <c r="T87" t="n">
        <v>2951.949</v>
      </c>
      <c r="U87" t="n">
        <v>3139.022</v>
      </c>
      <c r="V87" t="n">
        <v>3118.589</v>
      </c>
      <c r="W87" t="n">
        <v>3215.868</v>
      </c>
      <c r="X87" t="n">
        <v>2828.729</v>
      </c>
      <c r="Y87" t="n">
        <v>3168.393</v>
      </c>
      <c r="Z87" t="n">
        <v>6146.635</v>
      </c>
      <c r="AA87" t="n">
        <v>7368.636</v>
      </c>
      <c r="AB87" t="n">
        <v>8864.962</v>
      </c>
      <c r="AC87" t="n">
        <v>10006.223</v>
      </c>
      <c r="AD87" t="n">
        <v>10379.791</v>
      </c>
      <c r="AE87" t="n">
        <v>10823.182</v>
      </c>
      <c r="AF87" t="n">
        <v>9909.423000000001</v>
      </c>
      <c r="AG87" t="n">
        <v>12030.624</v>
      </c>
      <c r="AH87" t="n">
        <v>12638.968</v>
      </c>
      <c r="AI87" t="n">
        <v>12402.009</v>
      </c>
      <c r="AJ87" t="n">
        <v>11517.254</v>
      </c>
      <c r="AK87" t="n">
        <v>11372.463</v>
      </c>
      <c r="AL87" t="n">
        <v>10931.398</v>
      </c>
      <c r="AM87" t="n">
        <v>10538.07</v>
      </c>
      <c r="AN87" t="n">
        <v>8301.566000000001</v>
      </c>
      <c r="AO87" t="n">
        <v>7651.822</v>
      </c>
      <c r="AP87" t="n">
        <v>7423.302</v>
      </c>
      <c r="AQ87" t="n">
        <v>6377.637</v>
      </c>
      <c r="AR87" t="n">
        <v>6852.686</v>
      </c>
      <c r="AS87" t="n">
        <v>12218.298</v>
      </c>
      <c r="AT87" t="n">
        <v>11627.395</v>
      </c>
      <c r="AU87" t="n">
        <v>13377.373</v>
      </c>
      <c r="AV87" t="n">
        <v>11767.834</v>
      </c>
      <c r="AW87" t="n">
        <v>11392.556</v>
      </c>
      <c r="AX87" t="n">
        <v>9469.197</v>
      </c>
      <c r="AY87" t="n">
        <v>8758.635</v>
      </c>
      <c r="AZ87" t="n">
        <v>8858.609</v>
      </c>
      <c r="BA87" t="n">
        <v>8461.403</v>
      </c>
      <c r="BB87" t="n">
        <v>8495.567999999999</v>
      </c>
      <c r="BC87" t="n">
        <v>11552.043</v>
      </c>
      <c r="BD87" t="n">
        <v>10503.689</v>
      </c>
      <c r="BE87" t="n">
        <v>10375.383</v>
      </c>
      <c r="BF87" t="n">
        <v>11988.039</v>
      </c>
      <c r="BG87" t="n">
        <v>12709.532</v>
      </c>
      <c r="BH87" t="n">
        <v>8212.977999999999</v>
      </c>
      <c r="BI87" t="n">
        <v>8661.786</v>
      </c>
      <c r="BJ87" t="n">
        <v>10067.065</v>
      </c>
      <c r="BK87" t="n">
        <v>10116.607</v>
      </c>
      <c r="BL87" t="n">
        <v>6993.148</v>
      </c>
      <c r="BM87" t="n">
        <v>6914.662</v>
      </c>
      <c r="BN87" t="n">
        <v>6425.217</v>
      </c>
      <c r="BO87" t="n">
        <v>6511.969</v>
      </c>
      <c r="BP87" t="n">
        <v>6372.284</v>
      </c>
      <c r="BQ87" t="n">
        <v>6781.052</v>
      </c>
      <c r="BR87" t="n">
        <v>6876.422</v>
      </c>
      <c r="BS87" t="n">
        <v>7389.274</v>
      </c>
      <c r="BT87" t="n">
        <v>6833.088</v>
      </c>
      <c r="BU87" t="n">
        <v>6280.6</v>
      </c>
      <c r="BV87" t="n">
        <v>6555.063</v>
      </c>
    </row>
    <row r="88">
      <c r="A88" t="inlineStr">
        <is>
          <t>Cynoglossus cynoglossus</t>
        </is>
      </c>
      <c r="B88" t="inlineStr">
        <is>
          <t>Bengal tongue sole</t>
        </is>
      </c>
      <c r="C88" t="inlineStr">
        <is>
          <t>Small to medium flatfishes (&lt;90 cm)</t>
        </is>
      </c>
      <c r="D88" t="inlineStr">
        <is>
          <t>Flatfishes</t>
        </is>
      </c>
      <c r="E88" t="n">
        <v>3813.035</v>
      </c>
      <c r="F88" t="n">
        <v>3777.75</v>
      </c>
      <c r="G88" t="n">
        <v>3801.148</v>
      </c>
      <c r="H88" t="n">
        <v>3824.108</v>
      </c>
      <c r="I88" t="n">
        <v>3846.491</v>
      </c>
      <c r="J88" t="n">
        <v>3868.415</v>
      </c>
      <c r="K88" t="n">
        <v>3889.74</v>
      </c>
      <c r="L88" t="n">
        <v>3910.411</v>
      </c>
      <c r="M88" t="n">
        <v>3930.536</v>
      </c>
      <c r="N88" t="n">
        <v>3949.975</v>
      </c>
      <c r="O88" t="n">
        <v>4070.299</v>
      </c>
      <c r="P88" t="n">
        <v>4295.083</v>
      </c>
      <c r="Q88" t="n">
        <v>4289.426</v>
      </c>
      <c r="R88" t="n">
        <v>4337.214</v>
      </c>
      <c r="S88" t="n">
        <v>4384.594</v>
      </c>
      <c r="T88" t="n">
        <v>4431.434</v>
      </c>
      <c r="U88" t="n">
        <v>4468.224</v>
      </c>
      <c r="V88" t="n">
        <v>4504.29</v>
      </c>
      <c r="W88" t="n">
        <v>4539.441</v>
      </c>
      <c r="X88" t="n">
        <v>4573.696</v>
      </c>
      <c r="Y88" t="n">
        <v>4509.133</v>
      </c>
      <c r="Z88" t="n">
        <v>4640.347</v>
      </c>
      <c r="AA88" t="n">
        <v>4785.581</v>
      </c>
      <c r="AB88" t="n">
        <v>5048.831</v>
      </c>
      <c r="AC88" t="n">
        <v>5399.627</v>
      </c>
      <c r="AD88" t="n">
        <v>5559.168</v>
      </c>
      <c r="AE88" t="n">
        <v>5960.414</v>
      </c>
      <c r="AF88" t="n">
        <v>6205.649</v>
      </c>
      <c r="AG88" t="n">
        <v>6478.309</v>
      </c>
      <c r="AH88" t="n">
        <v>6707.886</v>
      </c>
      <c r="AI88" t="n">
        <v>6926.753</v>
      </c>
      <c r="AJ88" t="n">
        <v>7138.009</v>
      </c>
      <c r="AK88" t="n">
        <v>7376.019</v>
      </c>
      <c r="AL88" t="n">
        <v>7579.905</v>
      </c>
      <c r="AM88" t="n">
        <v>7781.492</v>
      </c>
      <c r="AN88" t="n">
        <v>8136.808</v>
      </c>
      <c r="AO88" t="n">
        <v>8079.632</v>
      </c>
      <c r="AP88" t="n">
        <v>8175.452</v>
      </c>
      <c r="AQ88" t="n">
        <v>8344.766</v>
      </c>
      <c r="AR88" t="n">
        <v>8359.732</v>
      </c>
      <c r="AS88" t="n">
        <v>8584.561</v>
      </c>
      <c r="AT88" t="n">
        <v>8721.161</v>
      </c>
      <c r="AU88" t="n">
        <v>8853.598</v>
      </c>
      <c r="AV88" t="n">
        <v>8981.882</v>
      </c>
      <c r="AW88" t="n">
        <v>9106.014999999999</v>
      </c>
      <c r="AX88" t="n">
        <v>9225.996999999999</v>
      </c>
      <c r="AY88" t="n">
        <v>9341.825999999999</v>
      </c>
      <c r="AZ88" t="n">
        <v>9226.445</v>
      </c>
      <c r="BA88" t="n">
        <v>9106.911</v>
      </c>
      <c r="BB88" t="n">
        <v>8983.226000000001</v>
      </c>
      <c r="BC88" t="n">
        <v>8855.383</v>
      </c>
      <c r="BD88" t="n">
        <v>8768.403</v>
      </c>
      <c r="BE88" t="n">
        <v>8675.196</v>
      </c>
      <c r="BF88" t="n">
        <v>8575.741</v>
      </c>
      <c r="BG88" t="n">
        <v>8470.037</v>
      </c>
      <c r="BH88" t="n">
        <v>8358.084000000001</v>
      </c>
      <c r="BI88" t="n">
        <v>8239.882</v>
      </c>
      <c r="BJ88" t="n">
        <v>8115.431</v>
      </c>
      <c r="BK88" t="n">
        <v>7984.732</v>
      </c>
      <c r="BL88" t="n">
        <v>7988.449</v>
      </c>
      <c r="BM88" t="n">
        <v>8209.373</v>
      </c>
      <c r="BN88" t="n">
        <v>8635.406000000001</v>
      </c>
      <c r="BO88" t="n">
        <v>9166.088</v>
      </c>
      <c r="BP88" t="n">
        <v>8684.588</v>
      </c>
      <c r="BQ88" t="n">
        <v>8094.726</v>
      </c>
      <c r="BR88" t="n">
        <v>7557.628</v>
      </c>
      <c r="BS88" t="n">
        <v>7672.401</v>
      </c>
      <c r="BT88" t="n">
        <v>7776.942</v>
      </c>
      <c r="BU88" t="n">
        <v>7530.701</v>
      </c>
      <c r="BV88" t="n">
        <v>7462.76</v>
      </c>
    </row>
    <row r="89">
      <c r="A89" t="inlineStr">
        <is>
          <t>Pampus</t>
        </is>
      </c>
      <c r="B89" t="inlineStr">
        <is>
          <t>Silver pomfrets</t>
        </is>
      </c>
      <c r="C89" t="inlineStr">
        <is>
          <t>Medium benthopelagics (30 - 89 cm)</t>
        </is>
      </c>
      <c r="D89" t="inlineStr">
        <is>
          <t>Perch-likes</t>
        </is>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6650.793</v>
      </c>
      <c r="AK89" t="n">
        <v>8093.46</v>
      </c>
      <c r="AL89" t="n">
        <v>11656.312</v>
      </c>
      <c r="AM89" t="n">
        <v>8135.96</v>
      </c>
      <c r="AN89" t="n">
        <v>3979.934</v>
      </c>
      <c r="AO89" t="n">
        <v>5848.418</v>
      </c>
      <c r="AP89" t="n">
        <v>6426.743</v>
      </c>
      <c r="AQ89" t="n">
        <v>6145.807</v>
      </c>
      <c r="AR89" t="n">
        <v>8555.727999999999</v>
      </c>
      <c r="AS89" t="n">
        <v>8888.808000000001</v>
      </c>
      <c r="AT89" t="n">
        <v>7945.066</v>
      </c>
      <c r="AU89" t="n">
        <v>7694.996</v>
      </c>
      <c r="AV89" t="n">
        <v>11526.77</v>
      </c>
      <c r="AW89" t="n">
        <v>11075.31</v>
      </c>
      <c r="AX89" t="n">
        <v>11348.535</v>
      </c>
      <c r="AY89" t="n">
        <v>9060.734</v>
      </c>
      <c r="AZ89" t="n">
        <v>10157.879</v>
      </c>
      <c r="BA89" t="n">
        <v>6512.051</v>
      </c>
      <c r="BB89" t="n">
        <v>6847.151</v>
      </c>
      <c r="BC89" t="n">
        <v>8441.48</v>
      </c>
      <c r="BD89" t="n">
        <v>9369.742</v>
      </c>
      <c r="BE89" t="n">
        <v>11960.769</v>
      </c>
      <c r="BF89" t="n">
        <v>11021.197</v>
      </c>
      <c r="BG89" t="n">
        <v>10616.232</v>
      </c>
      <c r="BH89" t="n">
        <v>15401.719</v>
      </c>
      <c r="BI89" t="n">
        <v>14619.041</v>
      </c>
      <c r="BJ89" t="n">
        <v>18251.084</v>
      </c>
      <c r="BK89" t="n">
        <v>16759.438</v>
      </c>
      <c r="BL89" t="n">
        <v>22333.072</v>
      </c>
      <c r="BM89" t="n">
        <v>19782.858</v>
      </c>
      <c r="BN89" t="n">
        <v>22452.767</v>
      </c>
      <c r="BO89" t="n">
        <v>17810.506</v>
      </c>
      <c r="BP89" t="n">
        <v>16577.308</v>
      </c>
      <c r="BQ89" t="n">
        <v>14246.159</v>
      </c>
      <c r="BR89" t="n">
        <v>13696.148</v>
      </c>
      <c r="BS89" t="n">
        <v>15153.632</v>
      </c>
      <c r="BT89" t="n">
        <v>18252.122</v>
      </c>
      <c r="BU89" t="n">
        <v>11397.768</v>
      </c>
      <c r="BV89" t="n">
        <v>15689.09</v>
      </c>
    </row>
    <row r="90">
      <c r="A90" t="inlineStr">
        <is>
          <t>Thunnus tonggol</t>
        </is>
      </c>
      <c r="B90" t="inlineStr">
        <is>
          <t>Longtail tuna</t>
        </is>
      </c>
      <c r="C90" t="inlineStr">
        <is>
          <t>Large pelagics (&gt;=90 cm)</t>
        </is>
      </c>
      <c r="D90" t="inlineStr">
        <is>
          <t>Tuna &amp; billfishes</t>
        </is>
      </c>
      <c r="E90" t="n">
        <v>1980.359</v>
      </c>
      <c r="F90" t="n">
        <v>1984.084</v>
      </c>
      <c r="G90" t="n">
        <v>1943.428</v>
      </c>
      <c r="H90" t="n">
        <v>1908.802</v>
      </c>
      <c r="I90" t="n">
        <v>1914.613</v>
      </c>
      <c r="J90" t="n">
        <v>2062.93</v>
      </c>
      <c r="K90" t="n">
        <v>1926.808</v>
      </c>
      <c r="L90" t="n">
        <v>2027.252</v>
      </c>
      <c r="M90" t="n">
        <v>2254.396</v>
      </c>
      <c r="N90" t="n">
        <v>2372.694</v>
      </c>
      <c r="O90" t="n">
        <v>2639.826</v>
      </c>
      <c r="P90" t="n">
        <v>2796.258</v>
      </c>
      <c r="Q90" t="n">
        <v>3319.029</v>
      </c>
      <c r="R90" t="n">
        <v>3642.367</v>
      </c>
      <c r="S90" t="n">
        <v>3875.408</v>
      </c>
      <c r="T90" t="n">
        <v>4104.787</v>
      </c>
      <c r="U90" t="n">
        <v>4324.721</v>
      </c>
      <c r="V90" t="n">
        <v>5268.19</v>
      </c>
      <c r="W90" t="n">
        <v>5757.715</v>
      </c>
      <c r="X90" t="n">
        <v>5435.717</v>
      </c>
      <c r="Y90" t="n">
        <v>5176.628</v>
      </c>
      <c r="Z90" t="n">
        <v>5432.431</v>
      </c>
      <c r="AA90" t="n">
        <v>4868.091</v>
      </c>
      <c r="AB90" t="n">
        <v>6158.757</v>
      </c>
      <c r="AC90" t="n">
        <v>5223.211</v>
      </c>
      <c r="AD90" t="n">
        <v>5757.751</v>
      </c>
      <c r="AE90" t="n">
        <v>1772.477</v>
      </c>
      <c r="AF90" t="n">
        <v>1346.342</v>
      </c>
      <c r="AG90" t="n">
        <v>1613.039</v>
      </c>
      <c r="AH90" t="n">
        <v>3193.499</v>
      </c>
      <c r="AI90" t="n">
        <v>3147.194</v>
      </c>
      <c r="AJ90" t="n">
        <v>4074.243</v>
      </c>
      <c r="AK90" t="n">
        <v>8946.007</v>
      </c>
      <c r="AL90" t="n">
        <v>8541.207</v>
      </c>
      <c r="AM90" t="n">
        <v>7722.448</v>
      </c>
      <c r="AN90" t="n">
        <v>19027.595</v>
      </c>
      <c r="AO90" t="n">
        <v>16608.022</v>
      </c>
      <c r="AP90" t="n">
        <v>14948.845</v>
      </c>
      <c r="AQ90" t="n">
        <v>12453.715</v>
      </c>
      <c r="AR90" t="n">
        <v>16069.027</v>
      </c>
      <c r="AS90" t="n">
        <v>3117.933</v>
      </c>
      <c r="AT90" t="n">
        <v>11175.687</v>
      </c>
      <c r="AU90" t="n">
        <v>6370.219</v>
      </c>
      <c r="AV90" t="n">
        <v>8820.861000000001</v>
      </c>
      <c r="AW90" t="n">
        <v>6909.23</v>
      </c>
      <c r="AX90" t="n">
        <v>8315.035</v>
      </c>
      <c r="AY90" t="n">
        <v>8317.525</v>
      </c>
      <c r="AZ90" t="n">
        <v>8117.275</v>
      </c>
      <c r="BA90" t="n">
        <v>15145.67</v>
      </c>
      <c r="BB90" t="n">
        <v>12182.739</v>
      </c>
      <c r="BC90" t="n">
        <v>12146.25</v>
      </c>
      <c r="BD90" t="n">
        <v>6828.999</v>
      </c>
      <c r="BE90" t="n">
        <v>10294.513</v>
      </c>
      <c r="BF90" t="n">
        <v>10610.673</v>
      </c>
      <c r="BG90" t="n">
        <v>9863.584999999999</v>
      </c>
      <c r="BH90" t="n">
        <v>7704.107</v>
      </c>
      <c r="BI90" t="n">
        <v>10100.634</v>
      </c>
      <c r="BJ90" t="n">
        <v>16148.055</v>
      </c>
      <c r="BK90" t="n">
        <v>10843.058</v>
      </c>
      <c r="BL90" t="n">
        <v>10690.201</v>
      </c>
      <c r="BM90" t="n">
        <v>6245.198</v>
      </c>
      <c r="BN90" t="n">
        <v>7303.667</v>
      </c>
      <c r="BO90" t="n">
        <v>6276.285</v>
      </c>
      <c r="BP90" t="n">
        <v>3921.461</v>
      </c>
      <c r="BQ90" t="n">
        <v>5165.905</v>
      </c>
      <c r="BR90" t="n">
        <v>3431.26</v>
      </c>
      <c r="BS90" t="n">
        <v>3912.345</v>
      </c>
      <c r="BT90" t="n">
        <v>3959.777</v>
      </c>
      <c r="BU90" t="n">
        <v>3937.18</v>
      </c>
      <c r="BV90" t="n">
        <v>6407.828</v>
      </c>
    </row>
    <row r="91">
      <c r="A91" t="inlineStr">
        <is>
          <t>Pomadasys</t>
        </is>
      </c>
      <c r="B91" t="inlineStr">
        <is>
          <t>Grunters</t>
        </is>
      </c>
      <c r="C91" t="inlineStr">
        <is>
          <t>Medium demersals (30 - 89 cm)</t>
        </is>
      </c>
      <c r="D91" t="inlineStr">
        <is>
          <t>Perch-likes</t>
        </is>
      </c>
      <c r="E91" t="n">
        <v>1071.033</v>
      </c>
      <c r="F91" t="n">
        <v>1066.907</v>
      </c>
      <c r="G91" t="n">
        <v>1289.998</v>
      </c>
      <c r="H91" t="n">
        <v>1172.103</v>
      </c>
      <c r="I91" t="n">
        <v>1062.126</v>
      </c>
      <c r="J91" t="n">
        <v>1079.359</v>
      </c>
      <c r="K91" t="n">
        <v>1068.723</v>
      </c>
      <c r="L91" t="n">
        <v>1054.071</v>
      </c>
      <c r="M91" t="n">
        <v>1118.91</v>
      </c>
      <c r="N91" t="n">
        <v>1109.153</v>
      </c>
      <c r="O91" t="n">
        <v>1362.968</v>
      </c>
      <c r="P91" t="n">
        <v>1645.977</v>
      </c>
      <c r="Q91" t="n">
        <v>1703.289</v>
      </c>
      <c r="R91" t="n">
        <v>2574.983</v>
      </c>
      <c r="S91" t="n">
        <v>2763.43</v>
      </c>
      <c r="T91" t="n">
        <v>2941.595</v>
      </c>
      <c r="U91" t="n">
        <v>3481.936</v>
      </c>
      <c r="V91" t="n">
        <v>4130.578</v>
      </c>
      <c r="W91" t="n">
        <v>4235.399</v>
      </c>
      <c r="X91" t="n">
        <v>3896.595</v>
      </c>
      <c r="Y91" t="n">
        <v>3587.761</v>
      </c>
      <c r="Z91" t="n">
        <v>4604.743</v>
      </c>
      <c r="AA91" t="n">
        <v>4660.297</v>
      </c>
      <c r="AB91" t="n">
        <v>5369.485</v>
      </c>
      <c r="AC91" t="n">
        <v>6554.966</v>
      </c>
      <c r="AD91" t="n">
        <v>6502.599</v>
      </c>
      <c r="AE91" t="n">
        <v>8853.758</v>
      </c>
      <c r="AF91" t="n">
        <v>9762.409</v>
      </c>
      <c r="AG91" t="n">
        <v>10239.506</v>
      </c>
      <c r="AH91" t="n">
        <v>9898.68</v>
      </c>
      <c r="AI91" t="n">
        <v>8539.049000000001</v>
      </c>
      <c r="AJ91" t="n">
        <v>8530.931</v>
      </c>
      <c r="AK91" t="n">
        <v>8652.188</v>
      </c>
      <c r="AL91" t="n">
        <v>8667.671</v>
      </c>
      <c r="AM91" t="n">
        <v>7965.57</v>
      </c>
      <c r="AN91" t="n">
        <v>6707.688</v>
      </c>
      <c r="AO91" t="n">
        <v>7420.535</v>
      </c>
      <c r="AP91" t="n">
        <v>8570.335999999999</v>
      </c>
      <c r="AQ91" t="n">
        <v>6895.853</v>
      </c>
      <c r="AR91" t="n">
        <v>8153.164</v>
      </c>
      <c r="AS91" t="n">
        <v>8657.093999999999</v>
      </c>
      <c r="AT91" t="n">
        <v>6817.405</v>
      </c>
      <c r="AU91" t="n">
        <v>7199.704</v>
      </c>
      <c r="AV91" t="n">
        <v>7189.98</v>
      </c>
      <c r="AW91" t="n">
        <v>7051.635</v>
      </c>
      <c r="AX91" t="n">
        <v>6962.713</v>
      </c>
      <c r="AY91" t="n">
        <v>7014.482</v>
      </c>
      <c r="AZ91" t="n">
        <v>6897.363</v>
      </c>
      <c r="BA91" t="n">
        <v>7946.811</v>
      </c>
      <c r="BB91" t="n">
        <v>7150.776</v>
      </c>
      <c r="BC91" t="n">
        <v>8412.439</v>
      </c>
      <c r="BD91" t="n">
        <v>8029.911</v>
      </c>
      <c r="BE91" t="n">
        <v>8486.129999999999</v>
      </c>
      <c r="BF91" t="n">
        <v>8725.43</v>
      </c>
      <c r="BG91" t="n">
        <v>9093.120999999999</v>
      </c>
      <c r="BH91" t="n">
        <v>7920.312</v>
      </c>
      <c r="BI91" t="n">
        <v>9244.407999999999</v>
      </c>
      <c r="BJ91" t="n">
        <v>9312.135</v>
      </c>
      <c r="BK91" t="n">
        <v>9273.618</v>
      </c>
      <c r="BL91" t="n">
        <v>8726.780000000001</v>
      </c>
      <c r="BM91" t="n">
        <v>9180.164000000001</v>
      </c>
      <c r="BN91" t="n">
        <v>8646.049000000001</v>
      </c>
      <c r="BO91" t="n">
        <v>8772.627</v>
      </c>
      <c r="BP91" t="n">
        <v>8565.242</v>
      </c>
      <c r="BQ91" t="n">
        <v>9072.699000000001</v>
      </c>
      <c r="BR91" t="n">
        <v>9194.791999999999</v>
      </c>
      <c r="BS91" t="n">
        <v>9850.236000000001</v>
      </c>
      <c r="BT91" t="n">
        <v>9134.602999999999</v>
      </c>
      <c r="BU91" t="n">
        <v>8411.263999999999</v>
      </c>
      <c r="BV91" t="n">
        <v>16850.533</v>
      </c>
    </row>
    <row r="92">
      <c r="A92" t="inlineStr">
        <is>
          <t>Lepturacanthus savala</t>
        </is>
      </c>
      <c r="B92" t="inlineStr">
        <is>
          <t>Savalai hairtail</t>
        </is>
      </c>
      <c r="C92" t="inlineStr">
        <is>
          <t>Large benthopelagics (&gt;=90 cm)</t>
        </is>
      </c>
      <c r="D92" t="inlineStr">
        <is>
          <t>Perch-likes</t>
        </is>
      </c>
      <c r="E92" t="n">
        <v>4986.806</v>
      </c>
      <c r="F92" t="n">
        <v>4940.659</v>
      </c>
      <c r="G92" t="n">
        <v>4971.259</v>
      </c>
      <c r="H92" t="n">
        <v>5001.287</v>
      </c>
      <c r="I92" t="n">
        <v>5030.56</v>
      </c>
      <c r="J92" t="n">
        <v>5059.233</v>
      </c>
      <c r="K92" t="n">
        <v>5087.122</v>
      </c>
      <c r="L92" t="n">
        <v>5114.156</v>
      </c>
      <c r="M92" t="n">
        <v>5140.476</v>
      </c>
      <c r="N92" t="n">
        <v>5165.899</v>
      </c>
      <c r="O92" t="n">
        <v>5323.262</v>
      </c>
      <c r="P92" t="n">
        <v>5617.242</v>
      </c>
      <c r="Q92" t="n">
        <v>5609.844</v>
      </c>
      <c r="R92" t="n">
        <v>5672.343</v>
      </c>
      <c r="S92" t="n">
        <v>5734.308</v>
      </c>
      <c r="T92" t="n">
        <v>5795.567</v>
      </c>
      <c r="U92" t="n">
        <v>5843.681</v>
      </c>
      <c r="V92" t="n">
        <v>5890.85</v>
      </c>
      <c r="W92" t="n">
        <v>5936.821</v>
      </c>
      <c r="X92" t="n">
        <v>5981.621</v>
      </c>
      <c r="Y92" t="n">
        <v>5897.183</v>
      </c>
      <c r="Z92" t="n">
        <v>6068.789</v>
      </c>
      <c r="AA92" t="n">
        <v>6111.028</v>
      </c>
      <c r="AB92" t="n">
        <v>6151.792</v>
      </c>
      <c r="AC92" t="n">
        <v>6307.052</v>
      </c>
      <c r="AD92" t="n">
        <v>6212.183</v>
      </c>
      <c r="AE92" t="n">
        <v>6433.423</v>
      </c>
      <c r="AF92" t="n">
        <v>6450.627</v>
      </c>
      <c r="AG92" t="n">
        <v>6503.698</v>
      </c>
      <c r="AH92" t="n">
        <v>6500.426</v>
      </c>
      <c r="AI92" t="n">
        <v>6502.622</v>
      </c>
      <c r="AJ92" t="n">
        <v>6494.865</v>
      </c>
      <c r="AK92" t="n">
        <v>6522.096</v>
      </c>
      <c r="AL92" t="n">
        <v>6504.701</v>
      </c>
      <c r="AM92" t="n">
        <v>6484.298</v>
      </c>
      <c r="AN92" t="n">
        <v>6664.946</v>
      </c>
      <c r="AO92" t="n">
        <v>6435.237</v>
      </c>
      <c r="AP92" t="n">
        <v>6405.62</v>
      </c>
      <c r="AQ92" t="n">
        <v>6472.121</v>
      </c>
      <c r="AR92" t="n">
        <v>6336.76</v>
      </c>
      <c r="AS92" t="n">
        <v>6475.866</v>
      </c>
      <c r="AT92" t="n">
        <v>6499.582</v>
      </c>
      <c r="AU92" t="n">
        <v>6517.853</v>
      </c>
      <c r="AV92" t="n">
        <v>6530.695</v>
      </c>
      <c r="AW92" t="n">
        <v>6538.106</v>
      </c>
      <c r="AX92" t="n">
        <v>6540.088</v>
      </c>
      <c r="AY92" t="n">
        <v>6536.64</v>
      </c>
      <c r="AZ92" t="n">
        <v>6527.763</v>
      </c>
      <c r="BA92" t="n">
        <v>6513.455</v>
      </c>
      <c r="BB92" t="n">
        <v>6493.718</v>
      </c>
      <c r="BC92" t="n">
        <v>6468.544</v>
      </c>
      <c r="BD92" t="n">
        <v>6496.811</v>
      </c>
      <c r="BE92" t="n">
        <v>6516.935</v>
      </c>
      <c r="BF92" t="n">
        <v>6528.886</v>
      </c>
      <c r="BG92" t="n">
        <v>6532.665</v>
      </c>
      <c r="BH92" t="n">
        <v>6528.271</v>
      </c>
      <c r="BI92" t="n">
        <v>6515.706</v>
      </c>
      <c r="BJ92" t="n">
        <v>6494.968</v>
      </c>
      <c r="BK92" t="n">
        <v>6466.058</v>
      </c>
      <c r="BL92" t="n">
        <v>6612.941</v>
      </c>
      <c r="BM92" t="n">
        <v>6759.85</v>
      </c>
      <c r="BN92" t="n">
        <v>6758.467</v>
      </c>
      <c r="BO92" t="n">
        <v>6840.049</v>
      </c>
      <c r="BP92" t="n">
        <v>6923.757</v>
      </c>
      <c r="BQ92" t="n">
        <v>7008.35</v>
      </c>
      <c r="BR92" t="n">
        <v>7069.271</v>
      </c>
      <c r="BS92" t="n">
        <v>7105.509</v>
      </c>
      <c r="BT92" t="n">
        <v>7116.916</v>
      </c>
      <c r="BU92" t="n">
        <v>7116.916</v>
      </c>
      <c r="BV92" t="n">
        <v>7116.916</v>
      </c>
    </row>
    <row r="93">
      <c r="A93" t="inlineStr">
        <is>
          <t>Upeneus</t>
        </is>
      </c>
      <c r="B93" t="inlineStr">
        <is>
          <t>Upeneid goatfishes</t>
        </is>
      </c>
      <c r="C93" t="inlineStr">
        <is>
          <t>Small reef assoc. fish (&lt;30 cm)</t>
        </is>
      </c>
      <c r="D93" t="inlineStr">
        <is>
          <t>Perch-likes</t>
        </is>
      </c>
      <c r="E93" t="n">
        <v>109.887</v>
      </c>
      <c r="F93" t="n">
        <v>109.68</v>
      </c>
      <c r="G93" t="n">
        <v>137.649</v>
      </c>
      <c r="H93" t="n">
        <v>123.868</v>
      </c>
      <c r="I93" t="n">
        <v>110.084</v>
      </c>
      <c r="J93" t="n">
        <v>110.213</v>
      </c>
      <c r="K93" t="n">
        <v>110.338</v>
      </c>
      <c r="L93" t="n">
        <v>108.472</v>
      </c>
      <c r="M93" t="n">
        <v>113.56</v>
      </c>
      <c r="N93" t="n">
        <v>111.687</v>
      </c>
      <c r="O93" t="n">
        <v>141.219</v>
      </c>
      <c r="P93" t="n">
        <v>174.348</v>
      </c>
      <c r="Q93" t="n">
        <v>177.296</v>
      </c>
      <c r="R93" t="n">
        <v>281.944</v>
      </c>
      <c r="S93" t="n">
        <v>1917.49</v>
      </c>
      <c r="T93" t="n">
        <v>2148.807</v>
      </c>
      <c r="U93" t="n">
        <v>2337.291</v>
      </c>
      <c r="V93" t="n">
        <v>2135.497</v>
      </c>
      <c r="W93" t="n">
        <v>2095.491</v>
      </c>
      <c r="X93" t="n">
        <v>1761.161</v>
      </c>
      <c r="Y93" t="n">
        <v>2129.352</v>
      </c>
      <c r="Z93" t="n">
        <v>5280.067</v>
      </c>
      <c r="AA93" t="n">
        <v>6643.696</v>
      </c>
      <c r="AB93" t="n">
        <v>8123.752</v>
      </c>
      <c r="AC93" t="n">
        <v>9502.717000000001</v>
      </c>
      <c r="AD93" t="n">
        <v>9958.486999999999</v>
      </c>
      <c r="AE93" t="n">
        <v>2681.81</v>
      </c>
      <c r="AF93" t="n">
        <v>2401.609</v>
      </c>
      <c r="AG93" t="n">
        <v>2761.376</v>
      </c>
      <c r="AH93" t="n">
        <v>2864.066</v>
      </c>
      <c r="AI93" t="n">
        <v>3099.567</v>
      </c>
      <c r="AJ93" t="n">
        <v>3051.256</v>
      </c>
      <c r="AK93" t="n">
        <v>3122.099</v>
      </c>
      <c r="AL93" t="n">
        <v>2975.653</v>
      </c>
      <c r="AM93" t="n">
        <v>2931.852</v>
      </c>
      <c r="AN93" t="n">
        <v>2998.117</v>
      </c>
      <c r="AO93" t="n">
        <v>2930.954</v>
      </c>
      <c r="AP93" t="n">
        <v>3075.236</v>
      </c>
      <c r="AQ93" t="n">
        <v>2635.251</v>
      </c>
      <c r="AR93" t="n">
        <v>2829.755</v>
      </c>
      <c r="AS93" t="n">
        <v>7574.587</v>
      </c>
      <c r="AT93" t="n">
        <v>7147.534</v>
      </c>
      <c r="AU93" t="n">
        <v>8161.392</v>
      </c>
      <c r="AV93" t="n">
        <v>7296.001</v>
      </c>
      <c r="AW93" t="n">
        <v>7072.949</v>
      </c>
      <c r="AX93" t="n">
        <v>4422.885</v>
      </c>
      <c r="AY93" t="n">
        <v>4193.82</v>
      </c>
      <c r="AZ93" t="n">
        <v>4092.202</v>
      </c>
      <c r="BA93" t="n">
        <v>4283.341</v>
      </c>
      <c r="BB93" t="n">
        <v>4064.842</v>
      </c>
      <c r="BC93" t="n">
        <v>13540.296</v>
      </c>
      <c r="BD93" t="n">
        <v>12251.071</v>
      </c>
      <c r="BE93" t="n">
        <v>12210.233</v>
      </c>
      <c r="BF93" t="n">
        <v>14078.161</v>
      </c>
      <c r="BG93" t="n">
        <v>14819.957</v>
      </c>
      <c r="BH93" t="n">
        <v>14307.981</v>
      </c>
      <c r="BI93" t="n">
        <v>15161.317</v>
      </c>
      <c r="BJ93" t="n">
        <v>17525.269</v>
      </c>
      <c r="BK93" t="n">
        <v>17360.601</v>
      </c>
      <c r="BL93" t="n">
        <v>12759.154</v>
      </c>
      <c r="BM93" t="n">
        <v>12782.238</v>
      </c>
      <c r="BN93" t="n">
        <v>12204.764</v>
      </c>
      <c r="BO93" t="n">
        <v>12374.848</v>
      </c>
      <c r="BP93" t="n">
        <v>12108.104</v>
      </c>
      <c r="BQ93" t="n">
        <v>12871.641</v>
      </c>
      <c r="BR93" t="n">
        <v>13101.639</v>
      </c>
      <c r="BS93" t="n">
        <v>14034.455</v>
      </c>
      <c r="BT93" t="n">
        <v>13106.159</v>
      </c>
      <c r="BU93" t="n">
        <v>12003.596</v>
      </c>
      <c r="BV93" t="n">
        <v>12527.225</v>
      </c>
    </row>
    <row r="94">
      <c r="A94" t="inlineStr">
        <is>
          <t>Sardinella lemuru</t>
        </is>
      </c>
      <c r="B94" t="inlineStr">
        <is>
          <t>Bali sardinella</t>
        </is>
      </c>
      <c r="C94" t="inlineStr">
        <is>
          <t>Small pelagics (&lt;30 cm)</t>
        </is>
      </c>
      <c r="D94" t="inlineStr">
        <is>
          <t>Herring-likes</t>
        </is>
      </c>
      <c r="E94" t="n">
        <v>496.518</v>
      </c>
      <c r="F94" t="n">
        <v>568.739</v>
      </c>
      <c r="G94" t="n">
        <v>640.96</v>
      </c>
      <c r="H94" t="n">
        <v>659.015</v>
      </c>
      <c r="I94" t="n">
        <v>704.153</v>
      </c>
      <c r="J94" t="n">
        <v>722.2089999999999</v>
      </c>
      <c r="K94" t="n">
        <v>731.236</v>
      </c>
      <c r="L94" t="n">
        <v>713.181</v>
      </c>
      <c r="M94" t="n">
        <v>740.264</v>
      </c>
      <c r="N94" t="n">
        <v>704.153</v>
      </c>
      <c r="O94" t="n">
        <v>713.181</v>
      </c>
      <c r="P94" t="n">
        <v>920.816</v>
      </c>
      <c r="Q94" t="n">
        <v>945.508</v>
      </c>
      <c r="R94" t="n">
        <v>979.046</v>
      </c>
      <c r="S94" t="n">
        <v>1021.361</v>
      </c>
      <c r="T94" t="n">
        <v>1150.243</v>
      </c>
      <c r="U94" t="n">
        <v>1209.982</v>
      </c>
      <c r="V94" t="n">
        <v>1093.708</v>
      </c>
      <c r="W94" t="n">
        <v>1132.266</v>
      </c>
      <c r="X94" t="n">
        <v>1189.598</v>
      </c>
      <c r="Y94" t="n">
        <v>1354.135</v>
      </c>
      <c r="Z94" t="n">
        <v>1329.272</v>
      </c>
      <c r="AA94" t="n">
        <v>1331.581</v>
      </c>
      <c r="AB94" t="n">
        <v>916.7329999999999</v>
      </c>
      <c r="AC94" t="n">
        <v>1037.868</v>
      </c>
      <c r="AD94" t="n">
        <v>4196.672</v>
      </c>
      <c r="AE94" t="n">
        <v>4373.317</v>
      </c>
      <c r="AF94" t="n">
        <v>6270.781</v>
      </c>
      <c r="AG94" t="n">
        <v>4571.847</v>
      </c>
      <c r="AH94" t="n">
        <v>3829.2</v>
      </c>
      <c r="AI94" t="n">
        <v>5073.463</v>
      </c>
      <c r="AJ94" t="n">
        <v>4559.212</v>
      </c>
      <c r="AK94" t="n">
        <v>4044.961</v>
      </c>
      <c r="AL94" t="n">
        <v>5065.006</v>
      </c>
      <c r="AM94" t="n">
        <v>4083.877</v>
      </c>
      <c r="AN94" t="n">
        <v>3239.529</v>
      </c>
      <c r="AO94" t="n">
        <v>3807.287</v>
      </c>
      <c r="AP94" t="n">
        <v>4842.771</v>
      </c>
      <c r="AQ94" t="n">
        <v>7015.483</v>
      </c>
      <c r="AR94" t="n">
        <v>8012.138</v>
      </c>
      <c r="AS94" t="n">
        <v>8861.415999999999</v>
      </c>
      <c r="AT94" t="n">
        <v>10944.007</v>
      </c>
      <c r="AU94" t="n">
        <v>10850.119</v>
      </c>
      <c r="AV94" t="n">
        <v>11500.131</v>
      </c>
      <c r="AW94" t="n">
        <v>11829.658</v>
      </c>
      <c r="AX94" t="n">
        <v>8180.476</v>
      </c>
      <c r="AY94" t="n">
        <v>7585.331</v>
      </c>
      <c r="AZ94" t="n">
        <v>10698.206</v>
      </c>
      <c r="BA94" t="n">
        <v>13816.162</v>
      </c>
      <c r="BB94" t="n">
        <v>6898.805</v>
      </c>
      <c r="BC94" t="n">
        <v>6409.843</v>
      </c>
      <c r="BD94" t="n">
        <v>8779.838</v>
      </c>
      <c r="BE94" t="n">
        <v>8561.337</v>
      </c>
      <c r="BF94" t="n">
        <v>9481.626</v>
      </c>
      <c r="BG94" t="n">
        <v>9120.116</v>
      </c>
      <c r="BH94" t="n">
        <v>7766.441</v>
      </c>
      <c r="BI94" t="n">
        <v>14583.617</v>
      </c>
      <c r="BJ94" t="n">
        <v>14136.894</v>
      </c>
      <c r="BK94" t="n">
        <v>10465.499</v>
      </c>
      <c r="BL94" t="n">
        <v>11921.274</v>
      </c>
      <c r="BM94" t="n">
        <v>8871.878000000001</v>
      </c>
      <c r="BN94" t="n">
        <v>9649.799000000001</v>
      </c>
      <c r="BO94" t="n">
        <v>9869.023999999999</v>
      </c>
      <c r="BP94" t="n">
        <v>9821.273999999999</v>
      </c>
      <c r="BQ94" t="n">
        <v>10283.647</v>
      </c>
      <c r="BR94" t="n">
        <v>12056.306</v>
      </c>
      <c r="BS94" t="n">
        <v>11665.492</v>
      </c>
      <c r="BT94" t="n">
        <v>14799.091</v>
      </c>
      <c r="BU94" t="n">
        <v>12162.239</v>
      </c>
      <c r="BV94" t="n">
        <v>13522.849</v>
      </c>
    </row>
    <row r="95">
      <c r="A95" t="inlineStr">
        <is>
          <t>Epinephelus</t>
        </is>
      </c>
      <c r="B95" t="inlineStr">
        <is>
          <t>Seabasses, hinds</t>
        </is>
      </c>
      <c r="C95" t="inlineStr">
        <is>
          <t>Medium reef assoc. fish (30 - 89 cm)</t>
        </is>
      </c>
      <c r="D95" t="inlineStr">
        <is>
          <t>Perch-likes</t>
        </is>
      </c>
      <c r="E95" t="n">
        <v>3189.314</v>
      </c>
      <c r="F95" t="n">
        <v>3201.176</v>
      </c>
      <c r="G95" t="n">
        <v>3213.339</v>
      </c>
      <c r="H95" t="n">
        <v>3212.808</v>
      </c>
      <c r="I95" t="n">
        <v>3233.84</v>
      </c>
      <c r="J95" t="n">
        <v>3298.821</v>
      </c>
      <c r="K95" t="n">
        <v>3266.851</v>
      </c>
      <c r="L95" t="n">
        <v>3299.634</v>
      </c>
      <c r="M95" t="n">
        <v>3393.599</v>
      </c>
      <c r="N95" t="n">
        <v>3440.044</v>
      </c>
      <c r="O95" t="n">
        <v>3505.455</v>
      </c>
      <c r="P95" t="n">
        <v>3574.753</v>
      </c>
      <c r="Q95" t="n">
        <v>3742.578</v>
      </c>
      <c r="R95" t="n">
        <v>3897.848</v>
      </c>
      <c r="S95" t="n">
        <v>4315.569</v>
      </c>
      <c r="T95" t="n">
        <v>4455.458</v>
      </c>
      <c r="U95" t="n">
        <v>4568.4</v>
      </c>
      <c r="V95" t="n">
        <v>4827.346</v>
      </c>
      <c r="W95" t="n">
        <v>4983.924</v>
      </c>
      <c r="X95" t="n">
        <v>4797.657</v>
      </c>
      <c r="Y95" t="n">
        <v>4790.381</v>
      </c>
      <c r="Z95" t="n">
        <v>5408.347</v>
      </c>
      <c r="AA95" t="n">
        <v>5533.53</v>
      </c>
      <c r="AB95" t="n">
        <v>5952.001</v>
      </c>
      <c r="AC95" t="n">
        <v>6125.772</v>
      </c>
      <c r="AD95" t="n">
        <v>6093.777</v>
      </c>
      <c r="AE95" t="n">
        <v>12140.373</v>
      </c>
      <c r="AF95" t="n">
        <v>13937.59</v>
      </c>
      <c r="AG95" t="n">
        <v>16125.216</v>
      </c>
      <c r="AH95" t="n">
        <v>16431.112</v>
      </c>
      <c r="AI95" t="n">
        <v>8789.989</v>
      </c>
      <c r="AJ95" t="n">
        <v>8353.879999999999</v>
      </c>
      <c r="AK95" t="n">
        <v>8272.373</v>
      </c>
      <c r="AL95" t="n">
        <v>7987.206</v>
      </c>
      <c r="AM95" t="n">
        <v>7758.495</v>
      </c>
      <c r="AN95" t="n">
        <v>6447.775</v>
      </c>
      <c r="AO95" t="n">
        <v>6078.67</v>
      </c>
      <c r="AP95" t="n">
        <v>5908.873</v>
      </c>
      <c r="AQ95" t="n">
        <v>5298.783</v>
      </c>
      <c r="AR95" t="n">
        <v>5815.582</v>
      </c>
      <c r="AS95" t="n">
        <v>8323.485000000001</v>
      </c>
      <c r="AT95" t="n">
        <v>8026.724</v>
      </c>
      <c r="AU95" t="n">
        <v>8906.313</v>
      </c>
      <c r="AV95" t="n">
        <v>8168.023</v>
      </c>
      <c r="AW95" t="n">
        <v>8014.381</v>
      </c>
      <c r="AX95" t="n">
        <v>6189.815</v>
      </c>
      <c r="AY95" t="n">
        <v>5963.789</v>
      </c>
      <c r="AZ95" t="n">
        <v>5957.924</v>
      </c>
      <c r="BA95" t="n">
        <v>5968.127</v>
      </c>
      <c r="BB95" t="n">
        <v>5898.433</v>
      </c>
      <c r="BC95" t="n">
        <v>6242.371</v>
      </c>
      <c r="BD95" t="n">
        <v>5904.051</v>
      </c>
      <c r="BE95" t="n">
        <v>5908.099</v>
      </c>
      <c r="BF95" t="n">
        <v>6455.246</v>
      </c>
      <c r="BG95" t="n">
        <v>6708.835</v>
      </c>
      <c r="BH95" t="n">
        <v>3607.287</v>
      </c>
      <c r="BI95" t="n">
        <v>4934.407</v>
      </c>
      <c r="BJ95" t="n">
        <v>5283.811</v>
      </c>
      <c r="BK95" t="n">
        <v>5287.532</v>
      </c>
      <c r="BL95" t="n">
        <v>5239.718</v>
      </c>
      <c r="BM95" t="n">
        <v>4911.494</v>
      </c>
      <c r="BN95" t="n">
        <v>4965.167</v>
      </c>
      <c r="BO95" t="n">
        <v>4205.889</v>
      </c>
      <c r="BP95" t="n">
        <v>4123.657</v>
      </c>
      <c r="BQ95" t="n">
        <v>4019.098</v>
      </c>
      <c r="BR95" t="n">
        <v>4584.663</v>
      </c>
      <c r="BS95" t="n">
        <v>4753.413</v>
      </c>
      <c r="BT95" t="n">
        <v>4264.966</v>
      </c>
      <c r="BU95" t="n">
        <v>4115.608</v>
      </c>
      <c r="BV95" t="n">
        <v>4224.202</v>
      </c>
    </row>
    <row r="96">
      <c r="A96" t="inlineStr">
        <is>
          <t>Sphyraenidae</t>
        </is>
      </c>
      <c r="B96" t="inlineStr">
        <is>
          <t>Barracudas</t>
        </is>
      </c>
      <c r="C96" t="inlineStr">
        <is>
          <t>Medium reef assoc. fish (30 - 89 cm)</t>
        </is>
      </c>
      <c r="D96" t="inlineStr">
        <is>
          <t>Perch-likes</t>
        </is>
      </c>
      <c r="E96" t="n">
        <v>173.86</v>
      </c>
      <c r="F96" t="n">
        <v>238.04</v>
      </c>
      <c r="G96" t="n">
        <v>1286.24</v>
      </c>
      <c r="H96" t="n">
        <v>581.816</v>
      </c>
      <c r="I96" t="n">
        <v>4726.177</v>
      </c>
      <c r="J96" t="n">
        <v>509.157</v>
      </c>
      <c r="K96" t="n">
        <v>3033.799</v>
      </c>
      <c r="L96" t="n">
        <v>885.896</v>
      </c>
      <c r="M96" t="n">
        <v>1125.605</v>
      </c>
      <c r="N96" t="n">
        <v>1341.697</v>
      </c>
      <c r="O96" t="n">
        <v>1447.049</v>
      </c>
      <c r="P96" t="n">
        <v>2275.926</v>
      </c>
      <c r="Q96" t="n">
        <v>2317.209</v>
      </c>
      <c r="R96" t="n">
        <v>2264.952</v>
      </c>
      <c r="S96" t="n">
        <v>2010.072</v>
      </c>
      <c r="T96" t="n">
        <v>2111.065</v>
      </c>
      <c r="U96" t="n">
        <v>1250.564</v>
      </c>
      <c r="V96" t="n">
        <v>3045.419</v>
      </c>
      <c r="W96" t="n">
        <v>1993.905</v>
      </c>
      <c r="X96" t="n">
        <v>2955.152</v>
      </c>
      <c r="Y96" t="n">
        <v>2264.173</v>
      </c>
      <c r="Z96" t="n">
        <v>1754.343</v>
      </c>
      <c r="AA96" t="n">
        <v>1936.974</v>
      </c>
      <c r="AB96" t="n">
        <v>1343.343</v>
      </c>
      <c r="AC96" t="n">
        <v>2023.207</v>
      </c>
      <c r="AD96" t="n">
        <v>2363.146</v>
      </c>
      <c r="AE96" t="n">
        <v>1267.97</v>
      </c>
      <c r="AF96" t="n">
        <v>2032.91</v>
      </c>
      <c r="AG96" t="n">
        <v>2200.547</v>
      </c>
      <c r="AH96" t="n">
        <v>2143.526</v>
      </c>
      <c r="AI96" t="n">
        <v>2755.655</v>
      </c>
      <c r="AJ96" t="n">
        <v>2839.74</v>
      </c>
      <c r="AK96" t="n">
        <v>3209.564</v>
      </c>
      <c r="AL96" t="n">
        <v>3069.091</v>
      </c>
      <c r="AM96" t="n">
        <v>3583.396</v>
      </c>
      <c r="AN96" t="n">
        <v>3500.244</v>
      </c>
      <c r="AO96" t="n">
        <v>3846.879</v>
      </c>
      <c r="AP96" t="n">
        <v>4164.489</v>
      </c>
      <c r="AQ96" t="n">
        <v>5005.839</v>
      </c>
      <c r="AR96" t="n">
        <v>5637.925</v>
      </c>
      <c r="AS96" t="n">
        <v>6943.265</v>
      </c>
      <c r="AT96" t="n">
        <v>7513.888</v>
      </c>
      <c r="AU96" t="n">
        <v>7346.727</v>
      </c>
      <c r="AV96" t="n">
        <v>7237.12</v>
      </c>
      <c r="AW96" t="n">
        <v>6603.953</v>
      </c>
      <c r="AX96" t="n">
        <v>7247.869</v>
      </c>
      <c r="AY96" t="n">
        <v>8197.217000000001</v>
      </c>
      <c r="AZ96" t="n">
        <v>8366.005999999999</v>
      </c>
      <c r="BA96" t="n">
        <v>9200.870000000001</v>
      </c>
      <c r="BB96" t="n">
        <v>10361.241</v>
      </c>
      <c r="BC96" t="n">
        <v>10516.963</v>
      </c>
      <c r="BD96" t="n">
        <v>10274.031</v>
      </c>
      <c r="BE96" t="n">
        <v>11855.815</v>
      </c>
      <c r="BF96" t="n">
        <v>9846.467000000001</v>
      </c>
      <c r="BG96" t="n">
        <v>10765.017</v>
      </c>
      <c r="BH96" t="n">
        <v>9353.147000000001</v>
      </c>
      <c r="BI96" t="n">
        <v>9601.07</v>
      </c>
      <c r="BJ96" t="n">
        <v>9806.454</v>
      </c>
      <c r="BK96" t="n">
        <v>13207.48</v>
      </c>
      <c r="BL96" t="n">
        <v>12713.733</v>
      </c>
      <c r="BM96" t="n">
        <v>13094.11</v>
      </c>
      <c r="BN96" t="n">
        <v>12820.061</v>
      </c>
      <c r="BO96" t="n">
        <v>12474.476</v>
      </c>
      <c r="BP96" t="n">
        <v>12216.407</v>
      </c>
      <c r="BQ96" t="n">
        <v>12784.781</v>
      </c>
      <c r="BR96" t="n">
        <v>12590.594</v>
      </c>
      <c r="BS96" t="n">
        <v>13150.99</v>
      </c>
      <c r="BT96" t="n">
        <v>13859.491</v>
      </c>
      <c r="BU96" t="n">
        <v>13321.21</v>
      </c>
      <c r="BV96" t="n">
        <v>12538.927</v>
      </c>
    </row>
    <row r="97">
      <c r="A97" t="inlineStr">
        <is>
          <t>Coilia dussumieri</t>
        </is>
      </c>
      <c r="B97" t="inlineStr">
        <is>
          <t>Goldspotted grenadier anchovy</t>
        </is>
      </c>
      <c r="C97" t="inlineStr">
        <is>
          <t>Small pelagics (&lt;30 cm)</t>
        </is>
      </c>
      <c r="D97" t="inlineStr">
        <is>
          <t>Anchovies</t>
        </is>
      </c>
      <c r="E97" t="n">
        <v>3923.168</v>
      </c>
      <c r="F97" t="n">
        <v>3897.638</v>
      </c>
      <c r="G97" t="n">
        <v>3931.671</v>
      </c>
      <c r="H97" t="n">
        <v>3965.26</v>
      </c>
      <c r="I97" t="n">
        <v>3998.263</v>
      </c>
      <c r="J97" t="n">
        <v>4030.801</v>
      </c>
      <c r="K97" t="n">
        <v>4062.73</v>
      </c>
      <c r="L97" t="n">
        <v>4093.995</v>
      </c>
      <c r="M97" t="n">
        <v>4124.706</v>
      </c>
      <c r="N97" t="n">
        <v>4154.721</v>
      </c>
      <c r="O97" t="n">
        <v>4287.134</v>
      </c>
      <c r="P97" t="n">
        <v>4525.574</v>
      </c>
      <c r="Q97" t="n">
        <v>4530.117</v>
      </c>
      <c r="R97" t="n">
        <v>4588.906</v>
      </c>
      <c r="S97" t="n">
        <v>4647.281</v>
      </c>
      <c r="T97" t="n">
        <v>4705.109</v>
      </c>
      <c r="U97" t="n">
        <v>4752.735</v>
      </c>
      <c r="V97" t="n">
        <v>4799.626</v>
      </c>
      <c r="W97" t="n">
        <v>4845.589</v>
      </c>
      <c r="X97" t="n">
        <v>4890.642</v>
      </c>
      <c r="Y97" t="n">
        <v>4835.395</v>
      </c>
      <c r="Z97" t="n">
        <v>4978.861</v>
      </c>
      <c r="AA97" t="n">
        <v>5021.927</v>
      </c>
      <c r="AB97" t="n">
        <v>5063.848</v>
      </c>
      <c r="AC97" t="n">
        <v>5194.629</v>
      </c>
      <c r="AD97" t="n">
        <v>5131.286</v>
      </c>
      <c r="AE97" t="n">
        <v>5313.274</v>
      </c>
      <c r="AF97" t="n">
        <v>5336.91</v>
      </c>
      <c r="AG97" t="n">
        <v>5388.383</v>
      </c>
      <c r="AH97" t="n">
        <v>5396.127</v>
      </c>
      <c r="AI97" t="n">
        <v>5408.116</v>
      </c>
      <c r="AJ97" t="n">
        <v>5412.381</v>
      </c>
      <c r="AK97" t="n">
        <v>5443.799</v>
      </c>
      <c r="AL97" t="n">
        <v>5440.583</v>
      </c>
      <c r="AM97" t="n">
        <v>5435.033</v>
      </c>
      <c r="AN97" t="n">
        <v>5585.517</v>
      </c>
      <c r="AO97" t="n">
        <v>5574.415</v>
      </c>
      <c r="AP97" t="n">
        <v>5718.603</v>
      </c>
      <c r="AQ97" t="n">
        <v>5937.388</v>
      </c>
      <c r="AR97" t="n">
        <v>5999.509</v>
      </c>
      <c r="AS97" t="n">
        <v>6274.642</v>
      </c>
      <c r="AT97" t="n">
        <v>6460.222</v>
      </c>
      <c r="AU97" t="n">
        <v>6504.885</v>
      </c>
      <c r="AV97" t="n">
        <v>6545.334</v>
      </c>
      <c r="AW97" t="n">
        <v>6581.569</v>
      </c>
      <c r="AX97" t="n">
        <v>6613.59</v>
      </c>
      <c r="AY97" t="n">
        <v>6641.397</v>
      </c>
      <c r="AZ97" t="n">
        <v>6664.99</v>
      </c>
      <c r="BA97" t="n">
        <v>6684.369</v>
      </c>
      <c r="BB97" t="n">
        <v>6699.534</v>
      </c>
      <c r="BC97" t="n">
        <v>6710.48</v>
      </c>
      <c r="BD97" t="n">
        <v>6762.901</v>
      </c>
      <c r="BE97" t="n">
        <v>6809.001</v>
      </c>
      <c r="BF97" t="n">
        <v>6848.759</v>
      </c>
      <c r="BG97" t="n">
        <v>6882.175</v>
      </c>
      <c r="BH97" t="n">
        <v>6909.248</v>
      </c>
      <c r="BI97" t="n">
        <v>6929.979</v>
      </c>
      <c r="BJ97" t="n">
        <v>6944.368</v>
      </c>
      <c r="BK97" t="n">
        <v>6952.414</v>
      </c>
      <c r="BL97" t="n">
        <v>7096.891</v>
      </c>
      <c r="BM97" t="n">
        <v>7241.39</v>
      </c>
      <c r="BN97" t="n">
        <v>6479.004</v>
      </c>
      <c r="BO97" t="n">
        <v>6476.047</v>
      </c>
      <c r="BP97" t="n">
        <v>6569.075</v>
      </c>
      <c r="BQ97" t="n">
        <v>6769.432</v>
      </c>
      <c r="BR97" t="n">
        <v>6869.122</v>
      </c>
      <c r="BS97" t="n">
        <v>6998.957</v>
      </c>
      <c r="BT97" t="n">
        <v>6896.654</v>
      </c>
      <c r="BU97" t="n">
        <v>6922.623</v>
      </c>
      <c r="BV97" t="n">
        <v>6971.046</v>
      </c>
    </row>
    <row r="98">
      <c r="A98" t="inlineStr">
        <is>
          <t>Cynoglossus</t>
        </is>
      </c>
      <c r="B98" t="inlineStr">
        <is>
          <t>Tonguesoles</t>
        </is>
      </c>
      <c r="C98" t="inlineStr">
        <is>
          <t>Small to medium flatfishes (&lt;90 cm)</t>
        </is>
      </c>
      <c r="D98" t="inlineStr">
        <is>
          <t>Flatfishes</t>
        </is>
      </c>
      <c r="E98" t="n">
        <v>223.675</v>
      </c>
      <c r="F98" t="n">
        <v>223.675</v>
      </c>
      <c r="G98" t="n">
        <v>299.227</v>
      </c>
      <c r="H98" t="n">
        <v>261.451</v>
      </c>
      <c r="I98" t="n">
        <v>223.675</v>
      </c>
      <c r="J98" t="n">
        <v>223.675</v>
      </c>
      <c r="K98" t="n">
        <v>223.675</v>
      </c>
      <c r="L98" t="n">
        <v>216.716</v>
      </c>
      <c r="M98" t="n">
        <v>231.628</v>
      </c>
      <c r="N98" t="n">
        <v>223.675</v>
      </c>
      <c r="O98" t="n">
        <v>298.233</v>
      </c>
      <c r="P98" t="n">
        <v>383.726</v>
      </c>
      <c r="Q98" t="n">
        <v>389.691</v>
      </c>
      <c r="R98" t="n">
        <v>670.03</v>
      </c>
      <c r="S98" t="n">
        <v>1443.278</v>
      </c>
      <c r="T98" t="n">
        <v>1588.751</v>
      </c>
      <c r="U98" t="n">
        <v>1818.624</v>
      </c>
      <c r="V98" t="n">
        <v>1885.068</v>
      </c>
      <c r="W98" t="n">
        <v>1883.133</v>
      </c>
      <c r="X98" t="n">
        <v>1646.27</v>
      </c>
      <c r="Y98" t="n">
        <v>1732.396</v>
      </c>
      <c r="Z98" t="n">
        <v>3417.948</v>
      </c>
      <c r="AA98" t="n">
        <v>4052.837</v>
      </c>
      <c r="AB98" t="n">
        <v>4898.867</v>
      </c>
      <c r="AC98" t="n">
        <v>5856.314</v>
      </c>
      <c r="AD98" t="n">
        <v>6053.046</v>
      </c>
      <c r="AE98" t="n">
        <v>11067.685</v>
      </c>
      <c r="AF98" t="n">
        <v>9755.537</v>
      </c>
      <c r="AG98" t="n">
        <v>11500.186</v>
      </c>
      <c r="AH98" t="n">
        <v>12110.587</v>
      </c>
      <c r="AI98" t="n">
        <v>12710.128</v>
      </c>
      <c r="AJ98" t="n">
        <v>12431.685</v>
      </c>
      <c r="AK98" t="n">
        <v>12707.941</v>
      </c>
      <c r="AL98" t="n">
        <v>12026.318</v>
      </c>
      <c r="AM98" t="n">
        <v>11944.106</v>
      </c>
      <c r="AN98" t="n">
        <v>9406.038</v>
      </c>
      <c r="AO98" t="n">
        <v>9119.277</v>
      </c>
      <c r="AP98" t="n">
        <v>9488.087</v>
      </c>
      <c r="AQ98" t="n">
        <v>8144.348</v>
      </c>
      <c r="AR98" t="n">
        <v>8636.352999999999</v>
      </c>
      <c r="AS98" t="n">
        <v>7144.113</v>
      </c>
      <c r="AT98" t="n">
        <v>6353.762</v>
      </c>
      <c r="AU98" t="n">
        <v>7114.425</v>
      </c>
      <c r="AV98" t="n">
        <v>6550.979</v>
      </c>
      <c r="AW98" t="n">
        <v>6363.252</v>
      </c>
      <c r="AX98" t="n">
        <v>7541.135</v>
      </c>
      <c r="AY98" t="n">
        <v>7169.411</v>
      </c>
      <c r="AZ98" t="n">
        <v>7144.646</v>
      </c>
      <c r="BA98" t="n">
        <v>7349.593</v>
      </c>
      <c r="BB98" t="n">
        <v>7045.834</v>
      </c>
      <c r="BC98" t="n">
        <v>7200.86</v>
      </c>
      <c r="BD98" t="n">
        <v>6647.441</v>
      </c>
      <c r="BE98" t="n">
        <v>6758.387</v>
      </c>
      <c r="BF98" t="n">
        <v>7478.076</v>
      </c>
      <c r="BG98" t="n">
        <v>7868.701</v>
      </c>
      <c r="BH98" t="n">
        <v>7584.979</v>
      </c>
      <c r="BI98" t="n">
        <v>8336.959999999999</v>
      </c>
      <c r="BJ98" t="n">
        <v>9268.547</v>
      </c>
      <c r="BK98" t="n">
        <v>9199.620000000001</v>
      </c>
      <c r="BL98" t="n">
        <v>5896.678</v>
      </c>
      <c r="BM98" t="n">
        <v>5981.949</v>
      </c>
      <c r="BN98" t="n">
        <v>5582.275</v>
      </c>
      <c r="BO98" t="n">
        <v>5660.294</v>
      </c>
      <c r="BP98" t="n">
        <v>5531.184</v>
      </c>
      <c r="BQ98" t="n">
        <v>5879.483</v>
      </c>
      <c r="BR98" t="n">
        <v>5961.2</v>
      </c>
      <c r="BS98" t="n">
        <v>6403.809</v>
      </c>
      <c r="BT98" t="n">
        <v>5921.922</v>
      </c>
      <c r="BU98" t="n">
        <v>5439.951</v>
      </c>
      <c r="BV98" t="n">
        <v>5675.684</v>
      </c>
    </row>
    <row r="99">
      <c r="A99" t="inlineStr">
        <is>
          <t>Chirocentrus dorab</t>
        </is>
      </c>
      <c r="B99" t="inlineStr">
        <is>
          <t>Dorab wolf-herring</t>
        </is>
      </c>
      <c r="C99" t="inlineStr">
        <is>
          <t>Large benthopelagics (&gt;=90 cm)</t>
        </is>
      </c>
      <c r="D99" t="inlineStr">
        <is>
          <t>Herring-likes</t>
        </is>
      </c>
      <c r="E99" t="n">
        <v>582.785</v>
      </c>
      <c r="F99" t="n">
        <v>672.369</v>
      </c>
      <c r="G99" t="n">
        <v>761.953</v>
      </c>
      <c r="H99" t="n">
        <v>784.378</v>
      </c>
      <c r="I99" t="n">
        <v>840.443</v>
      </c>
      <c r="J99" t="n">
        <v>862.865</v>
      </c>
      <c r="K99" t="n">
        <v>874.0650000000001</v>
      </c>
      <c r="L99" t="n">
        <v>851.675</v>
      </c>
      <c r="M99" t="n">
        <v>874.0890000000001</v>
      </c>
      <c r="N99" t="n">
        <v>840.511</v>
      </c>
      <c r="O99" t="n">
        <v>851.741</v>
      </c>
      <c r="P99" t="n">
        <v>1217.964</v>
      </c>
      <c r="Q99" t="n">
        <v>1421.106</v>
      </c>
      <c r="R99" t="n">
        <v>1648.98</v>
      </c>
      <c r="S99" t="n">
        <v>1915.769</v>
      </c>
      <c r="T99" t="n">
        <v>2366.382</v>
      </c>
      <c r="U99" t="n">
        <v>2794.522</v>
      </c>
      <c r="V99" t="n">
        <v>2743.33</v>
      </c>
      <c r="W99" t="n">
        <v>2979.716</v>
      </c>
      <c r="X99" t="n">
        <v>3311.603</v>
      </c>
      <c r="Y99" t="n">
        <v>3750.263</v>
      </c>
      <c r="Z99" t="n">
        <v>3895.099</v>
      </c>
      <c r="AA99" t="n">
        <v>3661.512</v>
      </c>
      <c r="AB99" t="n">
        <v>3782.918</v>
      </c>
      <c r="AC99" t="n">
        <v>3956.13</v>
      </c>
      <c r="AD99" t="n">
        <v>3841.368</v>
      </c>
      <c r="AE99" t="n">
        <v>3445.993</v>
      </c>
      <c r="AF99" t="n">
        <v>4666.726</v>
      </c>
      <c r="AG99" t="n">
        <v>4278.552</v>
      </c>
      <c r="AH99" t="n">
        <v>4884.424</v>
      </c>
      <c r="AI99" t="n">
        <v>4171.781</v>
      </c>
      <c r="AJ99" t="n">
        <v>4079.497</v>
      </c>
      <c r="AK99" t="n">
        <v>3251.178</v>
      </c>
      <c r="AL99" t="n">
        <v>4170.614</v>
      </c>
      <c r="AM99" t="n">
        <v>3743.482</v>
      </c>
      <c r="AN99" t="n">
        <v>4604.895</v>
      </c>
      <c r="AO99" t="n">
        <v>4562.067</v>
      </c>
      <c r="AP99" t="n">
        <v>5027.138</v>
      </c>
      <c r="AQ99" t="n">
        <v>5378.142</v>
      </c>
      <c r="AR99" t="n">
        <v>6147.998</v>
      </c>
      <c r="AS99" t="n">
        <v>7554.741</v>
      </c>
      <c r="AT99" t="n">
        <v>9004.139999999999</v>
      </c>
      <c r="AU99" t="n">
        <v>7723.605</v>
      </c>
      <c r="AV99" t="n">
        <v>9071.953</v>
      </c>
      <c r="AW99" t="n">
        <v>10249.979</v>
      </c>
      <c r="AX99" t="n">
        <v>14043.282</v>
      </c>
      <c r="AY99" t="n">
        <v>15046.696</v>
      </c>
      <c r="AZ99" t="n">
        <v>15048.426</v>
      </c>
      <c r="BA99" t="n">
        <v>15643.894</v>
      </c>
      <c r="BB99" t="n">
        <v>16541.897</v>
      </c>
      <c r="BC99" t="n">
        <v>14236.703</v>
      </c>
      <c r="BD99" t="n">
        <v>13695.694</v>
      </c>
      <c r="BE99" t="n">
        <v>14997.986</v>
      </c>
      <c r="BF99" t="n">
        <v>14322.27</v>
      </c>
      <c r="BG99" t="n">
        <v>12698.145</v>
      </c>
      <c r="BH99" t="n">
        <v>10136.803</v>
      </c>
      <c r="BI99" t="n">
        <v>10123.786</v>
      </c>
      <c r="BJ99" t="n">
        <v>10419.547</v>
      </c>
      <c r="BK99" t="n">
        <v>6805.287</v>
      </c>
      <c r="BL99" t="n">
        <v>5822.502</v>
      </c>
      <c r="BM99" t="n">
        <v>5261.844</v>
      </c>
      <c r="BN99" t="n">
        <v>4925.76</v>
      </c>
      <c r="BO99" t="n">
        <v>5248.113</v>
      </c>
      <c r="BP99" t="n">
        <v>3455.483</v>
      </c>
      <c r="BQ99" t="n">
        <v>3454.938</v>
      </c>
      <c r="BR99" t="n">
        <v>4048.312</v>
      </c>
      <c r="BS99" t="n">
        <v>4555.635</v>
      </c>
      <c r="BT99" t="n">
        <v>5342.85</v>
      </c>
      <c r="BU99" t="n">
        <v>4947.625</v>
      </c>
      <c r="BV99" t="n">
        <v>4882.938</v>
      </c>
    </row>
    <row r="100">
      <c r="A100" t="inlineStr">
        <is>
          <t>Amblygaster sirm</t>
        </is>
      </c>
      <c r="B100" t="inlineStr">
        <is>
          <t>Spotted sardinella</t>
        </is>
      </c>
      <c r="C100" t="inlineStr">
        <is>
          <t>Small pelagics (&lt;30 cm)</t>
        </is>
      </c>
      <c r="D100" t="inlineStr">
        <is>
          <t>Herring-likes</t>
        </is>
      </c>
      <c r="E100" t="n">
        <v>6259.825</v>
      </c>
      <c r="F100" t="n">
        <v>6304.929</v>
      </c>
      <c r="G100" t="n">
        <v>6344.185</v>
      </c>
      <c r="H100" t="n">
        <v>6391.47</v>
      </c>
      <c r="I100" t="n">
        <v>6442.962</v>
      </c>
      <c r="J100" t="n">
        <v>6467.64</v>
      </c>
      <c r="K100" t="n">
        <v>6488.503</v>
      </c>
      <c r="L100" t="n">
        <v>6524.637</v>
      </c>
      <c r="M100" t="n">
        <v>6544.738</v>
      </c>
      <c r="N100" t="n">
        <v>6567.805</v>
      </c>
      <c r="O100" t="n">
        <v>6474.233</v>
      </c>
      <c r="P100" t="n">
        <v>6494.791</v>
      </c>
      <c r="Q100" t="n">
        <v>6506.987</v>
      </c>
      <c r="R100" t="n">
        <v>6512.386</v>
      </c>
      <c r="S100" t="n">
        <v>6513.104</v>
      </c>
      <c r="T100" t="n">
        <v>6510.339</v>
      </c>
      <c r="U100" t="n">
        <v>6504.211</v>
      </c>
      <c r="V100" t="n">
        <v>6493.549</v>
      </c>
      <c r="W100" t="n">
        <v>6476.681</v>
      </c>
      <c r="X100" t="n">
        <v>6451.512</v>
      </c>
      <c r="Y100" t="n">
        <v>6416.631</v>
      </c>
      <c r="Z100" t="n">
        <v>6371.514</v>
      </c>
      <c r="AA100" t="n">
        <v>6316.511</v>
      </c>
      <c r="AB100" t="n">
        <v>6252.177</v>
      </c>
      <c r="AC100" t="n">
        <v>6179.336</v>
      </c>
      <c r="AD100" t="n">
        <v>6098.43</v>
      </c>
      <c r="AE100" t="n">
        <v>6009.771</v>
      </c>
      <c r="AF100" t="n">
        <v>5912.888</v>
      </c>
      <c r="AG100" t="n">
        <v>5806.625</v>
      </c>
      <c r="AH100" t="n">
        <v>5689.61</v>
      </c>
      <c r="AI100" t="n">
        <v>5561.229</v>
      </c>
      <c r="AJ100" t="n">
        <v>5489.651</v>
      </c>
      <c r="AK100" t="n">
        <v>5383.65</v>
      </c>
      <c r="AL100" t="n">
        <v>5270.332</v>
      </c>
      <c r="AM100" t="n">
        <v>5151.998</v>
      </c>
      <c r="AN100" t="n">
        <v>5030.045</v>
      </c>
      <c r="AO100" t="n">
        <v>4904.546</v>
      </c>
      <c r="AP100" t="n">
        <v>4976.245</v>
      </c>
      <c r="AQ100" t="n">
        <v>5048.472</v>
      </c>
      <c r="AR100" t="n">
        <v>5120.186</v>
      </c>
      <c r="AS100" t="n">
        <v>5190.505</v>
      </c>
      <c r="AT100" t="n">
        <v>5259.339</v>
      </c>
      <c r="AU100" t="n">
        <v>5326.587</v>
      </c>
      <c r="AV100" t="n">
        <v>5391.33</v>
      </c>
      <c r="AW100" t="n">
        <v>5452.453</v>
      </c>
      <c r="AX100" t="n">
        <v>5509.161</v>
      </c>
      <c r="AY100" t="n">
        <v>5561.203</v>
      </c>
      <c r="AZ100" t="n">
        <v>5608.784</v>
      </c>
      <c r="BA100" t="n">
        <v>5652.187</v>
      </c>
      <c r="BB100" t="n">
        <v>5691.914</v>
      </c>
      <c r="BC100" t="n">
        <v>5728.482</v>
      </c>
      <c r="BD100" t="n">
        <v>5759.266</v>
      </c>
      <c r="BE100" t="n">
        <v>5802.582</v>
      </c>
      <c r="BF100" t="n">
        <v>5885.257</v>
      </c>
      <c r="BG100" t="n">
        <v>5979.443</v>
      </c>
      <c r="BH100" t="n">
        <v>3194.694</v>
      </c>
      <c r="BI100" t="n">
        <v>6120.9</v>
      </c>
      <c r="BJ100" t="n">
        <v>6165.736</v>
      </c>
      <c r="BK100" t="n">
        <v>6211.892</v>
      </c>
      <c r="BL100" t="n">
        <v>5745.342</v>
      </c>
      <c r="BM100" t="n">
        <v>4911.15</v>
      </c>
      <c r="BN100" t="n">
        <v>5518.003</v>
      </c>
      <c r="BO100" t="n">
        <v>3528.48</v>
      </c>
      <c r="BP100" t="n">
        <v>3461.987</v>
      </c>
      <c r="BQ100" t="n">
        <v>2794.304</v>
      </c>
      <c r="BR100" t="n">
        <v>4109.09</v>
      </c>
      <c r="BS100" t="n">
        <v>4011.463</v>
      </c>
      <c r="BT100" t="n">
        <v>3336.588</v>
      </c>
      <c r="BU100" t="n">
        <v>3512.197</v>
      </c>
      <c r="BV100" t="n">
        <v>3512.197</v>
      </c>
    </row>
    <row r="101">
      <c r="A101" t="inlineStr">
        <is>
          <t>Sardinella gibbosa</t>
        </is>
      </c>
      <c r="B101" t="inlineStr">
        <is>
          <t>Goldstripe sardinella</t>
        </is>
      </c>
      <c r="C101" t="inlineStr">
        <is>
          <t>Small pelagics (&lt;30 cm)</t>
        </is>
      </c>
      <c r="D101" t="inlineStr">
        <is>
          <t>Herring-likes</t>
        </is>
      </c>
      <c r="E101" t="n">
        <v>6258.262</v>
      </c>
      <c r="F101" t="n">
        <v>6303.355</v>
      </c>
      <c r="G101" t="n">
        <v>6342.601</v>
      </c>
      <c r="H101" t="n">
        <v>6389.874</v>
      </c>
      <c r="I101" t="n">
        <v>6441.353</v>
      </c>
      <c r="J101" t="n">
        <v>6466.025</v>
      </c>
      <c r="K101" t="n">
        <v>6486.882</v>
      </c>
      <c r="L101" t="n">
        <v>6523.008</v>
      </c>
      <c r="M101" t="n">
        <v>6543.104</v>
      </c>
      <c r="N101" t="n">
        <v>6566.164</v>
      </c>
      <c r="O101" t="n">
        <v>6472.617</v>
      </c>
      <c r="P101" t="n">
        <v>6493.169</v>
      </c>
      <c r="Q101" t="n">
        <v>6505.362</v>
      </c>
      <c r="R101" t="n">
        <v>6510.76</v>
      </c>
      <c r="S101" t="n">
        <v>6511.477</v>
      </c>
      <c r="T101" t="n">
        <v>6508.713</v>
      </c>
      <c r="U101" t="n">
        <v>6502.586</v>
      </c>
      <c r="V101" t="n">
        <v>6491.927</v>
      </c>
      <c r="W101" t="n">
        <v>6475.064</v>
      </c>
      <c r="X101" t="n">
        <v>6449.901</v>
      </c>
      <c r="Y101" t="n">
        <v>6415.028</v>
      </c>
      <c r="Z101" t="n">
        <v>6369.923</v>
      </c>
      <c r="AA101" t="n">
        <v>6314.934</v>
      </c>
      <c r="AB101" t="n">
        <v>6250.616</v>
      </c>
      <c r="AC101" t="n">
        <v>6177.793</v>
      </c>
      <c r="AD101" t="n">
        <v>6096.907</v>
      </c>
      <c r="AE101" t="n">
        <v>6008.271</v>
      </c>
      <c r="AF101" t="n">
        <v>5911.412</v>
      </c>
      <c r="AG101" t="n">
        <v>5805.175</v>
      </c>
      <c r="AH101" t="n">
        <v>5688.189</v>
      </c>
      <c r="AI101" t="n">
        <v>5559.84</v>
      </c>
      <c r="AJ101" t="n">
        <v>5488.28</v>
      </c>
      <c r="AK101" t="n">
        <v>5382.306</v>
      </c>
      <c r="AL101" t="n">
        <v>5269.016</v>
      </c>
      <c r="AM101" t="n">
        <v>5150.711</v>
      </c>
      <c r="AN101" t="n">
        <v>5028.789</v>
      </c>
      <c r="AO101" t="n">
        <v>4903.321</v>
      </c>
      <c r="AP101" t="n">
        <v>4975.002</v>
      </c>
      <c r="AQ101" t="n">
        <v>5047.211</v>
      </c>
      <c r="AR101" t="n">
        <v>5118.907</v>
      </c>
      <c r="AS101" t="n">
        <v>5189.209</v>
      </c>
      <c r="AT101" t="n">
        <v>5258.025</v>
      </c>
      <c r="AU101" t="n">
        <v>5325.257</v>
      </c>
      <c r="AV101" t="n">
        <v>5389.984</v>
      </c>
      <c r="AW101" t="n">
        <v>5451.091</v>
      </c>
      <c r="AX101" t="n">
        <v>5507.785</v>
      </c>
      <c r="AY101" t="n">
        <v>5559.814</v>
      </c>
      <c r="AZ101" t="n">
        <v>5607.384</v>
      </c>
      <c r="BA101" t="n">
        <v>5650.775</v>
      </c>
      <c r="BB101" t="n">
        <v>5690.493</v>
      </c>
      <c r="BC101" t="n">
        <v>5727.052</v>
      </c>
      <c r="BD101" t="n">
        <v>5757.828</v>
      </c>
      <c r="BE101" t="n">
        <v>5801.133</v>
      </c>
      <c r="BF101" t="n">
        <v>5883.788</v>
      </c>
      <c r="BG101" t="n">
        <v>5977.949</v>
      </c>
      <c r="BH101" t="n">
        <v>3193.896</v>
      </c>
      <c r="BI101" t="n">
        <v>6119.371</v>
      </c>
      <c r="BJ101" t="n">
        <v>6164.196</v>
      </c>
      <c r="BK101" t="n">
        <v>6210.341</v>
      </c>
      <c r="BL101" t="n">
        <v>5743.907</v>
      </c>
      <c r="BM101" t="n">
        <v>4909.923</v>
      </c>
      <c r="BN101" t="n">
        <v>5516.625</v>
      </c>
      <c r="BO101" t="n">
        <v>3527.599</v>
      </c>
      <c r="BP101" t="n">
        <v>3461.122</v>
      </c>
      <c r="BQ101" t="n">
        <v>2793.606</v>
      </c>
      <c r="BR101" t="n">
        <v>4108.064</v>
      </c>
      <c r="BS101" t="n">
        <v>4010.461</v>
      </c>
      <c r="BT101" t="n">
        <v>3335.754</v>
      </c>
      <c r="BU101" t="n">
        <v>3511.32</v>
      </c>
      <c r="BV101" t="n">
        <v>3511.32</v>
      </c>
    </row>
    <row r="102">
      <c r="A102" t="inlineStr">
        <is>
          <t>Netuma thalassina</t>
        </is>
      </c>
      <c r="B102" t="inlineStr">
        <is>
          <t>Giant catfish</t>
        </is>
      </c>
      <c r="C102" t="inlineStr">
        <is>
          <t>Large demersals (&gt;=90 cm)</t>
        </is>
      </c>
      <c r="D102" t="inlineStr">
        <is>
          <t>Other fishes &amp; inverts</t>
        </is>
      </c>
      <c r="E102" t="n">
        <v>404.155</v>
      </c>
      <c r="F102" t="n">
        <v>458.771</v>
      </c>
      <c r="G102" t="n">
        <v>513.386</v>
      </c>
      <c r="H102" t="n">
        <v>535.2329999999999</v>
      </c>
      <c r="I102" t="n">
        <v>557.079</v>
      </c>
      <c r="J102" t="n">
        <v>578.925</v>
      </c>
      <c r="K102" t="n">
        <v>589.848</v>
      </c>
      <c r="L102" t="n">
        <v>568.002</v>
      </c>
      <c r="M102" t="n">
        <v>600.771</v>
      </c>
      <c r="N102" t="n">
        <v>557.079</v>
      </c>
      <c r="O102" t="n">
        <v>578.925</v>
      </c>
      <c r="P102" t="n">
        <v>768.78</v>
      </c>
      <c r="Q102" t="n">
        <v>875.1799999999999</v>
      </c>
      <c r="R102" t="n">
        <v>1004.433</v>
      </c>
      <c r="S102" t="n">
        <v>1157.994</v>
      </c>
      <c r="T102" t="n">
        <v>1413.413</v>
      </c>
      <c r="U102" t="n">
        <v>1752.67</v>
      </c>
      <c r="V102" t="n">
        <v>1813.866</v>
      </c>
      <c r="W102" t="n">
        <v>2042.886</v>
      </c>
      <c r="X102" t="n">
        <v>2346.007</v>
      </c>
      <c r="Y102" t="n">
        <v>2804.225</v>
      </c>
      <c r="Z102" t="n">
        <v>2973.994</v>
      </c>
      <c r="AA102" t="n">
        <v>2871.441</v>
      </c>
      <c r="AB102" t="n">
        <v>2830.387</v>
      </c>
      <c r="AC102" t="n">
        <v>2908.224</v>
      </c>
      <c r="AD102" t="n">
        <v>3443.643</v>
      </c>
      <c r="AE102" t="n">
        <v>3990.877</v>
      </c>
      <c r="AF102" t="n">
        <v>4202.468</v>
      </c>
      <c r="AG102" t="n">
        <v>3881.477</v>
      </c>
      <c r="AH102" t="n">
        <v>4327.424</v>
      </c>
      <c r="AI102" t="n">
        <v>4102.95</v>
      </c>
      <c r="AJ102" t="n">
        <v>4479.203</v>
      </c>
      <c r="AK102" t="n">
        <v>4862.98</v>
      </c>
      <c r="AL102" t="n">
        <v>5189.642</v>
      </c>
      <c r="AM102" t="n">
        <v>5202.465</v>
      </c>
      <c r="AN102" t="n">
        <v>5421.183</v>
      </c>
      <c r="AO102" t="n">
        <v>5916.088</v>
      </c>
      <c r="AP102" t="n">
        <v>6092.308</v>
      </c>
      <c r="AQ102" t="n">
        <v>6614.965</v>
      </c>
      <c r="AR102" t="n">
        <v>6952.738</v>
      </c>
      <c r="AS102" t="n">
        <v>6674.669</v>
      </c>
      <c r="AT102" t="n">
        <v>6750.424</v>
      </c>
      <c r="AU102" t="n">
        <v>7069.266</v>
      </c>
      <c r="AV102" t="n">
        <v>7959.685</v>
      </c>
      <c r="AW102" t="n">
        <v>8419.734</v>
      </c>
      <c r="AX102" t="n">
        <v>8474.608</v>
      </c>
      <c r="AY102" t="n">
        <v>8327.826999999999</v>
      </c>
      <c r="AZ102" t="n">
        <v>8668.575999999999</v>
      </c>
      <c r="BA102" t="n">
        <v>7297.7</v>
      </c>
      <c r="BB102" t="n">
        <v>7473.084</v>
      </c>
      <c r="BC102" t="n">
        <v>7262.846</v>
      </c>
      <c r="BD102" t="n">
        <v>7750.56</v>
      </c>
      <c r="BE102" t="n">
        <v>6736.618</v>
      </c>
      <c r="BF102" t="n">
        <v>6239.873</v>
      </c>
      <c r="BG102" t="n">
        <v>6260.267</v>
      </c>
      <c r="BH102" t="n">
        <v>5784.973</v>
      </c>
      <c r="BI102" t="n">
        <v>6212.18</v>
      </c>
      <c r="BJ102" t="n">
        <v>7575.438</v>
      </c>
      <c r="BK102" t="n">
        <v>8858.181</v>
      </c>
      <c r="BL102" t="n">
        <v>7289.768</v>
      </c>
      <c r="BM102" t="n">
        <v>6727.297</v>
      </c>
      <c r="BN102" t="n">
        <v>7414.153</v>
      </c>
      <c r="BO102" t="n">
        <v>7582.588</v>
      </c>
      <c r="BP102" t="n">
        <v>7545.901</v>
      </c>
      <c r="BQ102" t="n">
        <v>7901.152</v>
      </c>
      <c r="BR102" t="n">
        <v>9263.103999999999</v>
      </c>
      <c r="BS102" t="n">
        <v>8962.834000000001</v>
      </c>
      <c r="BT102" t="n">
        <v>11124.516</v>
      </c>
      <c r="BU102" t="n">
        <v>9142.386</v>
      </c>
      <c r="BV102" t="n">
        <v>10048.187</v>
      </c>
    </row>
    <row r="103">
      <c r="A103" t="inlineStr">
        <is>
          <t>Lates calcarifer</t>
        </is>
      </c>
      <c r="B103" t="inlineStr">
        <is>
          <t>Barramundi</t>
        </is>
      </c>
      <c r="C103" t="inlineStr">
        <is>
          <t>Large demersals (&gt;=90 cm)</t>
        </is>
      </c>
      <c r="D103" t="inlineStr">
        <is>
          <t>Perch-likes</t>
        </is>
      </c>
      <c r="E103" t="n">
        <v>823.324</v>
      </c>
      <c r="F103" t="n">
        <v>867.961</v>
      </c>
      <c r="G103" t="n">
        <v>1009.568</v>
      </c>
      <c r="H103" t="n">
        <v>1035.915</v>
      </c>
      <c r="I103" t="n">
        <v>1075.563</v>
      </c>
      <c r="J103" t="n">
        <v>1100.696</v>
      </c>
      <c r="K103" t="n">
        <v>1111.06</v>
      </c>
      <c r="L103" t="n">
        <v>1093.018</v>
      </c>
      <c r="M103" t="n">
        <v>1077.807</v>
      </c>
      <c r="N103" t="n">
        <v>1050.29</v>
      </c>
      <c r="O103" t="n">
        <v>1043.284</v>
      </c>
      <c r="P103" t="n">
        <v>1563.615</v>
      </c>
      <c r="Q103" t="n">
        <v>1672.376</v>
      </c>
      <c r="R103" t="n">
        <v>1775.329</v>
      </c>
      <c r="S103" t="n">
        <v>1940.499</v>
      </c>
      <c r="T103" t="n">
        <v>2170.165</v>
      </c>
      <c r="U103" t="n">
        <v>2383.835</v>
      </c>
      <c r="V103" t="n">
        <v>2367.962</v>
      </c>
      <c r="W103" t="n">
        <v>2528.041</v>
      </c>
      <c r="X103" t="n">
        <v>2736.649</v>
      </c>
      <c r="Y103" t="n">
        <v>2546.927</v>
      </c>
      <c r="Z103" t="n">
        <v>2656.176</v>
      </c>
      <c r="AA103" t="n">
        <v>2956.086</v>
      </c>
      <c r="AB103" t="n">
        <v>3632.371</v>
      </c>
      <c r="AC103" t="n">
        <v>3723.959</v>
      </c>
      <c r="AD103" t="n">
        <v>4151.012</v>
      </c>
      <c r="AE103" t="n">
        <v>3271.334</v>
      </c>
      <c r="AF103" t="n">
        <v>3652.873</v>
      </c>
      <c r="AG103" t="n">
        <v>3734.575</v>
      </c>
      <c r="AH103" t="n">
        <v>3857.911</v>
      </c>
      <c r="AI103" t="n">
        <v>3937.715</v>
      </c>
      <c r="AJ103" t="n">
        <v>3603.353</v>
      </c>
      <c r="AK103" t="n">
        <v>3310.452</v>
      </c>
      <c r="AL103" t="n">
        <v>3711.897</v>
      </c>
      <c r="AM103" t="n">
        <v>4151.493</v>
      </c>
      <c r="AN103" t="n">
        <v>4086.063</v>
      </c>
      <c r="AO103" t="n">
        <v>4502.131</v>
      </c>
      <c r="AP103" t="n">
        <v>4739.769</v>
      </c>
      <c r="AQ103" t="n">
        <v>4791.559</v>
      </c>
      <c r="AR103" t="n">
        <v>5470.989</v>
      </c>
      <c r="AS103" t="n">
        <v>5480.939</v>
      </c>
      <c r="AT103" t="n">
        <v>4984.63</v>
      </c>
      <c r="AU103" t="n">
        <v>5370.243</v>
      </c>
      <c r="AV103" t="n">
        <v>6595.976</v>
      </c>
      <c r="AW103" t="n">
        <v>9580.085999999999</v>
      </c>
      <c r="AX103" t="n">
        <v>7698.974</v>
      </c>
      <c r="AY103" t="n">
        <v>7976.528</v>
      </c>
      <c r="AZ103" t="n">
        <v>7922.945</v>
      </c>
      <c r="BA103" t="n">
        <v>8952.772000000001</v>
      </c>
      <c r="BB103" t="n">
        <v>8098.618</v>
      </c>
      <c r="BC103" t="n">
        <v>8475.305</v>
      </c>
      <c r="BD103" t="n">
        <v>8292.378000000001</v>
      </c>
      <c r="BE103" t="n">
        <v>8616.161</v>
      </c>
      <c r="BF103" t="n">
        <v>8263.780000000001</v>
      </c>
      <c r="BG103" t="n">
        <v>6940.96</v>
      </c>
      <c r="BH103" t="n">
        <v>5844.267</v>
      </c>
      <c r="BI103" t="n">
        <v>7083.297</v>
      </c>
      <c r="BJ103" t="n">
        <v>8324.923000000001</v>
      </c>
      <c r="BK103" t="n">
        <v>7095.588</v>
      </c>
      <c r="BL103" t="n">
        <v>7707.286</v>
      </c>
      <c r="BM103" t="n">
        <v>7005.736</v>
      </c>
      <c r="BN103" t="n">
        <v>7318.332</v>
      </c>
      <c r="BO103" t="n">
        <v>7440.905</v>
      </c>
      <c r="BP103" t="n">
        <v>7372.181</v>
      </c>
      <c r="BQ103" t="n">
        <v>7574.567</v>
      </c>
      <c r="BR103" t="n">
        <v>8277.221</v>
      </c>
      <c r="BS103" t="n">
        <v>8083.04</v>
      </c>
      <c r="BT103" t="n">
        <v>9158.026</v>
      </c>
      <c r="BU103" t="n">
        <v>8247.450000000001</v>
      </c>
      <c r="BV103" t="n">
        <v>8765.805</v>
      </c>
    </row>
    <row r="104">
      <c r="A104" t="inlineStr">
        <is>
          <t>Carcharhinus</t>
        </is>
      </c>
      <c r="B104" t="inlineStr">
        <is>
          <t>Sharp-nosed sharks</t>
        </is>
      </c>
      <c r="C104" t="inlineStr">
        <is>
          <t>Large sharks (&gt;=90 cm)</t>
        </is>
      </c>
      <c r="D104" t="inlineStr">
        <is>
          <t>Sharks &amp; rays</t>
        </is>
      </c>
      <c r="E104" t="n">
        <v>406.551</v>
      </c>
      <c r="F104" t="n">
        <v>412.098</v>
      </c>
      <c r="G104" t="n">
        <v>412.647</v>
      </c>
      <c r="H104" t="n">
        <v>403.162</v>
      </c>
      <c r="I104" t="n">
        <v>407.18</v>
      </c>
      <c r="J104" t="n">
        <v>438.673</v>
      </c>
      <c r="K104" t="n">
        <v>415.195</v>
      </c>
      <c r="L104" t="n">
        <v>423.681</v>
      </c>
      <c r="M104" t="n">
        <v>472.165</v>
      </c>
      <c r="N104" t="n">
        <v>489.136</v>
      </c>
      <c r="O104" t="n">
        <v>545.616</v>
      </c>
      <c r="P104" t="n">
        <v>600.25</v>
      </c>
      <c r="Q104" t="n">
        <v>787.6180000000001</v>
      </c>
      <c r="R104" t="n">
        <v>965.191</v>
      </c>
      <c r="S104" t="n">
        <v>2007.389</v>
      </c>
      <c r="T104" t="n">
        <v>2364.702</v>
      </c>
      <c r="U104" t="n">
        <v>2711.46</v>
      </c>
      <c r="V104" t="n">
        <v>2857.262</v>
      </c>
      <c r="W104" t="n">
        <v>3079.33</v>
      </c>
      <c r="X104" t="n">
        <v>3036.959</v>
      </c>
      <c r="Y104" t="n">
        <v>3250.476</v>
      </c>
      <c r="Z104" t="n">
        <v>4968.494</v>
      </c>
      <c r="AA104" t="n">
        <v>5738.511</v>
      </c>
      <c r="AB104" t="n">
        <v>6740.264</v>
      </c>
      <c r="AC104" t="n">
        <v>7713.001</v>
      </c>
      <c r="AD104" t="n">
        <v>7394.739</v>
      </c>
      <c r="AE104" t="n">
        <v>7353.047</v>
      </c>
      <c r="AF104" t="n">
        <v>6770.117</v>
      </c>
      <c r="AG104" t="n">
        <v>8008.163</v>
      </c>
      <c r="AH104" t="n">
        <v>8412.856</v>
      </c>
      <c r="AI104" t="n">
        <v>7851.947</v>
      </c>
      <c r="AJ104" t="n">
        <v>7765.475</v>
      </c>
      <c r="AK104" t="n">
        <v>8003.897</v>
      </c>
      <c r="AL104" t="n">
        <v>7457.804</v>
      </c>
      <c r="AM104" t="n">
        <v>7581.803</v>
      </c>
      <c r="AN104" t="n">
        <v>6736.01</v>
      </c>
      <c r="AO104" t="n">
        <v>6412.687</v>
      </c>
      <c r="AP104" t="n">
        <v>6248.603</v>
      </c>
      <c r="AQ104" t="n">
        <v>5889.013</v>
      </c>
      <c r="AR104" t="n">
        <v>6451.006</v>
      </c>
      <c r="AS104" t="n">
        <v>5192.785</v>
      </c>
      <c r="AT104" t="n">
        <v>5305.027</v>
      </c>
      <c r="AU104" t="n">
        <v>5859.93</v>
      </c>
      <c r="AV104" t="n">
        <v>5923.986</v>
      </c>
      <c r="AW104" t="n">
        <v>5982.105</v>
      </c>
      <c r="AX104" t="n">
        <v>5966.113</v>
      </c>
      <c r="AY104" t="n">
        <v>5835.671</v>
      </c>
      <c r="AZ104" t="n">
        <v>5768.683</v>
      </c>
      <c r="BA104" t="n">
        <v>5769.362</v>
      </c>
      <c r="BB104" t="n">
        <v>5407.687</v>
      </c>
      <c r="BC104" t="n">
        <v>6487.659</v>
      </c>
      <c r="BD104" t="n">
        <v>6220.219</v>
      </c>
      <c r="BE104" t="n">
        <v>5941.908</v>
      </c>
      <c r="BF104" t="n">
        <v>6233.118</v>
      </c>
      <c r="BG104" t="n">
        <v>6032.905</v>
      </c>
      <c r="BH104" t="n">
        <v>3468.33</v>
      </c>
      <c r="BI104" t="n">
        <v>3968.378</v>
      </c>
      <c r="BJ104" t="n">
        <v>4611.385</v>
      </c>
      <c r="BK104" t="n">
        <v>4016.809</v>
      </c>
      <c r="BL104" t="n">
        <v>4687.32</v>
      </c>
      <c r="BM104" t="n">
        <v>4502.389</v>
      </c>
      <c r="BN104" t="n">
        <v>4666.679</v>
      </c>
      <c r="BO104" t="n">
        <v>4766.83</v>
      </c>
      <c r="BP104" t="n">
        <v>4671.509</v>
      </c>
      <c r="BQ104" t="n">
        <v>4929.164</v>
      </c>
      <c r="BR104" t="n">
        <v>5468.554</v>
      </c>
      <c r="BS104" t="n">
        <v>5510.116</v>
      </c>
      <c r="BT104" t="n">
        <v>5943.811</v>
      </c>
      <c r="BU104" t="n">
        <v>5108.478</v>
      </c>
      <c r="BV104" t="n">
        <v>5442.326</v>
      </c>
    </row>
    <row r="105">
      <c r="A105" t="inlineStr">
        <is>
          <t>Haemulidae</t>
        </is>
      </c>
      <c r="B105" t="inlineStr">
        <is>
          <t>Grunts, sweetlips, bonnetmouths</t>
        </is>
      </c>
      <c r="C105" t="inlineStr">
        <is>
          <t>Medium demersals (30 - 89 cm)</t>
        </is>
      </c>
      <c r="D105" t="inlineStr">
        <is>
          <t>Perch-likes</t>
        </is>
      </c>
      <c r="E105" t="n">
        <v>2513.602</v>
      </c>
      <c r="F105" t="n">
        <v>2531.525</v>
      </c>
      <c r="G105" t="n">
        <v>2548.431</v>
      </c>
      <c r="H105" t="n">
        <v>2568.545</v>
      </c>
      <c r="I105" t="n">
        <v>2590.341</v>
      </c>
      <c r="J105" t="n">
        <v>2601.419</v>
      </c>
      <c r="K105" t="n">
        <v>2610.973</v>
      </c>
      <c r="L105" t="n">
        <v>2626.631</v>
      </c>
      <c r="M105" t="n">
        <v>2635.88</v>
      </c>
      <c r="N105" t="n">
        <v>2646.315</v>
      </c>
      <c r="O105" t="n">
        <v>2610.131</v>
      </c>
      <c r="P105" t="n">
        <v>2619.563</v>
      </c>
      <c r="Q105" t="n">
        <v>2626.362</v>
      </c>
      <c r="R105" t="n">
        <v>2630.444</v>
      </c>
      <c r="S105" t="n">
        <v>2632.655</v>
      </c>
      <c r="T105" t="n">
        <v>2633.475</v>
      </c>
      <c r="U105" t="n">
        <v>2671.099</v>
      </c>
      <c r="V105" t="n">
        <v>2668.504</v>
      </c>
      <c r="W105" t="n">
        <v>2625.887</v>
      </c>
      <c r="X105" t="n">
        <v>2617.66</v>
      </c>
      <c r="Y105" t="n">
        <v>2623.211</v>
      </c>
      <c r="Z105" t="n">
        <v>2613.119</v>
      </c>
      <c r="AA105" t="n">
        <v>2718.139</v>
      </c>
      <c r="AB105" t="n">
        <v>2953.203</v>
      </c>
      <c r="AC105" t="n">
        <v>3181.999</v>
      </c>
      <c r="AD105" t="n">
        <v>3405.271</v>
      </c>
      <c r="AE105" t="n">
        <v>3633.8</v>
      </c>
      <c r="AF105" t="n">
        <v>3855.885</v>
      </c>
      <c r="AG105" t="n">
        <v>4071.586</v>
      </c>
      <c r="AH105" t="n">
        <v>4284.464</v>
      </c>
      <c r="AI105" t="n">
        <v>4482.248</v>
      </c>
      <c r="AJ105" t="n">
        <v>4689.752</v>
      </c>
      <c r="AK105" t="n">
        <v>4897.946</v>
      </c>
      <c r="AL105" t="n">
        <v>5094.371</v>
      </c>
      <c r="AM105" t="n">
        <v>5292.159</v>
      </c>
      <c r="AN105" t="n">
        <v>5477.425</v>
      </c>
      <c r="AO105" t="n">
        <v>5567.494</v>
      </c>
      <c r="AP105" t="n">
        <v>5727.595</v>
      </c>
      <c r="AQ105" t="n">
        <v>5888.986</v>
      </c>
      <c r="AR105" t="n">
        <v>6058.88</v>
      </c>
      <c r="AS105" t="n">
        <v>6212.693</v>
      </c>
      <c r="AT105" t="n">
        <v>6367.047</v>
      </c>
      <c r="AU105" t="n">
        <v>6533.482</v>
      </c>
      <c r="AV105" t="n">
        <v>6692.151</v>
      </c>
      <c r="AW105" t="n">
        <v>6862.886</v>
      </c>
      <c r="AX105" t="n">
        <v>7029.29</v>
      </c>
      <c r="AY105" t="n">
        <v>7190.184</v>
      </c>
      <c r="AZ105" t="n">
        <v>7093.361</v>
      </c>
      <c r="BA105" t="n">
        <v>6988.498</v>
      </c>
      <c r="BB105" t="n">
        <v>6881.058</v>
      </c>
      <c r="BC105" t="n">
        <v>6787.848</v>
      </c>
      <c r="BD105" t="n">
        <v>6678.45</v>
      </c>
      <c r="BE105" t="n">
        <v>6583.149</v>
      </c>
      <c r="BF105" t="n">
        <v>6506.13</v>
      </c>
      <c r="BG105" t="n">
        <v>6436.648</v>
      </c>
      <c r="BH105" t="n">
        <v>5207.314</v>
      </c>
      <c r="BI105" t="n">
        <v>6272.503</v>
      </c>
      <c r="BJ105" t="n">
        <v>6190.928</v>
      </c>
      <c r="BK105" t="n">
        <v>6095.891</v>
      </c>
      <c r="BL105" t="n">
        <v>5795.557</v>
      </c>
      <c r="BM105" t="n">
        <v>5595.743</v>
      </c>
      <c r="BN105" t="n">
        <v>6300.436</v>
      </c>
      <c r="BO105" t="n">
        <v>6025.317</v>
      </c>
      <c r="BP105" t="n">
        <v>5392.119</v>
      </c>
      <c r="BQ105" t="n">
        <v>4412.952</v>
      </c>
      <c r="BR105" t="n">
        <v>4297.969</v>
      </c>
      <c r="BS105" t="n">
        <v>4369.866</v>
      </c>
      <c r="BT105" t="n">
        <v>4192.709</v>
      </c>
      <c r="BU105" t="n">
        <v>3991.326</v>
      </c>
      <c r="BV105" t="n">
        <v>3916.397</v>
      </c>
    </row>
    <row r="106">
      <c r="A106" t="inlineStr">
        <is>
          <t>Leptomelanosoma indicum</t>
        </is>
      </c>
      <c r="B106" t="inlineStr">
        <is>
          <t>Indian threadfin</t>
        </is>
      </c>
      <c r="C106" t="inlineStr">
        <is>
          <t>Large demersals (&gt;=90 cm)</t>
        </is>
      </c>
      <c r="D106" t="inlineStr">
        <is>
          <t>Perch-likes</t>
        </is>
      </c>
      <c r="E106" t="n">
        <v>4468.552</v>
      </c>
      <c r="F106" t="n">
        <v>4599.98</v>
      </c>
      <c r="G106" t="n">
        <v>4731.408</v>
      </c>
      <c r="H106" t="n">
        <v>4862.836</v>
      </c>
      <c r="I106" t="n">
        <v>4994.264</v>
      </c>
      <c r="J106" t="n">
        <v>5125.692</v>
      </c>
      <c r="K106" t="n">
        <v>5257.12</v>
      </c>
      <c r="L106" t="n">
        <v>5388.548</v>
      </c>
      <c r="M106" t="n">
        <v>5519.976</v>
      </c>
      <c r="N106" t="n">
        <v>5651.404</v>
      </c>
      <c r="O106" t="n">
        <v>5782.832</v>
      </c>
      <c r="P106" t="n">
        <v>5914.26</v>
      </c>
      <c r="Q106" t="n">
        <v>6045.688</v>
      </c>
      <c r="R106" t="n">
        <v>6177.116</v>
      </c>
      <c r="S106" t="n">
        <v>6308.544</v>
      </c>
      <c r="T106" t="n">
        <v>6439.972</v>
      </c>
      <c r="U106" t="n">
        <v>6571.4</v>
      </c>
      <c r="V106" t="n">
        <v>6702.828</v>
      </c>
      <c r="W106" t="n">
        <v>6534.046</v>
      </c>
      <c r="X106" t="n">
        <v>6365.265</v>
      </c>
      <c r="Y106" t="n">
        <v>6196.484</v>
      </c>
      <c r="Z106" t="n">
        <v>6027.702</v>
      </c>
      <c r="AA106" t="n">
        <v>5858.921</v>
      </c>
      <c r="AB106" t="n">
        <v>5690.14</v>
      </c>
      <c r="AC106" t="n">
        <v>4468.15</v>
      </c>
      <c r="AD106" t="n">
        <v>3246.161</v>
      </c>
      <c r="AE106" t="n">
        <v>2024.171</v>
      </c>
      <c r="AF106" t="n">
        <v>3468.264</v>
      </c>
      <c r="AG106" t="n">
        <v>4912.357</v>
      </c>
      <c r="AH106" t="n">
        <v>6356.45</v>
      </c>
      <c r="AI106" t="n">
        <v>1452.823</v>
      </c>
      <c r="AJ106" t="n">
        <v>1441.945</v>
      </c>
      <c r="AK106" t="n">
        <v>1431.068</v>
      </c>
      <c r="AL106" t="n">
        <v>1420.19</v>
      </c>
      <c r="AM106" t="n">
        <v>1409.313</v>
      </c>
      <c r="AN106" t="n">
        <v>1398.435</v>
      </c>
      <c r="AO106" t="n">
        <v>1387.558</v>
      </c>
      <c r="AP106" t="n">
        <v>1376.68</v>
      </c>
      <c r="AQ106" t="n">
        <v>1365.803</v>
      </c>
      <c r="AR106" t="n">
        <v>1354.925</v>
      </c>
      <c r="AS106" t="n">
        <v>1344.047</v>
      </c>
      <c r="AT106" t="n">
        <v>1333.17</v>
      </c>
      <c r="AU106" t="n">
        <v>1322.292</v>
      </c>
      <c r="AV106" t="n">
        <v>1311.415</v>
      </c>
      <c r="AW106" t="n">
        <v>1300.537</v>
      </c>
      <c r="AX106" t="n">
        <v>1289.66</v>
      </c>
      <c r="AY106" t="n">
        <v>1278.782</v>
      </c>
      <c r="AZ106" t="n">
        <v>1267.905</v>
      </c>
      <c r="BA106" t="n">
        <v>1257.027</v>
      </c>
      <c r="BB106" t="n">
        <v>1246.149</v>
      </c>
      <c r="BC106" t="n">
        <v>1235.272</v>
      </c>
      <c r="BD106" t="n">
        <v>1224.394</v>
      </c>
      <c r="BE106" t="n">
        <v>1213.517</v>
      </c>
      <c r="BF106" t="n">
        <v>1202.639</v>
      </c>
      <c r="BG106" t="n">
        <v>1191.762</v>
      </c>
      <c r="BH106" t="n">
        <v>1180.884</v>
      </c>
      <c r="BI106" t="n">
        <v>1170.007</v>
      </c>
      <c r="BJ106" t="n">
        <v>1113.69</v>
      </c>
      <c r="BK106" t="n">
        <v>1195.292</v>
      </c>
      <c r="BL106" t="n">
        <v>8887.683000000001</v>
      </c>
      <c r="BM106" t="n">
        <v>8886.532999999999</v>
      </c>
      <c r="BN106" t="n">
        <v>8801.114</v>
      </c>
      <c r="BO106" t="n">
        <v>8102.072</v>
      </c>
      <c r="BP106" t="n">
        <v>7693.546</v>
      </c>
      <c r="BQ106" t="n">
        <v>8299.531999999999</v>
      </c>
      <c r="BR106" t="n">
        <v>8642.847</v>
      </c>
      <c r="BS106" t="n">
        <v>9295.056</v>
      </c>
      <c r="BT106" t="n">
        <v>7764.08</v>
      </c>
      <c r="BU106" t="n">
        <v>8706.263000000001</v>
      </c>
      <c r="BV106" t="n">
        <v>9030.029</v>
      </c>
    </row>
    <row r="107">
      <c r="A107" t="inlineStr">
        <is>
          <t>Scylla serrata</t>
        </is>
      </c>
      <c r="B107" t="inlineStr">
        <is>
          <t>Indo-Pacific swamp crab</t>
        </is>
      </c>
      <c r="C107" t="inlineStr">
        <is>
          <t>Lobsters, crabs</t>
        </is>
      </c>
      <c r="D107" t="inlineStr">
        <is>
          <t>Crustaceans</t>
        </is>
      </c>
      <c r="E107" t="n">
        <v>2023.163</v>
      </c>
      <c r="F107" t="n">
        <v>2006.014</v>
      </c>
      <c r="G107" t="n">
        <v>2028.088</v>
      </c>
      <c r="H107" t="n">
        <v>2038.794</v>
      </c>
      <c r="I107" t="n">
        <v>2051.317</v>
      </c>
      <c r="J107" t="n">
        <v>2062.883</v>
      </c>
      <c r="K107" t="n">
        <v>2063.862</v>
      </c>
      <c r="L107" t="n">
        <v>2074.83</v>
      </c>
      <c r="M107" t="n">
        <v>2085.508</v>
      </c>
      <c r="N107" t="n">
        <v>2095.822</v>
      </c>
      <c r="O107" t="n">
        <v>2159.665</v>
      </c>
      <c r="P107" t="n">
        <v>2278.933</v>
      </c>
      <c r="Q107" t="n">
        <v>2275.932</v>
      </c>
      <c r="R107" t="n">
        <v>2301.288</v>
      </c>
      <c r="S107" t="n">
        <v>2326.427</v>
      </c>
      <c r="T107" t="n">
        <v>2351.28</v>
      </c>
      <c r="U107" t="n">
        <v>2370.801</v>
      </c>
      <c r="V107" t="n">
        <v>2389.937</v>
      </c>
      <c r="W107" t="n">
        <v>2408.588</v>
      </c>
      <c r="X107" t="n">
        <v>2426.763</v>
      </c>
      <c r="Y107" t="n">
        <v>2392.506</v>
      </c>
      <c r="Z107" t="n">
        <v>2462.127</v>
      </c>
      <c r="AA107" t="n">
        <v>2479.264</v>
      </c>
      <c r="AB107" t="n">
        <v>2495.802</v>
      </c>
      <c r="AC107" t="n">
        <v>2558.792</v>
      </c>
      <c r="AD107" t="n">
        <v>2520.303</v>
      </c>
      <c r="AE107" t="n">
        <v>2634.312</v>
      </c>
      <c r="AF107" t="n">
        <v>3451.91</v>
      </c>
      <c r="AG107" t="n">
        <v>7862.773</v>
      </c>
      <c r="AH107" t="n">
        <v>5203.216</v>
      </c>
      <c r="AI107" t="n">
        <v>6071.21</v>
      </c>
      <c r="AJ107" t="n">
        <v>5392.247</v>
      </c>
      <c r="AK107" t="n">
        <v>5286.57</v>
      </c>
      <c r="AL107" t="n">
        <v>4126.085</v>
      </c>
      <c r="AM107" t="n">
        <v>5012.815</v>
      </c>
      <c r="AN107" t="n">
        <v>4921.194</v>
      </c>
      <c r="AO107" t="n">
        <v>4636.407</v>
      </c>
      <c r="AP107" t="n">
        <v>4888.119</v>
      </c>
      <c r="AQ107" t="n">
        <v>5126.152</v>
      </c>
      <c r="AR107" t="n">
        <v>5158.362</v>
      </c>
      <c r="AS107" t="n">
        <v>4951.31</v>
      </c>
      <c r="AT107" t="n">
        <v>4748.859</v>
      </c>
      <c r="AU107" t="n">
        <v>5346.091</v>
      </c>
      <c r="AV107" t="n">
        <v>4759.83</v>
      </c>
      <c r="AW107" t="n">
        <v>6927.445</v>
      </c>
      <c r="AX107" t="n">
        <v>6676.772</v>
      </c>
      <c r="AY107" t="n">
        <v>5481.946</v>
      </c>
      <c r="AZ107" t="n">
        <v>5345.136</v>
      </c>
      <c r="BA107" t="n">
        <v>4809.708</v>
      </c>
      <c r="BB107" t="n">
        <v>5012.666</v>
      </c>
      <c r="BC107" t="n">
        <v>7048.603</v>
      </c>
      <c r="BD107" t="n">
        <v>5632.205</v>
      </c>
      <c r="BE107" t="n">
        <v>6341.257</v>
      </c>
      <c r="BF107" t="n">
        <v>3449.895</v>
      </c>
      <c r="BG107" t="n">
        <v>3583.122</v>
      </c>
      <c r="BH107" t="n">
        <v>4045.532</v>
      </c>
      <c r="BI107" t="n">
        <v>7007.048</v>
      </c>
      <c r="BJ107" t="n">
        <v>5372.098</v>
      </c>
      <c r="BK107" t="n">
        <v>4448.603</v>
      </c>
      <c r="BL107" t="n">
        <v>6057.797</v>
      </c>
      <c r="BM107" t="n">
        <v>6177.667</v>
      </c>
      <c r="BN107" t="n">
        <v>6523.488</v>
      </c>
      <c r="BO107" t="n">
        <v>5659.288</v>
      </c>
      <c r="BP107" t="n">
        <v>6269.051</v>
      </c>
      <c r="BQ107" t="n">
        <v>6146.635</v>
      </c>
      <c r="BR107" t="n">
        <v>5811.255</v>
      </c>
      <c r="BS107" t="n">
        <v>5527.013</v>
      </c>
      <c r="BT107" t="n">
        <v>5289.287</v>
      </c>
      <c r="BU107" t="n">
        <v>4943.256</v>
      </c>
      <c r="BV107" t="n">
        <v>5253.541</v>
      </c>
    </row>
    <row r="108">
      <c r="A108" t="inlineStr">
        <is>
          <t>Thunnus obesus</t>
        </is>
      </c>
      <c r="B108" t="inlineStr">
        <is>
          <t>Bigeye tuna</t>
        </is>
      </c>
      <c r="C108" t="inlineStr">
        <is>
          <t>Large pelagics (&gt;=90 cm)</t>
        </is>
      </c>
      <c r="D108" t="inlineStr">
        <is>
          <t>Tuna &amp; billfishes</t>
        </is>
      </c>
      <c r="E108" t="n">
        <v>0</v>
      </c>
      <c r="F108" t="n">
        <v>0</v>
      </c>
      <c r="G108" t="n">
        <v>0</v>
      </c>
      <c r="H108" t="n">
        <v>0</v>
      </c>
      <c r="I108" t="n">
        <v>125.233</v>
      </c>
      <c r="J108" t="n">
        <v>807.376</v>
      </c>
      <c r="K108" t="n">
        <v>1103.475</v>
      </c>
      <c r="L108" t="n">
        <v>1121.492</v>
      </c>
      <c r="M108" t="n">
        <v>1786.047</v>
      </c>
      <c r="N108" t="n">
        <v>1934.715</v>
      </c>
      <c r="O108" t="n">
        <v>2063.622</v>
      </c>
      <c r="P108" t="n">
        <v>1801.355</v>
      </c>
      <c r="Q108" t="n">
        <v>2241.12</v>
      </c>
      <c r="R108" t="n">
        <v>1970.609</v>
      </c>
      <c r="S108" t="n">
        <v>3364.157</v>
      </c>
      <c r="T108" t="n">
        <v>2597.176</v>
      </c>
      <c r="U108" t="n">
        <v>5298.562</v>
      </c>
      <c r="V108" t="n">
        <v>3793.335</v>
      </c>
      <c r="W108" t="n">
        <v>8069.608</v>
      </c>
      <c r="X108" t="n">
        <v>7674.934</v>
      </c>
      <c r="Y108" t="n">
        <v>859.078</v>
      </c>
      <c r="Z108" t="n">
        <v>3700.106</v>
      </c>
      <c r="AA108" t="n">
        <v>1034.408</v>
      </c>
      <c r="AB108" t="n">
        <v>632.244</v>
      </c>
      <c r="AC108" t="n">
        <v>747.224</v>
      </c>
      <c r="AD108" t="n">
        <v>937.027</v>
      </c>
      <c r="AE108" t="n">
        <v>652.0700000000001</v>
      </c>
      <c r="AF108" t="n">
        <v>855.097</v>
      </c>
      <c r="AG108" t="n">
        <v>2507.877</v>
      </c>
      <c r="AH108" t="n">
        <v>1282.683</v>
      </c>
      <c r="AI108" t="n">
        <v>1231.004</v>
      </c>
      <c r="AJ108" t="n">
        <v>3365.159</v>
      </c>
      <c r="AK108" t="n">
        <v>4261.23</v>
      </c>
      <c r="AL108" t="n">
        <v>3493.243</v>
      </c>
      <c r="AM108" t="n">
        <v>5452.207</v>
      </c>
      <c r="AN108" t="n">
        <v>7124.295</v>
      </c>
      <c r="AO108" t="n">
        <v>7862.387</v>
      </c>
      <c r="AP108" t="n">
        <v>7180.879</v>
      </c>
      <c r="AQ108" t="n">
        <v>8362.151</v>
      </c>
      <c r="AR108" t="n">
        <v>6191.019</v>
      </c>
      <c r="AS108" t="n">
        <v>3207.702</v>
      </c>
      <c r="AT108" t="n">
        <v>5412.942</v>
      </c>
      <c r="AU108" t="n">
        <v>2206.876</v>
      </c>
      <c r="AV108" t="n">
        <v>8712.725</v>
      </c>
      <c r="AW108" t="n">
        <v>4877.204</v>
      </c>
      <c r="AX108" t="n">
        <v>2478.596</v>
      </c>
      <c r="AY108" t="n">
        <v>2625.347</v>
      </c>
      <c r="AZ108" t="n">
        <v>3407.927</v>
      </c>
      <c r="BA108" t="n">
        <v>5465.021</v>
      </c>
      <c r="BB108" t="n">
        <v>5796.014</v>
      </c>
      <c r="BC108" t="n">
        <v>8513.537</v>
      </c>
      <c r="BD108" t="n">
        <v>5065.917</v>
      </c>
      <c r="BE108" t="n">
        <v>5101.149</v>
      </c>
      <c r="BF108" t="n">
        <v>2594.281</v>
      </c>
      <c r="BG108" t="n">
        <v>5702.387</v>
      </c>
      <c r="BH108" t="n">
        <v>4473.967</v>
      </c>
      <c r="BI108" t="n">
        <v>7009.646</v>
      </c>
      <c r="BJ108" t="n">
        <v>11519.951</v>
      </c>
      <c r="BK108" t="n">
        <v>2823.612</v>
      </c>
      <c r="BL108" t="n">
        <v>3340.798</v>
      </c>
      <c r="BM108" t="n">
        <v>2195.591</v>
      </c>
      <c r="BN108" t="n">
        <v>3166.339</v>
      </c>
      <c r="BO108" t="n">
        <v>7176.272</v>
      </c>
      <c r="BP108" t="n">
        <v>2264.796</v>
      </c>
      <c r="BQ108" t="n">
        <v>8139.714</v>
      </c>
      <c r="BR108" t="n">
        <v>10958.653</v>
      </c>
      <c r="BS108" t="n">
        <v>8543.543</v>
      </c>
      <c r="BT108" t="n">
        <v>10378.707</v>
      </c>
      <c r="BU108" t="n">
        <v>9228.254000000001</v>
      </c>
      <c r="BV108" t="n">
        <v>8594.540000000001</v>
      </c>
    </row>
    <row r="109">
      <c r="A109" t="inlineStr">
        <is>
          <t>Octopodidae</t>
        </is>
      </c>
      <c r="B109" t="inlineStr">
        <is>
          <t>Octopuses</t>
        </is>
      </c>
      <c r="C109" t="inlineStr">
        <is>
          <t>Cephalopods</t>
        </is>
      </c>
      <c r="D109" t="inlineStr">
        <is>
          <t>Other fishes &amp; inverts</t>
        </is>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1356.131</v>
      </c>
      <c r="AF109" t="n">
        <v>1104.526</v>
      </c>
      <c r="AG109" t="n">
        <v>1368.088</v>
      </c>
      <c r="AH109" t="n">
        <v>1543.674</v>
      </c>
      <c r="AI109" t="n">
        <v>1899.185</v>
      </c>
      <c r="AJ109" t="n">
        <v>2057.441</v>
      </c>
      <c r="AK109" t="n">
        <v>1948.965</v>
      </c>
      <c r="AL109" t="n">
        <v>1917.351</v>
      </c>
      <c r="AM109" t="n">
        <v>2052.244</v>
      </c>
      <c r="AN109" t="n">
        <v>770.907</v>
      </c>
      <c r="AO109" t="n">
        <v>1676.009</v>
      </c>
      <c r="AP109" t="n">
        <v>921.029</v>
      </c>
      <c r="AQ109" t="n">
        <v>937.3150000000001</v>
      </c>
      <c r="AR109" t="n">
        <v>2114.83</v>
      </c>
      <c r="AS109" t="n">
        <v>4004.054</v>
      </c>
      <c r="AT109" t="n">
        <v>8066.428</v>
      </c>
      <c r="AU109" t="n">
        <v>7628.859</v>
      </c>
      <c r="AV109" t="n">
        <v>8777.933000000001</v>
      </c>
      <c r="AW109" t="n">
        <v>5981.592</v>
      </c>
      <c r="AX109" t="n">
        <v>7576.316</v>
      </c>
      <c r="AY109" t="n">
        <v>13139.785</v>
      </c>
      <c r="AZ109" t="n">
        <v>13292.564</v>
      </c>
      <c r="BA109" t="n">
        <v>18403.674</v>
      </c>
      <c r="BB109" t="n">
        <v>16634.873</v>
      </c>
      <c r="BC109" t="n">
        <v>18485.679</v>
      </c>
      <c r="BD109" t="n">
        <v>19107.069</v>
      </c>
      <c r="BE109" t="n">
        <v>17899.977</v>
      </c>
      <c r="BF109" t="n">
        <v>14389.102</v>
      </c>
      <c r="BG109" t="n">
        <v>14850.682</v>
      </c>
      <c r="BH109" t="n">
        <v>8771.645</v>
      </c>
      <c r="BI109" t="n">
        <v>8048.759</v>
      </c>
      <c r="BJ109" t="n">
        <v>7686.183</v>
      </c>
      <c r="BK109" t="n">
        <v>8577.380999999999</v>
      </c>
      <c r="BL109" t="n">
        <v>6789.142</v>
      </c>
      <c r="BM109" t="n">
        <v>4961.788</v>
      </c>
      <c r="BN109" t="n">
        <v>4332.846</v>
      </c>
      <c r="BO109" t="n">
        <v>4323.625</v>
      </c>
      <c r="BP109" t="n">
        <v>3480.563</v>
      </c>
      <c r="BQ109" t="n">
        <v>3345.873</v>
      </c>
      <c r="BR109" t="n">
        <v>2447.787</v>
      </c>
      <c r="BS109" t="n">
        <v>2749.136</v>
      </c>
      <c r="BT109" t="n">
        <v>2985.999</v>
      </c>
      <c r="BU109" t="n">
        <v>2179.053</v>
      </c>
      <c r="BV109" t="n">
        <v>2667.895</v>
      </c>
    </row>
    <row r="110">
      <c r="A110" t="inlineStr">
        <is>
          <t>Lutjanus</t>
        </is>
      </c>
      <c r="B110" t="inlineStr">
        <is>
          <t>Snappers</t>
        </is>
      </c>
      <c r="C110" t="inlineStr">
        <is>
          <t>Medium reef assoc. fish (30 - 89 cm)</t>
        </is>
      </c>
      <c r="D110" t="inlineStr">
        <is>
          <t>Perch-likes</t>
        </is>
      </c>
      <c r="E110" t="n">
        <v>254.449</v>
      </c>
      <c r="F110" t="n">
        <v>287.638</v>
      </c>
      <c r="G110" t="n">
        <v>323.131</v>
      </c>
      <c r="H110" t="n">
        <v>332.543</v>
      </c>
      <c r="I110" t="n">
        <v>352.306</v>
      </c>
      <c r="J110" t="n">
        <v>360.313</v>
      </c>
      <c r="K110" t="n">
        <v>367.737</v>
      </c>
      <c r="L110" t="n">
        <v>363.406</v>
      </c>
      <c r="M110" t="n">
        <v>381.764</v>
      </c>
      <c r="N110" t="n">
        <v>371.058</v>
      </c>
      <c r="O110" t="n">
        <v>389.416</v>
      </c>
      <c r="P110" t="n">
        <v>480.044</v>
      </c>
      <c r="Q110" t="n">
        <v>504.313</v>
      </c>
      <c r="R110" t="n">
        <v>524.6849999999999</v>
      </c>
      <c r="S110" t="n">
        <v>556.402</v>
      </c>
      <c r="T110" t="n">
        <v>613.1420000000001</v>
      </c>
      <c r="U110" t="n">
        <v>649.576</v>
      </c>
      <c r="V110" t="n">
        <v>647.6</v>
      </c>
      <c r="W110" t="n">
        <v>692.29</v>
      </c>
      <c r="X110" t="n">
        <v>720.269</v>
      </c>
      <c r="Y110" t="n">
        <v>807.326</v>
      </c>
      <c r="Z110" t="n">
        <v>818.298</v>
      </c>
      <c r="AA110" t="n">
        <v>781.259</v>
      </c>
      <c r="AB110" t="n">
        <v>777.289</v>
      </c>
      <c r="AC110" t="n">
        <v>673.431</v>
      </c>
      <c r="AD110" t="n">
        <v>973.985</v>
      </c>
      <c r="AE110" t="n">
        <v>1083.591</v>
      </c>
      <c r="AF110" t="n">
        <v>1209.877</v>
      </c>
      <c r="AG110" t="n">
        <v>1928.979</v>
      </c>
      <c r="AH110" t="n">
        <v>1868.957</v>
      </c>
      <c r="AI110" t="n">
        <v>2455.882</v>
      </c>
      <c r="AJ110" t="n">
        <v>2386.656</v>
      </c>
      <c r="AK110" t="n">
        <v>2316.524</v>
      </c>
      <c r="AL110" t="n">
        <v>2879.415</v>
      </c>
      <c r="AM110" t="n">
        <v>3168.838</v>
      </c>
      <c r="AN110" t="n">
        <v>4140.811</v>
      </c>
      <c r="AO110" t="n">
        <v>4523.746</v>
      </c>
      <c r="AP110" t="n">
        <v>4184.586</v>
      </c>
      <c r="AQ110" t="n">
        <v>4875.98</v>
      </c>
      <c r="AR110" t="n">
        <v>5686.065</v>
      </c>
      <c r="AS110" t="n">
        <v>4668.272</v>
      </c>
      <c r="AT110" t="n">
        <v>4895.327</v>
      </c>
      <c r="AU110" t="n">
        <v>5678.504</v>
      </c>
      <c r="AV110" t="n">
        <v>6598.274</v>
      </c>
      <c r="AW110" t="n">
        <v>6479.758</v>
      </c>
      <c r="AX110" t="n">
        <v>6063.188</v>
      </c>
      <c r="AY110" t="n">
        <v>7412.272</v>
      </c>
      <c r="AZ110" t="n">
        <v>8206.384</v>
      </c>
      <c r="BA110" t="n">
        <v>7619.547</v>
      </c>
      <c r="BB110" t="n">
        <v>7649.708</v>
      </c>
      <c r="BC110" t="n">
        <v>7163.239</v>
      </c>
      <c r="BD110" t="n">
        <v>8142.41</v>
      </c>
      <c r="BE110" t="n">
        <v>7220.066</v>
      </c>
      <c r="BF110" t="n">
        <v>6927.331</v>
      </c>
      <c r="BG110" t="n">
        <v>4790.111</v>
      </c>
      <c r="BH110" t="n">
        <v>4992.654</v>
      </c>
      <c r="BI110" t="n">
        <v>5116.504</v>
      </c>
      <c r="BJ110" t="n">
        <v>6163.495</v>
      </c>
      <c r="BK110" t="n">
        <v>6319.241</v>
      </c>
      <c r="BL110" t="n">
        <v>7288.967</v>
      </c>
      <c r="BM110" t="n">
        <v>7283.778</v>
      </c>
      <c r="BN110" t="n">
        <v>7697.598</v>
      </c>
      <c r="BO110" t="n">
        <v>7859.927</v>
      </c>
      <c r="BP110" t="n">
        <v>7809.313</v>
      </c>
      <c r="BQ110" t="n">
        <v>8181.477</v>
      </c>
      <c r="BR110" t="n">
        <v>9397.758</v>
      </c>
      <c r="BS110" t="n">
        <v>9211.168</v>
      </c>
      <c r="BT110" t="n">
        <v>11321.461</v>
      </c>
      <c r="BU110" t="n">
        <v>9446.782999999999</v>
      </c>
      <c r="BV110" t="n">
        <v>10034.137</v>
      </c>
    </row>
    <row r="111">
      <c r="A111" t="inlineStr">
        <is>
          <t>Monacanthidae</t>
        </is>
      </c>
      <c r="B111" t="inlineStr">
        <is>
          <t>Filefishes</t>
        </is>
      </c>
      <c r="C111" t="inlineStr">
        <is>
          <t>Medium reef assoc. fish (30 - 89 cm)</t>
        </is>
      </c>
      <c r="D111" t="inlineStr">
        <is>
          <t>Other fishes &amp; inverts</t>
        </is>
      </c>
      <c r="E111" t="n">
        <v>501.679</v>
      </c>
      <c r="F111" t="n">
        <v>602.73</v>
      </c>
      <c r="G111" t="n">
        <v>793.971</v>
      </c>
      <c r="H111" t="n">
        <v>677.327</v>
      </c>
      <c r="I111" t="n">
        <v>1090.69</v>
      </c>
      <c r="J111" t="n">
        <v>1665.242</v>
      </c>
      <c r="K111" t="n">
        <v>1169.728</v>
      </c>
      <c r="L111" t="n">
        <v>1439.674</v>
      </c>
      <c r="M111" t="n">
        <v>893.008</v>
      </c>
      <c r="N111" t="n">
        <v>1174.861</v>
      </c>
      <c r="O111" t="n">
        <v>2491.207</v>
      </c>
      <c r="P111" t="n">
        <v>1852.41</v>
      </c>
      <c r="Q111" t="n">
        <v>2842.583</v>
      </c>
      <c r="R111" t="n">
        <v>2283.357</v>
      </c>
      <c r="S111" t="n">
        <v>1925.499</v>
      </c>
      <c r="T111" t="n">
        <v>2733.328</v>
      </c>
      <c r="U111" t="n">
        <v>2660.149</v>
      </c>
      <c r="V111" t="n">
        <v>2089.71</v>
      </c>
      <c r="W111" t="n">
        <v>2972.121</v>
      </c>
      <c r="X111" t="n">
        <v>1620.941</v>
      </c>
      <c r="Y111" t="n">
        <v>1622.385</v>
      </c>
      <c r="Z111" t="n">
        <v>2080.309</v>
      </c>
      <c r="AA111" t="n">
        <v>1788.927</v>
      </c>
      <c r="AB111" t="n">
        <v>2196.001</v>
      </c>
      <c r="AC111" t="n">
        <v>3486.75</v>
      </c>
      <c r="AD111" t="n">
        <v>3172.212</v>
      </c>
      <c r="AE111" t="n">
        <v>2916.448</v>
      </c>
      <c r="AF111" t="n">
        <v>2691.309</v>
      </c>
      <c r="AG111" t="n">
        <v>2766.529</v>
      </c>
      <c r="AH111" t="n">
        <v>2323.766</v>
      </c>
      <c r="AI111" t="n">
        <v>2718.884</v>
      </c>
      <c r="AJ111" t="n">
        <v>1667.179</v>
      </c>
      <c r="AK111" t="n">
        <v>1807.282</v>
      </c>
      <c r="AL111" t="n">
        <v>5651.887</v>
      </c>
      <c r="AM111" t="n">
        <v>3913.521</v>
      </c>
      <c r="AN111" t="n">
        <v>3919.049</v>
      </c>
      <c r="AO111" t="n">
        <v>1485.481</v>
      </c>
      <c r="AP111" t="n">
        <v>2421.037</v>
      </c>
      <c r="AQ111" t="n">
        <v>2915.958</v>
      </c>
      <c r="AR111" t="n">
        <v>1826.408</v>
      </c>
      <c r="AS111" t="n">
        <v>1915.951</v>
      </c>
      <c r="AT111" t="n">
        <v>2345.725</v>
      </c>
      <c r="AU111" t="n">
        <v>3006.762</v>
      </c>
      <c r="AV111" t="n">
        <v>2297.992</v>
      </c>
      <c r="AW111" t="n">
        <v>3328.326</v>
      </c>
      <c r="AX111" t="n">
        <v>2623.405</v>
      </c>
      <c r="AY111" t="n">
        <v>3123.178</v>
      </c>
      <c r="AZ111" t="n">
        <v>3263.376</v>
      </c>
      <c r="BA111" t="n">
        <v>3960.712</v>
      </c>
      <c r="BB111" t="n">
        <v>3808.908</v>
      </c>
      <c r="BC111" t="n">
        <v>3673.491</v>
      </c>
      <c r="BD111" t="n">
        <v>3750.38</v>
      </c>
      <c r="BE111" t="n">
        <v>3772.319</v>
      </c>
      <c r="BF111" t="n">
        <v>5370.518</v>
      </c>
      <c r="BG111" t="n">
        <v>5980.523</v>
      </c>
      <c r="BH111" t="n">
        <v>4758.174</v>
      </c>
      <c r="BI111" t="n">
        <v>4557.822</v>
      </c>
      <c r="BJ111" t="n">
        <v>5981.475</v>
      </c>
      <c r="BK111" t="n">
        <v>6877.842</v>
      </c>
      <c r="BL111" t="n">
        <v>9726.874</v>
      </c>
      <c r="BM111" t="n">
        <v>7907.331</v>
      </c>
      <c r="BN111" t="n">
        <v>9010.207</v>
      </c>
      <c r="BO111" t="n">
        <v>8828.824000000001</v>
      </c>
      <c r="BP111" t="n">
        <v>9537.197</v>
      </c>
      <c r="BQ111" t="n">
        <v>6739.027</v>
      </c>
      <c r="BR111" t="n">
        <v>8158.262</v>
      </c>
      <c r="BS111" t="n">
        <v>8327.585999999999</v>
      </c>
      <c r="BT111" t="n">
        <v>8143.321</v>
      </c>
      <c r="BU111" t="n">
        <v>4593.716</v>
      </c>
      <c r="BV111" t="n">
        <v>7752.624</v>
      </c>
    </row>
    <row r="112">
      <c r="A112" t="inlineStr">
        <is>
          <t>Mugil</t>
        </is>
      </c>
      <c r="B112" t="inlineStr">
        <is>
          <t>Grey mullets</t>
        </is>
      </c>
      <c r="C112" t="inlineStr">
        <is>
          <t>Medium demersals (30 - 89 cm)</t>
        </is>
      </c>
      <c r="D112" t="inlineStr">
        <is>
          <t>Perch-likes</t>
        </is>
      </c>
      <c r="E112" t="n">
        <v>765.4349999999999</v>
      </c>
      <c r="F112" t="n">
        <v>760.134</v>
      </c>
      <c r="G112" t="n">
        <v>744.816</v>
      </c>
      <c r="H112" t="n">
        <v>725.8869999999999</v>
      </c>
      <c r="I112" t="n">
        <v>730.769</v>
      </c>
      <c r="J112" t="n">
        <v>793.05</v>
      </c>
      <c r="K112" t="n">
        <v>744.274</v>
      </c>
      <c r="L112" t="n">
        <v>765.897</v>
      </c>
      <c r="M112" t="n">
        <v>864.2430000000001</v>
      </c>
      <c r="N112" t="n">
        <v>907.1</v>
      </c>
      <c r="O112" t="n">
        <v>1019.113</v>
      </c>
      <c r="P112" t="n">
        <v>1078.555</v>
      </c>
      <c r="Q112" t="n">
        <v>1266.272</v>
      </c>
      <c r="R112" t="n">
        <v>1421.532</v>
      </c>
      <c r="S112" t="n">
        <v>1669.066</v>
      </c>
      <c r="T112" t="n">
        <v>1796.633</v>
      </c>
      <c r="U112" t="n">
        <v>1887.926</v>
      </c>
      <c r="V112" t="n">
        <v>2204.03</v>
      </c>
      <c r="W112" t="n">
        <v>2401.306</v>
      </c>
      <c r="X112" t="n">
        <v>2254.722</v>
      </c>
      <c r="Y112" t="n">
        <v>2213.924</v>
      </c>
      <c r="Z112" t="n">
        <v>2475.895</v>
      </c>
      <c r="AA112" t="n">
        <v>2441.056</v>
      </c>
      <c r="AB112" t="n">
        <v>2738.357</v>
      </c>
      <c r="AC112" t="n">
        <v>2751.371</v>
      </c>
      <c r="AD112" t="n">
        <v>2684.688</v>
      </c>
      <c r="AE112" t="n">
        <v>4329.478</v>
      </c>
      <c r="AF112" t="n">
        <v>4742.615</v>
      </c>
      <c r="AG112" t="n">
        <v>5706.661</v>
      </c>
      <c r="AH112" t="n">
        <v>5923.582</v>
      </c>
      <c r="AI112" t="n">
        <v>11135.492</v>
      </c>
      <c r="AJ112" t="n">
        <v>10389.566</v>
      </c>
      <c r="AK112" t="n">
        <v>10287.684</v>
      </c>
      <c r="AL112" t="n">
        <v>9863.989</v>
      </c>
      <c r="AM112" t="n">
        <v>9547.473</v>
      </c>
      <c r="AN112" t="n">
        <v>8743.504999999999</v>
      </c>
      <c r="AO112" t="n">
        <v>8044.83</v>
      </c>
      <c r="AP112" t="n">
        <v>7627.454</v>
      </c>
      <c r="AQ112" t="n">
        <v>6462.179</v>
      </c>
      <c r="AR112" t="n">
        <v>7180.152</v>
      </c>
      <c r="AS112" t="n">
        <v>3609.361</v>
      </c>
      <c r="AT112" t="n">
        <v>3337.557</v>
      </c>
      <c r="AU112" t="n">
        <v>3787.368</v>
      </c>
      <c r="AV112" t="n">
        <v>3334.888</v>
      </c>
      <c r="AW112" t="n">
        <v>3258.3</v>
      </c>
      <c r="AX112" t="n">
        <v>5149.665</v>
      </c>
      <c r="AY112" t="n">
        <v>4733.927</v>
      </c>
      <c r="AZ112" t="n">
        <v>4981.12</v>
      </c>
      <c r="BA112" t="n">
        <v>4398.26</v>
      </c>
      <c r="BB112" t="n">
        <v>4692.669</v>
      </c>
      <c r="BC112" t="n">
        <v>5324.631</v>
      </c>
      <c r="BD112" t="n">
        <v>5015.749</v>
      </c>
      <c r="BE112" t="n">
        <v>4871.741</v>
      </c>
      <c r="BF112" t="n">
        <v>5440.477</v>
      </c>
      <c r="BG112" t="n">
        <v>5865.622</v>
      </c>
      <c r="BH112" t="n">
        <v>1610.37</v>
      </c>
      <c r="BI112" t="n">
        <v>1692.433</v>
      </c>
      <c r="BJ112" t="n">
        <v>1947.63</v>
      </c>
      <c r="BK112" t="n">
        <v>1972.279</v>
      </c>
      <c r="BL112" t="n">
        <v>2340.722</v>
      </c>
      <c r="BM112" t="n">
        <v>2281.593</v>
      </c>
      <c r="BN112" t="n">
        <v>2128.536</v>
      </c>
      <c r="BO112" t="n">
        <v>2155.839</v>
      </c>
      <c r="BP112" t="n">
        <v>2114.785</v>
      </c>
      <c r="BQ112" t="n">
        <v>2242.125</v>
      </c>
      <c r="BR112" t="n">
        <v>2273.181</v>
      </c>
      <c r="BS112" t="n">
        <v>2434.521</v>
      </c>
      <c r="BT112" t="n">
        <v>2265.083</v>
      </c>
      <c r="BU112" t="n">
        <v>2094.993</v>
      </c>
      <c r="BV112" t="n">
        <v>2179.518</v>
      </c>
    </row>
    <row r="113">
      <c r="A113" t="inlineStr">
        <is>
          <t>Escualosa thoracata</t>
        </is>
      </c>
      <c r="B113" t="inlineStr">
        <is>
          <t>White sardine</t>
        </is>
      </c>
      <c r="C113" t="inlineStr">
        <is>
          <t>Small pelagics (&lt;30 cm)</t>
        </is>
      </c>
      <c r="D113" t="inlineStr">
        <is>
          <t>Herring-likes</t>
        </is>
      </c>
      <c r="E113" t="n">
        <v>2844.451</v>
      </c>
      <c r="F113" t="n">
        <v>2818.129</v>
      </c>
      <c r="G113" t="n">
        <v>2835.583</v>
      </c>
      <c r="H113" t="n">
        <v>2852.711</v>
      </c>
      <c r="I113" t="n">
        <v>2869.408</v>
      </c>
      <c r="J113" t="n">
        <v>2885.763</v>
      </c>
      <c r="K113" t="n">
        <v>2901.671</v>
      </c>
      <c r="L113" t="n">
        <v>2917.091</v>
      </c>
      <c r="M113" t="n">
        <v>2932.104</v>
      </c>
      <c r="N113" t="n">
        <v>2946.605</v>
      </c>
      <c r="O113" t="n">
        <v>3036.364</v>
      </c>
      <c r="P113" t="n">
        <v>3204.049</v>
      </c>
      <c r="Q113" t="n">
        <v>3199.829</v>
      </c>
      <c r="R113" t="n">
        <v>3235.478</v>
      </c>
      <c r="S113" t="n">
        <v>3270.822</v>
      </c>
      <c r="T113" t="n">
        <v>3305.764</v>
      </c>
      <c r="U113" t="n">
        <v>3333.209</v>
      </c>
      <c r="V113" t="n">
        <v>3360.113</v>
      </c>
      <c r="W113" t="n">
        <v>3386.335</v>
      </c>
      <c r="X113" t="n">
        <v>3411.889</v>
      </c>
      <c r="Y113" t="n">
        <v>3363.726</v>
      </c>
      <c r="Z113" t="n">
        <v>3461.609</v>
      </c>
      <c r="AA113" t="n">
        <v>3485.702</v>
      </c>
      <c r="AB113" t="n">
        <v>3508.954</v>
      </c>
      <c r="AC113" t="n">
        <v>3597.513</v>
      </c>
      <c r="AD113" t="n">
        <v>3543.4</v>
      </c>
      <c r="AE113" t="n">
        <v>3669.595</v>
      </c>
      <c r="AF113" t="n">
        <v>3679.408</v>
      </c>
      <c r="AG113" t="n">
        <v>3709.679</v>
      </c>
      <c r="AH113" t="n">
        <v>3707.813</v>
      </c>
      <c r="AI113" t="n">
        <v>3709.065</v>
      </c>
      <c r="AJ113" t="n">
        <v>3704.641</v>
      </c>
      <c r="AK113" t="n">
        <v>3720.173</v>
      </c>
      <c r="AL113" t="n">
        <v>3710.251</v>
      </c>
      <c r="AM113" t="n">
        <v>3698.613</v>
      </c>
      <c r="AN113" t="n">
        <v>3801.654</v>
      </c>
      <c r="AO113" t="n">
        <v>3670.629</v>
      </c>
      <c r="AP113" t="n">
        <v>3653.736</v>
      </c>
      <c r="AQ113" t="n">
        <v>3691.668</v>
      </c>
      <c r="AR113" t="n">
        <v>3614.458</v>
      </c>
      <c r="AS113" t="n">
        <v>3693.804</v>
      </c>
      <c r="AT113" t="n">
        <v>3707.331</v>
      </c>
      <c r="AU113" t="n">
        <v>3717.753</v>
      </c>
      <c r="AV113" t="n">
        <v>3725.078</v>
      </c>
      <c r="AW113" t="n">
        <v>3729.305</v>
      </c>
      <c r="AX113" t="n">
        <v>3730.436</v>
      </c>
      <c r="AY113" t="n">
        <v>3728.469</v>
      </c>
      <c r="AZ113" t="n">
        <v>3723.406</v>
      </c>
      <c r="BA113" t="n">
        <v>3715.245</v>
      </c>
      <c r="BB113" t="n">
        <v>3703.987</v>
      </c>
      <c r="BC113" t="n">
        <v>3689.627</v>
      </c>
      <c r="BD113" t="n">
        <v>3705.751</v>
      </c>
      <c r="BE113" t="n">
        <v>3717.229</v>
      </c>
      <c r="BF113" t="n">
        <v>3724.046</v>
      </c>
      <c r="BG113" t="n">
        <v>3726.202</v>
      </c>
      <c r="BH113" t="n">
        <v>3723.696</v>
      </c>
      <c r="BI113" t="n">
        <v>3716.528</v>
      </c>
      <c r="BJ113" t="n">
        <v>3704.699</v>
      </c>
      <c r="BK113" t="n">
        <v>3688.209</v>
      </c>
      <c r="BL113" t="n">
        <v>3771.991</v>
      </c>
      <c r="BM113" t="n">
        <v>3855.787</v>
      </c>
      <c r="BN113" t="n">
        <v>3854.998</v>
      </c>
      <c r="BO113" t="n">
        <v>3901.532</v>
      </c>
      <c r="BP113" t="n">
        <v>3949.278</v>
      </c>
      <c r="BQ113" t="n">
        <v>3997.53</v>
      </c>
      <c r="BR113" t="n">
        <v>4032.279</v>
      </c>
      <c r="BS113" t="n">
        <v>4052.949</v>
      </c>
      <c r="BT113" t="n">
        <v>4059.456</v>
      </c>
      <c r="BU113" t="n">
        <v>4059.456</v>
      </c>
      <c r="BV113" t="n">
        <v>4059.456</v>
      </c>
    </row>
    <row r="114">
      <c r="A114" t="inlineStr">
        <is>
          <t>Terapon</t>
        </is>
      </c>
      <c r="B114" t="inlineStr">
        <is>
          <t>Terapons</t>
        </is>
      </c>
      <c r="C114" t="inlineStr">
        <is>
          <t>Medium demersals (30 - 89 cm)</t>
        </is>
      </c>
      <c r="D114" t="inlineStr">
        <is>
          <t>Perch-likes</t>
        </is>
      </c>
      <c r="E114" t="n">
        <v>511.036</v>
      </c>
      <c r="F114" t="n">
        <v>511.036</v>
      </c>
      <c r="G114" t="n">
        <v>684.033</v>
      </c>
      <c r="H114" t="n">
        <v>596.54</v>
      </c>
      <c r="I114" t="n">
        <v>511.036</v>
      </c>
      <c r="J114" t="n">
        <v>511.036</v>
      </c>
      <c r="K114" t="n">
        <v>511.036</v>
      </c>
      <c r="L114" t="n">
        <v>496.123</v>
      </c>
      <c r="M114" t="n">
        <v>528.932</v>
      </c>
      <c r="N114" t="n">
        <v>511.036</v>
      </c>
      <c r="O114" t="n">
        <v>682.044</v>
      </c>
      <c r="P114" t="n">
        <v>876.914</v>
      </c>
      <c r="Q114" t="n">
        <v>889.8390000000001</v>
      </c>
      <c r="R114" t="n">
        <v>1530.126</v>
      </c>
      <c r="S114" t="n">
        <v>1420.76</v>
      </c>
      <c r="T114" t="n">
        <v>1508.479</v>
      </c>
      <c r="U114" t="n">
        <v>1887.499</v>
      </c>
      <c r="V114" t="n">
        <v>2359.111</v>
      </c>
      <c r="W114" t="n">
        <v>2411.067</v>
      </c>
      <c r="X114" t="n">
        <v>2215.363</v>
      </c>
      <c r="Y114" t="n">
        <v>1938.035</v>
      </c>
      <c r="Z114" t="n">
        <v>2276.689</v>
      </c>
      <c r="AA114" t="n">
        <v>2147.701</v>
      </c>
      <c r="AB114" t="n">
        <v>2462.617</v>
      </c>
      <c r="AC114" t="n">
        <v>3201.755</v>
      </c>
      <c r="AD114" t="n">
        <v>3119.661</v>
      </c>
      <c r="AE114" t="n">
        <v>3316.874</v>
      </c>
      <c r="AF114" t="n">
        <v>4070.547</v>
      </c>
      <c r="AG114" t="n">
        <v>3747.779</v>
      </c>
      <c r="AH114" t="n">
        <v>3279.199</v>
      </c>
      <c r="AI114" t="n">
        <v>3332.285</v>
      </c>
      <c r="AJ114" t="n">
        <v>3506.515</v>
      </c>
      <c r="AK114" t="n">
        <v>3608.25</v>
      </c>
      <c r="AL114" t="n">
        <v>3750.938</v>
      </c>
      <c r="AM114" t="n">
        <v>3273.442</v>
      </c>
      <c r="AN114" t="n">
        <v>3614.825</v>
      </c>
      <c r="AO114" t="n">
        <v>4270.235</v>
      </c>
      <c r="AP114" t="n">
        <v>5192.261</v>
      </c>
      <c r="AQ114" t="n">
        <v>4075.219</v>
      </c>
      <c r="AR114" t="n">
        <v>4957.753</v>
      </c>
      <c r="AS114" t="n">
        <v>5392.995</v>
      </c>
      <c r="AT114" t="n">
        <v>4034.518</v>
      </c>
      <c r="AU114" t="n">
        <v>4183.805</v>
      </c>
      <c r="AV114" t="n">
        <v>4305.161</v>
      </c>
      <c r="AW114" t="n">
        <v>4229.307</v>
      </c>
      <c r="AX114" t="n">
        <v>4525.122</v>
      </c>
      <c r="AY114" t="n">
        <v>4605.922</v>
      </c>
      <c r="AZ114" t="n">
        <v>4513.206</v>
      </c>
      <c r="BA114" t="n">
        <v>5335.839</v>
      </c>
      <c r="BB114" t="n">
        <v>4729.067</v>
      </c>
      <c r="BC114" t="n">
        <v>5305.86</v>
      </c>
      <c r="BD114" t="n">
        <v>5084.524</v>
      </c>
      <c r="BE114" t="n">
        <v>5447.006</v>
      </c>
      <c r="BF114" t="n">
        <v>5512.457</v>
      </c>
      <c r="BG114" t="n">
        <v>5732.625</v>
      </c>
      <c r="BH114" t="n">
        <v>5075.085</v>
      </c>
      <c r="BI114" t="n">
        <v>6048.247</v>
      </c>
      <c r="BJ114" t="n">
        <v>5974.469</v>
      </c>
      <c r="BK114" t="n">
        <v>5937.39</v>
      </c>
      <c r="BL114" t="n">
        <v>5371.774</v>
      </c>
      <c r="BM114" t="n">
        <v>5724.703</v>
      </c>
      <c r="BN114" t="n">
        <v>5390.899</v>
      </c>
      <c r="BO114" t="n">
        <v>5471.539</v>
      </c>
      <c r="BP114" t="n">
        <v>5331.362</v>
      </c>
      <c r="BQ114" t="n">
        <v>5654.028</v>
      </c>
      <c r="BR114" t="n">
        <v>5730.675</v>
      </c>
      <c r="BS114" t="n">
        <v>6152.193</v>
      </c>
      <c r="BT114" t="n">
        <v>5689.487</v>
      </c>
      <c r="BU114" t="n">
        <v>5220.718</v>
      </c>
      <c r="BV114" t="n">
        <v>5443.046</v>
      </c>
    </row>
    <row r="115">
      <c r="A115" t="inlineStr">
        <is>
          <t>Parapenaeopsis stylifera</t>
        </is>
      </c>
      <c r="B115" t="inlineStr">
        <is>
          <t>Kiddi shrimp</t>
        </is>
      </c>
      <c r="C115" t="inlineStr">
        <is>
          <t>Shrimps</t>
        </is>
      </c>
      <c r="D115" t="inlineStr">
        <is>
          <t>Crustaceans</t>
        </is>
      </c>
      <c r="E115" t="n">
        <v>2803.832</v>
      </c>
      <c r="F115" t="n">
        <v>2777.886</v>
      </c>
      <c r="G115" t="n">
        <v>2795.091</v>
      </c>
      <c r="H115" t="n">
        <v>2811.974</v>
      </c>
      <c r="I115" t="n">
        <v>2828.433</v>
      </c>
      <c r="J115" t="n">
        <v>2844.555</v>
      </c>
      <c r="K115" t="n">
        <v>2860.235</v>
      </c>
      <c r="L115" t="n">
        <v>2875.435</v>
      </c>
      <c r="M115" t="n">
        <v>2890.234</v>
      </c>
      <c r="N115" t="n">
        <v>2904.528</v>
      </c>
      <c r="O115" t="n">
        <v>2993.005</v>
      </c>
      <c r="P115" t="n">
        <v>3158.295</v>
      </c>
      <c r="Q115" t="n">
        <v>3154.136</v>
      </c>
      <c r="R115" t="n">
        <v>3189.276</v>
      </c>
      <c r="S115" t="n">
        <v>3224.116</v>
      </c>
      <c r="T115" t="n">
        <v>3258.558</v>
      </c>
      <c r="U115" t="n">
        <v>3285.611</v>
      </c>
      <c r="V115" t="n">
        <v>3312.132</v>
      </c>
      <c r="W115" t="n">
        <v>3337.979</v>
      </c>
      <c r="X115" t="n">
        <v>3363.167</v>
      </c>
      <c r="Y115" t="n">
        <v>3315.692</v>
      </c>
      <c r="Z115" t="n">
        <v>3412.178</v>
      </c>
      <c r="AA115" t="n">
        <v>3435.926</v>
      </c>
      <c r="AB115" t="n">
        <v>3458.846</v>
      </c>
      <c r="AC115" t="n">
        <v>3546.141</v>
      </c>
      <c r="AD115" t="n">
        <v>3492.801</v>
      </c>
      <c r="AE115" t="n">
        <v>3617.194</v>
      </c>
      <c r="AF115" t="n">
        <v>3626.866</v>
      </c>
      <c r="AG115" t="n">
        <v>3656.706</v>
      </c>
      <c r="AH115" t="n">
        <v>3654.866</v>
      </c>
      <c r="AI115" t="n">
        <v>3656.101</v>
      </c>
      <c r="AJ115" t="n">
        <v>3651.739</v>
      </c>
      <c r="AK115" t="n">
        <v>3667.05</v>
      </c>
      <c r="AL115" t="n">
        <v>3657.269</v>
      </c>
      <c r="AM115" t="n">
        <v>3645.798</v>
      </c>
      <c r="AN115" t="n">
        <v>3747.367</v>
      </c>
      <c r="AO115" t="n">
        <v>3618.213</v>
      </c>
      <c r="AP115" t="n">
        <v>3601.561</v>
      </c>
      <c r="AQ115" t="n">
        <v>3638.951</v>
      </c>
      <c r="AR115" t="n">
        <v>3562.845</v>
      </c>
      <c r="AS115" t="n">
        <v>3641.057</v>
      </c>
      <c r="AT115" t="n">
        <v>3654.391</v>
      </c>
      <c r="AU115" t="n">
        <v>3664.664</v>
      </c>
      <c r="AV115" t="n">
        <v>3671.884</v>
      </c>
      <c r="AW115" t="n">
        <v>3676.052</v>
      </c>
      <c r="AX115" t="n">
        <v>3677.166</v>
      </c>
      <c r="AY115" t="n">
        <v>3675.227</v>
      </c>
      <c r="AZ115" t="n">
        <v>3670.236</v>
      </c>
      <c r="BA115" t="n">
        <v>3662.192</v>
      </c>
      <c r="BB115" t="n">
        <v>3651.094</v>
      </c>
      <c r="BC115" t="n">
        <v>3636.94</v>
      </c>
      <c r="BD115" t="n">
        <v>3652.833</v>
      </c>
      <c r="BE115" t="n">
        <v>3664.148</v>
      </c>
      <c r="BF115" t="n">
        <v>3670.867</v>
      </c>
      <c r="BG115" t="n">
        <v>3672.992</v>
      </c>
      <c r="BH115" t="n">
        <v>3670.522</v>
      </c>
      <c r="BI115" t="n">
        <v>3663.457</v>
      </c>
      <c r="BJ115" t="n">
        <v>3651.797</v>
      </c>
      <c r="BK115" t="n">
        <v>3635.542</v>
      </c>
      <c r="BL115" t="n">
        <v>3718.127</v>
      </c>
      <c r="BM115" t="n">
        <v>3800.727</v>
      </c>
      <c r="BN115" t="n">
        <v>3799.95</v>
      </c>
      <c r="BO115" t="n">
        <v>3845.819</v>
      </c>
      <c r="BP115" t="n">
        <v>3892.883</v>
      </c>
      <c r="BQ115" t="n">
        <v>3940.446</v>
      </c>
      <c r="BR115" t="n">
        <v>3974.699</v>
      </c>
      <c r="BS115" t="n">
        <v>3995.074</v>
      </c>
      <c r="BT115" t="n">
        <v>4001.487</v>
      </c>
      <c r="BU115" t="n">
        <v>4001.487</v>
      </c>
      <c r="BV115" t="n">
        <v>4001.487</v>
      </c>
    </row>
    <row r="116">
      <c r="A116" t="inlineStr">
        <is>
          <t>Metapenaeus tenuipes</t>
        </is>
      </c>
      <c r="B116" t="inlineStr">
        <is>
          <t>Stork shrimp</t>
        </is>
      </c>
      <c r="C116" t="inlineStr">
        <is>
          <t>Shrimps</t>
        </is>
      </c>
      <c r="D116" t="inlineStr">
        <is>
          <t>Crustaceans</t>
        </is>
      </c>
      <c r="E116" t="n">
        <v>2790.14</v>
      </c>
      <c r="F116" t="n">
        <v>2764.32</v>
      </c>
      <c r="G116" t="n">
        <v>2781.441</v>
      </c>
      <c r="H116" t="n">
        <v>2798.242</v>
      </c>
      <c r="I116" t="n">
        <v>2814.621</v>
      </c>
      <c r="J116" t="n">
        <v>2830.663</v>
      </c>
      <c r="K116" t="n">
        <v>2846.267</v>
      </c>
      <c r="L116" t="n">
        <v>2861.393</v>
      </c>
      <c r="M116" t="n">
        <v>2876.119</v>
      </c>
      <c r="N116" t="n">
        <v>2890.343</v>
      </c>
      <c r="O116" t="n">
        <v>2978.389</v>
      </c>
      <c r="P116" t="n">
        <v>3142.872</v>
      </c>
      <c r="Q116" t="n">
        <v>3138.732</v>
      </c>
      <c r="R116" t="n">
        <v>3173.701</v>
      </c>
      <c r="S116" t="n">
        <v>3208.37</v>
      </c>
      <c r="T116" t="n">
        <v>3242.645</v>
      </c>
      <c r="U116" t="n">
        <v>3269.566</v>
      </c>
      <c r="V116" t="n">
        <v>3295.957</v>
      </c>
      <c r="W116" t="n">
        <v>3321.678</v>
      </c>
      <c r="X116" t="n">
        <v>3346.743</v>
      </c>
      <c r="Y116" t="n">
        <v>3299.5</v>
      </c>
      <c r="Z116" t="n">
        <v>3395.514</v>
      </c>
      <c r="AA116" t="n">
        <v>3419.147</v>
      </c>
      <c r="AB116" t="n">
        <v>3441.955</v>
      </c>
      <c r="AC116" t="n">
        <v>3528.823</v>
      </c>
      <c r="AD116" t="n">
        <v>3475.744</v>
      </c>
      <c r="AE116" t="n">
        <v>3599.529</v>
      </c>
      <c r="AF116" t="n">
        <v>3609.154</v>
      </c>
      <c r="AG116" t="n">
        <v>3638.848</v>
      </c>
      <c r="AH116" t="n">
        <v>3637.017</v>
      </c>
      <c r="AI116" t="n">
        <v>3638.246</v>
      </c>
      <c r="AJ116" t="n">
        <v>3633.906</v>
      </c>
      <c r="AK116" t="n">
        <v>3649.142</v>
      </c>
      <c r="AL116" t="n">
        <v>3639.409</v>
      </c>
      <c r="AM116" t="n">
        <v>3627.993</v>
      </c>
      <c r="AN116" t="n">
        <v>3729.067</v>
      </c>
      <c r="AO116" t="n">
        <v>3600.543</v>
      </c>
      <c r="AP116" t="n">
        <v>3583.973</v>
      </c>
      <c r="AQ116" t="n">
        <v>3621.18</v>
      </c>
      <c r="AR116" t="n">
        <v>3545.445</v>
      </c>
      <c r="AS116" t="n">
        <v>3623.275</v>
      </c>
      <c r="AT116" t="n">
        <v>3636.545</v>
      </c>
      <c r="AU116" t="n">
        <v>3646.768</v>
      </c>
      <c r="AV116" t="n">
        <v>3653.953</v>
      </c>
      <c r="AW116" t="n">
        <v>3658.099</v>
      </c>
      <c r="AX116" t="n">
        <v>3659.208</v>
      </c>
      <c r="AY116" t="n">
        <v>3657.279</v>
      </c>
      <c r="AZ116" t="n">
        <v>3652.312</v>
      </c>
      <c r="BA116" t="n">
        <v>3644.307</v>
      </c>
      <c r="BB116" t="n">
        <v>3633.264</v>
      </c>
      <c r="BC116" t="n">
        <v>3619.179</v>
      </c>
      <c r="BD116" t="n">
        <v>3634.994</v>
      </c>
      <c r="BE116" t="n">
        <v>3646.254</v>
      </c>
      <c r="BF116" t="n">
        <v>3652.94</v>
      </c>
      <c r="BG116" t="n">
        <v>3655.055</v>
      </c>
      <c r="BH116" t="n">
        <v>3652.597</v>
      </c>
      <c r="BI116" t="n">
        <v>3645.566</v>
      </c>
      <c r="BJ116" t="n">
        <v>3633.963</v>
      </c>
      <c r="BK116" t="n">
        <v>3617.788</v>
      </c>
      <c r="BL116" t="n">
        <v>3699.97</v>
      </c>
      <c r="BM116" t="n">
        <v>3782.166</v>
      </c>
      <c r="BN116" t="n">
        <v>3781.392</v>
      </c>
      <c r="BO116" t="n">
        <v>3827.038</v>
      </c>
      <c r="BP116" t="n">
        <v>3873.872</v>
      </c>
      <c r="BQ116" t="n">
        <v>3921.203</v>
      </c>
      <c r="BR116" t="n">
        <v>3955.288</v>
      </c>
      <c r="BS116" t="n">
        <v>3975.563</v>
      </c>
      <c r="BT116" t="n">
        <v>3981.946</v>
      </c>
      <c r="BU116" t="n">
        <v>3981.946</v>
      </c>
      <c r="BV116" t="n">
        <v>3981.946</v>
      </c>
    </row>
    <row r="117">
      <c r="A117" t="inlineStr">
        <is>
          <t>Penaeus monodon</t>
        </is>
      </c>
      <c r="B117" t="inlineStr">
        <is>
          <t>Giant tiger prawn</t>
        </is>
      </c>
      <c r="C117" t="inlineStr">
        <is>
          <t>Shrimps</t>
        </is>
      </c>
      <c r="D117" t="inlineStr">
        <is>
          <t>Crustaceans</t>
        </is>
      </c>
      <c r="E117" t="n">
        <v>619.888</v>
      </c>
      <c r="F117" t="n">
        <v>618.779</v>
      </c>
      <c r="G117" t="n">
        <v>635.351</v>
      </c>
      <c r="H117" t="n">
        <v>651.861</v>
      </c>
      <c r="I117" t="n">
        <v>705.774</v>
      </c>
      <c r="J117" t="n">
        <v>694.025</v>
      </c>
      <c r="K117" t="n">
        <v>747.787</v>
      </c>
      <c r="L117" t="n">
        <v>735.86</v>
      </c>
      <c r="M117" t="n">
        <v>817.566</v>
      </c>
      <c r="N117" t="n">
        <v>805.465</v>
      </c>
      <c r="O117" t="n">
        <v>835.763</v>
      </c>
      <c r="P117" t="n">
        <v>852.742</v>
      </c>
      <c r="Q117" t="n">
        <v>968.2809999999999</v>
      </c>
      <c r="R117" t="n">
        <v>922.71</v>
      </c>
      <c r="S117" t="n">
        <v>1167.582</v>
      </c>
      <c r="T117" t="n">
        <v>971.942</v>
      </c>
      <c r="U117" t="n">
        <v>1027.895</v>
      </c>
      <c r="V117" t="n">
        <v>1065.003</v>
      </c>
      <c r="W117" t="n">
        <v>989.53</v>
      </c>
      <c r="X117" t="n">
        <v>1129.463</v>
      </c>
      <c r="Y117" t="n">
        <v>2037.648</v>
      </c>
      <c r="Z117" t="n">
        <v>2107.102</v>
      </c>
      <c r="AA117" t="n">
        <v>2237.515</v>
      </c>
      <c r="AB117" t="n">
        <v>2283.43</v>
      </c>
      <c r="AC117" t="n">
        <v>2566.646</v>
      </c>
      <c r="AD117" t="n">
        <v>2718.947</v>
      </c>
      <c r="AE117" t="n">
        <v>3000.812</v>
      </c>
      <c r="AF117" t="n">
        <v>3040.61</v>
      </c>
      <c r="AG117" t="n">
        <v>3221.812</v>
      </c>
      <c r="AH117" t="n">
        <v>3340.634</v>
      </c>
      <c r="AI117" t="n">
        <v>3101.142</v>
      </c>
      <c r="AJ117" t="n">
        <v>3539.587</v>
      </c>
      <c r="AK117" t="n">
        <v>3728.19</v>
      </c>
      <c r="AL117" t="n">
        <v>3987.97</v>
      </c>
      <c r="AM117" t="n">
        <v>3922.253</v>
      </c>
      <c r="AN117" t="n">
        <v>5584.304</v>
      </c>
      <c r="AO117" t="n">
        <v>5619.112</v>
      </c>
      <c r="AP117" t="n">
        <v>5513.216</v>
      </c>
      <c r="AQ117" t="n">
        <v>5730.474</v>
      </c>
      <c r="AR117" t="n">
        <v>5836.667</v>
      </c>
      <c r="AS117" t="n">
        <v>4694.866</v>
      </c>
      <c r="AT117" t="n">
        <v>4889.928</v>
      </c>
      <c r="AU117" t="n">
        <v>5359.757</v>
      </c>
      <c r="AV117" t="n">
        <v>5630.514</v>
      </c>
      <c r="AW117" t="n">
        <v>4955.657</v>
      </c>
      <c r="AX117" t="n">
        <v>6193.248</v>
      </c>
      <c r="AY117" t="n">
        <v>7587.02</v>
      </c>
      <c r="AZ117" t="n">
        <v>7564.388</v>
      </c>
      <c r="BA117" t="n">
        <v>6803.763</v>
      </c>
      <c r="BB117" t="n">
        <v>7178.043</v>
      </c>
      <c r="BC117" t="n">
        <v>7584.315</v>
      </c>
      <c r="BD117" t="n">
        <v>7116.074</v>
      </c>
      <c r="BE117" t="n">
        <v>7633.621</v>
      </c>
      <c r="BF117" t="n">
        <v>5597.131</v>
      </c>
      <c r="BG117" t="n">
        <v>3572.583</v>
      </c>
      <c r="BH117" t="n">
        <v>2708.298</v>
      </c>
      <c r="BI117" t="n">
        <v>3600.308</v>
      </c>
      <c r="BJ117" t="n">
        <v>3230.075</v>
      </c>
      <c r="BK117" t="n">
        <v>3671.706</v>
      </c>
      <c r="BL117" t="n">
        <v>3594.269</v>
      </c>
      <c r="BM117" t="n">
        <v>3544.754</v>
      </c>
      <c r="BN117" t="n">
        <v>3351.851</v>
      </c>
      <c r="BO117" t="n">
        <v>3594.997</v>
      </c>
      <c r="BP117" t="n">
        <v>3109.895</v>
      </c>
      <c r="BQ117" t="n">
        <v>4312.467</v>
      </c>
      <c r="BR117" t="n">
        <v>4201.231</v>
      </c>
      <c r="BS117" t="n">
        <v>4862.671</v>
      </c>
      <c r="BT117" t="n">
        <v>4139.054</v>
      </c>
      <c r="BU117" t="n">
        <v>4138.288</v>
      </c>
      <c r="BV117" t="n">
        <v>4255.818</v>
      </c>
    </row>
    <row r="118">
      <c r="A118" t="inlineStr">
        <is>
          <t>Lutjanus malabaricus</t>
        </is>
      </c>
      <c r="B118" t="inlineStr">
        <is>
          <t>Malabar blood snapper</t>
        </is>
      </c>
      <c r="C118" t="inlineStr">
        <is>
          <t>Medium reef assoc. fish (30 - 89 cm)</t>
        </is>
      </c>
      <c r="D118" t="inlineStr">
        <is>
          <t>Perch-likes</t>
        </is>
      </c>
      <c r="E118" t="n">
        <v>2453.799</v>
      </c>
      <c r="F118" t="n">
        <v>2433.914</v>
      </c>
      <c r="G118" t="n">
        <v>2384.202</v>
      </c>
      <c r="H118" t="n">
        <v>2313.61</v>
      </c>
      <c r="I118" t="n">
        <v>2321.564</v>
      </c>
      <c r="J118" t="n">
        <v>2524.391</v>
      </c>
      <c r="K118" t="n">
        <v>2358.351</v>
      </c>
      <c r="L118" t="n">
        <v>2422.977</v>
      </c>
      <c r="M118" t="n">
        <v>2738.153</v>
      </c>
      <c r="N118" t="n">
        <v>2873.371</v>
      </c>
      <c r="O118" t="n">
        <v>3232.294</v>
      </c>
      <c r="P118" t="n">
        <v>3421.2</v>
      </c>
      <c r="Q118" t="n">
        <v>4031.667</v>
      </c>
      <c r="R118" t="n">
        <v>4487.032</v>
      </c>
      <c r="S118" t="n">
        <v>5181.886</v>
      </c>
      <c r="T118" t="n">
        <v>5571.741</v>
      </c>
      <c r="U118" t="n">
        <v>5872.072</v>
      </c>
      <c r="V118" t="n">
        <v>6936.763</v>
      </c>
      <c r="W118" t="n">
        <v>7581.007</v>
      </c>
      <c r="X118" t="n">
        <v>7080.742</v>
      </c>
      <c r="Y118" t="n">
        <v>6911.938</v>
      </c>
      <c r="Z118" t="n">
        <v>7560.821</v>
      </c>
      <c r="AA118" t="n">
        <v>7348.782</v>
      </c>
      <c r="AB118" t="n">
        <v>8214.525</v>
      </c>
      <c r="AC118" t="n">
        <v>8152.553</v>
      </c>
      <c r="AD118" t="n">
        <v>7892.308</v>
      </c>
      <c r="AE118" t="n">
        <v>8776.069</v>
      </c>
      <c r="AF118" t="n">
        <v>10004.937</v>
      </c>
      <c r="AG118" t="n">
        <v>12027.339</v>
      </c>
      <c r="AH118" t="n">
        <v>12424.16</v>
      </c>
      <c r="AI118" t="n">
        <v>6903.934</v>
      </c>
      <c r="AJ118" t="n">
        <v>6398.624</v>
      </c>
      <c r="AK118" t="n">
        <v>6310.312</v>
      </c>
      <c r="AL118" t="n">
        <v>6072.157</v>
      </c>
      <c r="AM118" t="n">
        <v>5841.596</v>
      </c>
      <c r="AN118" t="n">
        <v>4587.037</v>
      </c>
      <c r="AO118" t="n">
        <v>4165.293</v>
      </c>
      <c r="AP118" t="n">
        <v>3796.433</v>
      </c>
      <c r="AQ118" t="n">
        <v>3059.423</v>
      </c>
      <c r="AR118" t="n">
        <v>3744.475</v>
      </c>
      <c r="AS118" t="n">
        <v>2878.7</v>
      </c>
      <c r="AT118" t="n">
        <v>2723.429</v>
      </c>
      <c r="AU118" t="n">
        <v>3132.853</v>
      </c>
      <c r="AV118" t="n">
        <v>2754.334</v>
      </c>
      <c r="AW118" t="n">
        <v>2666.673</v>
      </c>
      <c r="AX118" t="n">
        <v>711.3390000000001</v>
      </c>
      <c r="AY118" t="n">
        <v>658.547</v>
      </c>
      <c r="AZ118" t="n">
        <v>661.497</v>
      </c>
      <c r="BA118" t="n">
        <v>640.643</v>
      </c>
      <c r="BB118" t="n">
        <v>636.611</v>
      </c>
      <c r="BC118" t="n">
        <v>452.173</v>
      </c>
      <c r="BD118" t="n">
        <v>413.316</v>
      </c>
      <c r="BE118" t="n">
        <v>408.34</v>
      </c>
      <c r="BF118" t="n">
        <v>468.111</v>
      </c>
      <c r="BG118" t="n">
        <v>498.976</v>
      </c>
      <c r="BH118" t="n">
        <v>0</v>
      </c>
      <c r="BI118" t="n">
        <v>0</v>
      </c>
      <c r="BJ118" t="n">
        <v>0</v>
      </c>
      <c r="BK118" t="n">
        <v>0</v>
      </c>
      <c r="BL118" t="n">
        <v>0</v>
      </c>
      <c r="BM118" t="n">
        <v>0</v>
      </c>
      <c r="BN118" t="n">
        <v>0</v>
      </c>
      <c r="BO118" t="n">
        <v>0</v>
      </c>
      <c r="BP118" t="n">
        <v>0</v>
      </c>
      <c r="BQ118" t="n">
        <v>0</v>
      </c>
      <c r="BR118" t="n">
        <v>0</v>
      </c>
      <c r="BS118" t="n">
        <v>0</v>
      </c>
      <c r="BT118" t="n">
        <v>0</v>
      </c>
      <c r="BU118" t="n">
        <v>0</v>
      </c>
      <c r="BV118" t="n">
        <v>0</v>
      </c>
    </row>
    <row r="119">
      <c r="A119" t="inlineStr">
        <is>
          <t>Anodontostoma chacunda</t>
        </is>
      </c>
      <c r="B119" t="inlineStr">
        <is>
          <t>Chacunda gizzard shad</t>
        </is>
      </c>
      <c r="C119" t="inlineStr">
        <is>
          <t>Small pelagics (&lt;30 cm)</t>
        </is>
      </c>
      <c r="D119" t="inlineStr">
        <is>
          <t>Herring-likes</t>
        </is>
      </c>
      <c r="E119" t="n">
        <v>150.761</v>
      </c>
      <c r="F119" t="n">
        <v>147.622</v>
      </c>
      <c r="G119" t="n">
        <v>147.463</v>
      </c>
      <c r="H119" t="n">
        <v>145.316</v>
      </c>
      <c r="I119" t="n">
        <v>149.134</v>
      </c>
      <c r="J119" t="n">
        <v>160.904</v>
      </c>
      <c r="K119" t="n">
        <v>153.787</v>
      </c>
      <c r="L119" t="n">
        <v>159.593</v>
      </c>
      <c r="M119" t="n">
        <v>178.322</v>
      </c>
      <c r="N119" t="n">
        <v>187.111</v>
      </c>
      <c r="O119" t="n">
        <v>207.828</v>
      </c>
      <c r="P119" t="n">
        <v>220.593</v>
      </c>
      <c r="Q119" t="n">
        <v>257.29</v>
      </c>
      <c r="R119" t="n">
        <v>289.616</v>
      </c>
      <c r="S119" t="n">
        <v>863.186</v>
      </c>
      <c r="T119" t="n">
        <v>960.077</v>
      </c>
      <c r="U119" t="n">
        <v>1020.481</v>
      </c>
      <c r="V119" t="n">
        <v>987.092</v>
      </c>
      <c r="W119" t="n">
        <v>1005.534</v>
      </c>
      <c r="X119" t="n">
        <v>888.515</v>
      </c>
      <c r="Y119" t="n">
        <v>1020.489</v>
      </c>
      <c r="Z119" t="n">
        <v>2060.678</v>
      </c>
      <c r="AA119" t="n">
        <v>2507.227</v>
      </c>
      <c r="AB119" t="n">
        <v>3018.616</v>
      </c>
      <c r="AC119" t="n">
        <v>3431.851</v>
      </c>
      <c r="AD119" t="n">
        <v>3570.44</v>
      </c>
      <c r="AE119" t="n">
        <v>2963.504</v>
      </c>
      <c r="AF119" t="n">
        <v>3105.803</v>
      </c>
      <c r="AG119" t="n">
        <v>3753.826</v>
      </c>
      <c r="AH119" t="n">
        <v>3917.5</v>
      </c>
      <c r="AI119" t="n">
        <v>4814.428</v>
      </c>
      <c r="AJ119" t="n">
        <v>4457.516</v>
      </c>
      <c r="AK119" t="n">
        <v>4398.694</v>
      </c>
      <c r="AL119" t="n">
        <v>4252.575</v>
      </c>
      <c r="AM119" t="n">
        <v>4089.482</v>
      </c>
      <c r="AN119" t="n">
        <v>5902.62</v>
      </c>
      <c r="AO119" t="n">
        <v>5414.625</v>
      </c>
      <c r="AP119" t="n">
        <v>5048.569</v>
      </c>
      <c r="AQ119" t="n">
        <v>4233.803</v>
      </c>
      <c r="AR119" t="n">
        <v>4827.101</v>
      </c>
      <c r="AS119" t="n">
        <v>6975.541</v>
      </c>
      <c r="AT119" t="n">
        <v>6514.48</v>
      </c>
      <c r="AU119" t="n">
        <v>7350.383</v>
      </c>
      <c r="AV119" t="n">
        <v>6472.768</v>
      </c>
      <c r="AW119" t="n">
        <v>6222.131</v>
      </c>
      <c r="AX119" t="n">
        <v>4134.159</v>
      </c>
      <c r="AY119" t="n">
        <v>3814.615</v>
      </c>
      <c r="AZ119" t="n">
        <v>4050.9</v>
      </c>
      <c r="BA119" t="n">
        <v>3479.995</v>
      </c>
      <c r="BB119" t="n">
        <v>3816.824</v>
      </c>
      <c r="BC119" t="n">
        <v>4026.503</v>
      </c>
      <c r="BD119" t="n">
        <v>3817.419</v>
      </c>
      <c r="BE119" t="n">
        <v>3724.337</v>
      </c>
      <c r="BF119" t="n">
        <v>4104.578</v>
      </c>
      <c r="BG119" t="n">
        <v>4372.161</v>
      </c>
      <c r="BH119" t="n">
        <v>4015.742</v>
      </c>
      <c r="BI119" t="n">
        <v>4248.022</v>
      </c>
      <c r="BJ119" t="n">
        <v>4895.772</v>
      </c>
      <c r="BK119" t="n">
        <v>4863.096</v>
      </c>
      <c r="BL119" t="n">
        <v>5651.228</v>
      </c>
      <c r="BM119" t="n">
        <v>5616.506</v>
      </c>
      <c r="BN119" t="n">
        <v>5215.441</v>
      </c>
      <c r="BO119" t="n">
        <v>5283.161</v>
      </c>
      <c r="BP119" t="n">
        <v>5178.692</v>
      </c>
      <c r="BQ119" t="n">
        <v>5505.642</v>
      </c>
      <c r="BR119" t="n">
        <v>5583.047</v>
      </c>
      <c r="BS119" t="n">
        <v>5992.15</v>
      </c>
      <c r="BT119" t="n">
        <v>5554.927</v>
      </c>
      <c r="BU119" t="n">
        <v>5121.465</v>
      </c>
      <c r="BV119" t="n">
        <v>5339.327</v>
      </c>
    </row>
    <row r="120">
      <c r="A120" t="inlineStr">
        <is>
          <t>Prionace glauca</t>
        </is>
      </c>
      <c r="B120" t="inlineStr">
        <is>
          <t>Blue shark</t>
        </is>
      </c>
      <c r="C120" t="inlineStr">
        <is>
          <t>Large sharks (&gt;=90 cm)</t>
        </is>
      </c>
      <c r="D120" t="inlineStr">
        <is>
          <t>Sharks &amp; rays</t>
        </is>
      </c>
      <c r="E120" t="n">
        <v>865.105</v>
      </c>
      <c r="F120" t="n">
        <v>1414.936</v>
      </c>
      <c r="G120" t="n">
        <v>1048.523</v>
      </c>
      <c r="H120" t="n">
        <v>682.533</v>
      </c>
      <c r="I120" t="n">
        <v>1352.16</v>
      </c>
      <c r="J120" t="n">
        <v>1280.334</v>
      </c>
      <c r="K120" t="n">
        <v>1559.794</v>
      </c>
      <c r="L120" t="n">
        <v>1650.357</v>
      </c>
      <c r="M120" t="n">
        <v>1809.277</v>
      </c>
      <c r="N120" t="n">
        <v>1944.884</v>
      </c>
      <c r="O120" t="n">
        <v>2225.726</v>
      </c>
      <c r="P120" t="n">
        <v>2328.768</v>
      </c>
      <c r="Q120" t="n">
        <v>2997.812</v>
      </c>
      <c r="R120" t="n">
        <v>2923.816</v>
      </c>
      <c r="S120" t="n">
        <v>3366.755</v>
      </c>
      <c r="T120" t="n">
        <v>2887.468</v>
      </c>
      <c r="U120" t="n">
        <v>2932.703</v>
      </c>
      <c r="V120" t="n">
        <v>3543.655</v>
      </c>
      <c r="W120" t="n">
        <v>3652.989</v>
      </c>
      <c r="X120" t="n">
        <v>4417.362</v>
      </c>
      <c r="Y120" t="n">
        <v>3340.02</v>
      </c>
      <c r="Z120" t="n">
        <v>3248.784</v>
      </c>
      <c r="AA120" t="n">
        <v>3327.621</v>
      </c>
      <c r="AB120" t="n">
        <v>4467.886</v>
      </c>
      <c r="AC120" t="n">
        <v>4002.861</v>
      </c>
      <c r="AD120" t="n">
        <v>3282.83</v>
      </c>
      <c r="AE120" t="n">
        <v>3892.272</v>
      </c>
      <c r="AF120" t="n">
        <v>2827.658</v>
      </c>
      <c r="AG120" t="n">
        <v>3133.951</v>
      </c>
      <c r="AH120" t="n">
        <v>3195.088</v>
      </c>
      <c r="AI120" t="n">
        <v>3531.173</v>
      </c>
      <c r="AJ120" t="n">
        <v>5352.46</v>
      </c>
      <c r="AK120" t="n">
        <v>4024.472</v>
      </c>
      <c r="AL120" t="n">
        <v>3532.136</v>
      </c>
      <c r="AM120" t="n">
        <v>4097.476</v>
      </c>
      <c r="AN120" t="n">
        <v>3019.141</v>
      </c>
      <c r="AO120" t="n">
        <v>3374.452</v>
      </c>
      <c r="AP120" t="n">
        <v>3485.596</v>
      </c>
      <c r="AQ120" t="n">
        <v>3903.607</v>
      </c>
      <c r="AR120" t="n">
        <v>5832.082</v>
      </c>
      <c r="AS120" t="n">
        <v>3577.311</v>
      </c>
      <c r="AT120" t="n">
        <v>4243.55</v>
      </c>
      <c r="AU120" t="n">
        <v>3856.906</v>
      </c>
      <c r="AV120" t="n">
        <v>6353.644</v>
      </c>
      <c r="AW120" t="n">
        <v>6489.06</v>
      </c>
      <c r="AX120" t="n">
        <v>4880.757</v>
      </c>
      <c r="AY120" t="n">
        <v>5035.909</v>
      </c>
      <c r="AZ120" t="n">
        <v>3308.493</v>
      </c>
      <c r="BA120" t="n">
        <v>4561.312</v>
      </c>
      <c r="BB120" t="n">
        <v>3841.143</v>
      </c>
      <c r="BC120" t="n">
        <v>3319.295</v>
      </c>
      <c r="BD120" t="n">
        <v>2129.488</v>
      </c>
      <c r="BE120" t="n">
        <v>6974.487</v>
      </c>
      <c r="BF120" t="n">
        <v>3727.475</v>
      </c>
      <c r="BG120" t="n">
        <v>5284.523</v>
      </c>
      <c r="BH120" t="n">
        <v>2038.969</v>
      </c>
      <c r="BI120" t="n">
        <v>2510.355</v>
      </c>
      <c r="BJ120" t="n">
        <v>1322.242</v>
      </c>
      <c r="BK120" t="n">
        <v>1513.944</v>
      </c>
      <c r="BL120" t="n">
        <v>1612.152</v>
      </c>
      <c r="BM120" t="n">
        <v>2240.473</v>
      </c>
      <c r="BN120" t="n">
        <v>3918.712</v>
      </c>
      <c r="BO120" t="n">
        <v>5028.582</v>
      </c>
      <c r="BP120" t="n">
        <v>4451.501</v>
      </c>
      <c r="BQ120" t="n">
        <v>5120.578</v>
      </c>
      <c r="BR120" t="n">
        <v>2628.823</v>
      </c>
      <c r="BS120" t="n">
        <v>3801.072</v>
      </c>
      <c r="BT120" t="n">
        <v>3697.773</v>
      </c>
      <c r="BU120" t="n">
        <v>2357.31</v>
      </c>
      <c r="BV120" t="n">
        <v>5716.268</v>
      </c>
    </row>
    <row r="121">
      <c r="A121" t="inlineStr">
        <is>
          <t>Nemipterus hexodon</t>
        </is>
      </c>
      <c r="B121" t="inlineStr">
        <is>
          <t>Ornate threadfin bream</t>
        </is>
      </c>
      <c r="C121" t="inlineStr">
        <is>
          <t>Small demersals (&lt;30 cm)</t>
        </is>
      </c>
      <c r="D121" t="inlineStr">
        <is>
          <t>Perch-likes</t>
        </is>
      </c>
      <c r="E121" t="n">
        <v>327.438</v>
      </c>
      <c r="F121" t="n">
        <v>385.221</v>
      </c>
      <c r="G121" t="n">
        <v>443.004</v>
      </c>
      <c r="H121" t="n">
        <v>443.004</v>
      </c>
      <c r="I121" t="n">
        <v>500.787</v>
      </c>
      <c r="J121" t="n">
        <v>500.787</v>
      </c>
      <c r="K121" t="n">
        <v>520.048</v>
      </c>
      <c r="L121" t="n">
        <v>500.787</v>
      </c>
      <c r="M121" t="n">
        <v>520.048</v>
      </c>
      <c r="N121" t="n">
        <v>500.787</v>
      </c>
      <c r="O121" t="n">
        <v>693.398</v>
      </c>
      <c r="P121" t="n">
        <v>673.314</v>
      </c>
      <c r="Q121" t="n">
        <v>777.328</v>
      </c>
      <c r="R121" t="n">
        <v>889.246</v>
      </c>
      <c r="S121" t="n">
        <v>1033.248</v>
      </c>
      <c r="T121" t="n">
        <v>1280.774</v>
      </c>
      <c r="U121" t="n">
        <v>1548.569</v>
      </c>
      <c r="V121" t="n">
        <v>1561.776</v>
      </c>
      <c r="W121" t="n">
        <v>1737.013</v>
      </c>
      <c r="X121" t="n">
        <v>1967.445</v>
      </c>
      <c r="Y121" t="n">
        <v>2288.765</v>
      </c>
      <c r="Z121" t="n">
        <v>2406.911</v>
      </c>
      <c r="AA121" t="n">
        <v>2277.053</v>
      </c>
      <c r="AB121" t="n">
        <v>2442.331</v>
      </c>
      <c r="AC121" t="n">
        <v>2489.933</v>
      </c>
      <c r="AD121" t="n">
        <v>2734.565</v>
      </c>
      <c r="AE121" t="n">
        <v>2584.192</v>
      </c>
      <c r="AF121" t="n">
        <v>2749.319</v>
      </c>
      <c r="AG121" t="n">
        <v>2981.881</v>
      </c>
      <c r="AH121" t="n">
        <v>3155.053</v>
      </c>
      <c r="AI121" t="n">
        <v>2598.887</v>
      </c>
      <c r="AJ121" t="n">
        <v>2506.925</v>
      </c>
      <c r="AK121" t="n">
        <v>2397.726</v>
      </c>
      <c r="AL121" t="n">
        <v>2917.857</v>
      </c>
      <c r="AM121" t="n">
        <v>3058.243</v>
      </c>
      <c r="AN121" t="n">
        <v>3176.007</v>
      </c>
      <c r="AO121" t="n">
        <v>3999.759</v>
      </c>
      <c r="AP121" t="n">
        <v>3743.315</v>
      </c>
      <c r="AQ121" t="n">
        <v>5000.431</v>
      </c>
      <c r="AR121" t="n">
        <v>4996.371</v>
      </c>
      <c r="AS121" t="n">
        <v>4953.911</v>
      </c>
      <c r="AT121" t="n">
        <v>5150.139</v>
      </c>
      <c r="AU121" t="n">
        <v>5538.591</v>
      </c>
      <c r="AV121" t="n">
        <v>6963.521</v>
      </c>
      <c r="AW121" t="n">
        <v>7159.229</v>
      </c>
      <c r="AX121" t="n">
        <v>7441.053</v>
      </c>
      <c r="AY121" t="n">
        <v>7492.642</v>
      </c>
      <c r="AZ121" t="n">
        <v>6796.576</v>
      </c>
      <c r="BA121" t="n">
        <v>5968.903</v>
      </c>
      <c r="BB121" t="n">
        <v>6644.606</v>
      </c>
      <c r="BC121" t="n">
        <v>5820.582</v>
      </c>
      <c r="BD121" t="n">
        <v>5726.85</v>
      </c>
      <c r="BE121" t="n">
        <v>5724.179</v>
      </c>
      <c r="BF121" t="n">
        <v>5781.04</v>
      </c>
      <c r="BG121" t="n">
        <v>5166.943</v>
      </c>
      <c r="BH121" t="n">
        <v>4064.997</v>
      </c>
      <c r="BI121" t="n">
        <v>4110.912</v>
      </c>
      <c r="BJ121" t="n">
        <v>4277.222</v>
      </c>
      <c r="BK121" t="n">
        <v>3839.995</v>
      </c>
      <c r="BL121" t="n">
        <v>4695.179</v>
      </c>
      <c r="BM121" t="n">
        <v>4433.056</v>
      </c>
      <c r="BN121" t="n">
        <v>3693.531</v>
      </c>
      <c r="BO121" t="n">
        <v>3777.441</v>
      </c>
      <c r="BP121" t="n">
        <v>3759.164</v>
      </c>
      <c r="BQ121" t="n">
        <v>3936.141</v>
      </c>
      <c r="BR121" t="n">
        <v>4614.496</v>
      </c>
      <c r="BS121" t="n">
        <v>4464.913</v>
      </c>
      <c r="BT121" t="n">
        <v>5664.284</v>
      </c>
      <c r="BU121" t="n">
        <v>4655.041</v>
      </c>
      <c r="BV121" t="n">
        <v>4361.518</v>
      </c>
    </row>
    <row r="122">
      <c r="A122" t="inlineStr">
        <is>
          <t>Sillaginidae</t>
        </is>
      </c>
      <c r="B122" t="inlineStr">
        <is>
          <t>Smelt-whitings</t>
        </is>
      </c>
      <c r="C122" t="inlineStr">
        <is>
          <t>Medium demersals (30 - 89 cm)</t>
        </is>
      </c>
      <c r="D122" t="inlineStr">
        <is>
          <t>Perch-likes</t>
        </is>
      </c>
      <c r="E122" t="n">
        <v>229.452</v>
      </c>
      <c r="F122" t="n">
        <v>227.702</v>
      </c>
      <c r="G122" t="n">
        <v>229.301</v>
      </c>
      <c r="H122" t="n">
        <v>230.874</v>
      </c>
      <c r="I122" t="n">
        <v>232.414</v>
      </c>
      <c r="J122" t="n">
        <v>233.928</v>
      </c>
      <c r="K122" t="n">
        <v>235.408</v>
      </c>
      <c r="L122" t="n">
        <v>236.851</v>
      </c>
      <c r="M122" t="n">
        <v>238.262</v>
      </c>
      <c r="N122" t="n">
        <v>239.635</v>
      </c>
      <c r="O122" t="n">
        <v>246.763</v>
      </c>
      <c r="P122" t="n">
        <v>259.851</v>
      </c>
      <c r="Q122" t="n">
        <v>270.094</v>
      </c>
      <c r="R122" t="n">
        <v>273.887</v>
      </c>
      <c r="S122" t="n">
        <v>277.656</v>
      </c>
      <c r="T122" t="n">
        <v>268.157</v>
      </c>
      <c r="U122" t="n">
        <v>262.956</v>
      </c>
      <c r="V122" t="n">
        <v>268.671</v>
      </c>
      <c r="W122" t="n">
        <v>279.615</v>
      </c>
      <c r="X122" t="n">
        <v>278.922</v>
      </c>
      <c r="Y122" t="n">
        <v>286.709</v>
      </c>
      <c r="Z122" t="n">
        <v>301.764</v>
      </c>
      <c r="AA122" t="n">
        <v>310</v>
      </c>
      <c r="AB122" t="n">
        <v>316.996</v>
      </c>
      <c r="AC122" t="n">
        <v>327.81</v>
      </c>
      <c r="AD122" t="n">
        <v>320.829</v>
      </c>
      <c r="AE122" t="n">
        <v>327.426</v>
      </c>
      <c r="AF122" t="n">
        <v>324.91</v>
      </c>
      <c r="AG122" t="n">
        <v>323.746</v>
      </c>
      <c r="AH122" t="n">
        <v>319.912</v>
      </c>
      <c r="AI122" t="n">
        <v>316.105</v>
      </c>
      <c r="AJ122" t="n">
        <v>311.652</v>
      </c>
      <c r="AK122" t="n">
        <v>308.513</v>
      </c>
      <c r="AL122" t="n">
        <v>303.215</v>
      </c>
      <c r="AM122" t="n">
        <v>297.573</v>
      </c>
      <c r="AN122" t="n">
        <v>322.277</v>
      </c>
      <c r="AO122" t="n">
        <v>297.396</v>
      </c>
      <c r="AP122" t="n">
        <v>321.035</v>
      </c>
      <c r="AQ122" t="n">
        <v>297.965</v>
      </c>
      <c r="AR122" t="n">
        <v>288.884</v>
      </c>
      <c r="AS122" t="n">
        <v>321.598</v>
      </c>
      <c r="AT122" t="n">
        <v>367.958</v>
      </c>
      <c r="AU122" t="n">
        <v>301.692</v>
      </c>
      <c r="AV122" t="n">
        <v>359.627</v>
      </c>
      <c r="AW122" t="n">
        <v>2730.618</v>
      </c>
      <c r="AX122" t="n">
        <v>4473.036</v>
      </c>
      <c r="AY122" t="n">
        <v>9956.883</v>
      </c>
      <c r="AZ122" t="n">
        <v>10283.94</v>
      </c>
      <c r="BA122" t="n">
        <v>11225.476</v>
      </c>
      <c r="BB122" t="n">
        <v>6461.546</v>
      </c>
      <c r="BC122" t="n">
        <v>8734.421</v>
      </c>
      <c r="BD122" t="n">
        <v>8735.655000000001</v>
      </c>
      <c r="BE122" t="n">
        <v>8736.532999999999</v>
      </c>
      <c r="BF122" t="n">
        <v>8737.054</v>
      </c>
      <c r="BG122" t="n">
        <v>8737.218999999999</v>
      </c>
      <c r="BH122" t="n">
        <v>8737.027</v>
      </c>
      <c r="BI122" t="n">
        <v>8736.478999999999</v>
      </c>
      <c r="BJ122" t="n">
        <v>8735.574000000001</v>
      </c>
      <c r="BK122" t="n">
        <v>8734.313</v>
      </c>
      <c r="BL122" t="n">
        <v>8740.721</v>
      </c>
      <c r="BM122" t="n">
        <v>8747.129999999999</v>
      </c>
      <c r="BN122" t="n">
        <v>8747.069</v>
      </c>
      <c r="BO122" t="n">
        <v>8750.629000000001</v>
      </c>
      <c r="BP122" t="n">
        <v>8754.280000000001</v>
      </c>
      <c r="BQ122" t="n">
        <v>8757.971</v>
      </c>
      <c r="BR122" t="n">
        <v>8760.628000000001</v>
      </c>
      <c r="BS122" t="n">
        <v>8762.209000000001</v>
      </c>
      <c r="BT122" t="n">
        <v>8762.707</v>
      </c>
      <c r="BU122" t="n">
        <v>8762.707</v>
      </c>
      <c r="BV122" t="n">
        <v>8919.617</v>
      </c>
    </row>
    <row r="123">
      <c r="A123" t="inlineStr">
        <is>
          <t>Placuna placenta</t>
        </is>
      </c>
      <c r="B123" t="inlineStr">
        <is>
          <t>Windowpane oyster</t>
        </is>
      </c>
      <c r="C123" t="inlineStr">
        <is>
          <t>Other demersal invertebrates</t>
        </is>
      </c>
      <c r="D123" t="inlineStr">
        <is>
          <t>Molluscs</t>
        </is>
      </c>
      <c r="E123" t="n">
        <v>3551.697</v>
      </c>
      <c r="F123" t="n">
        <v>3551.697</v>
      </c>
      <c r="G123" t="n">
        <v>3551.697</v>
      </c>
      <c r="H123" t="n">
        <v>3551.697</v>
      </c>
      <c r="I123" t="n">
        <v>3551.697</v>
      </c>
      <c r="J123" t="n">
        <v>3551.697</v>
      </c>
      <c r="K123" t="n">
        <v>3551.697</v>
      </c>
      <c r="L123" t="n">
        <v>3551.697</v>
      </c>
      <c r="M123" t="n">
        <v>3551.697</v>
      </c>
      <c r="N123" t="n">
        <v>3551.697</v>
      </c>
      <c r="O123" t="n">
        <v>3551.697</v>
      </c>
      <c r="P123" t="n">
        <v>3551.697</v>
      </c>
      <c r="Q123" t="n">
        <v>3551.697</v>
      </c>
      <c r="R123" t="n">
        <v>3551.697</v>
      </c>
      <c r="S123" t="n">
        <v>3551.697</v>
      </c>
      <c r="T123" t="n">
        <v>3551.697</v>
      </c>
      <c r="U123" t="n">
        <v>3551.697</v>
      </c>
      <c r="V123" t="n">
        <v>3551.697</v>
      </c>
      <c r="W123" t="n">
        <v>3551.697</v>
      </c>
      <c r="X123" t="n">
        <v>3603.928</v>
      </c>
      <c r="Y123" t="n">
        <v>3656.159</v>
      </c>
      <c r="Z123" t="n">
        <v>3708.39</v>
      </c>
      <c r="AA123" t="n">
        <v>3760.621</v>
      </c>
      <c r="AB123" t="n">
        <v>3812.852</v>
      </c>
      <c r="AC123" t="n">
        <v>3865.083</v>
      </c>
      <c r="AD123" t="n">
        <v>3917.313</v>
      </c>
      <c r="AE123" t="n">
        <v>3969.544</v>
      </c>
      <c r="AF123" t="n">
        <v>4021.775</v>
      </c>
      <c r="AG123" t="n">
        <v>4074.006</v>
      </c>
      <c r="AH123" t="n">
        <v>4126.237</v>
      </c>
      <c r="AI123" t="n">
        <v>4178.468</v>
      </c>
      <c r="AJ123" t="n">
        <v>4230.698</v>
      </c>
      <c r="AK123" t="n">
        <v>4282.929</v>
      </c>
      <c r="AL123" t="n">
        <v>4335.16</v>
      </c>
      <c r="AM123" t="n">
        <v>4387.391</v>
      </c>
      <c r="AN123" t="n">
        <v>4439.622</v>
      </c>
      <c r="AO123" t="n">
        <v>4439.622</v>
      </c>
      <c r="AP123" t="n">
        <v>4439.622</v>
      </c>
      <c r="AQ123" t="n">
        <v>4439.622</v>
      </c>
      <c r="AR123" t="n">
        <v>4439.622</v>
      </c>
      <c r="AS123" t="n">
        <v>4439.622</v>
      </c>
      <c r="AT123" t="n">
        <v>4439.622</v>
      </c>
      <c r="AU123" t="n">
        <v>4439.622</v>
      </c>
      <c r="AV123" t="n">
        <v>4439.622</v>
      </c>
      <c r="AW123" t="n">
        <v>4439.622</v>
      </c>
      <c r="AX123" t="n">
        <v>4439.622</v>
      </c>
      <c r="AY123" t="n">
        <v>4439.622</v>
      </c>
      <c r="AZ123" t="n">
        <v>4439.622</v>
      </c>
      <c r="BA123" t="n">
        <v>4439.622</v>
      </c>
      <c r="BB123" t="n">
        <v>4439.622</v>
      </c>
      <c r="BC123" t="n">
        <v>4439.622</v>
      </c>
      <c r="BD123" t="n">
        <v>4073.256</v>
      </c>
      <c r="BE123" t="n">
        <v>3706.89</v>
      </c>
      <c r="BF123" t="n">
        <v>3340.525</v>
      </c>
      <c r="BG123" t="n">
        <v>2974.159</v>
      </c>
      <c r="BH123" t="n">
        <v>2607.793</v>
      </c>
      <c r="BI123" t="n">
        <v>2241.428</v>
      </c>
      <c r="BJ123" t="n">
        <v>1875.062</v>
      </c>
      <c r="BK123" t="n">
        <v>1508.696</v>
      </c>
      <c r="BL123" t="n">
        <v>1142.331</v>
      </c>
      <c r="BM123" t="n">
        <v>775.965</v>
      </c>
      <c r="BN123" t="n">
        <v>409.6</v>
      </c>
      <c r="BO123" t="n">
        <v>409.6</v>
      </c>
      <c r="BP123" t="n">
        <v>409.6</v>
      </c>
      <c r="BQ123" t="n">
        <v>409.6</v>
      </c>
      <c r="BR123" t="n">
        <v>278.432</v>
      </c>
      <c r="BS123" t="n">
        <v>254.265</v>
      </c>
      <c r="BT123" t="n">
        <v>311.918</v>
      </c>
      <c r="BU123" t="n">
        <v>398.872</v>
      </c>
      <c r="BV123" t="n">
        <v>340.194</v>
      </c>
    </row>
    <row r="124">
      <c r="A124" t="inlineStr">
        <is>
          <t>Chondrichthyes</t>
        </is>
      </c>
      <c r="B124" t="inlineStr">
        <is>
          <t>Sharks, rays, chimaeras</t>
        </is>
      </c>
      <c r="C124" t="inlineStr">
        <is>
          <t>Large sharks (&gt;=90 cm)</t>
        </is>
      </c>
      <c r="D124" t="inlineStr">
        <is>
          <t>Sharks &amp; rays</t>
        </is>
      </c>
      <c r="E124" t="n">
        <v>731.8630000000001</v>
      </c>
      <c r="F124" t="n">
        <v>760.173</v>
      </c>
      <c r="G124" t="n">
        <v>833.89</v>
      </c>
      <c r="H124" t="n">
        <v>906.575</v>
      </c>
      <c r="I124" t="n">
        <v>1342.142</v>
      </c>
      <c r="J124" t="n">
        <v>1177.088</v>
      </c>
      <c r="K124" t="n">
        <v>1595.64</v>
      </c>
      <c r="L124" t="n">
        <v>1455.746</v>
      </c>
      <c r="M124" t="n">
        <v>2024.26</v>
      </c>
      <c r="N124" t="n">
        <v>1878.216</v>
      </c>
      <c r="O124" t="n">
        <v>1972.435</v>
      </c>
      <c r="P124" t="n">
        <v>1825.766</v>
      </c>
      <c r="Q124" t="n">
        <v>2734.442</v>
      </c>
      <c r="R124" t="n">
        <v>2282.261</v>
      </c>
      <c r="S124" t="n">
        <v>3666.999</v>
      </c>
      <c r="T124" t="n">
        <v>2181.219</v>
      </c>
      <c r="U124" t="n">
        <v>2521.398</v>
      </c>
      <c r="V124" t="n">
        <v>2748.09</v>
      </c>
      <c r="W124" t="n">
        <v>2144.615</v>
      </c>
      <c r="X124" t="n">
        <v>3100.88</v>
      </c>
      <c r="Y124" t="n">
        <v>2875.188</v>
      </c>
      <c r="Z124" t="n">
        <v>2669.098</v>
      </c>
      <c r="AA124" t="n">
        <v>3031.286</v>
      </c>
      <c r="AB124" t="n">
        <v>2789.445</v>
      </c>
      <c r="AC124" t="n">
        <v>4169.913</v>
      </c>
      <c r="AD124" t="n">
        <v>4589.037</v>
      </c>
      <c r="AE124" t="n">
        <v>5140.902</v>
      </c>
      <c r="AF124" t="n">
        <v>4336.27</v>
      </c>
      <c r="AG124" t="n">
        <v>5087.318</v>
      </c>
      <c r="AH124" t="n">
        <v>3964.924</v>
      </c>
      <c r="AI124" t="n">
        <v>3523.759</v>
      </c>
      <c r="AJ124" t="n">
        <v>4825.665</v>
      </c>
      <c r="AK124" t="n">
        <v>6236.622</v>
      </c>
      <c r="AL124" t="n">
        <v>4890.123</v>
      </c>
      <c r="AM124" t="n">
        <v>4704.88</v>
      </c>
      <c r="AN124" t="n">
        <v>3146.906</v>
      </c>
      <c r="AO124" t="n">
        <v>3159.052</v>
      </c>
      <c r="AP124" t="n">
        <v>3208.698</v>
      </c>
      <c r="AQ124" t="n">
        <v>3196.032</v>
      </c>
      <c r="AR124" t="n">
        <v>3210.571</v>
      </c>
      <c r="AS124" t="n">
        <v>2913.934</v>
      </c>
      <c r="AT124" t="n">
        <v>3204.74</v>
      </c>
      <c r="AU124" t="n">
        <v>4034.976</v>
      </c>
      <c r="AV124" t="n">
        <v>4093.992</v>
      </c>
      <c r="AW124" t="n">
        <v>2574.059</v>
      </c>
      <c r="AX124" t="n">
        <v>3918.973</v>
      </c>
      <c r="AY124" t="n">
        <v>3540.203</v>
      </c>
      <c r="AZ124" t="n">
        <v>3215.866</v>
      </c>
      <c r="BA124" t="n">
        <v>3804.354</v>
      </c>
      <c r="BB124" t="n">
        <v>2474.789</v>
      </c>
      <c r="BC124" t="n">
        <v>4056.83</v>
      </c>
      <c r="BD124" t="n">
        <v>2979.126</v>
      </c>
      <c r="BE124" t="n">
        <v>3054.521</v>
      </c>
      <c r="BF124" t="n">
        <v>4908.802</v>
      </c>
      <c r="BG124" t="n">
        <v>5064.104</v>
      </c>
      <c r="BH124" t="n">
        <v>2797.349</v>
      </c>
      <c r="BI124" t="n">
        <v>3886.13</v>
      </c>
      <c r="BJ124" t="n">
        <v>3633.788</v>
      </c>
      <c r="BK124" t="n">
        <v>4198.277</v>
      </c>
      <c r="BL124" t="n">
        <v>3223.281</v>
      </c>
      <c r="BM124" t="n">
        <v>3735.956</v>
      </c>
      <c r="BN124" t="n">
        <v>3592.953</v>
      </c>
      <c r="BO124" t="n">
        <v>3762.519</v>
      </c>
      <c r="BP124" t="n">
        <v>3794.903</v>
      </c>
      <c r="BQ124" t="n">
        <v>4109.163</v>
      </c>
      <c r="BR124" t="n">
        <v>3540.21</v>
      </c>
      <c r="BS124" t="n">
        <v>3824.498</v>
      </c>
      <c r="BT124" t="n">
        <v>3657.683</v>
      </c>
      <c r="BU124" t="n">
        <v>3460.054</v>
      </c>
      <c r="BV124" t="n">
        <v>3862.21</v>
      </c>
    </row>
    <row r="125">
      <c r="A125" t="inlineStr">
        <is>
          <t>Terapon jarbua</t>
        </is>
      </c>
      <c r="B125" t="inlineStr">
        <is>
          <t>Jarbua terapon</t>
        </is>
      </c>
      <c r="C125" t="inlineStr">
        <is>
          <t>Medium demersals (30 - 89 cm)</t>
        </is>
      </c>
      <c r="D125" t="inlineStr">
        <is>
          <t>Perch-likes</t>
        </is>
      </c>
      <c r="E125" t="n">
        <v>2526.077</v>
      </c>
      <c r="F125" t="n">
        <v>2502.701</v>
      </c>
      <c r="G125" t="n">
        <v>2518.201</v>
      </c>
      <c r="H125" t="n">
        <v>2533.412</v>
      </c>
      <c r="I125" t="n">
        <v>2548.24</v>
      </c>
      <c r="J125" t="n">
        <v>2562.765</v>
      </c>
      <c r="K125" t="n">
        <v>2576.892</v>
      </c>
      <c r="L125" t="n">
        <v>2590.586</v>
      </c>
      <c r="M125" t="n">
        <v>2603.919</v>
      </c>
      <c r="N125" t="n">
        <v>2616.797</v>
      </c>
      <c r="O125" t="n">
        <v>2696.509</v>
      </c>
      <c r="P125" t="n">
        <v>2845.425</v>
      </c>
      <c r="Q125" t="n">
        <v>2841.678</v>
      </c>
      <c r="R125" t="n">
        <v>2873.337</v>
      </c>
      <c r="S125" t="n">
        <v>2904.725</v>
      </c>
      <c r="T125" t="n">
        <v>2935.756</v>
      </c>
      <c r="U125" t="n">
        <v>2960.129</v>
      </c>
      <c r="V125" t="n">
        <v>2984.022</v>
      </c>
      <c r="W125" t="n">
        <v>3007.309</v>
      </c>
      <c r="X125" t="n">
        <v>3030.002</v>
      </c>
      <c r="Y125" t="n">
        <v>2987.23</v>
      </c>
      <c r="Z125" t="n">
        <v>3074.157</v>
      </c>
      <c r="AA125" t="n">
        <v>3095.554</v>
      </c>
      <c r="AB125" t="n">
        <v>3116.203</v>
      </c>
      <c r="AC125" t="n">
        <v>3194.85</v>
      </c>
      <c r="AD125" t="n">
        <v>3146.794</v>
      </c>
      <c r="AE125" t="n">
        <v>3258.864</v>
      </c>
      <c r="AF125" t="n">
        <v>3267.579</v>
      </c>
      <c r="AG125" t="n">
        <v>3294.462</v>
      </c>
      <c r="AH125" t="n">
        <v>3292.804</v>
      </c>
      <c r="AI125" t="n">
        <v>3293.917</v>
      </c>
      <c r="AJ125" t="n">
        <v>3289.987</v>
      </c>
      <c r="AK125" t="n">
        <v>3303.781</v>
      </c>
      <c r="AL125" t="n">
        <v>3294.97</v>
      </c>
      <c r="AM125" t="n">
        <v>3284.634</v>
      </c>
      <c r="AN125" t="n">
        <v>3376.142</v>
      </c>
      <c r="AO125" t="n">
        <v>3259.782</v>
      </c>
      <c r="AP125" t="n">
        <v>3244.78</v>
      </c>
      <c r="AQ125" t="n">
        <v>3278.466</v>
      </c>
      <c r="AR125" t="n">
        <v>3209.899</v>
      </c>
      <c r="AS125" t="n">
        <v>3280.363</v>
      </c>
      <c r="AT125" t="n">
        <v>3292.377</v>
      </c>
      <c r="AU125" t="n">
        <v>3301.632</v>
      </c>
      <c r="AV125" t="n">
        <v>3308.137</v>
      </c>
      <c r="AW125" t="n">
        <v>3311.891</v>
      </c>
      <c r="AX125" t="n">
        <v>3312.895</v>
      </c>
      <c r="AY125" t="n">
        <v>3311.149</v>
      </c>
      <c r="AZ125" t="n">
        <v>3306.652</v>
      </c>
      <c r="BA125" t="n">
        <v>3299.404</v>
      </c>
      <c r="BB125" t="n">
        <v>3289.406</v>
      </c>
      <c r="BC125" t="n">
        <v>3276.654</v>
      </c>
      <c r="BD125" t="n">
        <v>3290.973</v>
      </c>
      <c r="BE125" t="n">
        <v>3301.167</v>
      </c>
      <c r="BF125" t="n">
        <v>3307.221</v>
      </c>
      <c r="BG125" t="n">
        <v>3309.135</v>
      </c>
      <c r="BH125" t="n">
        <v>3306.909</v>
      </c>
      <c r="BI125" t="n">
        <v>3300.544</v>
      </c>
      <c r="BJ125" t="n">
        <v>3290.039</v>
      </c>
      <c r="BK125" t="n">
        <v>3275.395</v>
      </c>
      <c r="BL125" t="n">
        <v>3349.799</v>
      </c>
      <c r="BM125" t="n">
        <v>3424.216</v>
      </c>
      <c r="BN125" t="n">
        <v>3423.516</v>
      </c>
      <c r="BO125" t="n">
        <v>3464.841</v>
      </c>
      <c r="BP125" t="n">
        <v>3507.243</v>
      </c>
      <c r="BQ125" t="n">
        <v>3550.094</v>
      </c>
      <c r="BR125" t="n">
        <v>3580.954</v>
      </c>
      <c r="BS125" t="n">
        <v>3599.31</v>
      </c>
      <c r="BT125" t="n">
        <v>3605.089</v>
      </c>
      <c r="BU125" t="n">
        <v>3605.089</v>
      </c>
      <c r="BV125" t="n">
        <v>3605.089</v>
      </c>
    </row>
    <row r="126">
      <c r="A126" t="inlineStr">
        <is>
          <t>Upeneus vittatus</t>
        </is>
      </c>
      <c r="B126" t="inlineStr">
        <is>
          <t>Yellowstriped goatfish</t>
        </is>
      </c>
      <c r="C126" t="inlineStr">
        <is>
          <t>Small reef assoc. fish (&lt;30 cm)</t>
        </is>
      </c>
      <c r="D126" t="inlineStr">
        <is>
          <t>Perch-likes</t>
        </is>
      </c>
      <c r="E126" t="n">
        <v>258.684</v>
      </c>
      <c r="F126" t="n">
        <v>275.93</v>
      </c>
      <c r="G126" t="n">
        <v>293.175</v>
      </c>
      <c r="H126" t="n">
        <v>310.421</v>
      </c>
      <c r="I126" t="n">
        <v>327.666</v>
      </c>
      <c r="J126" t="n">
        <v>327.666</v>
      </c>
      <c r="K126" t="n">
        <v>344.912</v>
      </c>
      <c r="L126" t="n">
        <v>327.666</v>
      </c>
      <c r="M126" t="n">
        <v>344.912</v>
      </c>
      <c r="N126" t="n">
        <v>327.666</v>
      </c>
      <c r="O126" t="n">
        <v>327.666</v>
      </c>
      <c r="P126" t="n">
        <v>433.489</v>
      </c>
      <c r="Q126" t="n">
        <v>548.447</v>
      </c>
      <c r="R126" t="n">
        <v>670.876</v>
      </c>
      <c r="S126" t="n">
        <v>807.199</v>
      </c>
      <c r="T126" t="n">
        <v>1036.013</v>
      </c>
      <c r="U126" t="n">
        <v>1271.189</v>
      </c>
      <c r="V126" t="n">
        <v>1333.055</v>
      </c>
      <c r="W126" t="n">
        <v>1443.926</v>
      </c>
      <c r="X126" t="n">
        <v>1587.169</v>
      </c>
      <c r="Y126" t="n">
        <v>1800.228</v>
      </c>
      <c r="Z126" t="n">
        <v>1885.901</v>
      </c>
      <c r="AA126" t="n">
        <v>1819.446</v>
      </c>
      <c r="AB126" t="n">
        <v>1801.246</v>
      </c>
      <c r="AC126" t="n">
        <v>1799.97</v>
      </c>
      <c r="AD126" t="n">
        <v>2021.286</v>
      </c>
      <c r="AE126" t="n">
        <v>2530.438</v>
      </c>
      <c r="AF126" t="n">
        <v>2601.677</v>
      </c>
      <c r="AG126" t="n">
        <v>2424.93</v>
      </c>
      <c r="AH126" t="n">
        <v>2292.746</v>
      </c>
      <c r="AI126" t="n">
        <v>2459.367</v>
      </c>
      <c r="AJ126" t="n">
        <v>1898.923</v>
      </c>
      <c r="AK126" t="n">
        <v>1311.342</v>
      </c>
      <c r="AL126" t="n">
        <v>1585.451</v>
      </c>
      <c r="AM126" t="n">
        <v>1676.381</v>
      </c>
      <c r="AN126" t="n">
        <v>1947.918</v>
      </c>
      <c r="AO126" t="n">
        <v>2247.358</v>
      </c>
      <c r="AP126" t="n">
        <v>2692.341</v>
      </c>
      <c r="AQ126" t="n">
        <v>2610.133</v>
      </c>
      <c r="AR126" t="n">
        <v>2846.842</v>
      </c>
      <c r="AS126" t="n">
        <v>2898.188</v>
      </c>
      <c r="AT126" t="n">
        <v>3297.939</v>
      </c>
      <c r="AU126" t="n">
        <v>3202.942</v>
      </c>
      <c r="AV126" t="n">
        <v>5382.896</v>
      </c>
      <c r="AW126" t="n">
        <v>5365.732</v>
      </c>
      <c r="AX126" t="n">
        <v>5738.444</v>
      </c>
      <c r="AY126" t="n">
        <v>6039.476</v>
      </c>
      <c r="AZ126" t="n">
        <v>6571.069</v>
      </c>
      <c r="BA126" t="n">
        <v>6840.038</v>
      </c>
      <c r="BB126" t="n">
        <v>6513.339</v>
      </c>
      <c r="BC126" t="n">
        <v>6376.621</v>
      </c>
      <c r="BD126" t="n">
        <v>6470.996</v>
      </c>
      <c r="BE126" t="n">
        <v>5999.863</v>
      </c>
      <c r="BF126" t="n">
        <v>7221.119</v>
      </c>
      <c r="BG126" t="n">
        <v>5778.532</v>
      </c>
      <c r="BH126" t="n">
        <v>5278.71</v>
      </c>
      <c r="BI126" t="n">
        <v>5326.162</v>
      </c>
      <c r="BJ126" t="n">
        <v>5447.767</v>
      </c>
      <c r="BK126" t="n">
        <v>6793.186</v>
      </c>
      <c r="BL126" t="n">
        <v>4707.614</v>
      </c>
      <c r="BM126" t="n">
        <v>4456.057</v>
      </c>
      <c r="BN126" t="n">
        <v>4572.871</v>
      </c>
      <c r="BO126" t="n">
        <v>4676.758</v>
      </c>
      <c r="BP126" t="n">
        <v>4654.13</v>
      </c>
      <c r="BQ126" t="n">
        <v>4873.241</v>
      </c>
      <c r="BR126" t="n">
        <v>5713.658</v>
      </c>
      <c r="BS126" t="n">
        <v>5528.445</v>
      </c>
      <c r="BT126" t="n">
        <v>7013.503</v>
      </c>
      <c r="BU126" t="n">
        <v>5763.861</v>
      </c>
      <c r="BV126" t="n">
        <v>7047.606</v>
      </c>
    </row>
    <row r="127">
      <c r="A127" t="inlineStr">
        <is>
          <t>Teuthida</t>
        </is>
      </c>
      <c r="B127" t="inlineStr">
        <is>
          <t>Squids</t>
        </is>
      </c>
      <c r="C127" t="inlineStr">
        <is>
          <t>Cephalopods</t>
        </is>
      </c>
      <c r="D127" t="inlineStr">
        <is>
          <t>Other fishes &amp; inverts</t>
        </is>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2.177</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3835.128</v>
      </c>
      <c r="BJ127" t="n">
        <v>2695.461</v>
      </c>
      <c r="BK127" t="n">
        <v>5841.089</v>
      </c>
      <c r="BL127" t="n">
        <v>8090.208</v>
      </c>
      <c r="BM127" t="n">
        <v>14427.469</v>
      </c>
      <c r="BN127" t="n">
        <v>13600.515</v>
      </c>
      <c r="BO127" t="n">
        <v>11818.705</v>
      </c>
      <c r="BP127" t="n">
        <v>11477.657</v>
      </c>
      <c r="BQ127" t="n">
        <v>8457.620999999999</v>
      </c>
      <c r="BR127" t="n">
        <v>19553.375</v>
      </c>
      <c r="BS127" t="n">
        <v>24979.017</v>
      </c>
      <c r="BT127" t="n">
        <v>32385.995</v>
      </c>
      <c r="BU127" t="n">
        <v>29539.248</v>
      </c>
      <c r="BV127" t="n">
        <v>25324.554</v>
      </c>
    </row>
    <row r="128">
      <c r="A128" t="inlineStr">
        <is>
          <t>Psettodidae</t>
        </is>
      </c>
      <c r="B128" t="inlineStr">
        <is>
          <t>Turbots, Indian halibuts</t>
        </is>
      </c>
      <c r="C128" t="inlineStr">
        <is>
          <t>Small to medium flatfishes (&lt;90 cm)</t>
        </is>
      </c>
      <c r="D128" t="inlineStr">
        <is>
          <t>Flatfishes</t>
        </is>
      </c>
      <c r="E128" t="n">
        <v>91.822</v>
      </c>
      <c r="F128" t="n">
        <v>154.552</v>
      </c>
      <c r="G128" t="n">
        <v>226.399</v>
      </c>
      <c r="H128" t="n">
        <v>221.291</v>
      </c>
      <c r="I128" t="n">
        <v>215.863</v>
      </c>
      <c r="J128" t="n">
        <v>215.608</v>
      </c>
      <c r="K128" t="n">
        <v>215.714</v>
      </c>
      <c r="L128" t="n">
        <v>215.351</v>
      </c>
      <c r="M128" t="n">
        <v>217.219</v>
      </c>
      <c r="N128" t="n">
        <v>217.249</v>
      </c>
      <c r="O128" t="n">
        <v>227.069</v>
      </c>
      <c r="P128" t="n">
        <v>272.011</v>
      </c>
      <c r="Q128" t="n">
        <v>349.88</v>
      </c>
      <c r="R128" t="n">
        <v>499.256</v>
      </c>
      <c r="S128" t="n">
        <v>619.05</v>
      </c>
      <c r="T128" t="n">
        <v>753.389</v>
      </c>
      <c r="U128" t="n">
        <v>956.174</v>
      </c>
      <c r="V128" t="n">
        <v>1058.844</v>
      </c>
      <c r="W128" t="n">
        <v>1139.193</v>
      </c>
      <c r="X128" t="n">
        <v>1293.367</v>
      </c>
      <c r="Y128" t="n">
        <v>1392.577</v>
      </c>
      <c r="Z128" t="n">
        <v>1500.364</v>
      </c>
      <c r="AA128" t="n">
        <v>1454.108</v>
      </c>
      <c r="AB128" t="n">
        <v>1564.626</v>
      </c>
      <c r="AC128" t="n">
        <v>1644.474</v>
      </c>
      <c r="AD128" t="n">
        <v>1559.444</v>
      </c>
      <c r="AE128" t="n">
        <v>2023.113</v>
      </c>
      <c r="AF128" t="n">
        <v>2164.944</v>
      </c>
      <c r="AG128" t="n">
        <v>2457.243</v>
      </c>
      <c r="AH128" t="n">
        <v>3072.877</v>
      </c>
      <c r="AI128" t="n">
        <v>2023.885</v>
      </c>
      <c r="AJ128" t="n">
        <v>2285.641</v>
      </c>
      <c r="AK128" t="n">
        <v>2530.862</v>
      </c>
      <c r="AL128" t="n">
        <v>2117.446</v>
      </c>
      <c r="AM128" t="n">
        <v>2390.42</v>
      </c>
      <c r="AN128" t="n">
        <v>2671.444</v>
      </c>
      <c r="AO128" t="n">
        <v>2773.84</v>
      </c>
      <c r="AP128" t="n">
        <v>3196.329</v>
      </c>
      <c r="AQ128" t="n">
        <v>3678.626</v>
      </c>
      <c r="AR128" t="n">
        <v>4086.217</v>
      </c>
      <c r="AS128" t="n">
        <v>3656.95</v>
      </c>
      <c r="AT128" t="n">
        <v>3740.638</v>
      </c>
      <c r="AU128" t="n">
        <v>4029.986</v>
      </c>
      <c r="AV128" t="n">
        <v>4818.087</v>
      </c>
      <c r="AW128" t="n">
        <v>5508.155</v>
      </c>
      <c r="AX128" t="n">
        <v>5504.343</v>
      </c>
      <c r="AY128" t="n">
        <v>5982.308</v>
      </c>
      <c r="AZ128" t="n">
        <v>7799.292</v>
      </c>
      <c r="BA128" t="n">
        <v>6396.996</v>
      </c>
      <c r="BB128" t="n">
        <v>6665.865</v>
      </c>
      <c r="BC128" t="n">
        <v>6207.172</v>
      </c>
      <c r="BD128" t="n">
        <v>5870.199</v>
      </c>
      <c r="BE128" t="n">
        <v>6158.03</v>
      </c>
      <c r="BF128" t="n">
        <v>6647.461</v>
      </c>
      <c r="BG128" t="n">
        <v>4787.959</v>
      </c>
      <c r="BH128" t="n">
        <v>4712.911</v>
      </c>
      <c r="BI128" t="n">
        <v>5217.604</v>
      </c>
      <c r="BJ128" t="n">
        <v>4332.066</v>
      </c>
      <c r="BK128" t="n">
        <v>4180.003</v>
      </c>
      <c r="BL128" t="n">
        <v>3819.214</v>
      </c>
      <c r="BM128" t="n">
        <v>3762.604</v>
      </c>
      <c r="BN128" t="n">
        <v>4109.971</v>
      </c>
      <c r="BO128" t="n">
        <v>4200.34</v>
      </c>
      <c r="BP128" t="n">
        <v>4174.329</v>
      </c>
      <c r="BQ128" t="n">
        <v>4372.932</v>
      </c>
      <c r="BR128" t="n">
        <v>5070.217</v>
      </c>
      <c r="BS128" t="n">
        <v>4940.721</v>
      </c>
      <c r="BT128" t="n">
        <v>6140.61</v>
      </c>
      <c r="BU128" t="n">
        <v>5084.697</v>
      </c>
      <c r="BV128" t="n">
        <v>5355.271</v>
      </c>
    </row>
    <row r="129">
      <c r="A129" t="inlineStr">
        <is>
          <t>Tetraodontidae</t>
        </is>
      </c>
      <c r="B129" t="inlineStr">
        <is>
          <t>Puffers, tobies</t>
        </is>
      </c>
      <c r="C129" t="inlineStr">
        <is>
          <t>Large reef assoc. fish (&gt;=90 cm)</t>
        </is>
      </c>
      <c r="D129" t="inlineStr">
        <is>
          <t>Other fishes &amp; inverts</t>
        </is>
      </c>
      <c r="E129" t="n">
        <v>430.387</v>
      </c>
      <c r="F129" t="n">
        <v>430.387</v>
      </c>
      <c r="G129" t="n">
        <v>576.5</v>
      </c>
      <c r="H129" t="n">
        <v>501.953</v>
      </c>
      <c r="I129" t="n">
        <v>430.387</v>
      </c>
      <c r="J129" t="n">
        <v>430.387</v>
      </c>
      <c r="K129" t="n">
        <v>430.387</v>
      </c>
      <c r="L129" t="n">
        <v>417.466</v>
      </c>
      <c r="M129" t="n">
        <v>445.297</v>
      </c>
      <c r="N129" t="n">
        <v>430.387</v>
      </c>
      <c r="O129" t="n">
        <v>574.513</v>
      </c>
      <c r="P129" t="n">
        <v>738.5170000000001</v>
      </c>
      <c r="Q129" t="n">
        <v>749.451</v>
      </c>
      <c r="R129" t="n">
        <v>1288.18</v>
      </c>
      <c r="S129" t="n">
        <v>1196.735</v>
      </c>
      <c r="T129" t="n">
        <v>1270.476</v>
      </c>
      <c r="U129" t="n">
        <v>1590.715</v>
      </c>
      <c r="V129" t="n">
        <v>1986.598</v>
      </c>
      <c r="W129" t="n">
        <v>2030.544</v>
      </c>
      <c r="X129" t="n">
        <v>1866.673</v>
      </c>
      <c r="Y129" t="n">
        <v>1633.144</v>
      </c>
      <c r="Z129" t="n">
        <v>1916.931</v>
      </c>
      <c r="AA129" t="n">
        <v>1809.803</v>
      </c>
      <c r="AB129" t="n">
        <v>2073.815</v>
      </c>
      <c r="AC129" t="n">
        <v>2697.213</v>
      </c>
      <c r="AD129" t="n">
        <v>2626.993</v>
      </c>
      <c r="AE129" t="n">
        <v>2794.275</v>
      </c>
      <c r="AF129" t="n">
        <v>3428.575</v>
      </c>
      <c r="AG129" t="n">
        <v>3155.416</v>
      </c>
      <c r="AH129" t="n">
        <v>2760.564</v>
      </c>
      <c r="AI129" t="n">
        <v>2805.787</v>
      </c>
      <c r="AJ129" t="n">
        <v>2954.09</v>
      </c>
      <c r="AK129" t="n">
        <v>3038.844</v>
      </c>
      <c r="AL129" t="n">
        <v>3158.544</v>
      </c>
      <c r="AM129" t="n">
        <v>2756.764</v>
      </c>
      <c r="AN129" t="n">
        <v>3044.318</v>
      </c>
      <c r="AO129" t="n">
        <v>3594.979</v>
      </c>
      <c r="AP129" t="n">
        <v>4374.015</v>
      </c>
      <c r="AQ129" t="n">
        <v>3431.581</v>
      </c>
      <c r="AR129" t="n">
        <v>4175.477</v>
      </c>
      <c r="AS129" t="n">
        <v>4542.758</v>
      </c>
      <c r="AT129" t="n">
        <v>3396.844</v>
      </c>
      <c r="AU129" t="n">
        <v>3523.21</v>
      </c>
      <c r="AV129" t="n">
        <v>3626.634</v>
      </c>
      <c r="AW129" t="n">
        <v>3562.773</v>
      </c>
      <c r="AX129" t="n">
        <v>3811.711</v>
      </c>
      <c r="AY129" t="n">
        <v>3879.53</v>
      </c>
      <c r="AZ129" t="n">
        <v>3800.789</v>
      </c>
      <c r="BA129" t="n">
        <v>4493.638</v>
      </c>
      <c r="BB129" t="n">
        <v>3982.638</v>
      </c>
      <c r="BC129" t="n">
        <v>4469.653</v>
      </c>
      <c r="BD129" t="n">
        <v>4283.256</v>
      </c>
      <c r="BE129" t="n">
        <v>4588.717</v>
      </c>
      <c r="BF129" t="n">
        <v>4643.24</v>
      </c>
      <c r="BG129" t="n">
        <v>4828.497</v>
      </c>
      <c r="BH129" t="n">
        <v>4275.688</v>
      </c>
      <c r="BI129" t="n">
        <v>5095.147</v>
      </c>
      <c r="BJ129" t="n">
        <v>5032.345</v>
      </c>
      <c r="BK129" t="n">
        <v>5001.283</v>
      </c>
      <c r="BL129" t="n">
        <v>4536.511</v>
      </c>
      <c r="BM129" t="n">
        <v>4832.552</v>
      </c>
      <c r="BN129" t="n">
        <v>4550.647</v>
      </c>
      <c r="BO129" t="n">
        <v>4618.704</v>
      </c>
      <c r="BP129" t="n">
        <v>4500.417</v>
      </c>
      <c r="BQ129" t="n">
        <v>4772.827</v>
      </c>
      <c r="BR129" t="n">
        <v>4837.534</v>
      </c>
      <c r="BS129" t="n">
        <v>5193.368</v>
      </c>
      <c r="BT129" t="n">
        <v>4802.774</v>
      </c>
      <c r="BU129" t="n">
        <v>4407.081</v>
      </c>
      <c r="BV129" t="n">
        <v>4598.533</v>
      </c>
    </row>
    <row r="130">
      <c r="A130" t="inlineStr">
        <is>
          <t>Cephalopholis boenak</t>
        </is>
      </c>
      <c r="B130" t="inlineStr">
        <is>
          <t>Chocolate hind</t>
        </is>
      </c>
      <c r="C130" t="inlineStr">
        <is>
          <t>Small reef assoc. fish (&lt;30 cm)</t>
        </is>
      </c>
      <c r="D130" t="inlineStr">
        <is>
          <t>Perch-likes</t>
        </is>
      </c>
      <c r="E130" t="n">
        <v>803.255</v>
      </c>
      <c r="F130" t="n">
        <v>926.793</v>
      </c>
      <c r="G130" t="n">
        <v>1050.33</v>
      </c>
      <c r="H130" t="n">
        <v>1075.053</v>
      </c>
      <c r="I130" t="n">
        <v>1149.191</v>
      </c>
      <c r="J130" t="n">
        <v>1173.915</v>
      </c>
      <c r="K130" t="n">
        <v>1198.628</v>
      </c>
      <c r="L130" t="n">
        <v>1161.573</v>
      </c>
      <c r="M130" t="n">
        <v>1210.997</v>
      </c>
      <c r="N130" t="n">
        <v>1149.239</v>
      </c>
      <c r="O130" t="n">
        <v>1173.964</v>
      </c>
      <c r="P130" t="n">
        <v>1515.983</v>
      </c>
      <c r="Q130" t="n">
        <v>1642.215</v>
      </c>
      <c r="R130" t="n">
        <v>1765.467</v>
      </c>
      <c r="S130" t="n">
        <v>1935.984</v>
      </c>
      <c r="T130" t="n">
        <v>2258.049</v>
      </c>
      <c r="U130" t="n">
        <v>2552.021</v>
      </c>
      <c r="V130" t="n">
        <v>2499.015</v>
      </c>
      <c r="W130" t="n">
        <v>2697.785</v>
      </c>
      <c r="X130" t="n">
        <v>2993.06</v>
      </c>
      <c r="Y130" t="n">
        <v>3407.957</v>
      </c>
      <c r="Z130" t="n">
        <v>3517.755</v>
      </c>
      <c r="AA130" t="n">
        <v>3324.149</v>
      </c>
      <c r="AB130" t="n">
        <v>3284.935</v>
      </c>
      <c r="AC130" t="n">
        <v>3620.122</v>
      </c>
      <c r="AD130" t="n">
        <v>3685.861</v>
      </c>
      <c r="AE130" t="n">
        <v>1416.125</v>
      </c>
      <c r="AF130" t="n">
        <v>1613.534</v>
      </c>
      <c r="AG130" t="n">
        <v>1563.413</v>
      </c>
      <c r="AH130" t="n">
        <v>1590.693</v>
      </c>
      <c r="AI130" t="n">
        <v>1329.346</v>
      </c>
      <c r="AJ130" t="n">
        <v>1367.669</v>
      </c>
      <c r="AK130" t="n">
        <v>1387.944</v>
      </c>
      <c r="AL130" t="n">
        <v>1780.055</v>
      </c>
      <c r="AM130" t="n">
        <v>1949.984</v>
      </c>
      <c r="AN130" t="n">
        <v>1989.247</v>
      </c>
      <c r="AO130" t="n">
        <v>2272.248</v>
      </c>
      <c r="AP130" t="n">
        <v>2330.379</v>
      </c>
      <c r="AQ130" t="n">
        <v>2705.113</v>
      </c>
      <c r="AR130" t="n">
        <v>2911.589</v>
      </c>
      <c r="AS130" t="n">
        <v>3082.204</v>
      </c>
      <c r="AT130" t="n">
        <v>3174.869</v>
      </c>
      <c r="AU130" t="n">
        <v>3695.95</v>
      </c>
      <c r="AV130" t="n">
        <v>4928.631</v>
      </c>
      <c r="AW130" t="n">
        <v>5672.427</v>
      </c>
      <c r="AX130" t="n">
        <v>5294.013</v>
      </c>
      <c r="AY130" t="n">
        <v>5164.239</v>
      </c>
      <c r="AZ130" t="n">
        <v>5448.597</v>
      </c>
      <c r="BA130" t="n">
        <v>5415.664</v>
      </c>
      <c r="BB130" t="n">
        <v>4437.099</v>
      </c>
      <c r="BC130" t="n">
        <v>4621.334</v>
      </c>
      <c r="BD130" t="n">
        <v>4106.436</v>
      </c>
      <c r="BE130" t="n">
        <v>4917.69</v>
      </c>
      <c r="BF130" t="n">
        <v>4077.831</v>
      </c>
      <c r="BG130" t="n">
        <v>2392.55</v>
      </c>
      <c r="BH130" t="n">
        <v>3074.319</v>
      </c>
      <c r="BI130" t="n">
        <v>3120.373</v>
      </c>
      <c r="BJ130" t="n">
        <v>3386.309</v>
      </c>
      <c r="BK130" t="n">
        <v>2241.105</v>
      </c>
      <c r="BL130" t="n">
        <v>2879.875</v>
      </c>
      <c r="BM130" t="n">
        <v>3663.265</v>
      </c>
      <c r="BN130" t="n">
        <v>3969.03</v>
      </c>
      <c r="BO130" t="n">
        <v>4059.199</v>
      </c>
      <c r="BP130" t="n">
        <v>4039.559</v>
      </c>
      <c r="BQ130" t="n">
        <v>4229.736</v>
      </c>
      <c r="BR130" t="n">
        <v>4958.844</v>
      </c>
      <c r="BS130" t="n">
        <v>4798.099</v>
      </c>
      <c r="BT130" t="n">
        <v>6086.97</v>
      </c>
      <c r="BU130" t="n">
        <v>5002.414</v>
      </c>
      <c r="BV130" t="n">
        <v>5752.165</v>
      </c>
    </row>
    <row r="131">
      <c r="A131" t="inlineStr">
        <is>
          <t>Muraenesox</t>
        </is>
      </c>
      <c r="B131" t="inlineStr">
        <is>
          <t>Congers</t>
        </is>
      </c>
      <c r="C131" t="inlineStr">
        <is>
          <t>Large demersals (&gt;=90 cm)</t>
        </is>
      </c>
      <c r="D131" t="inlineStr">
        <is>
          <t>Other fishes &amp; inverts</t>
        </is>
      </c>
      <c r="E131" t="n">
        <v>137.252</v>
      </c>
      <c r="F131" t="n">
        <v>138.187</v>
      </c>
      <c r="G131" t="n">
        <v>135.207</v>
      </c>
      <c r="H131" t="n">
        <v>130.233</v>
      </c>
      <c r="I131" t="n">
        <v>131.228</v>
      </c>
      <c r="J131" t="n">
        <v>142.163</v>
      </c>
      <c r="K131" t="n">
        <v>133.216</v>
      </c>
      <c r="L131" t="n">
        <v>136.198</v>
      </c>
      <c r="M131" t="n">
        <v>155.087</v>
      </c>
      <c r="N131" t="n">
        <v>162.047</v>
      </c>
      <c r="O131" t="n">
        <v>183.006</v>
      </c>
      <c r="P131" t="n">
        <v>192.941</v>
      </c>
      <c r="Q131" t="n">
        <v>226.813</v>
      </c>
      <c r="R131" t="n">
        <v>257.254</v>
      </c>
      <c r="S131" t="n">
        <v>884.698</v>
      </c>
      <c r="T131" t="n">
        <v>984.04</v>
      </c>
      <c r="U131" t="n">
        <v>1047.142</v>
      </c>
      <c r="V131" t="n">
        <v>1003.522</v>
      </c>
      <c r="W131" t="n">
        <v>1021.374</v>
      </c>
      <c r="X131" t="n">
        <v>886.9160000000001</v>
      </c>
      <c r="Y131" t="n">
        <v>1027.562</v>
      </c>
      <c r="Z131" t="n">
        <v>2164.225</v>
      </c>
      <c r="AA131" t="n">
        <v>2649.258</v>
      </c>
      <c r="AB131" t="n">
        <v>3216.098</v>
      </c>
      <c r="AC131" t="n">
        <v>3645.984</v>
      </c>
      <c r="AD131" t="n">
        <v>3800.47</v>
      </c>
      <c r="AE131" t="n">
        <v>7091.647</v>
      </c>
      <c r="AF131" t="n">
        <v>6605.124</v>
      </c>
      <c r="AG131" t="n">
        <v>8073.663</v>
      </c>
      <c r="AH131" t="n">
        <v>8568.339</v>
      </c>
      <c r="AI131" t="n">
        <v>8011.304</v>
      </c>
      <c r="AJ131" t="n">
        <v>7598.186</v>
      </c>
      <c r="AK131" t="n">
        <v>7644.031</v>
      </c>
      <c r="AL131" t="n">
        <v>7227.533</v>
      </c>
      <c r="AM131" t="n">
        <v>7143.27</v>
      </c>
      <c r="AN131" t="n">
        <v>3317.312</v>
      </c>
      <c r="AO131" t="n">
        <v>3072.411</v>
      </c>
      <c r="AP131" t="n">
        <v>2983.342</v>
      </c>
      <c r="AQ131" t="n">
        <v>2577.157</v>
      </c>
      <c r="AR131" t="n">
        <v>2691.219</v>
      </c>
      <c r="AS131" t="n">
        <v>3620.165</v>
      </c>
      <c r="AT131" t="n">
        <v>3449.653</v>
      </c>
      <c r="AU131" t="n">
        <v>3922.373</v>
      </c>
      <c r="AV131" t="n">
        <v>3461.919</v>
      </c>
      <c r="AW131" t="n">
        <v>3337.431</v>
      </c>
      <c r="AX131" t="n">
        <v>3197.153</v>
      </c>
      <c r="AY131" t="n">
        <v>3016.063</v>
      </c>
      <c r="AZ131" t="n">
        <v>3396.975</v>
      </c>
      <c r="BA131" t="n">
        <v>3064.134</v>
      </c>
      <c r="BB131" t="n">
        <v>2969.314</v>
      </c>
      <c r="BC131" t="n">
        <v>4116.072</v>
      </c>
      <c r="BD131" t="n">
        <v>3835.087</v>
      </c>
      <c r="BE131" t="n">
        <v>3699.262</v>
      </c>
      <c r="BF131" t="n">
        <v>4223.355</v>
      </c>
      <c r="BG131" t="n">
        <v>4509.112</v>
      </c>
      <c r="BH131" t="n">
        <v>3065.696</v>
      </c>
      <c r="BI131" t="n">
        <v>3406.93</v>
      </c>
      <c r="BJ131" t="n">
        <v>3720.725</v>
      </c>
      <c r="BK131" t="n">
        <v>3864.023</v>
      </c>
      <c r="BL131" t="n">
        <v>2908.722</v>
      </c>
      <c r="BM131" t="n">
        <v>2845.899</v>
      </c>
      <c r="BN131" t="n">
        <v>2643.814</v>
      </c>
      <c r="BO131" t="n">
        <v>2679.443</v>
      </c>
      <c r="BP131" t="n">
        <v>2622.163</v>
      </c>
      <c r="BQ131" t="n">
        <v>2790.535</v>
      </c>
      <c r="BR131" t="n">
        <v>2829.806</v>
      </c>
      <c r="BS131" t="n">
        <v>3040.907</v>
      </c>
      <c r="BT131" t="n">
        <v>2812.016</v>
      </c>
      <c r="BU131" t="n">
        <v>2584.606</v>
      </c>
      <c r="BV131" t="n">
        <v>2697.585</v>
      </c>
    </row>
    <row r="132">
      <c r="A132" t="inlineStr">
        <is>
          <t>Selar crumenophthalmus</t>
        </is>
      </c>
      <c r="B132" t="inlineStr">
        <is>
          <t>Bigeye scad</t>
        </is>
      </c>
      <c r="C132" t="inlineStr">
        <is>
          <t>Medium pelagics (30 - 89 cm)</t>
        </is>
      </c>
      <c r="D132" t="inlineStr">
        <is>
          <t>Perch-likes</t>
        </is>
      </c>
      <c r="E132" t="n">
        <v>0</v>
      </c>
      <c r="F132" t="n">
        <v>0</v>
      </c>
      <c r="G132" t="n">
        <v>0</v>
      </c>
      <c r="H132" t="n">
        <v>0</v>
      </c>
      <c r="I132" t="n">
        <v>0</v>
      </c>
      <c r="J132" t="n">
        <v>0</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2501.688</v>
      </c>
      <c r="AZ132" t="n">
        <v>2411.716</v>
      </c>
      <c r="BA132" t="n">
        <v>5181.343</v>
      </c>
      <c r="BB132" t="n">
        <v>4608.623</v>
      </c>
      <c r="BC132" t="n">
        <v>4294.505</v>
      </c>
      <c r="BD132" t="n">
        <v>1925.779</v>
      </c>
      <c r="BE132" t="n">
        <v>3757.792</v>
      </c>
      <c r="BF132" t="n">
        <v>10269.961</v>
      </c>
      <c r="BG132" t="n">
        <v>4842.962</v>
      </c>
      <c r="BH132" t="n">
        <v>10645.727</v>
      </c>
      <c r="BI132" t="n">
        <v>11598.094</v>
      </c>
      <c r="BJ132" t="n">
        <v>9302.416999999999</v>
      </c>
      <c r="BK132" t="n">
        <v>8929.043</v>
      </c>
      <c r="BL132" t="n">
        <v>8425.691000000001</v>
      </c>
      <c r="BM132" t="n">
        <v>10548.294</v>
      </c>
      <c r="BN132" t="n">
        <v>7111.24</v>
      </c>
      <c r="BO132" t="n">
        <v>7646.95</v>
      </c>
      <c r="BP132" t="n">
        <v>5693.587</v>
      </c>
      <c r="BQ132" t="n">
        <v>5638.777</v>
      </c>
      <c r="BR132" t="n">
        <v>8837.326999999999</v>
      </c>
      <c r="BS132" t="n">
        <v>12660.824</v>
      </c>
      <c r="BT132" t="n">
        <v>17907.479</v>
      </c>
      <c r="BU132" t="n">
        <v>15631.227</v>
      </c>
      <c r="BV132" t="n">
        <v>22423.497</v>
      </c>
    </row>
    <row r="133">
      <c r="A133" t="inlineStr">
        <is>
          <t>Soleidae</t>
        </is>
      </c>
      <c r="B133" t="inlineStr">
        <is>
          <t>Soles</t>
        </is>
      </c>
      <c r="C133" t="inlineStr">
        <is>
          <t>Small to medium flatfishes (&lt;90 cm)</t>
        </is>
      </c>
      <c r="D133" t="inlineStr">
        <is>
          <t>Flatfishes</t>
        </is>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2420.918</v>
      </c>
      <c r="AK133" t="n">
        <v>3916.26</v>
      </c>
      <c r="AL133" t="n">
        <v>4185.963</v>
      </c>
      <c r="AM133" t="n">
        <v>2570.108</v>
      </c>
      <c r="AN133" t="n">
        <v>2692.266</v>
      </c>
      <c r="AO133" t="n">
        <v>3126.103</v>
      </c>
      <c r="AP133" t="n">
        <v>2949.658</v>
      </c>
      <c r="AQ133" t="n">
        <v>2789.773</v>
      </c>
      <c r="AR133" t="n">
        <v>3111.83</v>
      </c>
      <c r="AS133" t="n">
        <v>3028.846</v>
      </c>
      <c r="AT133" t="n">
        <v>3968.663</v>
      </c>
      <c r="AU133" t="n">
        <v>3740.351</v>
      </c>
      <c r="AV133" t="n">
        <v>3855.759</v>
      </c>
      <c r="AW133" t="n">
        <v>3291.872</v>
      </c>
      <c r="AX133" t="n">
        <v>4159.37</v>
      </c>
      <c r="AY133" t="n">
        <v>4153.952</v>
      </c>
      <c r="AZ133" t="n">
        <v>5564.417</v>
      </c>
      <c r="BA133" t="n">
        <v>5118.342</v>
      </c>
      <c r="BB133" t="n">
        <v>3957.04</v>
      </c>
      <c r="BC133" t="n">
        <v>4533.009</v>
      </c>
      <c r="BD133" t="n">
        <v>3381.707</v>
      </c>
      <c r="BE133" t="n">
        <v>4194.715</v>
      </c>
      <c r="BF133" t="n">
        <v>5034.957</v>
      </c>
      <c r="BG133" t="n">
        <v>3860.036</v>
      </c>
      <c r="BH133" t="n">
        <v>4081.51</v>
      </c>
      <c r="BI133" t="n">
        <v>4437.403</v>
      </c>
      <c r="BJ133" t="n">
        <v>5067.891</v>
      </c>
      <c r="BK133" t="n">
        <v>4934.321</v>
      </c>
      <c r="BL133" t="n">
        <v>7484.393</v>
      </c>
      <c r="BM133" t="n">
        <v>8273.998</v>
      </c>
      <c r="BN133" t="n">
        <v>10954.249</v>
      </c>
      <c r="BO133" t="n">
        <v>11648.319</v>
      </c>
      <c r="BP133" t="n">
        <v>6826.441</v>
      </c>
      <c r="BQ133" t="n">
        <v>5657.353</v>
      </c>
      <c r="BR133" t="n">
        <v>6019.56</v>
      </c>
      <c r="BS133" t="n">
        <v>8235.995999999999</v>
      </c>
      <c r="BT133" t="n">
        <v>9304.949000000001</v>
      </c>
      <c r="BU133" t="n">
        <v>9506.692999999999</v>
      </c>
      <c r="BV133" t="n">
        <v>8930.757</v>
      </c>
    </row>
    <row r="134">
      <c r="A134" t="inlineStr">
        <is>
          <t>Sillago</t>
        </is>
      </c>
      <c r="B134" t="inlineStr">
        <is>
          <t>Smelt-whitings</t>
        </is>
      </c>
      <c r="C134" t="inlineStr">
        <is>
          <t>Medium demersals (30 - 89 cm)</t>
        </is>
      </c>
      <c r="D134" t="inlineStr">
        <is>
          <t>Perch-likes</t>
        </is>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75.712</v>
      </c>
      <c r="V134" t="n">
        <v>75.199</v>
      </c>
      <c r="W134" t="n">
        <v>36.39</v>
      </c>
      <c r="X134" t="n">
        <v>40.627</v>
      </c>
      <c r="Y134" t="n">
        <v>0</v>
      </c>
      <c r="Z134" t="n">
        <v>0</v>
      </c>
      <c r="AA134" t="n">
        <v>0</v>
      </c>
      <c r="AB134" t="n">
        <v>113.917</v>
      </c>
      <c r="AC134" t="n">
        <v>366.952</v>
      </c>
      <c r="AD134" t="n">
        <v>769.205</v>
      </c>
      <c r="AE134" t="n">
        <v>491.952</v>
      </c>
      <c r="AF134" t="n">
        <v>884.063</v>
      </c>
      <c r="AG134" t="n">
        <v>1394.023</v>
      </c>
      <c r="AH134" t="n">
        <v>906.242</v>
      </c>
      <c r="AI134" t="n">
        <v>1542.421</v>
      </c>
      <c r="AJ134" t="n">
        <v>1611.601</v>
      </c>
      <c r="AK134" t="n">
        <v>1131.018</v>
      </c>
      <c r="AL134" t="n">
        <v>1223.498</v>
      </c>
      <c r="AM134" t="n">
        <v>1232.3</v>
      </c>
      <c r="AN134" t="n">
        <v>3252.115</v>
      </c>
      <c r="AO134" t="n">
        <v>3253.47</v>
      </c>
      <c r="AP134" t="n">
        <v>3056.691</v>
      </c>
      <c r="AQ134" t="n">
        <v>3080.453</v>
      </c>
      <c r="AR134" t="n">
        <v>2959.953</v>
      </c>
      <c r="AS134" t="n">
        <v>3798.719</v>
      </c>
      <c r="AT134" t="n">
        <v>3566.041</v>
      </c>
      <c r="AU134" t="n">
        <v>3714.059</v>
      </c>
      <c r="AV134" t="n">
        <v>3678.398</v>
      </c>
      <c r="AW134" t="n">
        <v>3794.964</v>
      </c>
      <c r="AX134" t="n">
        <v>4628.725</v>
      </c>
      <c r="AY134" t="n">
        <v>4157.556</v>
      </c>
      <c r="AZ134" t="n">
        <v>4896.667</v>
      </c>
      <c r="BA134" t="n">
        <v>5088.086</v>
      </c>
      <c r="BB134" t="n">
        <v>8821.074000000001</v>
      </c>
      <c r="BC134" t="n">
        <v>9026.041999999999</v>
      </c>
      <c r="BD134" t="n">
        <v>10280.672</v>
      </c>
      <c r="BE134" t="n">
        <v>12036.181</v>
      </c>
      <c r="BF134" t="n">
        <v>14967.618</v>
      </c>
      <c r="BG134" t="n">
        <v>11012.835</v>
      </c>
      <c r="BH134" t="n">
        <v>10814.96</v>
      </c>
      <c r="BI134" t="n">
        <v>13386.013</v>
      </c>
      <c r="BJ134" t="n">
        <v>8890.700999999999</v>
      </c>
      <c r="BK134" t="n">
        <v>3899.276</v>
      </c>
      <c r="BL134" t="n">
        <v>4137.696</v>
      </c>
      <c r="BM134" t="n">
        <v>3362.639</v>
      </c>
      <c r="BN134" t="n">
        <v>3868.044</v>
      </c>
      <c r="BO134" t="n">
        <v>3428.618</v>
      </c>
      <c r="BP134" t="n">
        <v>2863.326</v>
      </c>
      <c r="BQ134" t="n">
        <v>2917.916</v>
      </c>
      <c r="BR134" t="n">
        <v>2442.762</v>
      </c>
      <c r="BS134" t="n">
        <v>2390.224</v>
      </c>
      <c r="BT134" t="n">
        <v>2394.222</v>
      </c>
      <c r="BU134" t="n">
        <v>2005.973</v>
      </c>
      <c r="BV134" t="n">
        <v>2237.781</v>
      </c>
    </row>
    <row r="135">
      <c r="A135" t="inlineStr">
        <is>
          <t>Veneridae</t>
        </is>
      </c>
      <c r="B135" t="inlineStr">
        <is>
          <t>Venus clams</t>
        </is>
      </c>
      <c r="C135" t="inlineStr">
        <is>
          <t>Other demersal invertebrates</t>
        </is>
      </c>
      <c r="D135" t="inlineStr">
        <is>
          <t>Molluscs</t>
        </is>
      </c>
      <c r="E135" t="n">
        <v>0</v>
      </c>
      <c r="F135" t="n">
        <v>0</v>
      </c>
      <c r="G135" t="n">
        <v>0.004</v>
      </c>
      <c r="H135" t="n">
        <v>0.004</v>
      </c>
      <c r="I135" t="n">
        <v>0.004</v>
      </c>
      <c r="J135" t="n">
        <v>0.004</v>
      </c>
      <c r="K135" t="n">
        <v>0.004</v>
      </c>
      <c r="L135" t="n">
        <v>0.004</v>
      </c>
      <c r="M135" t="n">
        <v>0.004</v>
      </c>
      <c r="N135" t="n">
        <v>0.005</v>
      </c>
      <c r="O135" t="n">
        <v>0.005</v>
      </c>
      <c r="P135" t="n">
        <v>0.004</v>
      </c>
      <c r="Q135" t="n">
        <v>0.004</v>
      </c>
      <c r="R135" t="n">
        <v>0.004</v>
      </c>
      <c r="S135" t="n">
        <v>0.005</v>
      </c>
      <c r="T135" t="n">
        <v>0.005</v>
      </c>
      <c r="U135" t="n">
        <v>0.005</v>
      </c>
      <c r="V135" t="n">
        <v>0.007</v>
      </c>
      <c r="W135" t="n">
        <v>0.008</v>
      </c>
      <c r="X135" t="n">
        <v>0.008</v>
      </c>
      <c r="Y135" t="n">
        <v>0</v>
      </c>
      <c r="Z135" t="n">
        <v>0.014</v>
      </c>
      <c r="AA135" t="n">
        <v>0.016</v>
      </c>
      <c r="AB135" t="n">
        <v>1.056</v>
      </c>
      <c r="AC135" t="n">
        <v>1.47</v>
      </c>
      <c r="AD135" t="n">
        <v>0.825</v>
      </c>
      <c r="AE135" t="n">
        <v>14.968</v>
      </c>
      <c r="AF135" t="n">
        <v>36.614</v>
      </c>
      <c r="AG135" t="n">
        <v>60.835</v>
      </c>
      <c r="AH135" t="n">
        <v>35.954</v>
      </c>
      <c r="AI135" t="n">
        <v>24.982</v>
      </c>
      <c r="AJ135" t="n">
        <v>41.022</v>
      </c>
      <c r="AK135" t="n">
        <v>1159.401</v>
      </c>
      <c r="AL135" t="n">
        <v>4378.581</v>
      </c>
      <c r="AM135" t="n">
        <v>46.175</v>
      </c>
      <c r="AN135" t="n">
        <v>1315.472</v>
      </c>
      <c r="AO135" t="n">
        <v>6192.744</v>
      </c>
      <c r="AP135" t="n">
        <v>2865.542</v>
      </c>
      <c r="AQ135" t="n">
        <v>10796.514</v>
      </c>
      <c r="AR135" t="n">
        <v>4324.28</v>
      </c>
      <c r="AS135" t="n">
        <v>1605.458</v>
      </c>
      <c r="AT135" t="n">
        <v>211.27</v>
      </c>
      <c r="AU135" t="n">
        <v>4947.585</v>
      </c>
      <c r="AV135" t="n">
        <v>3296.172</v>
      </c>
      <c r="AW135" t="n">
        <v>6078.262</v>
      </c>
      <c r="AX135" t="n">
        <v>12573.771</v>
      </c>
      <c r="AY135" t="n">
        <v>20692.111</v>
      </c>
      <c r="AZ135" t="n">
        <v>13098.21</v>
      </c>
      <c r="BA135" t="n">
        <v>7389.075</v>
      </c>
      <c r="BB135" t="n">
        <v>33159.259</v>
      </c>
      <c r="BC135" t="n">
        <v>29425.227</v>
      </c>
      <c r="BD135" t="n">
        <v>23011.907</v>
      </c>
      <c r="BE135" t="n">
        <v>143.293</v>
      </c>
      <c r="BF135" t="n">
        <v>429.547</v>
      </c>
      <c r="BG135" t="n">
        <v>405.632</v>
      </c>
      <c r="BH135" t="n">
        <v>60.571</v>
      </c>
      <c r="BI135" t="n">
        <v>185.853</v>
      </c>
      <c r="BJ135" t="n">
        <v>116.657</v>
      </c>
      <c r="BK135" t="n">
        <v>2759.118</v>
      </c>
      <c r="BL135" t="n">
        <v>2771.102</v>
      </c>
      <c r="BM135" t="n">
        <v>2570.03</v>
      </c>
      <c r="BN135" t="n">
        <v>172.721</v>
      </c>
      <c r="BO135" t="n">
        <v>173.846</v>
      </c>
      <c r="BP135" t="n">
        <v>174.655</v>
      </c>
      <c r="BQ135" t="n">
        <v>258.503</v>
      </c>
      <c r="BR135" t="n">
        <v>176.889</v>
      </c>
      <c r="BS135" t="n">
        <v>178.007</v>
      </c>
      <c r="BT135" t="n">
        <v>180.347</v>
      </c>
      <c r="BU135" t="n">
        <v>180.242</v>
      </c>
      <c r="BV135" t="n">
        <v>180.242</v>
      </c>
    </row>
    <row r="136">
      <c r="A136" t="inlineStr">
        <is>
          <t>Pampus chinensis</t>
        </is>
      </c>
      <c r="B136" t="inlineStr">
        <is>
          <t>Chinese silver pomfret</t>
        </is>
      </c>
      <c r="C136" t="inlineStr">
        <is>
          <t>Medium benthopelagics (30 - 89 cm)</t>
        </is>
      </c>
      <c r="D136" t="inlineStr">
        <is>
          <t>Perch-likes</t>
        </is>
      </c>
      <c r="E136" t="n">
        <v>948.255</v>
      </c>
      <c r="F136" t="n">
        <v>939.481</v>
      </c>
      <c r="G136" t="n">
        <v>945.299</v>
      </c>
      <c r="H136" t="n">
        <v>951.009</v>
      </c>
      <c r="I136" t="n">
        <v>956.575</v>
      </c>
      <c r="J136" t="n">
        <v>962.028</v>
      </c>
      <c r="K136" t="n">
        <v>967.331</v>
      </c>
      <c r="L136" t="n">
        <v>972.471</v>
      </c>
      <c r="M136" t="n">
        <v>977.476</v>
      </c>
      <c r="N136" t="n">
        <v>982.311</v>
      </c>
      <c r="O136" t="n">
        <v>1012.234</v>
      </c>
      <c r="P136" t="n">
        <v>1068.135</v>
      </c>
      <c r="Q136" t="n">
        <v>1066.728</v>
      </c>
      <c r="R136" t="n">
        <v>1078.612</v>
      </c>
      <c r="S136" t="n">
        <v>1090.395</v>
      </c>
      <c r="T136" t="n">
        <v>1102.044</v>
      </c>
      <c r="U136" t="n">
        <v>1111.193</v>
      </c>
      <c r="V136" t="n">
        <v>1120.162</v>
      </c>
      <c r="W136" t="n">
        <v>1128.904</v>
      </c>
      <c r="X136" t="n">
        <v>1137.422</v>
      </c>
      <c r="Y136" t="n">
        <v>1121.366</v>
      </c>
      <c r="Z136" t="n">
        <v>1153.998</v>
      </c>
      <c r="AA136" t="n">
        <v>1162.03</v>
      </c>
      <c r="AB136" t="n">
        <v>1169.781</v>
      </c>
      <c r="AC136" t="n">
        <v>1199.304</v>
      </c>
      <c r="AD136" t="n">
        <v>1181.264</v>
      </c>
      <c r="AE136" t="n">
        <v>1223.334</v>
      </c>
      <c r="AF136" t="n">
        <v>1226.605</v>
      </c>
      <c r="AG136" t="n">
        <v>1236.697</v>
      </c>
      <c r="AH136" t="n">
        <v>1236.075</v>
      </c>
      <c r="AI136" t="n">
        <v>1236.492</v>
      </c>
      <c r="AJ136" t="n">
        <v>1795.47</v>
      </c>
      <c r="AK136" t="n">
        <v>1526.326</v>
      </c>
      <c r="AL136" t="n">
        <v>1325.773</v>
      </c>
      <c r="AM136" t="n">
        <v>1293.567</v>
      </c>
      <c r="AN136" t="n">
        <v>1284.943</v>
      </c>
      <c r="AO136" t="n">
        <v>1346.733</v>
      </c>
      <c r="AP136" t="n">
        <v>1345.017</v>
      </c>
      <c r="AQ136" t="n">
        <v>1347.895</v>
      </c>
      <c r="AR136" t="n">
        <v>1486.231</v>
      </c>
      <c r="AS136" t="n">
        <v>1483.437</v>
      </c>
      <c r="AT136" t="n">
        <v>1296.475</v>
      </c>
      <c r="AU136" t="n">
        <v>1327.306</v>
      </c>
      <c r="AV136" t="n">
        <v>1366.892</v>
      </c>
      <c r="AW136" t="n">
        <v>1358.532</v>
      </c>
      <c r="AX136" t="n">
        <v>1439.06</v>
      </c>
      <c r="AY136" t="n">
        <v>1594.675</v>
      </c>
      <c r="AZ136" t="n">
        <v>1666.195</v>
      </c>
      <c r="BA136" t="n">
        <v>1515.038</v>
      </c>
      <c r="BB136" t="n">
        <v>1614.798</v>
      </c>
      <c r="BC136" t="n">
        <v>1816.921</v>
      </c>
      <c r="BD136" t="n">
        <v>1900.499</v>
      </c>
      <c r="BE136" t="n">
        <v>2764.814</v>
      </c>
      <c r="BF136" t="n">
        <v>2546.395</v>
      </c>
      <c r="BG136" t="n">
        <v>2690.871</v>
      </c>
      <c r="BH136" t="n">
        <v>6733.554</v>
      </c>
      <c r="BI136" t="n">
        <v>6349.849</v>
      </c>
      <c r="BJ136" t="n">
        <v>6601.853</v>
      </c>
      <c r="BK136" t="n">
        <v>7225.652</v>
      </c>
      <c r="BL136" t="n">
        <v>8815.258</v>
      </c>
      <c r="BM136" t="n">
        <v>10499.128</v>
      </c>
      <c r="BN136" t="n">
        <v>10212.708</v>
      </c>
      <c r="BO136" t="n">
        <v>7078.5</v>
      </c>
      <c r="BP136" t="n">
        <v>8890.778</v>
      </c>
      <c r="BQ136" t="n">
        <v>6410.916</v>
      </c>
      <c r="BR136" t="n">
        <v>7847.644</v>
      </c>
      <c r="BS136" t="n">
        <v>9069.763000000001</v>
      </c>
      <c r="BT136" t="n">
        <v>10155.306</v>
      </c>
      <c r="BU136" t="n">
        <v>8479.65</v>
      </c>
      <c r="BV136" t="n">
        <v>8538.972</v>
      </c>
    </row>
    <row r="137">
      <c r="A137" t="inlineStr">
        <is>
          <t>Hemiramphus</t>
        </is>
      </c>
      <c r="B137" t="inlineStr">
        <is>
          <t>Halfbeaks</t>
        </is>
      </c>
      <c r="C137" t="inlineStr">
        <is>
          <t>Medium pelagics (30 - 89 cm)</t>
        </is>
      </c>
      <c r="D137" t="inlineStr">
        <is>
          <t>Other fishes &amp; inverts</t>
        </is>
      </c>
      <c r="E137" t="n">
        <v>282.321</v>
      </c>
      <c r="F137" t="n">
        <v>379.595</v>
      </c>
      <c r="G137" t="n">
        <v>231.572</v>
      </c>
      <c r="H137" t="n">
        <v>198.989</v>
      </c>
      <c r="I137" t="n">
        <v>330.003</v>
      </c>
      <c r="J137" t="n">
        <v>442.082</v>
      </c>
      <c r="K137" t="n">
        <v>340.433</v>
      </c>
      <c r="L137" t="n">
        <v>208.083</v>
      </c>
      <c r="M137" t="n">
        <v>318.113</v>
      </c>
      <c r="N137" t="n">
        <v>435.677</v>
      </c>
      <c r="O137" t="n">
        <v>241.211</v>
      </c>
      <c r="P137" t="n">
        <v>318.437</v>
      </c>
      <c r="Q137" t="n">
        <v>280.215</v>
      </c>
      <c r="R137" t="n">
        <v>3126.782</v>
      </c>
      <c r="S137" t="n">
        <v>1597.476</v>
      </c>
      <c r="T137" t="n">
        <v>1188.612</v>
      </c>
      <c r="U137" t="n">
        <v>1357.296</v>
      </c>
      <c r="V137" t="n">
        <v>1125.629</v>
      </c>
      <c r="W137" t="n">
        <v>1026.086</v>
      </c>
      <c r="X137" t="n">
        <v>839.276</v>
      </c>
      <c r="Y137" t="n">
        <v>1551.004</v>
      </c>
      <c r="Z137" t="n">
        <v>1191.3</v>
      </c>
      <c r="AA137" t="n">
        <v>883.6660000000001</v>
      </c>
      <c r="AB137" t="n">
        <v>1065.22</v>
      </c>
      <c r="AC137" t="n">
        <v>4264.998</v>
      </c>
      <c r="AD137" t="n">
        <v>2207.787</v>
      </c>
      <c r="AE137" t="n">
        <v>1614.229</v>
      </c>
      <c r="AF137" t="n">
        <v>2242.021</v>
      </c>
      <c r="AG137" t="n">
        <v>1511.98</v>
      </c>
      <c r="AH137" t="n">
        <v>1617.087</v>
      </c>
      <c r="AI137" t="n">
        <v>1601.858</v>
      </c>
      <c r="AJ137" t="n">
        <v>1743.378</v>
      </c>
      <c r="AK137" t="n">
        <v>2076.679</v>
      </c>
      <c r="AL137" t="n">
        <v>2329.927</v>
      </c>
      <c r="AM137" t="n">
        <v>1971.102</v>
      </c>
      <c r="AN137" t="n">
        <v>1607.432</v>
      </c>
      <c r="AO137" t="n">
        <v>1834.86</v>
      </c>
      <c r="AP137" t="n">
        <v>2094.872</v>
      </c>
      <c r="AQ137" t="n">
        <v>3566.951</v>
      </c>
      <c r="AR137" t="n">
        <v>2875.298</v>
      </c>
      <c r="AS137" t="n">
        <v>3047.218</v>
      </c>
      <c r="AT137" t="n">
        <v>2913.577</v>
      </c>
      <c r="AU137" t="n">
        <v>3161.7</v>
      </c>
      <c r="AV137" t="n">
        <v>3017.992</v>
      </c>
      <c r="AW137" t="n">
        <v>3282.133</v>
      </c>
      <c r="AX137" t="n">
        <v>3408.406</v>
      </c>
      <c r="AY137" t="n">
        <v>4174.199</v>
      </c>
      <c r="AZ137" t="n">
        <v>4347.964</v>
      </c>
      <c r="BA137" t="n">
        <v>6316.002</v>
      </c>
      <c r="BB137" t="n">
        <v>5800.781</v>
      </c>
      <c r="BC137" t="n">
        <v>8224.501</v>
      </c>
      <c r="BD137" t="n">
        <v>5144.836</v>
      </c>
      <c r="BE137" t="n">
        <v>5427.303</v>
      </c>
      <c r="BF137" t="n">
        <v>4471.976</v>
      </c>
      <c r="BG137" t="n">
        <v>3806.125</v>
      </c>
      <c r="BH137" t="n">
        <v>2865.462</v>
      </c>
      <c r="BI137" t="n">
        <v>3604.747</v>
      </c>
      <c r="BJ137" t="n">
        <v>4760.185</v>
      </c>
      <c r="BK137" t="n">
        <v>4564.626</v>
      </c>
      <c r="BL137" t="n">
        <v>6065.787</v>
      </c>
      <c r="BM137" t="n">
        <v>3422.557</v>
      </c>
      <c r="BN137" t="n">
        <v>4707.767</v>
      </c>
      <c r="BO137" t="n">
        <v>3399.146</v>
      </c>
      <c r="BP137" t="n">
        <v>3330.339</v>
      </c>
      <c r="BQ137" t="n">
        <v>4743.903</v>
      </c>
      <c r="BR137" t="n">
        <v>4252.751</v>
      </c>
      <c r="BS137" t="n">
        <v>3800.561</v>
      </c>
      <c r="BT137" t="n">
        <v>3969.873</v>
      </c>
      <c r="BU137" t="n">
        <v>3594.286</v>
      </c>
      <c r="BV137" t="n">
        <v>4448.806</v>
      </c>
    </row>
    <row r="138">
      <c r="A138" t="inlineStr">
        <is>
          <t>Carcharhinus falciformis</t>
        </is>
      </c>
      <c r="B138" t="inlineStr">
        <is>
          <t>Silky shark</t>
        </is>
      </c>
      <c r="C138" t="inlineStr">
        <is>
          <t>Large sharks (&gt;=90 cm)</t>
        </is>
      </c>
      <c r="D138" t="inlineStr">
        <is>
          <t>Sharks &amp; rays</t>
        </is>
      </c>
      <c r="E138" t="n">
        <v>0</v>
      </c>
      <c r="F138" t="n">
        <v>0</v>
      </c>
      <c r="G138" t="n">
        <v>0</v>
      </c>
      <c r="H138" t="n">
        <v>0</v>
      </c>
      <c r="I138" t="n">
        <v>9.385</v>
      </c>
      <c r="J138" t="n">
        <v>52.719</v>
      </c>
      <c r="K138" t="n">
        <v>67.59</v>
      </c>
      <c r="L138" t="n">
        <v>29.634</v>
      </c>
      <c r="M138" t="n">
        <v>28.74</v>
      </c>
      <c r="N138" t="n">
        <v>58.45</v>
      </c>
      <c r="O138" t="n">
        <v>57.05</v>
      </c>
      <c r="P138" t="n">
        <v>69.602</v>
      </c>
      <c r="Q138" t="n">
        <v>54.462</v>
      </c>
      <c r="R138" t="n">
        <v>34.145</v>
      </c>
      <c r="S138" t="n">
        <v>82.244</v>
      </c>
      <c r="T138" t="n">
        <v>43.912</v>
      </c>
      <c r="U138" t="n">
        <v>71.023</v>
      </c>
      <c r="V138" t="n">
        <v>60.312</v>
      </c>
      <c r="W138" t="n">
        <v>88.34399999999999</v>
      </c>
      <c r="X138" t="n">
        <v>190.188</v>
      </c>
      <c r="Y138" t="n">
        <v>14.53</v>
      </c>
      <c r="Z138" t="n">
        <v>137.498</v>
      </c>
      <c r="AA138" t="n">
        <v>12.19</v>
      </c>
      <c r="AB138" t="n">
        <v>0.011</v>
      </c>
      <c r="AC138" t="n">
        <v>9.702</v>
      </c>
      <c r="AD138" t="n">
        <v>2.498</v>
      </c>
      <c r="AE138" t="n">
        <v>0</v>
      </c>
      <c r="AF138" t="n">
        <v>0</v>
      </c>
      <c r="AG138" t="n">
        <v>0</v>
      </c>
      <c r="AH138" t="n">
        <v>0</v>
      </c>
      <c r="AI138" t="n">
        <v>0.184</v>
      </c>
      <c r="AJ138" t="n">
        <v>0</v>
      </c>
      <c r="AK138" t="n">
        <v>0.312</v>
      </c>
      <c r="AL138" t="n">
        <v>24.16</v>
      </c>
      <c r="AM138" t="n">
        <v>0</v>
      </c>
      <c r="AN138" t="n">
        <v>0.915</v>
      </c>
      <c r="AO138" t="n">
        <v>0.382</v>
      </c>
      <c r="AP138" t="n">
        <v>0.353</v>
      </c>
      <c r="AQ138" t="n">
        <v>0.261</v>
      </c>
      <c r="AR138" t="n">
        <v>0</v>
      </c>
      <c r="AS138" t="n">
        <v>2355.212</v>
      </c>
      <c r="AT138" t="n">
        <v>3044.46</v>
      </c>
      <c r="AU138" t="n">
        <v>4440.868</v>
      </c>
      <c r="AV138" t="n">
        <v>6730.245</v>
      </c>
      <c r="AW138" t="n">
        <v>10685.577</v>
      </c>
      <c r="AX138" t="n">
        <v>11212.805</v>
      </c>
      <c r="AY138" t="n">
        <v>10080.702</v>
      </c>
      <c r="AZ138" t="n">
        <v>15982.719</v>
      </c>
      <c r="BA138" t="n">
        <v>13838.939</v>
      </c>
      <c r="BB138" t="n">
        <v>20343.501</v>
      </c>
      <c r="BC138" t="n">
        <v>17028.054</v>
      </c>
      <c r="BD138" t="n">
        <v>5975.376</v>
      </c>
      <c r="BE138" t="n">
        <v>7420.951</v>
      </c>
      <c r="BF138" t="n">
        <v>11349.615</v>
      </c>
      <c r="BG138" t="n">
        <v>6011.384</v>
      </c>
      <c r="BH138" t="n">
        <v>2504.321</v>
      </c>
      <c r="BI138" t="n">
        <v>2001.301</v>
      </c>
      <c r="BJ138" t="n">
        <v>1444.978</v>
      </c>
      <c r="BK138" t="n">
        <v>1338.705</v>
      </c>
      <c r="BL138" t="n">
        <v>1505.974</v>
      </c>
      <c r="BM138" t="n">
        <v>4248.135</v>
      </c>
      <c r="BN138" t="n">
        <v>3891.528</v>
      </c>
      <c r="BO138" t="n">
        <v>1300.06</v>
      </c>
      <c r="BP138" t="n">
        <v>1324.504</v>
      </c>
      <c r="BQ138" t="n">
        <v>1135.822</v>
      </c>
      <c r="BR138" t="n">
        <v>938.808</v>
      </c>
      <c r="BS138" t="n">
        <v>840.742</v>
      </c>
      <c r="BT138" t="n">
        <v>693.353</v>
      </c>
      <c r="BU138" t="n">
        <v>761.897</v>
      </c>
      <c r="BV138" t="n">
        <v>760.002</v>
      </c>
    </row>
    <row r="139">
      <c r="A139" t="inlineStr">
        <is>
          <t>Metapenaeus brevicornis</t>
        </is>
      </c>
      <c r="B139" t="inlineStr">
        <is>
          <t>Yellow shrimp</t>
        </is>
      </c>
      <c r="C139" t="inlineStr">
        <is>
          <t>Shrimps</t>
        </is>
      </c>
      <c r="D139" t="inlineStr">
        <is>
          <t>Crustaceans</t>
        </is>
      </c>
      <c r="E139" t="n">
        <v>1933.791</v>
      </c>
      <c r="F139" t="n">
        <v>1915.896</v>
      </c>
      <c r="G139" t="n">
        <v>1927.762</v>
      </c>
      <c r="H139" t="n">
        <v>1939.406</v>
      </c>
      <c r="I139" t="n">
        <v>1950.758</v>
      </c>
      <c r="J139" t="n">
        <v>1961.877</v>
      </c>
      <c r="K139" t="n">
        <v>1972.692</v>
      </c>
      <c r="L139" t="n">
        <v>1983.175</v>
      </c>
      <c r="M139" t="n">
        <v>1993.382</v>
      </c>
      <c r="N139" t="n">
        <v>2003.24</v>
      </c>
      <c r="O139" t="n">
        <v>2064.263</v>
      </c>
      <c r="P139" t="n">
        <v>2178.262</v>
      </c>
      <c r="Q139" t="n">
        <v>2175.394</v>
      </c>
      <c r="R139" t="n">
        <v>2199.629</v>
      </c>
      <c r="S139" t="n">
        <v>2223.658</v>
      </c>
      <c r="T139" t="n">
        <v>2247.413</v>
      </c>
      <c r="U139" t="n">
        <v>2266.072</v>
      </c>
      <c r="V139" t="n">
        <v>2284.363</v>
      </c>
      <c r="W139" t="n">
        <v>2302.189</v>
      </c>
      <c r="X139" t="n">
        <v>2319.562</v>
      </c>
      <c r="Y139" t="n">
        <v>2286.818</v>
      </c>
      <c r="Z139" t="n">
        <v>2353.364</v>
      </c>
      <c r="AA139" t="n">
        <v>2369.743</v>
      </c>
      <c r="AB139" t="n">
        <v>2385.551</v>
      </c>
      <c r="AC139" t="n">
        <v>2445.758</v>
      </c>
      <c r="AD139" t="n">
        <v>2408.97</v>
      </c>
      <c r="AE139" t="n">
        <v>2494.763</v>
      </c>
      <c r="AF139" t="n">
        <v>2501.434</v>
      </c>
      <c r="AG139" t="n">
        <v>2522.014</v>
      </c>
      <c r="AH139" t="n">
        <v>2520.745</v>
      </c>
      <c r="AI139" t="n">
        <v>2521.597</v>
      </c>
      <c r="AJ139" t="n">
        <v>2518.588</v>
      </c>
      <c r="AK139" t="n">
        <v>2529.148</v>
      </c>
      <c r="AL139" t="n">
        <v>2522.403</v>
      </c>
      <c r="AM139" t="n">
        <v>2514.491</v>
      </c>
      <c r="AN139" t="n">
        <v>2584.543</v>
      </c>
      <c r="AO139" t="n">
        <v>2495.466</v>
      </c>
      <c r="AP139" t="n">
        <v>2483.981</v>
      </c>
      <c r="AQ139" t="n">
        <v>2509.769</v>
      </c>
      <c r="AR139" t="n">
        <v>2457.278</v>
      </c>
      <c r="AS139" t="n">
        <v>2511.221</v>
      </c>
      <c r="AT139" t="n">
        <v>2520.418</v>
      </c>
      <c r="AU139" t="n">
        <v>2527.503</v>
      </c>
      <c r="AV139" t="n">
        <v>2532.483</v>
      </c>
      <c r="AW139" t="n">
        <v>2535.357</v>
      </c>
      <c r="AX139" t="n">
        <v>2536.125</v>
      </c>
      <c r="AY139" t="n">
        <v>2534.788</v>
      </c>
      <c r="AZ139" t="n">
        <v>2531.346</v>
      </c>
      <c r="BA139" t="n">
        <v>2525.797</v>
      </c>
      <c r="BB139" t="n">
        <v>2518.144</v>
      </c>
      <c r="BC139" t="n">
        <v>2508.382</v>
      </c>
      <c r="BD139" t="n">
        <v>2519.343</v>
      </c>
      <c r="BE139" t="n">
        <v>2527.147</v>
      </c>
      <c r="BF139" t="n">
        <v>2531.781</v>
      </c>
      <c r="BG139" t="n">
        <v>2533.246</v>
      </c>
      <c r="BH139" t="n">
        <v>2531.543</v>
      </c>
      <c r="BI139" t="n">
        <v>2526.67</v>
      </c>
      <c r="BJ139" t="n">
        <v>2518.628</v>
      </c>
      <c r="BK139" t="n">
        <v>2507.417</v>
      </c>
      <c r="BL139" t="n">
        <v>2564.376</v>
      </c>
      <c r="BM139" t="n">
        <v>2621.345</v>
      </c>
      <c r="BN139" t="n">
        <v>2620.809</v>
      </c>
      <c r="BO139" t="n">
        <v>2652.445</v>
      </c>
      <c r="BP139" t="n">
        <v>2684.905</v>
      </c>
      <c r="BQ139" t="n">
        <v>2717.708</v>
      </c>
      <c r="BR139" t="n">
        <v>2741.332</v>
      </c>
      <c r="BS139" t="n">
        <v>2755.385</v>
      </c>
      <c r="BT139" t="n">
        <v>2759.808</v>
      </c>
      <c r="BU139" t="n">
        <v>2759.808</v>
      </c>
      <c r="BV139" t="n">
        <v>2759.808</v>
      </c>
    </row>
    <row r="140">
      <c r="A140" t="inlineStr">
        <is>
          <t>Psettodes erumei</t>
        </is>
      </c>
      <c r="B140" t="inlineStr">
        <is>
          <t>Indian halibut</t>
        </is>
      </c>
      <c r="C140" t="inlineStr">
        <is>
          <t>Small to medium flatfishes (&lt;90 cm)</t>
        </is>
      </c>
      <c r="D140" t="inlineStr">
        <is>
          <t>Flatfishes</t>
        </is>
      </c>
      <c r="E140" t="n">
        <v>262.763</v>
      </c>
      <c r="F140" t="n">
        <v>293.278</v>
      </c>
      <c r="G140" t="n">
        <v>281.19</v>
      </c>
      <c r="H140" t="n">
        <v>366.672</v>
      </c>
      <c r="I140" t="n">
        <v>365.991</v>
      </c>
      <c r="J140" t="n">
        <v>343.034</v>
      </c>
      <c r="K140" t="n">
        <v>301.04</v>
      </c>
      <c r="L140" t="n">
        <v>412.693</v>
      </c>
      <c r="M140" t="n">
        <v>338.896</v>
      </c>
      <c r="N140" t="n">
        <v>387.935</v>
      </c>
      <c r="O140" t="n">
        <v>335.091</v>
      </c>
      <c r="P140" t="n">
        <v>305.902</v>
      </c>
      <c r="Q140" t="n">
        <v>340.424</v>
      </c>
      <c r="R140" t="n">
        <v>331.67</v>
      </c>
      <c r="S140" t="n">
        <v>297.786</v>
      </c>
      <c r="T140" t="n">
        <v>321.477</v>
      </c>
      <c r="U140" t="n">
        <v>277.732</v>
      </c>
      <c r="V140" t="n">
        <v>300.534</v>
      </c>
      <c r="W140" t="n">
        <v>315.937</v>
      </c>
      <c r="X140" t="n">
        <v>307.851</v>
      </c>
      <c r="Y140" t="n">
        <v>422.626</v>
      </c>
      <c r="Z140" t="n">
        <v>440.463</v>
      </c>
      <c r="AA140" t="n">
        <v>459.247</v>
      </c>
      <c r="AB140" t="n">
        <v>522.674</v>
      </c>
      <c r="AC140" t="n">
        <v>652.4349999999999</v>
      </c>
      <c r="AD140" t="n">
        <v>484.462</v>
      </c>
      <c r="AE140" t="n">
        <v>1402.513</v>
      </c>
      <c r="AF140" t="n">
        <v>3259.161</v>
      </c>
      <c r="AG140" t="n">
        <v>1779.309</v>
      </c>
      <c r="AH140" t="n">
        <v>1156.06</v>
      </c>
      <c r="AI140" t="n">
        <v>729.237</v>
      </c>
      <c r="AJ140" t="n">
        <v>963.857</v>
      </c>
      <c r="AK140" t="n">
        <v>807.662</v>
      </c>
      <c r="AL140" t="n">
        <v>564.798</v>
      </c>
      <c r="AM140" t="n">
        <v>672.655</v>
      </c>
      <c r="AN140" t="n">
        <v>1352.651</v>
      </c>
      <c r="AO140" t="n">
        <v>1476.482</v>
      </c>
      <c r="AP140" t="n">
        <v>983.8150000000001</v>
      </c>
      <c r="AQ140" t="n">
        <v>969.426</v>
      </c>
      <c r="AR140" t="n">
        <v>951.5839999999999</v>
      </c>
      <c r="AS140" t="n">
        <v>1827.813</v>
      </c>
      <c r="AT140" t="n">
        <v>1425.703</v>
      </c>
      <c r="AU140" t="n">
        <v>868.942</v>
      </c>
      <c r="AV140" t="n">
        <v>1930.288</v>
      </c>
      <c r="AW140" t="n">
        <v>4865.831</v>
      </c>
      <c r="AX140" t="n">
        <v>4882.649</v>
      </c>
      <c r="AY140" t="n">
        <v>9720.473</v>
      </c>
      <c r="AZ140" t="n">
        <v>10206.233</v>
      </c>
      <c r="BA140" t="n">
        <v>3642.405</v>
      </c>
      <c r="BB140" t="n">
        <v>2643.681</v>
      </c>
      <c r="BC140" t="n">
        <v>2913.27</v>
      </c>
      <c r="BD140" t="n">
        <v>2725.178</v>
      </c>
      <c r="BE140" t="n">
        <v>2892.318</v>
      </c>
      <c r="BF140" t="n">
        <v>4871.578</v>
      </c>
      <c r="BG140" t="n">
        <v>4749.343</v>
      </c>
      <c r="BH140" t="n">
        <v>7302.09</v>
      </c>
      <c r="BI140" t="n">
        <v>8033.047</v>
      </c>
      <c r="BJ140" t="n">
        <v>6392.506</v>
      </c>
      <c r="BK140" t="n">
        <v>5671.117</v>
      </c>
      <c r="BL140" t="n">
        <v>5494.582</v>
      </c>
      <c r="BM140" t="n">
        <v>4832.26</v>
      </c>
      <c r="BN140" t="n">
        <v>4838.538</v>
      </c>
      <c r="BO140" t="n">
        <v>4914.148</v>
      </c>
      <c r="BP140" t="n">
        <v>4014.084</v>
      </c>
      <c r="BQ140" t="n">
        <v>4138.965</v>
      </c>
      <c r="BR140" t="n">
        <v>4038.243</v>
      </c>
      <c r="BS140" t="n">
        <v>4336.162</v>
      </c>
      <c r="BT140" t="n">
        <v>4563.243</v>
      </c>
      <c r="BU140" t="n">
        <v>4279.566</v>
      </c>
      <c r="BV140" t="n">
        <v>4037.652</v>
      </c>
    </row>
    <row r="141">
      <c r="A141" t="inlineStr">
        <is>
          <t>Myliobatidae</t>
        </is>
      </c>
      <c r="B141" t="inlineStr">
        <is>
          <t>Eagle/manta rays</t>
        </is>
      </c>
      <c r="C141" t="inlineStr">
        <is>
          <t>Large rays (&gt;=90 cm)</t>
        </is>
      </c>
      <c r="D141" t="inlineStr">
        <is>
          <t>Sharks &amp; rays</t>
        </is>
      </c>
      <c r="E141" t="n">
        <v>2502.881</v>
      </c>
      <c r="F141" t="n">
        <v>2520.915</v>
      </c>
      <c r="G141" t="n">
        <v>2536.611</v>
      </c>
      <c r="H141" t="n">
        <v>2555.517</v>
      </c>
      <c r="I141" t="n">
        <v>2576.105</v>
      </c>
      <c r="J141" t="n">
        <v>2585.973</v>
      </c>
      <c r="K141" t="n">
        <v>2594.314</v>
      </c>
      <c r="L141" t="n">
        <v>2608.762</v>
      </c>
      <c r="M141" t="n">
        <v>2616.799</v>
      </c>
      <c r="N141" t="n">
        <v>2626.022</v>
      </c>
      <c r="O141" t="n">
        <v>2588.609</v>
      </c>
      <c r="P141" t="n">
        <v>2596.828</v>
      </c>
      <c r="Q141" t="n">
        <v>2601.705</v>
      </c>
      <c r="R141" t="n">
        <v>2603.863</v>
      </c>
      <c r="S141" t="n">
        <v>2604.15</v>
      </c>
      <c r="T141" t="n">
        <v>2603.045</v>
      </c>
      <c r="U141" t="n">
        <v>2600.595</v>
      </c>
      <c r="V141" t="n">
        <v>2596.332</v>
      </c>
      <c r="W141" t="n">
        <v>2589.587</v>
      </c>
      <c r="X141" t="n">
        <v>2579.524</v>
      </c>
      <c r="Y141" t="n">
        <v>2565.577</v>
      </c>
      <c r="Z141" t="n">
        <v>2547.538</v>
      </c>
      <c r="AA141" t="n">
        <v>2525.546</v>
      </c>
      <c r="AB141" t="n">
        <v>2499.824</v>
      </c>
      <c r="AC141" t="n">
        <v>2470.699</v>
      </c>
      <c r="AD141" t="n">
        <v>2438.35</v>
      </c>
      <c r="AE141" t="n">
        <v>2402.902</v>
      </c>
      <c r="AF141" t="n">
        <v>2364.165</v>
      </c>
      <c r="AG141" t="n">
        <v>2321.677</v>
      </c>
      <c r="AH141" t="n">
        <v>2274.891</v>
      </c>
      <c r="AI141" t="n">
        <v>2223.56</v>
      </c>
      <c r="AJ141" t="n">
        <v>2194.941</v>
      </c>
      <c r="AK141" t="n">
        <v>2152.558</v>
      </c>
      <c r="AL141" t="n">
        <v>2107.25</v>
      </c>
      <c r="AM141" t="n">
        <v>2059.936</v>
      </c>
      <c r="AN141" t="n">
        <v>2011.175</v>
      </c>
      <c r="AO141" t="n">
        <v>1960.997</v>
      </c>
      <c r="AP141" t="n">
        <v>1989.664</v>
      </c>
      <c r="AQ141" t="n">
        <v>2018.543</v>
      </c>
      <c r="AR141" t="n">
        <v>2047.216</v>
      </c>
      <c r="AS141" t="n">
        <v>2075.332</v>
      </c>
      <c r="AT141" t="n">
        <v>2102.854</v>
      </c>
      <c r="AU141" t="n">
        <v>2129.742</v>
      </c>
      <c r="AV141" t="n">
        <v>2155.629</v>
      </c>
      <c r="AW141" t="n">
        <v>2180.068</v>
      </c>
      <c r="AX141" t="n">
        <v>2202.741</v>
      </c>
      <c r="AY141" t="n">
        <v>2223.549</v>
      </c>
      <c r="AZ141" t="n">
        <v>2242.574</v>
      </c>
      <c r="BA141" t="n">
        <v>2259.928</v>
      </c>
      <c r="BB141" t="n">
        <v>2275.812</v>
      </c>
      <c r="BC141" t="n">
        <v>2290.433</v>
      </c>
      <c r="BD141" t="n">
        <v>2302.742</v>
      </c>
      <c r="BE141" t="n">
        <v>2320.061</v>
      </c>
      <c r="BF141" t="n">
        <v>2353.117</v>
      </c>
      <c r="BG141" t="n">
        <v>2390.775</v>
      </c>
      <c r="BH141" t="n">
        <v>1277.342</v>
      </c>
      <c r="BI141" t="n">
        <v>2447.334</v>
      </c>
      <c r="BJ141" t="n">
        <v>2465.261</v>
      </c>
      <c r="BK141" t="n">
        <v>2483.716</v>
      </c>
      <c r="BL141" t="n">
        <v>2297.174</v>
      </c>
      <c r="BM141" t="n">
        <v>1963.637</v>
      </c>
      <c r="BN141" t="n">
        <v>2206.277</v>
      </c>
      <c r="BO141" t="n">
        <v>2144.262</v>
      </c>
      <c r="BP141" t="n">
        <v>2043.738</v>
      </c>
      <c r="BQ141" t="n">
        <v>1716.641</v>
      </c>
      <c r="BR141" t="n">
        <v>2315.287</v>
      </c>
      <c r="BS141" t="n">
        <v>2360.049</v>
      </c>
      <c r="BT141" t="n">
        <v>2585.101</v>
      </c>
      <c r="BU141" t="n">
        <v>2381.253</v>
      </c>
      <c r="BV141" t="n">
        <v>2189.508</v>
      </c>
    </row>
    <row r="142">
      <c r="A142" t="inlineStr">
        <is>
          <t>Acanthuridae</t>
        </is>
      </c>
      <c r="B142" t="inlineStr">
        <is>
          <t>Surgeons, tangs, unicornfishes</t>
        </is>
      </c>
      <c r="C142" t="inlineStr">
        <is>
          <t>Small reef assoc. fish (&lt;30 cm)</t>
        </is>
      </c>
      <c r="D142" t="inlineStr">
        <is>
          <t>Perch-likes</t>
        </is>
      </c>
      <c r="E142" t="n">
        <v>2519.652</v>
      </c>
      <c r="F142" t="n">
        <v>2537.618</v>
      </c>
      <c r="G142" t="n">
        <v>2554.565</v>
      </c>
      <c r="H142" t="n">
        <v>2574.728</v>
      </c>
      <c r="I142" t="n">
        <v>2596.577</v>
      </c>
      <c r="J142" t="n">
        <v>2607.684</v>
      </c>
      <c r="K142" t="n">
        <v>2617.261</v>
      </c>
      <c r="L142" t="n">
        <v>2632.957</v>
      </c>
      <c r="M142" t="n">
        <v>2642.23</v>
      </c>
      <c r="N142" t="n">
        <v>2652.69</v>
      </c>
      <c r="O142" t="n">
        <v>2616.421</v>
      </c>
      <c r="P142" t="n">
        <v>2625.876</v>
      </c>
      <c r="Q142" t="n">
        <v>2632.693</v>
      </c>
      <c r="R142" t="n">
        <v>2636.786</v>
      </c>
      <c r="S142" t="n">
        <v>2639.004</v>
      </c>
      <c r="T142" t="n">
        <v>2639.827</v>
      </c>
      <c r="U142" t="n">
        <v>2639.302</v>
      </c>
      <c r="V142" t="n">
        <v>2636.961</v>
      </c>
      <c r="W142" t="n">
        <v>2632.133</v>
      </c>
      <c r="X142" t="n">
        <v>2623.98</v>
      </c>
      <c r="Y142" t="n">
        <v>2611.935</v>
      </c>
      <c r="Z142" t="n">
        <v>2595.79</v>
      </c>
      <c r="AA142" t="n">
        <v>2575.615</v>
      </c>
      <c r="AB142" t="n">
        <v>2551.701</v>
      </c>
      <c r="AC142" t="n">
        <v>2524.379</v>
      </c>
      <c r="AD142" t="n">
        <v>2493.825</v>
      </c>
      <c r="AE142" t="n">
        <v>2460.166</v>
      </c>
      <c r="AF142" t="n">
        <v>2423.212</v>
      </c>
      <c r="AG142" t="n">
        <v>2382.499</v>
      </c>
      <c r="AH142" t="n">
        <v>2337.479</v>
      </c>
      <c r="AI142" t="n">
        <v>2287.905</v>
      </c>
      <c r="AJ142" t="n">
        <v>2260.902</v>
      </c>
      <c r="AK142" t="n">
        <v>2220.621</v>
      </c>
      <c r="AL142" t="n">
        <v>2177.408</v>
      </c>
      <c r="AM142" t="n">
        <v>2132.186</v>
      </c>
      <c r="AN142" t="n">
        <v>2085.513</v>
      </c>
      <c r="AO142" t="n">
        <v>2037.42</v>
      </c>
      <c r="AP142" t="n">
        <v>2068.333</v>
      </c>
      <c r="AQ142" t="n">
        <v>2099.458</v>
      </c>
      <c r="AR142" t="n">
        <v>2130.377</v>
      </c>
      <c r="AS142" t="n">
        <v>2160.738</v>
      </c>
      <c r="AT142" t="n">
        <v>2190.503</v>
      </c>
      <c r="AU142" t="n">
        <v>2219.127</v>
      </c>
      <c r="AV142" t="n">
        <v>2246.747</v>
      </c>
      <c r="AW142" t="n">
        <v>2272.917</v>
      </c>
      <c r="AX142" t="n">
        <v>2297.318</v>
      </c>
      <c r="AY142" t="n">
        <v>2319.85</v>
      </c>
      <c r="AZ142" t="n">
        <v>2340.595</v>
      </c>
      <c r="BA142" t="n">
        <v>2359.665</v>
      </c>
      <c r="BB142" t="n">
        <v>2377.263</v>
      </c>
      <c r="BC142" t="n">
        <v>2393.595</v>
      </c>
      <c r="BD142" t="n">
        <v>2407.61</v>
      </c>
      <c r="BE142" t="n">
        <v>2425.282</v>
      </c>
      <c r="BF142" t="n">
        <v>2458.724</v>
      </c>
      <c r="BG142" t="n">
        <v>2496.776</v>
      </c>
      <c r="BH142" t="n">
        <v>1381.403</v>
      </c>
      <c r="BI142" t="n">
        <v>2554.086</v>
      </c>
      <c r="BJ142" t="n">
        <v>2572.368</v>
      </c>
      <c r="BK142" t="n">
        <v>2591.178</v>
      </c>
      <c r="BL142" t="n">
        <v>2404.576</v>
      </c>
      <c r="BM142" t="n">
        <v>2070.681</v>
      </c>
      <c r="BN142" t="n">
        <v>2314.13</v>
      </c>
      <c r="BO142" t="n">
        <v>1517.683</v>
      </c>
      <c r="BP142" t="n">
        <v>1491.684</v>
      </c>
      <c r="BQ142" t="n">
        <v>1224.822</v>
      </c>
      <c r="BR142" t="n">
        <v>1752.67</v>
      </c>
      <c r="BS142" t="n">
        <v>1715.854</v>
      </c>
      <c r="BT142" t="n">
        <v>1446.534</v>
      </c>
      <c r="BU142" t="n">
        <v>1516.891</v>
      </c>
      <c r="BV142" t="n">
        <v>1516.891</v>
      </c>
    </row>
    <row r="143">
      <c r="A143" t="inlineStr">
        <is>
          <t>Caranx sexfasciatus</t>
        </is>
      </c>
      <c r="B143" t="inlineStr">
        <is>
          <t>Bigeye trevally</t>
        </is>
      </c>
      <c r="C143" t="inlineStr">
        <is>
          <t>Large reef assoc. fish (&gt;=90 cm)</t>
        </is>
      </c>
      <c r="D143" t="inlineStr">
        <is>
          <t>Perch-likes</t>
        </is>
      </c>
      <c r="E143" t="n">
        <v>2509.69</v>
      </c>
      <c r="F143" t="n">
        <v>2527.759</v>
      </c>
      <c r="G143" t="n">
        <v>2543.485</v>
      </c>
      <c r="H143" t="n">
        <v>2562.427</v>
      </c>
      <c r="I143" t="n">
        <v>2585.043</v>
      </c>
      <c r="J143" t="n">
        <v>2594.929</v>
      </c>
      <c r="K143" t="n">
        <v>2602.293</v>
      </c>
      <c r="L143" t="n">
        <v>2617.762</v>
      </c>
      <c r="M143" t="n">
        <v>2625.814</v>
      </c>
      <c r="N143" t="n">
        <v>2635.055</v>
      </c>
      <c r="O143" t="n">
        <v>2597.57</v>
      </c>
      <c r="P143" t="n">
        <v>2605.806</v>
      </c>
      <c r="Q143" t="n">
        <v>2611.685</v>
      </c>
      <c r="R143" t="n">
        <v>2613.848</v>
      </c>
      <c r="S143" t="n">
        <v>2615.13</v>
      </c>
      <c r="T143" t="n">
        <v>2614.022</v>
      </c>
      <c r="U143" t="n">
        <v>2612.561</v>
      </c>
      <c r="V143" t="n">
        <v>2609.284</v>
      </c>
      <c r="W143" t="n">
        <v>2602.527</v>
      </c>
      <c r="X143" t="n">
        <v>2592.444</v>
      </c>
      <c r="Y143" t="n">
        <v>2578.47</v>
      </c>
      <c r="Z143" t="n">
        <v>2559.403</v>
      </c>
      <c r="AA143" t="n">
        <v>2537.368</v>
      </c>
      <c r="AB143" t="n">
        <v>2512.59</v>
      </c>
      <c r="AC143" t="n">
        <v>2483.409</v>
      </c>
      <c r="AD143" t="n">
        <v>2450.004</v>
      </c>
      <c r="AE143" t="n">
        <v>2407.53</v>
      </c>
      <c r="AF143" t="n">
        <v>2368.718</v>
      </c>
      <c r="AG143" t="n">
        <v>2326.149</v>
      </c>
      <c r="AH143" t="n">
        <v>2279.272</v>
      </c>
      <c r="AI143" t="n">
        <v>2227.842</v>
      </c>
      <c r="AJ143" t="n">
        <v>2199.168</v>
      </c>
      <c r="AK143" t="n">
        <v>2156.704</v>
      </c>
      <c r="AL143" t="n">
        <v>2111.308</v>
      </c>
      <c r="AM143" t="n">
        <v>2063.903</v>
      </c>
      <c r="AN143" t="n">
        <v>2015.049</v>
      </c>
      <c r="AO143" t="n">
        <v>1964.773</v>
      </c>
      <c r="AP143" t="n">
        <v>1993.496</v>
      </c>
      <c r="AQ143" t="n">
        <v>2022.431</v>
      </c>
      <c r="AR143" t="n">
        <v>2051.159</v>
      </c>
      <c r="AS143" t="n">
        <v>2079.329</v>
      </c>
      <c r="AT143" t="n">
        <v>2106.904</v>
      </c>
      <c r="AU143" t="n">
        <v>2133.844</v>
      </c>
      <c r="AV143" t="n">
        <v>2159.78</v>
      </c>
      <c r="AW143" t="n">
        <v>2184.266</v>
      </c>
      <c r="AX143" t="n">
        <v>2206.984</v>
      </c>
      <c r="AY143" t="n">
        <v>2227.832</v>
      </c>
      <c r="AZ143" t="n">
        <v>2246.893</v>
      </c>
      <c r="BA143" t="n">
        <v>2264.28</v>
      </c>
      <c r="BB143" t="n">
        <v>2280.195</v>
      </c>
      <c r="BC143" t="n">
        <v>2294.844</v>
      </c>
      <c r="BD143" t="n">
        <v>2307.176</v>
      </c>
      <c r="BE143" t="n">
        <v>2324.529</v>
      </c>
      <c r="BF143" t="n">
        <v>2357.649</v>
      </c>
      <c r="BG143" t="n">
        <v>2395.38</v>
      </c>
      <c r="BH143" t="n">
        <v>1355.441</v>
      </c>
      <c r="BI143" t="n">
        <v>2531.667</v>
      </c>
      <c r="BJ143" t="n">
        <v>2561.574</v>
      </c>
      <c r="BK143" t="n">
        <v>2582.052</v>
      </c>
      <c r="BL143" t="n">
        <v>2500.824</v>
      </c>
      <c r="BM143" t="n">
        <v>2164.657</v>
      </c>
      <c r="BN143" t="n">
        <v>2393.831</v>
      </c>
      <c r="BO143" t="n">
        <v>1599.301</v>
      </c>
      <c r="BP143" t="n">
        <v>1568.67</v>
      </c>
      <c r="BQ143" t="n">
        <v>1312.848</v>
      </c>
      <c r="BR143" t="n">
        <v>1842.275</v>
      </c>
      <c r="BS143" t="n">
        <v>1817.796</v>
      </c>
      <c r="BT143" t="n">
        <v>1531.573</v>
      </c>
      <c r="BU143" t="n">
        <v>1586.164</v>
      </c>
      <c r="BV143" t="n">
        <v>1593.993</v>
      </c>
    </row>
    <row r="144">
      <c r="A144" t="inlineStr">
        <is>
          <t>Polynemus paradiseus</t>
        </is>
      </c>
      <c r="B144" t="inlineStr">
        <is>
          <t>Paradise threadfin</t>
        </is>
      </c>
      <c r="C144" t="inlineStr">
        <is>
          <t>Medium demersals (30 - 89 cm)</t>
        </is>
      </c>
      <c r="D144" t="inlineStr">
        <is>
          <t>Perch-likes</t>
        </is>
      </c>
      <c r="E144" t="n">
        <v>1816.281</v>
      </c>
      <c r="F144" t="n">
        <v>1799.474</v>
      </c>
      <c r="G144" t="n">
        <v>1810.619</v>
      </c>
      <c r="H144" t="n">
        <v>1821.556</v>
      </c>
      <c r="I144" t="n">
        <v>1832.217</v>
      </c>
      <c r="J144" t="n">
        <v>1842.661</v>
      </c>
      <c r="K144" t="n">
        <v>1852.818</v>
      </c>
      <c r="L144" t="n">
        <v>1862.665</v>
      </c>
      <c r="M144" t="n">
        <v>1872.251</v>
      </c>
      <c r="N144" t="n">
        <v>1881.51</v>
      </c>
      <c r="O144" t="n">
        <v>1938.825</v>
      </c>
      <c r="P144" t="n">
        <v>2045.897</v>
      </c>
      <c r="Q144" t="n">
        <v>2043.203</v>
      </c>
      <c r="R144" t="n">
        <v>2065.966</v>
      </c>
      <c r="S144" t="n">
        <v>2088.535</v>
      </c>
      <c r="T144" t="n">
        <v>2110.846</v>
      </c>
      <c r="U144" t="n">
        <v>2128.371</v>
      </c>
      <c r="V144" t="n">
        <v>2145.55</v>
      </c>
      <c r="W144" t="n">
        <v>2162.294</v>
      </c>
      <c r="X144" t="n">
        <v>2178.61</v>
      </c>
      <c r="Y144" t="n">
        <v>2147.857</v>
      </c>
      <c r="Z144" t="n">
        <v>2210.359</v>
      </c>
      <c r="AA144" t="n">
        <v>2225.743</v>
      </c>
      <c r="AB144" t="n">
        <v>2240.59</v>
      </c>
      <c r="AC144" t="n">
        <v>2297.138</v>
      </c>
      <c r="AD144" t="n">
        <v>2262.585</v>
      </c>
      <c r="AE144" t="n">
        <v>2343.165</v>
      </c>
      <c r="AF144" t="n">
        <v>2349.431</v>
      </c>
      <c r="AG144" t="n">
        <v>2368.76</v>
      </c>
      <c r="AH144" t="n">
        <v>2367.568</v>
      </c>
      <c r="AI144" t="n">
        <v>2368.368</v>
      </c>
      <c r="AJ144" t="n">
        <v>2365.543</v>
      </c>
      <c r="AK144" t="n">
        <v>2375.461</v>
      </c>
      <c r="AL144" t="n">
        <v>2369.125</v>
      </c>
      <c r="AM144" t="n">
        <v>2361.694</v>
      </c>
      <c r="AN144" t="n">
        <v>2427.49</v>
      </c>
      <c r="AO144" t="n">
        <v>2343.825</v>
      </c>
      <c r="AP144" t="n">
        <v>2333.038</v>
      </c>
      <c r="AQ144" t="n">
        <v>2357.259</v>
      </c>
      <c r="AR144" t="n">
        <v>2307.958</v>
      </c>
      <c r="AS144" t="n">
        <v>2358.623</v>
      </c>
      <c r="AT144" t="n">
        <v>2367.261</v>
      </c>
      <c r="AU144" t="n">
        <v>2373.916</v>
      </c>
      <c r="AV144" t="n">
        <v>2378.593</v>
      </c>
      <c r="AW144" t="n">
        <v>2381.292</v>
      </c>
      <c r="AX144" t="n">
        <v>2382.014</v>
      </c>
      <c r="AY144" t="n">
        <v>2380.758</v>
      </c>
      <c r="AZ144" t="n">
        <v>2377.525</v>
      </c>
      <c r="BA144" t="n">
        <v>2372.314</v>
      </c>
      <c r="BB144" t="n">
        <v>2365.125</v>
      </c>
      <c r="BC144" t="n">
        <v>2355.956</v>
      </c>
      <c r="BD144" t="n">
        <v>2366.252</v>
      </c>
      <c r="BE144" t="n">
        <v>2373.581</v>
      </c>
      <c r="BF144" t="n">
        <v>2377.934</v>
      </c>
      <c r="BG144" t="n">
        <v>2379.31</v>
      </c>
      <c r="BH144" t="n">
        <v>2377.71</v>
      </c>
      <c r="BI144" t="n">
        <v>2373.133</v>
      </c>
      <c r="BJ144" t="n">
        <v>2365.58</v>
      </c>
      <c r="BK144" t="n">
        <v>2355.051</v>
      </c>
      <c r="BL144" t="n">
        <v>2408.548</v>
      </c>
      <c r="BM144" t="n">
        <v>2462.055</v>
      </c>
      <c r="BN144" t="n">
        <v>2461.551</v>
      </c>
      <c r="BO144" t="n">
        <v>2491.265</v>
      </c>
      <c r="BP144" t="n">
        <v>2521.753</v>
      </c>
      <c r="BQ144" t="n">
        <v>2552.563</v>
      </c>
      <c r="BR144" t="n">
        <v>2574.751</v>
      </c>
      <c r="BS144" t="n">
        <v>2587.95</v>
      </c>
      <c r="BT144" t="n">
        <v>2592.105</v>
      </c>
      <c r="BU144" t="n">
        <v>2592.105</v>
      </c>
      <c r="BV144" t="n">
        <v>2592.105</v>
      </c>
    </row>
    <row r="145">
      <c r="A145" t="inlineStr">
        <is>
          <t>Bramidae</t>
        </is>
      </c>
      <c r="B145" t="inlineStr">
        <is>
          <t>Pomfrets</t>
        </is>
      </c>
      <c r="C145" t="inlineStr">
        <is>
          <t>Medium pelagics (30 - 89 cm)</t>
        </is>
      </c>
      <c r="D145" t="inlineStr">
        <is>
          <t>Perch-likes</t>
        </is>
      </c>
      <c r="E145" t="n">
        <v>2811.245</v>
      </c>
      <c r="F145" t="n">
        <v>2200.025</v>
      </c>
      <c r="G145" t="n">
        <v>2551.66</v>
      </c>
      <c r="H145" t="n">
        <v>2420.027</v>
      </c>
      <c r="I145" t="n">
        <v>1741.609</v>
      </c>
      <c r="J145" t="n">
        <v>2349.148</v>
      </c>
      <c r="K145" t="n">
        <v>3242.965</v>
      </c>
      <c r="L145" t="n">
        <v>3305.56</v>
      </c>
      <c r="M145" t="n">
        <v>3540.29</v>
      </c>
      <c r="N145" t="n">
        <v>3288.07</v>
      </c>
      <c r="O145" t="n">
        <v>4580.18</v>
      </c>
      <c r="P145" t="n">
        <v>3436.79</v>
      </c>
      <c r="Q145" t="n">
        <v>5896.538</v>
      </c>
      <c r="R145" t="n">
        <v>4183.726</v>
      </c>
      <c r="S145" t="n">
        <v>4663.314</v>
      </c>
      <c r="T145" t="n">
        <v>3616.692</v>
      </c>
      <c r="U145" t="n">
        <v>2895.931</v>
      </c>
      <c r="V145" t="n">
        <v>4465.402</v>
      </c>
      <c r="W145" t="n">
        <v>6098.376</v>
      </c>
      <c r="X145" t="n">
        <v>4051.9</v>
      </c>
      <c r="Y145" t="n">
        <v>3989.28</v>
      </c>
      <c r="Z145" t="n">
        <v>4709.099</v>
      </c>
      <c r="AA145" t="n">
        <v>4903.285</v>
      </c>
      <c r="AB145" t="n">
        <v>6077.282</v>
      </c>
      <c r="AC145" t="n">
        <v>5338.65</v>
      </c>
      <c r="AD145" t="n">
        <v>8758.444</v>
      </c>
      <c r="AE145" t="n">
        <v>14948.609</v>
      </c>
      <c r="AF145" t="n">
        <v>4025.24</v>
      </c>
      <c r="AG145" t="n">
        <v>8543.769</v>
      </c>
      <c r="AH145" t="n">
        <v>12900.174</v>
      </c>
      <c r="AI145" t="n">
        <v>12601.353</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row>
    <row r="146">
      <c r="A146" t="inlineStr">
        <is>
          <t>Lethrinus nebulosus</t>
        </is>
      </c>
      <c r="B146" t="inlineStr">
        <is>
          <t>Spangled emperor</t>
        </is>
      </c>
      <c r="C146" t="inlineStr">
        <is>
          <t>Medium demersals (30 - 89 cm)</t>
        </is>
      </c>
      <c r="D146" t="inlineStr">
        <is>
          <t>Perch-likes</t>
        </is>
      </c>
      <c r="E146" t="n">
        <v>2508.234</v>
      </c>
      <c r="F146" t="n">
        <v>2526.307</v>
      </c>
      <c r="G146" t="n">
        <v>2542.036</v>
      </c>
      <c r="H146" t="n">
        <v>2560.983</v>
      </c>
      <c r="I146" t="n">
        <v>2581.615</v>
      </c>
      <c r="J146" t="n">
        <v>2591.503</v>
      </c>
      <c r="K146" t="n">
        <v>2599.862</v>
      </c>
      <c r="L146" t="n">
        <v>2614.341</v>
      </c>
      <c r="M146" t="n">
        <v>2622.395</v>
      </c>
      <c r="N146" t="n">
        <v>2631.638</v>
      </c>
      <c r="O146" t="n">
        <v>2594.145</v>
      </c>
      <c r="P146" t="n">
        <v>2602.382</v>
      </c>
      <c r="Q146" t="n">
        <v>2607.269</v>
      </c>
      <c r="R146" t="n">
        <v>2609.432</v>
      </c>
      <c r="S146" t="n">
        <v>2609.72</v>
      </c>
      <c r="T146" t="n">
        <v>2608.612</v>
      </c>
      <c r="U146" t="n">
        <v>2606.156</v>
      </c>
      <c r="V146" t="n">
        <v>2601.884</v>
      </c>
      <c r="W146" t="n">
        <v>2595.126</v>
      </c>
      <c r="X146" t="n">
        <v>2585.041</v>
      </c>
      <c r="Y146" t="n">
        <v>2571.064</v>
      </c>
      <c r="Z146" t="n">
        <v>2552.987</v>
      </c>
      <c r="AA146" t="n">
        <v>2530.948</v>
      </c>
      <c r="AB146" t="n">
        <v>2505.17</v>
      </c>
      <c r="AC146" t="n">
        <v>2475.983</v>
      </c>
      <c r="AD146" t="n">
        <v>2443.565</v>
      </c>
      <c r="AE146" t="n">
        <v>2408.041</v>
      </c>
      <c r="AF146" t="n">
        <v>2369.221</v>
      </c>
      <c r="AG146" t="n">
        <v>2326.643</v>
      </c>
      <c r="AH146" t="n">
        <v>2279.756</v>
      </c>
      <c r="AI146" t="n">
        <v>2228.315</v>
      </c>
      <c r="AJ146" t="n">
        <v>2199.635</v>
      </c>
      <c r="AK146" t="n">
        <v>2157.162</v>
      </c>
      <c r="AL146" t="n">
        <v>2111.757</v>
      </c>
      <c r="AM146" t="n">
        <v>2064.341</v>
      </c>
      <c r="AN146" t="n">
        <v>2015.476</v>
      </c>
      <c r="AO146" t="n">
        <v>1965.191</v>
      </c>
      <c r="AP146" t="n">
        <v>1993.919</v>
      </c>
      <c r="AQ146" t="n">
        <v>2022.86</v>
      </c>
      <c r="AR146" t="n">
        <v>2051.595</v>
      </c>
      <c r="AS146" t="n">
        <v>2079.771</v>
      </c>
      <c r="AT146" t="n">
        <v>2107.352</v>
      </c>
      <c r="AU146" t="n">
        <v>2134.297</v>
      </c>
      <c r="AV146" t="n">
        <v>2160.239</v>
      </c>
      <c r="AW146" t="n">
        <v>2184.73</v>
      </c>
      <c r="AX146" t="n">
        <v>2207.452</v>
      </c>
      <c r="AY146" t="n">
        <v>2228.305</v>
      </c>
      <c r="AZ146" t="n">
        <v>2247.37</v>
      </c>
      <c r="BA146" t="n">
        <v>2264.761</v>
      </c>
      <c r="BB146" t="n">
        <v>2280.679</v>
      </c>
      <c r="BC146" t="n">
        <v>2295.332</v>
      </c>
      <c r="BD146" t="n">
        <v>2307.666</v>
      </c>
      <c r="BE146" t="n">
        <v>2325.022</v>
      </c>
      <c r="BF146" t="n">
        <v>2358.149</v>
      </c>
      <c r="BG146" t="n">
        <v>2395.888</v>
      </c>
      <c r="BH146" t="n">
        <v>1280.074</v>
      </c>
      <c r="BI146" t="n">
        <v>2452.568</v>
      </c>
      <c r="BJ146" t="n">
        <v>2470.534</v>
      </c>
      <c r="BK146" t="n">
        <v>2489.028</v>
      </c>
      <c r="BL146" t="n">
        <v>2302.087</v>
      </c>
      <c r="BM146" t="n">
        <v>1967.837</v>
      </c>
      <c r="BN146" t="n">
        <v>2210.995</v>
      </c>
      <c r="BO146" t="n">
        <v>1413.818</v>
      </c>
      <c r="BP146" t="n">
        <v>1387.175</v>
      </c>
      <c r="BQ146" t="n">
        <v>1119.643</v>
      </c>
      <c r="BR146" t="n">
        <v>1646.461</v>
      </c>
      <c r="BS146" t="n">
        <v>1607.343</v>
      </c>
      <c r="BT146" t="n">
        <v>1336.929</v>
      </c>
      <c r="BU146" t="n">
        <v>1407.294</v>
      </c>
      <c r="BV146" t="n">
        <v>1407.294</v>
      </c>
    </row>
    <row r="147">
      <c r="A147" t="inlineStr">
        <is>
          <t>Caranx ignobilis</t>
        </is>
      </c>
      <c r="B147" t="inlineStr">
        <is>
          <t>Giant trevally</t>
        </is>
      </c>
      <c r="C147" t="inlineStr">
        <is>
          <t>Large reef assoc. fish (&gt;=90 cm)</t>
        </is>
      </c>
      <c r="D147" t="inlineStr">
        <is>
          <t>Perch-likes</t>
        </is>
      </c>
      <c r="E147" t="n">
        <v>2506.807</v>
      </c>
      <c r="F147" t="n">
        <v>2524.869</v>
      </c>
      <c r="G147" t="n">
        <v>2540.59</v>
      </c>
      <c r="H147" t="n">
        <v>2559.526</v>
      </c>
      <c r="I147" t="n">
        <v>2580.146</v>
      </c>
      <c r="J147" t="n">
        <v>2590.029</v>
      </c>
      <c r="K147" t="n">
        <v>2598.383</v>
      </c>
      <c r="L147" t="n">
        <v>2612.854</v>
      </c>
      <c r="M147" t="n">
        <v>2620.903</v>
      </c>
      <c r="N147" t="n">
        <v>2630.14</v>
      </c>
      <c r="O147" t="n">
        <v>2592.669</v>
      </c>
      <c r="P147" t="n">
        <v>2600.901</v>
      </c>
      <c r="Q147" t="n">
        <v>2605.785</v>
      </c>
      <c r="R147" t="n">
        <v>2607.947</v>
      </c>
      <c r="S147" t="n">
        <v>2608.235</v>
      </c>
      <c r="T147" t="n">
        <v>2607.128</v>
      </c>
      <c r="U147" t="n">
        <v>2604.674</v>
      </c>
      <c r="V147" t="n">
        <v>2600.404</v>
      </c>
      <c r="W147" t="n">
        <v>2593.649</v>
      </c>
      <c r="X147" t="n">
        <v>2583.57</v>
      </c>
      <c r="Y147" t="n">
        <v>2569.601</v>
      </c>
      <c r="Z147" t="n">
        <v>2551.534</v>
      </c>
      <c r="AA147" t="n">
        <v>2529.508</v>
      </c>
      <c r="AB147" t="n">
        <v>2503.744</v>
      </c>
      <c r="AC147" t="n">
        <v>2474.574</v>
      </c>
      <c r="AD147" t="n">
        <v>2442.175</v>
      </c>
      <c r="AE147" t="n">
        <v>2406.671</v>
      </c>
      <c r="AF147" t="n">
        <v>2367.873</v>
      </c>
      <c r="AG147" t="n">
        <v>2325.319</v>
      </c>
      <c r="AH147" t="n">
        <v>2278.459</v>
      </c>
      <c r="AI147" t="n">
        <v>2227.047</v>
      </c>
      <c r="AJ147" t="n">
        <v>2198.384</v>
      </c>
      <c r="AK147" t="n">
        <v>2155.934</v>
      </c>
      <c r="AL147" t="n">
        <v>2110.555</v>
      </c>
      <c r="AM147" t="n">
        <v>2063.167</v>
      </c>
      <c r="AN147" t="n">
        <v>2014.33</v>
      </c>
      <c r="AO147" t="n">
        <v>1964.072</v>
      </c>
      <c r="AP147" t="n">
        <v>1992.785</v>
      </c>
      <c r="AQ147" t="n">
        <v>2021.709</v>
      </c>
      <c r="AR147" t="n">
        <v>2050.427</v>
      </c>
      <c r="AS147" t="n">
        <v>2078.588</v>
      </c>
      <c r="AT147" t="n">
        <v>2106.153</v>
      </c>
      <c r="AU147" t="n">
        <v>2133.083</v>
      </c>
      <c r="AV147" t="n">
        <v>2159.01</v>
      </c>
      <c r="AW147" t="n">
        <v>2183.487</v>
      </c>
      <c r="AX147" t="n">
        <v>2206.196</v>
      </c>
      <c r="AY147" t="n">
        <v>2227.037</v>
      </c>
      <c r="AZ147" t="n">
        <v>2246.092</v>
      </c>
      <c r="BA147" t="n">
        <v>2263.472</v>
      </c>
      <c r="BB147" t="n">
        <v>2279.382</v>
      </c>
      <c r="BC147" t="n">
        <v>2294.026</v>
      </c>
      <c r="BD147" t="n">
        <v>2306.353</v>
      </c>
      <c r="BE147" t="n">
        <v>2323.699</v>
      </c>
      <c r="BF147" t="n">
        <v>2356.808</v>
      </c>
      <c r="BG147" t="n">
        <v>2394.525</v>
      </c>
      <c r="BH147" t="n">
        <v>1279.346</v>
      </c>
      <c r="BI147" t="n">
        <v>2451.173</v>
      </c>
      <c r="BJ147" t="n">
        <v>2469.128</v>
      </c>
      <c r="BK147" t="n">
        <v>2487.612</v>
      </c>
      <c r="BL147" t="n">
        <v>2300.777</v>
      </c>
      <c r="BM147" t="n">
        <v>1966.717</v>
      </c>
      <c r="BN147" t="n">
        <v>2209.737</v>
      </c>
      <c r="BO147" t="n">
        <v>1413.014</v>
      </c>
      <c r="BP147" t="n">
        <v>1386.386</v>
      </c>
      <c r="BQ147" t="n">
        <v>1119.006</v>
      </c>
      <c r="BR147" t="n">
        <v>1645.525</v>
      </c>
      <c r="BS147" t="n">
        <v>1606.429</v>
      </c>
      <c r="BT147" t="n">
        <v>1336.169</v>
      </c>
      <c r="BU147" t="n">
        <v>1406.493</v>
      </c>
      <c r="BV147" t="n">
        <v>1406.493</v>
      </c>
    </row>
    <row r="148">
      <c r="A148" t="inlineStr">
        <is>
          <t>Caranx melampygus</t>
        </is>
      </c>
      <c r="B148" t="inlineStr">
        <is>
          <t>Bluefin trevally</t>
        </is>
      </c>
      <c r="C148" t="inlineStr">
        <is>
          <t>Large reef assoc. fish (&gt;=90 cm)</t>
        </is>
      </c>
      <c r="D148" t="inlineStr">
        <is>
          <t>Perch-likes</t>
        </is>
      </c>
      <c r="E148" t="n">
        <v>2502.778</v>
      </c>
      <c r="F148" t="n">
        <v>2520.812</v>
      </c>
      <c r="G148" t="n">
        <v>2536.507</v>
      </c>
      <c r="H148" t="n">
        <v>2555.412</v>
      </c>
      <c r="I148" t="n">
        <v>2575.999</v>
      </c>
      <c r="J148" t="n">
        <v>2585.866</v>
      </c>
      <c r="K148" t="n">
        <v>2594.207</v>
      </c>
      <c r="L148" t="n">
        <v>2608.654</v>
      </c>
      <c r="M148" t="n">
        <v>2616.691</v>
      </c>
      <c r="N148" t="n">
        <v>2625.913</v>
      </c>
      <c r="O148" t="n">
        <v>2588.502</v>
      </c>
      <c r="P148" t="n">
        <v>2596.721</v>
      </c>
      <c r="Q148" t="n">
        <v>2601.597</v>
      </c>
      <c r="R148" t="n">
        <v>2603.756</v>
      </c>
      <c r="S148" t="n">
        <v>2604.043</v>
      </c>
      <c r="T148" t="n">
        <v>2602.938</v>
      </c>
      <c r="U148" t="n">
        <v>2600.487</v>
      </c>
      <c r="V148" t="n">
        <v>2596.225</v>
      </c>
      <c r="W148" t="n">
        <v>2589.481</v>
      </c>
      <c r="X148" t="n">
        <v>2579.418</v>
      </c>
      <c r="Y148" t="n">
        <v>2565.471</v>
      </c>
      <c r="Z148" t="n">
        <v>2547.433</v>
      </c>
      <c r="AA148" t="n">
        <v>2525.442</v>
      </c>
      <c r="AB148" t="n">
        <v>2499.72</v>
      </c>
      <c r="AC148" t="n">
        <v>2470.597</v>
      </c>
      <c r="AD148" t="n">
        <v>2438.25</v>
      </c>
      <c r="AE148" t="n">
        <v>2402.803</v>
      </c>
      <c r="AF148" t="n">
        <v>2364.067</v>
      </c>
      <c r="AG148" t="n">
        <v>2321.582</v>
      </c>
      <c r="AH148" t="n">
        <v>2274.797</v>
      </c>
      <c r="AI148" t="n">
        <v>2223.468</v>
      </c>
      <c r="AJ148" t="n">
        <v>2194.85</v>
      </c>
      <c r="AK148" t="n">
        <v>2152.469</v>
      </c>
      <c r="AL148" t="n">
        <v>2107.163</v>
      </c>
      <c r="AM148" t="n">
        <v>2059.851</v>
      </c>
      <c r="AN148" t="n">
        <v>2011.092</v>
      </c>
      <c r="AO148" t="n">
        <v>1960.916</v>
      </c>
      <c r="AP148" t="n">
        <v>1989.582</v>
      </c>
      <c r="AQ148" t="n">
        <v>2018.46</v>
      </c>
      <c r="AR148" t="n">
        <v>2047.132</v>
      </c>
      <c r="AS148" t="n">
        <v>2075.247</v>
      </c>
      <c r="AT148" t="n">
        <v>2102.768</v>
      </c>
      <c r="AU148" t="n">
        <v>2129.655</v>
      </c>
      <c r="AV148" t="n">
        <v>2155.54</v>
      </c>
      <c r="AW148" t="n">
        <v>2179.978</v>
      </c>
      <c r="AX148" t="n">
        <v>2202.65</v>
      </c>
      <c r="AY148" t="n">
        <v>2223.458</v>
      </c>
      <c r="AZ148" t="n">
        <v>2242.482</v>
      </c>
      <c r="BA148" t="n">
        <v>2259.835</v>
      </c>
      <c r="BB148" t="n">
        <v>2275.718</v>
      </c>
      <c r="BC148" t="n">
        <v>2290.339</v>
      </c>
      <c r="BD148" t="n">
        <v>2302.647</v>
      </c>
      <c r="BE148" t="n">
        <v>2319.965</v>
      </c>
      <c r="BF148" t="n">
        <v>2353.02</v>
      </c>
      <c r="BG148" t="n">
        <v>2390.677</v>
      </c>
      <c r="BH148" t="n">
        <v>1277.29</v>
      </c>
      <c r="BI148" t="n">
        <v>2447.233</v>
      </c>
      <c r="BJ148" t="n">
        <v>2465.16</v>
      </c>
      <c r="BK148" t="n">
        <v>2483.614</v>
      </c>
      <c r="BL148" t="n">
        <v>2297.079</v>
      </c>
      <c r="BM148" t="n">
        <v>1963.556</v>
      </c>
      <c r="BN148" t="n">
        <v>2206.186</v>
      </c>
      <c r="BO148" t="n">
        <v>1410.743</v>
      </c>
      <c r="BP148" t="n">
        <v>1384.158</v>
      </c>
      <c r="BQ148" t="n">
        <v>1117.207</v>
      </c>
      <c r="BR148" t="n">
        <v>1642.88</v>
      </c>
      <c r="BS148" t="n">
        <v>1603.847</v>
      </c>
      <c r="BT148" t="n">
        <v>1334.021</v>
      </c>
      <c r="BU148" t="n">
        <v>1404.233</v>
      </c>
      <c r="BV148" t="n">
        <v>1404.233</v>
      </c>
    </row>
    <row r="149">
      <c r="A149" t="inlineStr">
        <is>
          <t>Penaeus semisulcatus</t>
        </is>
      </c>
      <c r="B149" t="inlineStr">
        <is>
          <t>Green tiger prawn</t>
        </is>
      </c>
      <c r="C149" t="inlineStr">
        <is>
          <t>Shrimps</t>
        </is>
      </c>
      <c r="D149" t="inlineStr">
        <is>
          <t>Crustaceans</t>
        </is>
      </c>
      <c r="E149" t="n">
        <v>586.061</v>
      </c>
      <c r="F149" t="n">
        <v>581.072</v>
      </c>
      <c r="G149" t="n">
        <v>593.752</v>
      </c>
      <c r="H149" t="n">
        <v>606.371</v>
      </c>
      <c r="I149" t="n">
        <v>656.396</v>
      </c>
      <c r="J149" t="n">
        <v>640.752</v>
      </c>
      <c r="K149" t="n">
        <v>690.627</v>
      </c>
      <c r="L149" t="n">
        <v>674.807</v>
      </c>
      <c r="M149" t="n">
        <v>752.628</v>
      </c>
      <c r="N149" t="n">
        <v>736.633</v>
      </c>
      <c r="O149" t="n">
        <v>763.02</v>
      </c>
      <c r="P149" t="n">
        <v>776.063</v>
      </c>
      <c r="Q149" t="n">
        <v>887.726</v>
      </c>
      <c r="R149" t="n">
        <v>838.252</v>
      </c>
      <c r="S149" t="n">
        <v>1079.25</v>
      </c>
      <c r="T149" t="n">
        <v>879.692</v>
      </c>
      <c r="U149" t="n">
        <v>931.754</v>
      </c>
      <c r="V149" t="n">
        <v>964.97</v>
      </c>
      <c r="W149" t="n">
        <v>885.593</v>
      </c>
      <c r="X149" t="n">
        <v>1021.644</v>
      </c>
      <c r="Y149" t="n">
        <v>1081.282</v>
      </c>
      <c r="Z149" t="n">
        <v>1125.166</v>
      </c>
      <c r="AA149" t="n">
        <v>1178.015</v>
      </c>
      <c r="AB149" t="n">
        <v>1222.339</v>
      </c>
      <c r="AC149" t="n">
        <v>1362.319</v>
      </c>
      <c r="AD149" t="n">
        <v>1731.512</v>
      </c>
      <c r="AE149" t="n">
        <v>2312.827</v>
      </c>
      <c r="AF149" t="n">
        <v>2890.591</v>
      </c>
      <c r="AG149" t="n">
        <v>4269.219</v>
      </c>
      <c r="AH149" t="n">
        <v>5239.743</v>
      </c>
      <c r="AI149" t="n">
        <v>2076.04</v>
      </c>
      <c r="AJ149" t="n">
        <v>2303.392</v>
      </c>
      <c r="AK149" t="n">
        <v>2251.974</v>
      </c>
      <c r="AL149" t="n">
        <v>2475.731</v>
      </c>
      <c r="AM149" t="n">
        <v>2362.041</v>
      </c>
      <c r="AN149" t="n">
        <v>1980.421</v>
      </c>
      <c r="AO149" t="n">
        <v>2130.116</v>
      </c>
      <c r="AP149" t="n">
        <v>2015.862</v>
      </c>
      <c r="AQ149" t="n">
        <v>2169.162</v>
      </c>
      <c r="AR149" t="n">
        <v>2127.381</v>
      </c>
      <c r="AS149" t="n">
        <v>1770.167</v>
      </c>
      <c r="AT149" t="n">
        <v>2051.711</v>
      </c>
      <c r="AU149" t="n">
        <v>1959.051</v>
      </c>
      <c r="AV149" t="n">
        <v>2209.698</v>
      </c>
      <c r="AW149" t="n">
        <v>1933.132</v>
      </c>
      <c r="AX149" t="n">
        <v>3618.031</v>
      </c>
      <c r="AY149" t="n">
        <v>4060.801</v>
      </c>
      <c r="AZ149" t="n">
        <v>4066.711</v>
      </c>
      <c r="BA149" t="n">
        <v>3977.386</v>
      </c>
      <c r="BB149" t="n">
        <v>3879.398</v>
      </c>
      <c r="BC149" t="n">
        <v>3592.353</v>
      </c>
      <c r="BD149" t="n">
        <v>2898.045</v>
      </c>
      <c r="BE149" t="n">
        <v>1987.254</v>
      </c>
      <c r="BF149" t="n">
        <v>2885.89</v>
      </c>
      <c r="BG149" t="n">
        <v>2917.734</v>
      </c>
      <c r="BH149" t="n">
        <v>2184.69</v>
      </c>
      <c r="BI149" t="n">
        <v>2589.128</v>
      </c>
      <c r="BJ149" t="n">
        <v>2386.419</v>
      </c>
      <c r="BK149" t="n">
        <v>2880.036</v>
      </c>
      <c r="BL149" t="n">
        <v>2765.206</v>
      </c>
      <c r="BM149" t="n">
        <v>3302.081</v>
      </c>
      <c r="BN149" t="n">
        <v>3256.337</v>
      </c>
      <c r="BO149" t="n">
        <v>3076.145</v>
      </c>
      <c r="BP149" t="n">
        <v>2722.01</v>
      </c>
      <c r="BQ149" t="n">
        <v>4025.273</v>
      </c>
      <c r="BR149" t="n">
        <v>4439.518</v>
      </c>
      <c r="BS149" t="n">
        <v>5172.555</v>
      </c>
      <c r="BT149" t="n">
        <v>4717.822</v>
      </c>
      <c r="BU149" t="n">
        <v>4337.462</v>
      </c>
      <c r="BV149" t="n">
        <v>4498.966</v>
      </c>
    </row>
    <row r="150">
      <c r="A150" t="inlineStr">
        <is>
          <t>Isurus</t>
        </is>
      </c>
      <c r="B150" t="inlineStr">
        <is>
          <t>Mako sharks</t>
        </is>
      </c>
      <c r="C150" t="inlineStr">
        <is>
          <t>Large sharks (&gt;=90 cm)</t>
        </is>
      </c>
      <c r="D150" t="inlineStr">
        <is>
          <t>Sharks &amp; rays</t>
        </is>
      </c>
      <c r="E150" t="n">
        <v>686.5839999999999</v>
      </c>
      <c r="F150" t="n">
        <v>1122.952</v>
      </c>
      <c r="G150" t="n">
        <v>832.151</v>
      </c>
      <c r="H150" t="n">
        <v>541.687</v>
      </c>
      <c r="I150" t="n">
        <v>1044.625</v>
      </c>
      <c r="J150" t="n">
        <v>863.696</v>
      </c>
      <c r="K150" t="n">
        <v>1040.283</v>
      </c>
      <c r="L150" t="n">
        <v>1246.054</v>
      </c>
      <c r="M150" t="n">
        <v>1373.738</v>
      </c>
      <c r="N150" t="n">
        <v>1390.716</v>
      </c>
      <c r="O150" t="n">
        <v>1611.193</v>
      </c>
      <c r="P150" t="n">
        <v>1622.707</v>
      </c>
      <c r="Q150" t="n">
        <v>2305.06</v>
      </c>
      <c r="R150" t="n">
        <v>2296.537</v>
      </c>
      <c r="S150" t="n">
        <v>2519.675</v>
      </c>
      <c r="T150" t="n">
        <v>2228.692</v>
      </c>
      <c r="U150" t="n">
        <v>2234.439</v>
      </c>
      <c r="V150" t="n">
        <v>2678.83</v>
      </c>
      <c r="W150" t="n">
        <v>2690.029</v>
      </c>
      <c r="X150" t="n">
        <v>3022.829</v>
      </c>
      <c r="Y150" t="n">
        <v>2608.106</v>
      </c>
      <c r="Z150" t="n">
        <v>2120.761</v>
      </c>
      <c r="AA150" t="n">
        <v>2620.441</v>
      </c>
      <c r="AB150" t="n">
        <v>3553.289</v>
      </c>
      <c r="AC150" t="n">
        <v>3134.738</v>
      </c>
      <c r="AD150" t="n">
        <v>2599.348</v>
      </c>
      <c r="AE150" t="n">
        <v>3102.494</v>
      </c>
      <c r="AF150" t="n">
        <v>2253.949</v>
      </c>
      <c r="AG150" t="n">
        <v>2492.602</v>
      </c>
      <c r="AH150" t="n">
        <v>2545.636</v>
      </c>
      <c r="AI150" t="n">
        <v>2810.851</v>
      </c>
      <c r="AJ150" t="n">
        <v>4268.415</v>
      </c>
      <c r="AK150" t="n">
        <v>3213.492</v>
      </c>
      <c r="AL150" t="n">
        <v>2722.569</v>
      </c>
      <c r="AM150" t="n">
        <v>3276.74</v>
      </c>
      <c r="AN150" t="n">
        <v>2413.631</v>
      </c>
      <c r="AO150" t="n">
        <v>2705.424</v>
      </c>
      <c r="AP150" t="n">
        <v>2800.139</v>
      </c>
      <c r="AQ150" t="n">
        <v>3132.816</v>
      </c>
      <c r="AR150" t="n">
        <v>4699.127</v>
      </c>
      <c r="AS150" t="n">
        <v>2656.928</v>
      </c>
      <c r="AT150" t="n">
        <v>3129.5</v>
      </c>
      <c r="AU150" t="n">
        <v>2677.616</v>
      </c>
      <c r="AV150" t="n">
        <v>4400.183</v>
      </c>
      <c r="AW150" t="n">
        <v>4197.067</v>
      </c>
      <c r="AX150" t="n">
        <v>2842.721</v>
      </c>
      <c r="AY150" t="n">
        <v>3071.44</v>
      </c>
      <c r="AZ150" t="n">
        <v>1102.418</v>
      </c>
      <c r="BA150" t="n">
        <v>2291.712</v>
      </c>
      <c r="BB150" t="n">
        <v>1065.158</v>
      </c>
      <c r="BC150" t="n">
        <v>970.3579999999999</v>
      </c>
      <c r="BD150" t="n">
        <v>1307.126</v>
      </c>
      <c r="BE150" t="n">
        <v>4877.603</v>
      </c>
      <c r="BF150" t="n">
        <v>1891.975</v>
      </c>
      <c r="BG150" t="n">
        <v>3551.611</v>
      </c>
      <c r="BH150" t="n">
        <v>1325.733</v>
      </c>
      <c r="BI150" t="n">
        <v>1579.69</v>
      </c>
      <c r="BJ150" t="n">
        <v>753.73</v>
      </c>
      <c r="BK150" t="n">
        <v>929.25</v>
      </c>
      <c r="BL150" t="n">
        <v>1125.445</v>
      </c>
      <c r="BM150" t="n">
        <v>1062.016</v>
      </c>
      <c r="BN150" t="n">
        <v>879.649</v>
      </c>
      <c r="BO150" t="n">
        <v>1523.979</v>
      </c>
      <c r="BP150" t="n">
        <v>1498.19</v>
      </c>
      <c r="BQ150" t="n">
        <v>1920.942</v>
      </c>
      <c r="BR150" t="n">
        <v>1758.186</v>
      </c>
      <c r="BS150" t="n">
        <v>2657.894</v>
      </c>
      <c r="BT150" t="n">
        <v>1814.348</v>
      </c>
      <c r="BU150" t="n">
        <v>227.21</v>
      </c>
      <c r="BV150" t="n">
        <v>1762.792</v>
      </c>
    </row>
    <row r="151">
      <c r="A151" t="inlineStr">
        <is>
          <t>Nemipterus japonicus</t>
        </is>
      </c>
      <c r="B151" t="inlineStr">
        <is>
          <t>Japanese threadfin bream</t>
        </is>
      </c>
      <c r="C151" t="inlineStr">
        <is>
          <t>Small demersals (&lt;30 cm)</t>
        </is>
      </c>
      <c r="D151" t="inlineStr">
        <is>
          <t>Perch-likes</t>
        </is>
      </c>
      <c r="E151" t="n">
        <v>300.014</v>
      </c>
      <c r="F151" t="n">
        <v>300.014</v>
      </c>
      <c r="G151" t="n">
        <v>401.344</v>
      </c>
      <c r="H151" t="n">
        <v>349.686</v>
      </c>
      <c r="I151" t="n">
        <v>300.014</v>
      </c>
      <c r="J151" t="n">
        <v>300.014</v>
      </c>
      <c r="K151" t="n">
        <v>300.014</v>
      </c>
      <c r="L151" t="n">
        <v>291.074</v>
      </c>
      <c r="M151" t="n">
        <v>309.949</v>
      </c>
      <c r="N151" t="n">
        <v>300.014</v>
      </c>
      <c r="O151" t="n">
        <v>399.357</v>
      </c>
      <c r="P151" t="n">
        <v>513.601</v>
      </c>
      <c r="Q151" t="n">
        <v>521.548</v>
      </c>
      <c r="R151" t="n">
        <v>896.069</v>
      </c>
      <c r="S151" t="n">
        <v>832.49</v>
      </c>
      <c r="T151" t="n">
        <v>883.218</v>
      </c>
      <c r="U151" t="n">
        <v>1105.807</v>
      </c>
      <c r="V151" t="n">
        <v>1382.076</v>
      </c>
      <c r="W151" t="n">
        <v>1411.95</v>
      </c>
      <c r="X151" t="n">
        <v>1296.757</v>
      </c>
      <c r="Y151" t="n">
        <v>1134.848</v>
      </c>
      <c r="Z151" t="n">
        <v>1332.711</v>
      </c>
      <c r="AA151" t="n">
        <v>1258.279</v>
      </c>
      <c r="AB151" t="n">
        <v>1442.271</v>
      </c>
      <c r="AC151" t="n">
        <v>1874.808</v>
      </c>
      <c r="AD151" t="n">
        <v>1825.256</v>
      </c>
      <c r="AE151" t="n">
        <v>1942.581</v>
      </c>
      <c r="AF151" t="n">
        <v>2383.467</v>
      </c>
      <c r="AG151" t="n">
        <v>2193.036</v>
      </c>
      <c r="AH151" t="n">
        <v>1918.768</v>
      </c>
      <c r="AI151" t="n">
        <v>1950.387</v>
      </c>
      <c r="AJ151" t="n">
        <v>2052.778</v>
      </c>
      <c r="AK151" t="n">
        <v>2112.474</v>
      </c>
      <c r="AL151" t="n">
        <v>2196.066</v>
      </c>
      <c r="AM151" t="n">
        <v>1915.846</v>
      </c>
      <c r="AN151" t="n">
        <v>2116.619</v>
      </c>
      <c r="AO151" t="n">
        <v>2499.427</v>
      </c>
      <c r="AP151" t="n">
        <v>3036.543</v>
      </c>
      <c r="AQ151" t="n">
        <v>2383.329</v>
      </c>
      <c r="AR151" t="n">
        <v>2900.26</v>
      </c>
      <c r="AS151" t="n">
        <v>3154.953</v>
      </c>
      <c r="AT151" t="n">
        <v>2359.5</v>
      </c>
      <c r="AU151" t="n">
        <v>2447.948</v>
      </c>
      <c r="AV151" t="n">
        <v>2518.494</v>
      </c>
      <c r="AW151" t="n">
        <v>2474.72</v>
      </c>
      <c r="AX151" t="n">
        <v>2647.689</v>
      </c>
      <c r="AY151" t="n">
        <v>2695.431</v>
      </c>
      <c r="AZ151" t="n">
        <v>2640.738</v>
      </c>
      <c r="BA151" t="n">
        <v>3121.072</v>
      </c>
      <c r="BB151" t="n">
        <v>2766.146</v>
      </c>
      <c r="BC151" t="n">
        <v>3104.152</v>
      </c>
      <c r="BD151" t="n">
        <v>2974.875</v>
      </c>
      <c r="BE151" t="n">
        <v>3185.789</v>
      </c>
      <c r="BF151" t="n">
        <v>3224.5</v>
      </c>
      <c r="BG151" t="n">
        <v>3353.732</v>
      </c>
      <c r="BH151" t="n">
        <v>2970.006</v>
      </c>
      <c r="BI151" t="n">
        <v>3537.782</v>
      </c>
      <c r="BJ151" t="n">
        <v>3495.024</v>
      </c>
      <c r="BK151" t="n">
        <v>3473.112</v>
      </c>
      <c r="BL151" t="n">
        <v>3141.932</v>
      </c>
      <c r="BM151" t="n">
        <v>3347.76</v>
      </c>
      <c r="BN151" t="n">
        <v>3152.55</v>
      </c>
      <c r="BO151" t="n">
        <v>3199.706</v>
      </c>
      <c r="BP151" t="n">
        <v>3117.737</v>
      </c>
      <c r="BQ151" t="n">
        <v>3306.434</v>
      </c>
      <c r="BR151" t="n">
        <v>3351.257</v>
      </c>
      <c r="BS151" t="n">
        <v>3597.759</v>
      </c>
      <c r="BT151" t="n">
        <v>3327.172</v>
      </c>
      <c r="BU151" t="n">
        <v>3053.041</v>
      </c>
      <c r="BV151" t="n">
        <v>3183.059</v>
      </c>
    </row>
    <row r="152">
      <c r="A152" t="inlineStr">
        <is>
          <t>Penaeus latisulcatus</t>
        </is>
      </c>
      <c r="B152" t="inlineStr">
        <is>
          <t>Western king prawn</t>
        </is>
      </c>
      <c r="C152" t="inlineStr">
        <is>
          <t>Shrimps</t>
        </is>
      </c>
      <c r="D152" t="inlineStr">
        <is>
          <t>Crustaceans</t>
        </is>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212.762</v>
      </c>
      <c r="AG152" t="n">
        <v>111.655</v>
      </c>
      <c r="AH152" t="n">
        <v>120.351</v>
      </c>
      <c r="AI152" t="n">
        <v>0</v>
      </c>
      <c r="AJ152" t="n">
        <v>103.69</v>
      </c>
      <c r="AK152" t="n">
        <v>78.562</v>
      </c>
      <c r="AL152" t="n">
        <v>484.856</v>
      </c>
      <c r="AM152" t="n">
        <v>342.347</v>
      </c>
      <c r="AN152" t="n">
        <v>165.101</v>
      </c>
      <c r="AO152" t="n">
        <v>296.05</v>
      </c>
      <c r="AP152" t="n">
        <v>300.903</v>
      </c>
      <c r="AQ152" t="n">
        <v>209.664</v>
      </c>
      <c r="AR152" t="n">
        <v>245.139</v>
      </c>
      <c r="AS152" t="n">
        <v>219.103</v>
      </c>
      <c r="AT152" t="n">
        <v>404.967</v>
      </c>
      <c r="AU152" t="n">
        <v>403.581</v>
      </c>
      <c r="AV152" t="n">
        <v>824.101</v>
      </c>
      <c r="AW152" t="n">
        <v>431.369</v>
      </c>
      <c r="AX152" t="n">
        <v>1618.421</v>
      </c>
      <c r="AY152" t="n">
        <v>1792.262</v>
      </c>
      <c r="AZ152" t="n">
        <v>1832.641</v>
      </c>
      <c r="BA152" t="n">
        <v>1644.962</v>
      </c>
      <c r="BB152" t="n">
        <v>1755.182</v>
      </c>
      <c r="BC152" t="n">
        <v>497.126</v>
      </c>
      <c r="BD152" t="n">
        <v>412.46</v>
      </c>
      <c r="BE152" t="n">
        <v>792.114</v>
      </c>
      <c r="BF152" t="n">
        <v>1990.973</v>
      </c>
      <c r="BG152" t="n">
        <v>1492.815</v>
      </c>
      <c r="BH152" t="n">
        <v>6078.058</v>
      </c>
      <c r="BI152" t="n">
        <v>6380.336</v>
      </c>
      <c r="BJ152" t="n">
        <v>6824.671</v>
      </c>
      <c r="BK152" t="n">
        <v>6776.734</v>
      </c>
      <c r="BL152" t="n">
        <v>10358.725</v>
      </c>
      <c r="BM152" t="n">
        <v>9756.084999999999</v>
      </c>
      <c r="BN152" t="n">
        <v>9118.941999999999</v>
      </c>
      <c r="BO152" t="n">
        <v>8932.946</v>
      </c>
      <c r="BP152" t="n">
        <v>8121.3</v>
      </c>
      <c r="BQ152" t="n">
        <v>8664.643</v>
      </c>
      <c r="BR152" t="n">
        <v>8833.52</v>
      </c>
      <c r="BS152" t="n">
        <v>9485.486000000001</v>
      </c>
      <c r="BT152" t="n">
        <v>8778.951999999999</v>
      </c>
      <c r="BU152" t="n">
        <v>8059.932</v>
      </c>
      <c r="BV152" t="n">
        <v>8444.370000000001</v>
      </c>
    </row>
    <row r="153">
      <c r="A153" t="inlineStr">
        <is>
          <t>Caesio cuning</t>
        </is>
      </c>
      <c r="B153" t="inlineStr">
        <is>
          <t>Redbelly yellowtail fusilier</t>
        </is>
      </c>
      <c r="C153" t="inlineStr">
        <is>
          <t>Medium reef assoc. fish (30 - 89 cm)</t>
        </is>
      </c>
      <c r="D153" t="inlineStr">
        <is>
          <t>Perch-likes</t>
        </is>
      </c>
      <c r="E153" t="n">
        <v>156.692</v>
      </c>
      <c r="F153" t="n">
        <v>180.799</v>
      </c>
      <c r="G153" t="n">
        <v>204.905</v>
      </c>
      <c r="H153" t="n">
        <v>210.932</v>
      </c>
      <c r="I153" t="n">
        <v>222.985</v>
      </c>
      <c r="J153" t="n">
        <v>229.012</v>
      </c>
      <c r="K153" t="n">
        <v>229.012</v>
      </c>
      <c r="L153" t="n">
        <v>222.985</v>
      </c>
      <c r="M153" t="n">
        <v>235.039</v>
      </c>
      <c r="N153" t="n">
        <v>222.985</v>
      </c>
      <c r="O153" t="n">
        <v>229.012</v>
      </c>
      <c r="P153" t="n">
        <v>331.091</v>
      </c>
      <c r="Q153" t="n">
        <v>414.262</v>
      </c>
      <c r="R153" t="n">
        <v>502.703</v>
      </c>
      <c r="S153" t="n">
        <v>602.285</v>
      </c>
      <c r="T153" t="n">
        <v>772.357</v>
      </c>
      <c r="U153" t="n">
        <v>954.578</v>
      </c>
      <c r="V153" t="n">
        <v>967.265</v>
      </c>
      <c r="W153" t="n">
        <v>1069.062</v>
      </c>
      <c r="X153" t="n">
        <v>1202.405</v>
      </c>
      <c r="Y153" t="n">
        <v>1164.616</v>
      </c>
      <c r="Z153" t="n">
        <v>1218.214</v>
      </c>
      <c r="AA153" t="n">
        <v>1401.208</v>
      </c>
      <c r="AB153" t="n">
        <v>1709.28</v>
      </c>
      <c r="AC153" t="n">
        <v>1855.775</v>
      </c>
      <c r="AD153" t="n">
        <v>1660.394</v>
      </c>
      <c r="AE153" t="n">
        <v>1678.649</v>
      </c>
      <c r="AF153" t="n">
        <v>1926.054</v>
      </c>
      <c r="AG153" t="n">
        <v>1890.278</v>
      </c>
      <c r="AH153" t="n">
        <v>1912.976</v>
      </c>
      <c r="AI153" t="n">
        <v>1553.126</v>
      </c>
      <c r="AJ153" t="n">
        <v>1547.336</v>
      </c>
      <c r="AK153" t="n">
        <v>1528.381</v>
      </c>
      <c r="AL153" t="n">
        <v>2092.106</v>
      </c>
      <c r="AM153" t="n">
        <v>1829.67</v>
      </c>
      <c r="AN153" t="n">
        <v>2275.523</v>
      </c>
      <c r="AO153" t="n">
        <v>2408.765</v>
      </c>
      <c r="AP153" t="n">
        <v>2744.208</v>
      </c>
      <c r="AQ153" t="n">
        <v>2795.082</v>
      </c>
      <c r="AR153" t="n">
        <v>3193.995</v>
      </c>
      <c r="AS153" t="n">
        <v>2974.182</v>
      </c>
      <c r="AT153" t="n">
        <v>2907.789</v>
      </c>
      <c r="AU153" t="n">
        <v>3121.03</v>
      </c>
      <c r="AV153" t="n">
        <v>3443.558</v>
      </c>
      <c r="AW153" t="n">
        <v>3677.135</v>
      </c>
      <c r="AX153" t="n">
        <v>5574.178</v>
      </c>
      <c r="AY153" t="n">
        <v>3953.471</v>
      </c>
      <c r="AZ153" t="n">
        <v>4732.425</v>
      </c>
      <c r="BA153" t="n">
        <v>4072.347</v>
      </c>
      <c r="BB153" t="n">
        <v>4220.862</v>
      </c>
      <c r="BC153" t="n">
        <v>3907.213</v>
      </c>
      <c r="BD153" t="n">
        <v>4422.685</v>
      </c>
      <c r="BE153" t="n">
        <v>3994.115</v>
      </c>
      <c r="BF153" t="n">
        <v>4266.929</v>
      </c>
      <c r="BG153" t="n">
        <v>3044.209</v>
      </c>
      <c r="BH153" t="n">
        <v>3442.179</v>
      </c>
      <c r="BI153" t="n">
        <v>2396.658</v>
      </c>
      <c r="BJ153" t="n">
        <v>3126.053</v>
      </c>
      <c r="BK153" t="n">
        <v>1906.544</v>
      </c>
      <c r="BL153" t="n">
        <v>3284.306</v>
      </c>
      <c r="BM153" t="n">
        <v>2555.244</v>
      </c>
      <c r="BN153" t="n">
        <v>1610.058</v>
      </c>
      <c r="BO153" t="n">
        <v>1646.636</v>
      </c>
      <c r="BP153" t="n">
        <v>1638.669</v>
      </c>
      <c r="BQ153" t="n">
        <v>1715.815</v>
      </c>
      <c r="BR153" t="n">
        <v>2011.518</v>
      </c>
      <c r="BS153" t="n">
        <v>1946.313</v>
      </c>
      <c r="BT153" t="n">
        <v>2469.134</v>
      </c>
      <c r="BU153" t="n">
        <v>2029.192</v>
      </c>
      <c r="BV153" t="n">
        <v>1915.847</v>
      </c>
    </row>
    <row r="154">
      <c r="A154" t="inlineStr">
        <is>
          <t>Stromateidae</t>
        </is>
      </c>
      <c r="B154" t="inlineStr">
        <is>
          <t>Butterfishes</t>
        </is>
      </c>
      <c r="C154" t="inlineStr">
        <is>
          <t>Small benthopelagics (&lt;30 cm)</t>
        </is>
      </c>
      <c r="D154" t="inlineStr">
        <is>
          <t>Perch-likes</t>
        </is>
      </c>
      <c r="E154" t="n">
        <v>57.653</v>
      </c>
      <c r="F154" t="n">
        <v>59.631</v>
      </c>
      <c r="G154" t="n">
        <v>61.494</v>
      </c>
      <c r="H154" t="n">
        <v>62.952</v>
      </c>
      <c r="I154" t="n">
        <v>64.06699999999999</v>
      </c>
      <c r="J154" t="n">
        <v>64.914</v>
      </c>
      <c r="K154" t="n">
        <v>66.367</v>
      </c>
      <c r="L154" t="n">
        <v>67.50700000000001</v>
      </c>
      <c r="M154" t="n">
        <v>68.905</v>
      </c>
      <c r="N154" t="n">
        <v>70.68000000000001</v>
      </c>
      <c r="O154" t="n">
        <v>72.334</v>
      </c>
      <c r="P154" t="n">
        <v>75.008</v>
      </c>
      <c r="Q154" t="n">
        <v>74.10299999999999</v>
      </c>
      <c r="R154" t="n">
        <v>111.5</v>
      </c>
      <c r="S154" t="n">
        <v>148.088</v>
      </c>
      <c r="T154" t="n">
        <v>112.406</v>
      </c>
      <c r="U154" t="n">
        <v>73.504</v>
      </c>
      <c r="V154" t="n">
        <v>109.778</v>
      </c>
      <c r="W154" t="n">
        <v>127.684</v>
      </c>
      <c r="X154" t="n">
        <v>92.23099999999999</v>
      </c>
      <c r="Y154" t="n">
        <v>135.75</v>
      </c>
      <c r="Z154" t="n">
        <v>162.26</v>
      </c>
      <c r="AA154" t="n">
        <v>186.497</v>
      </c>
      <c r="AB154" t="n">
        <v>218.192</v>
      </c>
      <c r="AC154" t="n">
        <v>232.658</v>
      </c>
      <c r="AD154" t="n">
        <v>246.516</v>
      </c>
      <c r="AE154" t="n">
        <v>229.522</v>
      </c>
      <c r="AF154" t="n">
        <v>215.001</v>
      </c>
      <c r="AG154" t="n">
        <v>218.842</v>
      </c>
      <c r="AH154" t="n">
        <v>236.266</v>
      </c>
      <c r="AI154" t="n">
        <v>245.926</v>
      </c>
      <c r="AJ154" t="n">
        <v>253.695</v>
      </c>
      <c r="AK154" t="n">
        <v>260.649</v>
      </c>
      <c r="AL154" t="n">
        <v>290.003</v>
      </c>
      <c r="AM154" t="n">
        <v>266.318</v>
      </c>
      <c r="AN154" t="n">
        <v>291.637</v>
      </c>
      <c r="AO154" t="n">
        <v>508.938</v>
      </c>
      <c r="AP154" t="n">
        <v>654.976</v>
      </c>
      <c r="AQ154" t="n">
        <v>868.509</v>
      </c>
      <c r="AR154" t="n">
        <v>195.317</v>
      </c>
      <c r="AS154" t="n">
        <v>1815.508</v>
      </c>
      <c r="AT154" t="n">
        <v>826.399</v>
      </c>
      <c r="AU154" t="n">
        <v>966.329</v>
      </c>
      <c r="AV154" t="n">
        <v>998.955</v>
      </c>
      <c r="AW154" t="n">
        <v>1811.332</v>
      </c>
      <c r="AX154" t="n">
        <v>4298.188</v>
      </c>
      <c r="AY154" t="n">
        <v>7699.614</v>
      </c>
      <c r="AZ154" t="n">
        <v>3442.918</v>
      </c>
      <c r="BA154" t="n">
        <v>4864.418</v>
      </c>
      <c r="BB154" t="n">
        <v>3421.636</v>
      </c>
      <c r="BC154" t="n">
        <v>4953.261</v>
      </c>
      <c r="BD154" t="n">
        <v>4933.362</v>
      </c>
      <c r="BE154" t="n">
        <v>4921.266</v>
      </c>
      <c r="BF154" t="n">
        <v>4904.383</v>
      </c>
      <c r="BG154" t="n">
        <v>4896.176</v>
      </c>
      <c r="BH154" t="n">
        <v>4929.373</v>
      </c>
      <c r="BI154" t="n">
        <v>4934.368</v>
      </c>
      <c r="BJ154" t="n">
        <v>4965.28</v>
      </c>
      <c r="BK154" t="n">
        <v>4950.19</v>
      </c>
      <c r="BL154" t="n">
        <v>4961.784</v>
      </c>
      <c r="BM154" t="n">
        <v>4958.134</v>
      </c>
      <c r="BN154" t="n">
        <v>4956.774</v>
      </c>
      <c r="BO154" t="n">
        <v>4957.718</v>
      </c>
      <c r="BP154" t="n">
        <v>4957.448</v>
      </c>
      <c r="BQ154" t="n">
        <v>4959.746</v>
      </c>
      <c r="BR154" t="n">
        <v>4960.672</v>
      </c>
      <c r="BS154" t="n">
        <v>4963.514</v>
      </c>
      <c r="BT154" t="n">
        <v>4961.445</v>
      </c>
      <c r="BU154" t="n">
        <v>4959.346</v>
      </c>
      <c r="BV154" t="n">
        <v>5050.615</v>
      </c>
    </row>
    <row r="155">
      <c r="A155" t="inlineStr">
        <is>
          <t>Gobiidae</t>
        </is>
      </c>
      <c r="B155" t="inlineStr">
        <is>
          <t>Gobies</t>
        </is>
      </c>
      <c r="C155" t="inlineStr">
        <is>
          <t>Small reef assoc. fish (&lt;30 cm)</t>
        </is>
      </c>
      <c r="D155" t="inlineStr">
        <is>
          <t>Perch-likes</t>
        </is>
      </c>
      <c r="E155" t="n">
        <v>280.921</v>
      </c>
      <c r="F155" t="n">
        <v>280.921</v>
      </c>
      <c r="G155" t="n">
        <v>375.557</v>
      </c>
      <c r="H155" t="n">
        <v>326.744</v>
      </c>
      <c r="I155" t="n">
        <v>280.921</v>
      </c>
      <c r="J155" t="n">
        <v>280.921</v>
      </c>
      <c r="K155" t="n">
        <v>280.921</v>
      </c>
      <c r="L155" t="n">
        <v>271.955</v>
      </c>
      <c r="M155" t="n">
        <v>289.886</v>
      </c>
      <c r="N155" t="n">
        <v>280.921</v>
      </c>
      <c r="O155" t="n">
        <v>373.565</v>
      </c>
      <c r="P155" t="n">
        <v>480.155</v>
      </c>
      <c r="Q155" t="n">
        <v>487.128</v>
      </c>
      <c r="R155" t="n">
        <v>837.7809999999999</v>
      </c>
      <c r="S155" t="n">
        <v>778.01</v>
      </c>
      <c r="T155" t="n">
        <v>826.823</v>
      </c>
      <c r="U155" t="n">
        <v>1033.03</v>
      </c>
      <c r="V155" t="n">
        <v>1293.03</v>
      </c>
      <c r="W155" t="n">
        <v>1320.923</v>
      </c>
      <c r="X155" t="n">
        <v>1213.336</v>
      </c>
      <c r="Y155" t="n">
        <v>1061.918</v>
      </c>
      <c r="Z155" t="n">
        <v>1246.209</v>
      </c>
      <c r="AA155" t="n">
        <v>1176.477</v>
      </c>
      <c r="AB155" t="n">
        <v>1346.821</v>
      </c>
      <c r="AC155" t="n">
        <v>1752.262</v>
      </c>
      <c r="AD155" t="n">
        <v>1707.434</v>
      </c>
      <c r="AE155" t="n">
        <v>1815.02</v>
      </c>
      <c r="AF155" t="n">
        <v>2228.522</v>
      </c>
      <c r="AG155" t="n">
        <v>2051.112</v>
      </c>
      <c r="AH155" t="n">
        <v>1793.104</v>
      </c>
      <c r="AI155" t="n">
        <v>1823.986</v>
      </c>
      <c r="AJ155" t="n">
        <v>1919.618</v>
      </c>
      <c r="AK155" t="n">
        <v>1974.407</v>
      </c>
      <c r="AL155" t="n">
        <v>2053.104</v>
      </c>
      <c r="AM155" t="n">
        <v>1789.119</v>
      </c>
      <c r="AN155" t="n">
        <v>1979.387</v>
      </c>
      <c r="AO155" t="n">
        <v>2335.019</v>
      </c>
      <c r="AP155" t="n">
        <v>2839.08</v>
      </c>
      <c r="AQ155" t="n">
        <v>2227.432</v>
      </c>
      <c r="AR155" t="n">
        <v>2710.574</v>
      </c>
      <c r="AS155" t="n">
        <v>2947.662</v>
      </c>
      <c r="AT155" t="n">
        <v>2206.513</v>
      </c>
      <c r="AU155" t="n">
        <v>2288.199</v>
      </c>
      <c r="AV155" t="n">
        <v>2354.942</v>
      </c>
      <c r="AW155" t="n">
        <v>2313.103</v>
      </c>
      <c r="AX155" t="n">
        <v>2473.486</v>
      </c>
      <c r="AY155" t="n">
        <v>2518.314</v>
      </c>
      <c r="AZ155" t="n">
        <v>2466.513</v>
      </c>
      <c r="BA155" t="n">
        <v>2917.777</v>
      </c>
      <c r="BB155" t="n">
        <v>2585.057</v>
      </c>
      <c r="BC155" t="n">
        <v>2902.835</v>
      </c>
      <c r="BD155" t="n">
        <v>2780.306</v>
      </c>
      <c r="BE155" t="n">
        <v>2977.547</v>
      </c>
      <c r="BF155" t="n">
        <v>3014.405</v>
      </c>
      <c r="BG155" t="n">
        <v>3132.949</v>
      </c>
      <c r="BH155" t="n">
        <v>2775.325</v>
      </c>
      <c r="BI155" t="n">
        <v>3306.282</v>
      </c>
      <c r="BJ155" t="n">
        <v>3265.439</v>
      </c>
      <c r="BK155" t="n">
        <v>3246.512</v>
      </c>
      <c r="BL155" t="n">
        <v>2936.704</v>
      </c>
      <c r="BM155" t="n">
        <v>3129.961</v>
      </c>
      <c r="BN155" t="n">
        <v>2947.454</v>
      </c>
      <c r="BO155" t="n">
        <v>2991.543</v>
      </c>
      <c r="BP155" t="n">
        <v>2914.903</v>
      </c>
      <c r="BQ155" t="n">
        <v>3091.32</v>
      </c>
      <c r="BR155" t="n">
        <v>3133.227</v>
      </c>
      <c r="BS155" t="n">
        <v>3363.691</v>
      </c>
      <c r="BT155" t="n">
        <v>3110.708</v>
      </c>
      <c r="BU155" t="n">
        <v>2854.41</v>
      </c>
      <c r="BV155" t="n">
        <v>2975.967</v>
      </c>
    </row>
    <row r="156">
      <c r="A156" t="inlineStr">
        <is>
          <t>Deveximentum insidiator</t>
        </is>
      </c>
      <c r="B156" t="inlineStr">
        <is>
          <t>Pugnose ponyfish</t>
        </is>
      </c>
      <c r="C156" t="inlineStr">
        <is>
          <t>Small pelagics (&lt;30 cm)</t>
        </is>
      </c>
      <c r="D156" t="inlineStr">
        <is>
          <t>Perch-likes</t>
        </is>
      </c>
      <c r="E156" t="n">
        <v>1494.459</v>
      </c>
      <c r="F156" t="n">
        <v>1480.63</v>
      </c>
      <c r="G156" t="n">
        <v>1489.8</v>
      </c>
      <c r="H156" t="n">
        <v>1498.799</v>
      </c>
      <c r="I156" t="n">
        <v>1507.572</v>
      </c>
      <c r="J156" t="n">
        <v>1516.165</v>
      </c>
      <c r="K156" t="n">
        <v>1524.522</v>
      </c>
      <c r="L156" t="n">
        <v>1532.624</v>
      </c>
      <c r="M156" t="n">
        <v>1540.512</v>
      </c>
      <c r="N156" t="n">
        <v>1548.13</v>
      </c>
      <c r="O156" t="n">
        <v>1595.29</v>
      </c>
      <c r="P156" t="n">
        <v>1683.39</v>
      </c>
      <c r="Q156" t="n">
        <v>1681.173</v>
      </c>
      <c r="R156" t="n">
        <v>1699.903</v>
      </c>
      <c r="S156" t="n">
        <v>1718.473</v>
      </c>
      <c r="T156" t="n">
        <v>1736.831</v>
      </c>
      <c r="U156" t="n">
        <v>1751.25</v>
      </c>
      <c r="V156" t="n">
        <v>1765.386</v>
      </c>
      <c r="W156" t="n">
        <v>1779.163</v>
      </c>
      <c r="X156" t="n">
        <v>1792.588</v>
      </c>
      <c r="Y156" t="n">
        <v>1767.284</v>
      </c>
      <c r="Z156" t="n">
        <v>1818.711</v>
      </c>
      <c r="AA156" t="n">
        <v>1831.369</v>
      </c>
      <c r="AB156" t="n">
        <v>1843.586</v>
      </c>
      <c r="AC156" t="n">
        <v>1890.114</v>
      </c>
      <c r="AD156" t="n">
        <v>1861.684</v>
      </c>
      <c r="AE156" t="n">
        <v>1927.986</v>
      </c>
      <c r="AF156" t="n">
        <v>1933.141</v>
      </c>
      <c r="AG156" t="n">
        <v>1949.046</v>
      </c>
      <c r="AH156" t="n">
        <v>1948.065</v>
      </c>
      <c r="AI156" t="n">
        <v>1948.723</v>
      </c>
      <c r="AJ156" t="n">
        <v>1946.399</v>
      </c>
      <c r="AK156" t="n">
        <v>1954.559</v>
      </c>
      <c r="AL156" t="n">
        <v>1949.346</v>
      </c>
      <c r="AM156" t="n">
        <v>1943.232</v>
      </c>
      <c r="AN156" t="n">
        <v>1997.369</v>
      </c>
      <c r="AO156" t="n">
        <v>1928.529</v>
      </c>
      <c r="AP156" t="n">
        <v>1919.653</v>
      </c>
      <c r="AQ156" t="n">
        <v>1939.583</v>
      </c>
      <c r="AR156" t="n">
        <v>1899.017</v>
      </c>
      <c r="AS156" t="n">
        <v>1940.705</v>
      </c>
      <c r="AT156" t="n">
        <v>1947.812</v>
      </c>
      <c r="AU156" t="n">
        <v>1953.288</v>
      </c>
      <c r="AV156" t="n">
        <v>1957.136</v>
      </c>
      <c r="AW156" t="n">
        <v>1959.357</v>
      </c>
      <c r="AX156" t="n">
        <v>1959.951</v>
      </c>
      <c r="AY156" t="n">
        <v>1958.918</v>
      </c>
      <c r="AZ156" t="n">
        <v>1956.257</v>
      </c>
      <c r="BA156" t="n">
        <v>1951.97</v>
      </c>
      <c r="BB156" t="n">
        <v>1946.055</v>
      </c>
      <c r="BC156" t="n">
        <v>1938.511</v>
      </c>
      <c r="BD156" t="n">
        <v>1946.982</v>
      </c>
      <c r="BE156" t="n">
        <v>1953.012</v>
      </c>
      <c r="BF156" t="n">
        <v>1956.594</v>
      </c>
      <c r="BG156" t="n">
        <v>1957.726</v>
      </c>
      <c r="BH156" t="n">
        <v>1956.41</v>
      </c>
      <c r="BI156" t="n">
        <v>1952.644</v>
      </c>
      <c r="BJ156" t="n">
        <v>1946.429</v>
      </c>
      <c r="BK156" t="n">
        <v>1937.765</v>
      </c>
      <c r="BL156" t="n">
        <v>1981.784</v>
      </c>
      <c r="BM156" t="n">
        <v>2025.81</v>
      </c>
      <c r="BN156" t="n">
        <v>2025.396</v>
      </c>
      <c r="BO156" t="n">
        <v>2049.844</v>
      </c>
      <c r="BP156" t="n">
        <v>2074.93</v>
      </c>
      <c r="BQ156" t="n">
        <v>2100.281</v>
      </c>
      <c r="BR156" t="n">
        <v>2118.538</v>
      </c>
      <c r="BS156" t="n">
        <v>2129.398</v>
      </c>
      <c r="BT156" t="n">
        <v>2132.817</v>
      </c>
      <c r="BU156" t="n">
        <v>2132.817</v>
      </c>
      <c r="BV156" t="n">
        <v>2132.817</v>
      </c>
    </row>
    <row r="157">
      <c r="A157" t="inlineStr">
        <is>
          <t>Plotosidae</t>
        </is>
      </c>
      <c r="B157" t="inlineStr">
        <is>
          <t>Eeltail catfishes</t>
        </is>
      </c>
      <c r="C157" t="inlineStr">
        <is>
          <t>Medium reef assoc. fish (30 - 89 cm)</t>
        </is>
      </c>
      <c r="D157" t="inlineStr">
        <is>
          <t>Other fishes &amp; inverts</t>
        </is>
      </c>
      <c r="E157" t="n">
        <v>340.374</v>
      </c>
      <c r="F157" t="n">
        <v>496.559</v>
      </c>
      <c r="G157" t="n">
        <v>522.478</v>
      </c>
      <c r="H157" t="n">
        <v>884.813</v>
      </c>
      <c r="I157" t="n">
        <v>557.668</v>
      </c>
      <c r="J157" t="n">
        <v>347.096</v>
      </c>
      <c r="K157" t="n">
        <v>327.505</v>
      </c>
      <c r="L157" t="n">
        <v>424.633</v>
      </c>
      <c r="M157" t="n">
        <v>440.184</v>
      </c>
      <c r="N157" t="n">
        <v>289.718</v>
      </c>
      <c r="O157" t="n">
        <v>266.804</v>
      </c>
      <c r="P157" t="n">
        <v>238.549</v>
      </c>
      <c r="Q157" t="n">
        <v>442.649</v>
      </c>
      <c r="R157" t="n">
        <v>404.78</v>
      </c>
      <c r="S157" t="n">
        <v>727.6319999999999</v>
      </c>
      <c r="T157" t="n">
        <v>558.891</v>
      </c>
      <c r="U157" t="n">
        <v>420.915</v>
      </c>
      <c r="V157" t="n">
        <v>468.475</v>
      </c>
      <c r="W157" t="n">
        <v>510.459</v>
      </c>
      <c r="X157" t="n">
        <v>427.611</v>
      </c>
      <c r="Y157" t="n">
        <v>707.085</v>
      </c>
      <c r="Z157" t="n">
        <v>801.203</v>
      </c>
      <c r="AA157" t="n">
        <v>760.393</v>
      </c>
      <c r="AB157" t="n">
        <v>1034.611</v>
      </c>
      <c r="AC157" t="n">
        <v>873.1369999999999</v>
      </c>
      <c r="AD157" t="n">
        <v>942.986</v>
      </c>
      <c r="AE157" t="n">
        <v>875.456</v>
      </c>
      <c r="AF157" t="n">
        <v>1611.192</v>
      </c>
      <c r="AG157" t="n">
        <v>832.889</v>
      </c>
      <c r="AH157" t="n">
        <v>844.845</v>
      </c>
      <c r="AI157" t="n">
        <v>794.648</v>
      </c>
      <c r="AJ157" t="n">
        <v>1367.133</v>
      </c>
      <c r="AK157" t="n">
        <v>1469.913</v>
      </c>
      <c r="AL157" t="n">
        <v>843.6900000000001</v>
      </c>
      <c r="AM157" t="n">
        <v>1240.066</v>
      </c>
      <c r="AN157" t="n">
        <v>1158.23</v>
      </c>
      <c r="AO157" t="n">
        <v>954.449</v>
      </c>
      <c r="AP157" t="n">
        <v>831.329</v>
      </c>
      <c r="AQ157" t="n">
        <v>771.236</v>
      </c>
      <c r="AR157" t="n">
        <v>1198.977</v>
      </c>
      <c r="AS157" t="n">
        <v>942.583</v>
      </c>
      <c r="AT157" t="n">
        <v>954.943</v>
      </c>
      <c r="AU157" t="n">
        <v>988.36</v>
      </c>
      <c r="AV157" t="n">
        <v>1167.888</v>
      </c>
      <c r="AW157" t="n">
        <v>2597.559</v>
      </c>
      <c r="AX157" t="n">
        <v>2346.692</v>
      </c>
      <c r="AY157" t="n">
        <v>2470.026</v>
      </c>
      <c r="AZ157" t="n">
        <v>2640.658</v>
      </c>
      <c r="BA157" t="n">
        <v>2363.901</v>
      </c>
      <c r="BB157" t="n">
        <v>2602.952</v>
      </c>
      <c r="BC157" t="n">
        <v>3369.719</v>
      </c>
      <c r="BD157" t="n">
        <v>3241.374</v>
      </c>
      <c r="BE157" t="n">
        <v>3435.602</v>
      </c>
      <c r="BF157" t="n">
        <v>3716.576</v>
      </c>
      <c r="BG157" t="n">
        <v>3721.284</v>
      </c>
      <c r="BH157" t="n">
        <v>4006.607</v>
      </c>
      <c r="BI157" t="n">
        <v>4114.991</v>
      </c>
      <c r="BJ157" t="n">
        <v>4325.485</v>
      </c>
      <c r="BK157" t="n">
        <v>3919.541</v>
      </c>
      <c r="BL157" t="n">
        <v>3889.562</v>
      </c>
      <c r="BM157" t="n">
        <v>4001.973</v>
      </c>
      <c r="BN157" t="n">
        <v>4280.964</v>
      </c>
      <c r="BO157" t="n">
        <v>4005.161</v>
      </c>
      <c r="BP157" t="n">
        <v>4016.503</v>
      </c>
      <c r="BQ157" t="n">
        <v>4114.134</v>
      </c>
      <c r="BR157" t="n">
        <v>4334.311</v>
      </c>
      <c r="BS157" t="n">
        <v>4581.069</v>
      </c>
      <c r="BT157" t="n">
        <v>5210.232</v>
      </c>
      <c r="BU157" t="n">
        <v>4820.223</v>
      </c>
      <c r="BV157" t="n">
        <v>4834.112</v>
      </c>
    </row>
    <row r="158">
      <c r="A158" t="inlineStr">
        <is>
          <t>Xiphias gladius</t>
        </is>
      </c>
      <c r="B158" t="inlineStr">
        <is>
          <t>Swordfish</t>
        </is>
      </c>
      <c r="C158" t="inlineStr">
        <is>
          <t>Large pelagics (&gt;=90 cm)</t>
        </is>
      </c>
      <c r="D158" t="inlineStr">
        <is>
          <t>Tuna &amp; billfishes</t>
        </is>
      </c>
      <c r="E158" t="n">
        <v>9.891999999999999</v>
      </c>
      <c r="F158" t="n">
        <v>10.753</v>
      </c>
      <c r="G158" t="n">
        <v>10.241</v>
      </c>
      <c r="H158" t="n">
        <v>13.021</v>
      </c>
      <c r="I158" t="n">
        <v>29.413</v>
      </c>
      <c r="J158" t="n">
        <v>100.54</v>
      </c>
      <c r="K158" t="n">
        <v>190.899</v>
      </c>
      <c r="L158" t="n">
        <v>86.467</v>
      </c>
      <c r="M158" t="n">
        <v>104.202</v>
      </c>
      <c r="N158" t="n">
        <v>199.955</v>
      </c>
      <c r="O158" t="n">
        <v>215.351</v>
      </c>
      <c r="P158" t="n">
        <v>295.583</v>
      </c>
      <c r="Q158" t="n">
        <v>235.319</v>
      </c>
      <c r="R158" t="n">
        <v>188.255</v>
      </c>
      <c r="S158" t="n">
        <v>486.028</v>
      </c>
      <c r="T158" t="n">
        <v>195.671</v>
      </c>
      <c r="U158" t="n">
        <v>387.071</v>
      </c>
      <c r="V158" t="n">
        <v>366.6</v>
      </c>
      <c r="W158" t="n">
        <v>501.544</v>
      </c>
      <c r="X158" t="n">
        <v>1219.303</v>
      </c>
      <c r="Y158" t="n">
        <v>584.933</v>
      </c>
      <c r="Z158" t="n">
        <v>881.338</v>
      </c>
      <c r="AA158" t="n">
        <v>447.013</v>
      </c>
      <c r="AB158" t="n">
        <v>209.299</v>
      </c>
      <c r="AC158" t="n">
        <v>191.242</v>
      </c>
      <c r="AD158" t="n">
        <v>204.663</v>
      </c>
      <c r="AE158" t="n">
        <v>287.601</v>
      </c>
      <c r="AF158" t="n">
        <v>161.835</v>
      </c>
      <c r="AG158" t="n">
        <v>369.879</v>
      </c>
      <c r="AH158" t="n">
        <v>285.403</v>
      </c>
      <c r="AI158" t="n">
        <v>386</v>
      </c>
      <c r="AJ158" t="n">
        <v>584.386</v>
      </c>
      <c r="AK158" t="n">
        <v>677.655</v>
      </c>
      <c r="AL158" t="n">
        <v>891.8440000000001</v>
      </c>
      <c r="AM158" t="n">
        <v>878.597</v>
      </c>
      <c r="AN158" t="n">
        <v>1100.507</v>
      </c>
      <c r="AO158" t="n">
        <v>1572.458</v>
      </c>
      <c r="AP158" t="n">
        <v>1601.275</v>
      </c>
      <c r="AQ158" t="n">
        <v>3326.107</v>
      </c>
      <c r="AR158" t="n">
        <v>1920.735</v>
      </c>
      <c r="AS158" t="n">
        <v>681.346</v>
      </c>
      <c r="AT158" t="n">
        <v>1061.105</v>
      </c>
      <c r="AU158" t="n">
        <v>1516.394</v>
      </c>
      <c r="AV158" t="n">
        <v>3328.434</v>
      </c>
      <c r="AW158" t="n">
        <v>1462.253</v>
      </c>
      <c r="AX158" t="n">
        <v>7885.022</v>
      </c>
      <c r="AY158" t="n">
        <v>5040.306</v>
      </c>
      <c r="AZ158" t="n">
        <v>4964.476</v>
      </c>
      <c r="BA158" t="n">
        <v>8276.985000000001</v>
      </c>
      <c r="BB158" t="n">
        <v>5471.083</v>
      </c>
      <c r="BC158" t="n">
        <v>3840.791</v>
      </c>
      <c r="BD158" t="n">
        <v>5151.719</v>
      </c>
      <c r="BE158" t="n">
        <v>4815.662</v>
      </c>
      <c r="BF158" t="n">
        <v>5250.313</v>
      </c>
      <c r="BG158" t="n">
        <v>2991.074</v>
      </c>
      <c r="BH158" t="n">
        <v>2259.026</v>
      </c>
      <c r="BI158" t="n">
        <v>1698.401</v>
      </c>
      <c r="BJ158" t="n">
        <v>3013.762</v>
      </c>
      <c r="BK158" t="n">
        <v>4189.767</v>
      </c>
      <c r="BL158" t="n">
        <v>2846.833</v>
      </c>
      <c r="BM158" t="n">
        <v>2073.488</v>
      </c>
      <c r="BN158" t="n">
        <v>1985.958</v>
      </c>
      <c r="BO158" t="n">
        <v>4371.577</v>
      </c>
      <c r="BP158" t="n">
        <v>1397.063</v>
      </c>
      <c r="BQ158" t="n">
        <v>2377.808</v>
      </c>
      <c r="BR158" t="n">
        <v>4793.571</v>
      </c>
      <c r="BS158" t="n">
        <v>3044.907</v>
      </c>
      <c r="BT158" t="n">
        <v>3893.857</v>
      </c>
      <c r="BU158" t="n">
        <v>3997.718</v>
      </c>
      <c r="BV158" t="n">
        <v>4648.027</v>
      </c>
    </row>
    <row r="159">
      <c r="A159" t="inlineStr">
        <is>
          <t>Malacostraca</t>
        </is>
      </c>
      <c r="B159" t="inlineStr">
        <is>
          <t>Lobsters, crabs, shrimps, krill</t>
        </is>
      </c>
      <c r="C159" t="inlineStr">
        <is>
          <t>Shrimps</t>
        </is>
      </c>
      <c r="D159" t="inlineStr">
        <is>
          <t>Crustaceans</t>
        </is>
      </c>
      <c r="E159" t="n">
        <v>0</v>
      </c>
      <c r="F159" t="n">
        <v>0</v>
      </c>
      <c r="G159" t="n">
        <v>0</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10440.268</v>
      </c>
      <c r="AO159" t="n">
        <v>9700.234</v>
      </c>
      <c r="AP159" t="n">
        <v>9724.17</v>
      </c>
      <c r="AQ159" t="n">
        <v>8611.127</v>
      </c>
      <c r="AR159" t="n">
        <v>8670.968000000001</v>
      </c>
      <c r="AS159" t="n">
        <v>4304.566</v>
      </c>
      <c r="AT159" t="n">
        <v>4168.926</v>
      </c>
      <c r="AU159" t="n">
        <v>4806.234</v>
      </c>
      <c r="AV159" t="n">
        <v>4236.746</v>
      </c>
      <c r="AW159" t="n">
        <v>4101.106</v>
      </c>
      <c r="AX159" t="n">
        <v>5884.37</v>
      </c>
      <c r="AY159" t="n">
        <v>5495.403</v>
      </c>
      <c r="AZ159" t="n">
        <v>5356.771</v>
      </c>
      <c r="BA159" t="n">
        <v>5451.519</v>
      </c>
      <c r="BB159" t="n">
        <v>5231.105</v>
      </c>
      <c r="BC159" t="n">
        <v>2293.907</v>
      </c>
      <c r="BD159" t="n">
        <v>2056.537</v>
      </c>
      <c r="BE159" t="n">
        <v>2042.574</v>
      </c>
      <c r="BF159" t="n">
        <v>2385.663</v>
      </c>
      <c r="BG159" t="n">
        <v>2511.329</v>
      </c>
      <c r="BH159" t="n">
        <v>624.342</v>
      </c>
      <c r="BI159" t="n">
        <v>658.252</v>
      </c>
      <c r="BJ159" t="n">
        <v>771.95</v>
      </c>
      <c r="BK159" t="n">
        <v>763.971</v>
      </c>
      <c r="BL159" t="n">
        <v>1786.255</v>
      </c>
      <c r="BM159" t="n">
        <v>1789.247</v>
      </c>
      <c r="BN159" t="n">
        <v>1664.518</v>
      </c>
      <c r="BO159" t="n">
        <v>1687.194</v>
      </c>
      <c r="BP159" t="n">
        <v>1650.418</v>
      </c>
      <c r="BQ159" t="n">
        <v>1755.792</v>
      </c>
      <c r="BR159" t="n">
        <v>1780.414</v>
      </c>
      <c r="BS159" t="n">
        <v>1913.048</v>
      </c>
      <c r="BT159" t="n">
        <v>1769.064</v>
      </c>
      <c r="BU159" t="n">
        <v>1626.154</v>
      </c>
      <c r="BV159" t="n">
        <v>1697.121</v>
      </c>
    </row>
    <row r="160">
      <c r="A160" t="inlineStr">
        <is>
          <t>Sparidae</t>
        </is>
      </c>
      <c r="B160" t="inlineStr">
        <is>
          <t>Porgies, seabreams</t>
        </is>
      </c>
      <c r="C160" t="inlineStr">
        <is>
          <t>Medium benthopelagics (30 - 89 cm)</t>
        </is>
      </c>
      <c r="D160" t="inlineStr">
        <is>
          <t>Perch-likes</t>
        </is>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102.068</v>
      </c>
      <c r="AB160" t="n">
        <v>311.811</v>
      </c>
      <c r="AC160" t="n">
        <v>521.554</v>
      </c>
      <c r="AD160" t="n">
        <v>731.298</v>
      </c>
      <c r="AE160" t="n">
        <v>941.0410000000001</v>
      </c>
      <c r="AF160" t="n">
        <v>1150.785</v>
      </c>
      <c r="AG160" t="n">
        <v>1360.528</v>
      </c>
      <c r="AH160" t="n">
        <v>1570.272</v>
      </c>
      <c r="AI160" t="n">
        <v>1766.555</v>
      </c>
      <c r="AJ160" t="n">
        <v>1971.126</v>
      </c>
      <c r="AK160" t="n">
        <v>2168.239</v>
      </c>
      <c r="AL160" t="n">
        <v>2365.352</v>
      </c>
      <c r="AM160" t="n">
        <v>2566.453</v>
      </c>
      <c r="AN160" t="n">
        <v>2763.873</v>
      </c>
      <c r="AO160" t="n">
        <v>2871.556</v>
      </c>
      <c r="AP160" t="n">
        <v>2981.759</v>
      </c>
      <c r="AQ160" t="n">
        <v>3089.533</v>
      </c>
      <c r="AR160" t="n">
        <v>3197.308</v>
      </c>
      <c r="AS160" t="n">
        <v>3305.082</v>
      </c>
      <c r="AT160" t="n">
        <v>3414.734</v>
      </c>
      <c r="AU160" t="n">
        <v>3522.567</v>
      </c>
      <c r="AV160" t="n">
        <v>3630.401</v>
      </c>
      <c r="AW160" t="n">
        <v>3738.764</v>
      </c>
      <c r="AX160" t="n">
        <v>3846.613</v>
      </c>
      <c r="AY160" t="n">
        <v>3955.317</v>
      </c>
      <c r="AZ160" t="n">
        <v>3856.434</v>
      </c>
      <c r="BA160" t="n">
        <v>3757.551</v>
      </c>
      <c r="BB160" t="n">
        <v>3658.668</v>
      </c>
      <c r="BC160" t="n">
        <v>3559.785</v>
      </c>
      <c r="BD160" t="n">
        <v>3460.902</v>
      </c>
      <c r="BE160" t="n">
        <v>3362.019</v>
      </c>
      <c r="BF160" t="n">
        <v>3263.137</v>
      </c>
      <c r="BG160" t="n">
        <v>3164.254</v>
      </c>
      <c r="BH160" t="n">
        <v>3065.371</v>
      </c>
      <c r="BI160" t="n">
        <v>2966.488</v>
      </c>
      <c r="BJ160" t="n">
        <v>2867.605</v>
      </c>
      <c r="BK160" t="n">
        <v>2768.722</v>
      </c>
      <c r="BL160" t="n">
        <v>2669.839</v>
      </c>
      <c r="BM160" t="n">
        <v>2768.722</v>
      </c>
      <c r="BN160" t="n">
        <v>3157.62</v>
      </c>
      <c r="BO160" t="n">
        <v>3584.045</v>
      </c>
      <c r="BP160" t="n">
        <v>3087.322</v>
      </c>
      <c r="BQ160" t="n">
        <v>2491.309</v>
      </c>
      <c r="BR160" t="n">
        <v>1959.824</v>
      </c>
      <c r="BS160" t="n">
        <v>2039.103</v>
      </c>
      <c r="BT160" t="n">
        <v>2126.353</v>
      </c>
      <c r="BU160" t="n">
        <v>1902.131</v>
      </c>
      <c r="BV160" t="n">
        <v>1840.266</v>
      </c>
    </row>
    <row r="161">
      <c r="A161" t="inlineStr">
        <is>
          <t>Bothidae</t>
        </is>
      </c>
      <c r="B161" t="inlineStr">
        <is>
          <t>Lefteye flounders</t>
        </is>
      </c>
      <c r="C161" t="inlineStr">
        <is>
          <t>Small to medium flatfishes (&lt;90 cm)</t>
        </is>
      </c>
      <c r="D161" t="inlineStr">
        <is>
          <t>Flatfishes</t>
        </is>
      </c>
      <c r="E161" t="n">
        <v>251.51</v>
      </c>
      <c r="F161" t="n">
        <v>251.51</v>
      </c>
      <c r="G161" t="n">
        <v>337.004</v>
      </c>
      <c r="H161" t="n">
        <v>293.263</v>
      </c>
      <c r="I161" t="n">
        <v>251.51</v>
      </c>
      <c r="J161" t="n">
        <v>251.51</v>
      </c>
      <c r="K161" t="n">
        <v>251.51</v>
      </c>
      <c r="L161" t="n">
        <v>244.552</v>
      </c>
      <c r="M161" t="n">
        <v>260.457</v>
      </c>
      <c r="N161" t="n">
        <v>251.51</v>
      </c>
      <c r="O161" t="n">
        <v>336.01</v>
      </c>
      <c r="P161" t="n">
        <v>431.445</v>
      </c>
      <c r="Q161" t="n">
        <v>438.403</v>
      </c>
      <c r="R161" t="n">
        <v>753.537</v>
      </c>
      <c r="S161" t="n">
        <v>698.861</v>
      </c>
      <c r="T161" t="n">
        <v>742.713</v>
      </c>
      <c r="U161" t="n">
        <v>927.724</v>
      </c>
      <c r="V161" t="n">
        <v>1161.512</v>
      </c>
      <c r="W161" t="n">
        <v>1187.486</v>
      </c>
      <c r="X161" t="n">
        <v>1090.14</v>
      </c>
      <c r="Y161" t="n">
        <v>953.978</v>
      </c>
      <c r="Z161" t="n">
        <v>1119.302</v>
      </c>
      <c r="AA161" t="n">
        <v>1056.804</v>
      </c>
      <c r="AB161" t="n">
        <v>1212.25</v>
      </c>
      <c r="AC161" t="n">
        <v>1576.794</v>
      </c>
      <c r="AD161" t="n">
        <v>1535.252</v>
      </c>
      <c r="AE161" t="n">
        <v>1633.845</v>
      </c>
      <c r="AF161" t="n">
        <v>2004.525</v>
      </c>
      <c r="AG161" t="n">
        <v>1844.794</v>
      </c>
      <c r="AH161" t="n">
        <v>1614.013</v>
      </c>
      <c r="AI161" t="n">
        <v>1640.557</v>
      </c>
      <c r="AJ161" t="n">
        <v>1726.169</v>
      </c>
      <c r="AK161" t="n">
        <v>1776.033</v>
      </c>
      <c r="AL161" t="n">
        <v>1845.874</v>
      </c>
      <c r="AM161" t="n">
        <v>1611.134</v>
      </c>
      <c r="AN161" t="n">
        <v>1779.316</v>
      </c>
      <c r="AO161" t="n">
        <v>2102.003</v>
      </c>
      <c r="AP161" t="n">
        <v>2556.073</v>
      </c>
      <c r="AQ161" t="n">
        <v>2006.064</v>
      </c>
      <c r="AR161" t="n">
        <v>2441.316</v>
      </c>
      <c r="AS161" t="n">
        <v>2656.546</v>
      </c>
      <c r="AT161" t="n">
        <v>1985.675</v>
      </c>
      <c r="AU161" t="n">
        <v>2060.32</v>
      </c>
      <c r="AV161" t="n">
        <v>2120.994</v>
      </c>
      <c r="AW161" t="n">
        <v>2083.058</v>
      </c>
      <c r="AX161" t="n">
        <v>2228.484</v>
      </c>
      <c r="AY161" t="n">
        <v>2267.4</v>
      </c>
      <c r="AZ161" t="n">
        <v>2222.529</v>
      </c>
      <c r="BA161" t="n">
        <v>2626.454</v>
      </c>
      <c r="BB161" t="n">
        <v>2328.512</v>
      </c>
      <c r="BC161" t="n">
        <v>2612.454</v>
      </c>
      <c r="BD161" t="n">
        <v>2503.757</v>
      </c>
      <c r="BE161" t="n">
        <v>2682.499</v>
      </c>
      <c r="BF161" t="n">
        <v>2714.224</v>
      </c>
      <c r="BG161" t="n">
        <v>2821.807</v>
      </c>
      <c r="BH161" t="n">
        <v>2499.039</v>
      </c>
      <c r="BI161" t="n">
        <v>2977.628</v>
      </c>
      <c r="BJ161" t="n">
        <v>2941.736</v>
      </c>
      <c r="BK161" t="n">
        <v>2923.696</v>
      </c>
      <c r="BL161" t="n">
        <v>2644.39</v>
      </c>
      <c r="BM161" t="n">
        <v>2818.85</v>
      </c>
      <c r="BN161" t="n">
        <v>2654.488</v>
      </c>
      <c r="BO161" t="n">
        <v>2694.196</v>
      </c>
      <c r="BP161" t="n">
        <v>2625.169</v>
      </c>
      <c r="BQ161" t="n">
        <v>2784.047</v>
      </c>
      <c r="BR161" t="n">
        <v>2821.788</v>
      </c>
      <c r="BS161" t="n">
        <v>3029.343</v>
      </c>
      <c r="BT161" t="n">
        <v>2801.506</v>
      </c>
      <c r="BU161" t="n">
        <v>2570.682</v>
      </c>
      <c r="BV161" t="n">
        <v>2680.156</v>
      </c>
    </row>
    <row r="162">
      <c r="A162" t="inlineStr">
        <is>
          <t>Ganjampenaeopsis uncta</t>
        </is>
      </c>
      <c r="B162" t="inlineStr">
        <is>
          <t>Uncta shrimp</t>
        </is>
      </c>
      <c r="C162" t="inlineStr">
        <is>
          <t>Shrimps</t>
        </is>
      </c>
      <c r="D162" t="inlineStr">
        <is>
          <t>Crustaceans</t>
        </is>
      </c>
      <c r="E162" t="n">
        <v>1360.674</v>
      </c>
      <c r="F162" t="n">
        <v>1348.083</v>
      </c>
      <c r="G162" t="n">
        <v>1356.432</v>
      </c>
      <c r="H162" t="n">
        <v>1364.625</v>
      </c>
      <c r="I162" t="n">
        <v>1372.613</v>
      </c>
      <c r="J162" t="n">
        <v>1380.436</v>
      </c>
      <c r="K162" t="n">
        <v>1388.046</v>
      </c>
      <c r="L162" t="n">
        <v>1395.422</v>
      </c>
      <c r="M162" t="n">
        <v>1402.604</v>
      </c>
      <c r="N162" t="n">
        <v>1409.541</v>
      </c>
      <c r="O162" t="n">
        <v>1452.478</v>
      </c>
      <c r="P162" t="n">
        <v>1532.692</v>
      </c>
      <c r="Q162" t="n">
        <v>1530.673</v>
      </c>
      <c r="R162" t="n">
        <v>1547.726</v>
      </c>
      <c r="S162" t="n">
        <v>1564.634</v>
      </c>
      <c r="T162" t="n">
        <v>1581.348</v>
      </c>
      <c r="U162" t="n">
        <v>1594.477</v>
      </c>
      <c r="V162" t="n">
        <v>1607.347</v>
      </c>
      <c r="W162" t="n">
        <v>1619.891</v>
      </c>
      <c r="X162" t="n">
        <v>1632.114</v>
      </c>
      <c r="Y162" t="n">
        <v>1609.075</v>
      </c>
      <c r="Z162" t="n">
        <v>1655.898</v>
      </c>
      <c r="AA162" t="n">
        <v>1667.424</v>
      </c>
      <c r="AB162" t="n">
        <v>1678.546</v>
      </c>
      <c r="AC162" t="n">
        <v>1720.91</v>
      </c>
      <c r="AD162" t="n">
        <v>1695.024</v>
      </c>
      <c r="AE162" t="n">
        <v>1755.391</v>
      </c>
      <c r="AF162" t="n">
        <v>1760.085</v>
      </c>
      <c r="AG162" t="n">
        <v>1774.566</v>
      </c>
      <c r="AH162" t="n">
        <v>1773.673</v>
      </c>
      <c r="AI162" t="n">
        <v>1774.272</v>
      </c>
      <c r="AJ162" t="n">
        <v>1772.155</v>
      </c>
      <c r="AK162" t="n">
        <v>1779.586</v>
      </c>
      <c r="AL162" t="n">
        <v>1774.839</v>
      </c>
      <c r="AM162" t="n">
        <v>1769.272</v>
      </c>
      <c r="AN162" t="n">
        <v>1818.563</v>
      </c>
      <c r="AO162" t="n">
        <v>1755.886</v>
      </c>
      <c r="AP162" t="n">
        <v>1747.804</v>
      </c>
      <c r="AQ162" t="n">
        <v>1765.95</v>
      </c>
      <c r="AR162" t="n">
        <v>1729.016</v>
      </c>
      <c r="AS162" t="n">
        <v>1766.971</v>
      </c>
      <c r="AT162" t="n">
        <v>1773.442</v>
      </c>
      <c r="AU162" t="n">
        <v>1778.428</v>
      </c>
      <c r="AV162" t="n">
        <v>1781.932</v>
      </c>
      <c r="AW162" t="n">
        <v>1783.954</v>
      </c>
      <c r="AX162" t="n">
        <v>1784.495</v>
      </c>
      <c r="AY162" t="n">
        <v>1783.554</v>
      </c>
      <c r="AZ162" t="n">
        <v>1781.132</v>
      </c>
      <c r="BA162" t="n">
        <v>1777.228</v>
      </c>
      <c r="BB162" t="n">
        <v>1771.843</v>
      </c>
      <c r="BC162" t="n">
        <v>1764.974</v>
      </c>
      <c r="BD162" t="n">
        <v>1772.686</v>
      </c>
      <c r="BE162" t="n">
        <v>1778.177</v>
      </c>
      <c r="BF162" t="n">
        <v>1781.438</v>
      </c>
      <c r="BG162" t="n">
        <v>1782.469</v>
      </c>
      <c r="BH162" t="n">
        <v>1781.27</v>
      </c>
      <c r="BI162" t="n">
        <v>1777.842</v>
      </c>
      <c r="BJ162" t="n">
        <v>1772.183</v>
      </c>
      <c r="BK162" t="n">
        <v>1764.295</v>
      </c>
      <c r="BL162" t="n">
        <v>1804.373</v>
      </c>
      <c r="BM162" t="n">
        <v>1844.458</v>
      </c>
      <c r="BN162" t="n">
        <v>1844.081</v>
      </c>
      <c r="BO162" t="n">
        <v>1866.341</v>
      </c>
      <c r="BP162" t="n">
        <v>1889.181</v>
      </c>
      <c r="BQ162" t="n">
        <v>1912.262</v>
      </c>
      <c r="BR162" t="n">
        <v>1928.885</v>
      </c>
      <c r="BS162" t="n">
        <v>1938.772</v>
      </c>
      <c r="BT162" t="n">
        <v>1941.885</v>
      </c>
      <c r="BU162" t="n">
        <v>1941.885</v>
      </c>
      <c r="BV162" t="n">
        <v>1941.885</v>
      </c>
    </row>
    <row r="163">
      <c r="A163" t="inlineStr">
        <is>
          <t>Mierspenaeopsis hardwickii</t>
        </is>
      </c>
      <c r="B163" t="inlineStr">
        <is>
          <t>Spear shrimp</t>
        </is>
      </c>
      <c r="C163" t="inlineStr">
        <is>
          <t>Shrimps</t>
        </is>
      </c>
      <c r="D163" t="inlineStr">
        <is>
          <t>Crustaceans</t>
        </is>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8407.993</v>
      </c>
      <c r="AO163" t="n">
        <v>7580.212</v>
      </c>
      <c r="AP163" t="n">
        <v>6684.856</v>
      </c>
      <c r="AQ163" t="n">
        <v>5186.304</v>
      </c>
      <c r="AR163" t="n">
        <v>6823.979</v>
      </c>
      <c r="AS163" t="n">
        <v>8006.524</v>
      </c>
      <c r="AT163" t="n">
        <v>6912.422</v>
      </c>
      <c r="AU163" t="n">
        <v>7861.439</v>
      </c>
      <c r="AV163" t="n">
        <v>6818.017</v>
      </c>
      <c r="AW163" t="n">
        <v>6612.314</v>
      </c>
      <c r="AX163" t="n">
        <v>3271.376</v>
      </c>
      <c r="AY163" t="n">
        <v>2857.982</v>
      </c>
      <c r="AZ163" t="n">
        <v>3516.829</v>
      </c>
      <c r="BA163" t="n">
        <v>2325.34</v>
      </c>
      <c r="BB163" t="n">
        <v>3081.573</v>
      </c>
      <c r="BC163" t="n">
        <v>3179.952</v>
      </c>
      <c r="BD163" t="n">
        <v>3082.566</v>
      </c>
      <c r="BE163" t="n">
        <v>2974.249</v>
      </c>
      <c r="BF163" t="n">
        <v>3271.376</v>
      </c>
      <c r="BG163" t="n">
        <v>3574.465</v>
      </c>
      <c r="BH163" t="n">
        <v>304.083</v>
      </c>
      <c r="BI163" t="n">
        <v>318.989</v>
      </c>
      <c r="BJ163" t="n">
        <v>364.701</v>
      </c>
      <c r="BK163" t="n">
        <v>380.601</v>
      </c>
      <c r="BL163" t="n">
        <v>240.484</v>
      </c>
      <c r="BM163" t="n">
        <v>233.528</v>
      </c>
      <c r="BN163" t="n">
        <v>216.605</v>
      </c>
      <c r="BO163" t="n">
        <v>219.489</v>
      </c>
      <c r="BP163" t="n">
        <v>214.9</v>
      </c>
      <c r="BQ163" t="n">
        <v>228.787</v>
      </c>
      <c r="BR163" t="n">
        <v>232.019</v>
      </c>
      <c r="BS163" t="n">
        <v>249.354</v>
      </c>
      <c r="BT163" t="n">
        <v>230.584</v>
      </c>
      <c r="BU163" t="n">
        <v>211.913</v>
      </c>
      <c r="BV163" t="n">
        <v>221.193</v>
      </c>
    </row>
    <row r="164">
      <c r="A164" t="inlineStr">
        <is>
          <t>Lutjanus johnii</t>
        </is>
      </c>
      <c r="B164" t="inlineStr">
        <is>
          <t>John's snapper</t>
        </is>
      </c>
      <c r="C164" t="inlineStr">
        <is>
          <t>Medium reef assoc. fish (30 - 89 cm)</t>
        </is>
      </c>
      <c r="D164" t="inlineStr">
        <is>
          <t>Perch-likes</t>
        </is>
      </c>
      <c r="E164" t="n">
        <v>416.347</v>
      </c>
      <c r="F164" t="n">
        <v>413.376</v>
      </c>
      <c r="G164" t="n">
        <v>411.708</v>
      </c>
      <c r="H164" t="n">
        <v>405.051</v>
      </c>
      <c r="I164" t="n">
        <v>408.292</v>
      </c>
      <c r="J164" t="n">
        <v>426.403</v>
      </c>
      <c r="K164" t="n">
        <v>414.689</v>
      </c>
      <c r="L164" t="n">
        <v>420.813</v>
      </c>
      <c r="M164" t="n">
        <v>446.767</v>
      </c>
      <c r="N164" t="n">
        <v>460.766</v>
      </c>
      <c r="O164" t="n">
        <v>497.303</v>
      </c>
      <c r="P164" t="n">
        <v>524.8</v>
      </c>
      <c r="Q164" t="n">
        <v>575.127</v>
      </c>
      <c r="R164" t="n">
        <v>616.534</v>
      </c>
      <c r="S164" t="n">
        <v>753.372</v>
      </c>
      <c r="T164" t="n">
        <v>797.72</v>
      </c>
      <c r="U164" t="n">
        <v>831.5700000000001</v>
      </c>
      <c r="V164" t="n">
        <v>908.047</v>
      </c>
      <c r="W164" t="n">
        <v>960.658</v>
      </c>
      <c r="X164" t="n">
        <v>908.934</v>
      </c>
      <c r="Y164" t="n">
        <v>909.316</v>
      </c>
      <c r="Z164" t="n">
        <v>1115.506</v>
      </c>
      <c r="AA164" t="n">
        <v>1162.105</v>
      </c>
      <c r="AB164" t="n">
        <v>1302.982</v>
      </c>
      <c r="AC164" t="n">
        <v>1363.354</v>
      </c>
      <c r="AD164" t="n">
        <v>1359.322</v>
      </c>
      <c r="AE164" t="n">
        <v>4190.077</v>
      </c>
      <c r="AF164" t="n">
        <v>5510.92</v>
      </c>
      <c r="AG164" t="n">
        <v>6499.897</v>
      </c>
      <c r="AH164" t="n">
        <v>6580.26</v>
      </c>
      <c r="AI164" t="n">
        <v>3727.462</v>
      </c>
      <c r="AJ164" t="n">
        <v>3405.362</v>
      </c>
      <c r="AK164" t="n">
        <v>3304.267</v>
      </c>
      <c r="AL164" t="n">
        <v>3237.92</v>
      </c>
      <c r="AM164" t="n">
        <v>3047.389</v>
      </c>
      <c r="AN164" t="n">
        <v>1805.476</v>
      </c>
      <c r="AO164" t="n">
        <v>1658.561</v>
      </c>
      <c r="AP164" t="n">
        <v>1540.116</v>
      </c>
      <c r="AQ164" t="n">
        <v>1300.621</v>
      </c>
      <c r="AR164" t="n">
        <v>1513.286</v>
      </c>
      <c r="AS164" t="n">
        <v>1381.595</v>
      </c>
      <c r="AT164" t="n">
        <v>1304.139</v>
      </c>
      <c r="AU164" t="n">
        <v>1455.972</v>
      </c>
      <c r="AV164" t="n">
        <v>1310.45</v>
      </c>
      <c r="AW164" t="n">
        <v>1278.967</v>
      </c>
      <c r="AX164" t="n">
        <v>1039.593</v>
      </c>
      <c r="AY164" t="n">
        <v>975.855</v>
      </c>
      <c r="AZ164" t="n">
        <v>1007.237</v>
      </c>
      <c r="BA164" t="n">
        <v>933.149</v>
      </c>
      <c r="BB164" t="n">
        <v>966.045</v>
      </c>
      <c r="BC164" t="n">
        <v>1304.752</v>
      </c>
      <c r="BD164" t="n">
        <v>1227.445</v>
      </c>
      <c r="BE164" t="n">
        <v>1210.428</v>
      </c>
      <c r="BF164" t="n">
        <v>1343.114</v>
      </c>
      <c r="BG164" t="n">
        <v>1415.806</v>
      </c>
      <c r="BH164" t="n">
        <v>917.668</v>
      </c>
      <c r="BI164" t="n">
        <v>952.896</v>
      </c>
      <c r="BJ164" t="n">
        <v>1055.336</v>
      </c>
      <c r="BK164" t="n">
        <v>1068.988</v>
      </c>
      <c r="BL164" t="n">
        <v>1402.398</v>
      </c>
      <c r="BM164" t="n">
        <v>1398.767</v>
      </c>
      <c r="BN164" t="n">
        <v>1320.347</v>
      </c>
      <c r="BO164" t="n">
        <v>1337.773</v>
      </c>
      <c r="BP164" t="n">
        <v>1318.913</v>
      </c>
      <c r="BQ164" t="n">
        <v>1388.071</v>
      </c>
      <c r="BR164" t="n">
        <v>1405.974</v>
      </c>
      <c r="BS164" t="n">
        <v>1489.775</v>
      </c>
      <c r="BT164" t="n">
        <v>1401.056</v>
      </c>
      <c r="BU164" t="n">
        <v>1312.449</v>
      </c>
      <c r="BV164" t="n">
        <v>1356.463</v>
      </c>
    </row>
    <row r="165">
      <c r="A165" t="inlineStr">
        <is>
          <t>Istiophoridae</t>
        </is>
      </c>
      <c r="B165" t="inlineStr">
        <is>
          <t>Billfishes</t>
        </is>
      </c>
      <c r="C165" t="inlineStr">
        <is>
          <t>Large pelagics (&gt;=90 cm)</t>
        </is>
      </c>
      <c r="D165" t="inlineStr">
        <is>
          <t>Tuna &amp; billfishes</t>
        </is>
      </c>
      <c r="E165" t="n">
        <v>102.29</v>
      </c>
      <c r="F165" t="n">
        <v>111.374</v>
      </c>
      <c r="G165" t="n">
        <v>106.464</v>
      </c>
      <c r="H165" t="n">
        <v>135.383</v>
      </c>
      <c r="I165" t="n">
        <v>132.502</v>
      </c>
      <c r="J165" t="n">
        <v>159.166</v>
      </c>
      <c r="K165" t="n">
        <v>151.221</v>
      </c>
      <c r="L165" t="n">
        <v>181.425</v>
      </c>
      <c r="M165" t="n">
        <v>150.203</v>
      </c>
      <c r="N165" t="n">
        <v>293.542</v>
      </c>
      <c r="O165" t="n">
        <v>223.731</v>
      </c>
      <c r="P165" t="n">
        <v>183.022</v>
      </c>
      <c r="Q165" t="n">
        <v>204.026</v>
      </c>
      <c r="R165" t="n">
        <v>189.761</v>
      </c>
      <c r="S165" t="n">
        <v>316.385</v>
      </c>
      <c r="T165" t="n">
        <v>203.582</v>
      </c>
      <c r="U165" t="n">
        <v>164.965</v>
      </c>
      <c r="V165" t="n">
        <v>160.553</v>
      </c>
      <c r="W165" t="n">
        <v>193.838</v>
      </c>
      <c r="X165" t="n">
        <v>395.798</v>
      </c>
      <c r="Y165" t="n">
        <v>476.935</v>
      </c>
      <c r="Z165" t="n">
        <v>525.0410000000001</v>
      </c>
      <c r="AA165" t="n">
        <v>485.494</v>
      </c>
      <c r="AB165" t="n">
        <v>264.938</v>
      </c>
      <c r="AC165" t="n">
        <v>271.33</v>
      </c>
      <c r="AD165" t="n">
        <v>425.301</v>
      </c>
      <c r="AE165" t="n">
        <v>332.26</v>
      </c>
      <c r="AF165" t="n">
        <v>246.214</v>
      </c>
      <c r="AG165" t="n">
        <v>249.112</v>
      </c>
      <c r="AH165" t="n">
        <v>249.092</v>
      </c>
      <c r="AI165" t="n">
        <v>581.204</v>
      </c>
      <c r="AJ165" t="n">
        <v>510.945</v>
      </c>
      <c r="AK165" t="n">
        <v>764.744</v>
      </c>
      <c r="AL165" t="n">
        <v>575.697</v>
      </c>
      <c r="AM165" t="n">
        <v>598.4</v>
      </c>
      <c r="AN165" t="n">
        <v>745.7859999999999</v>
      </c>
      <c r="AO165" t="n">
        <v>916.907</v>
      </c>
      <c r="AP165" t="n">
        <v>751.728</v>
      </c>
      <c r="AQ165" t="n">
        <v>884.16</v>
      </c>
      <c r="AR165" t="n">
        <v>1736.545</v>
      </c>
      <c r="AS165" t="n">
        <v>766.755</v>
      </c>
      <c r="AT165" t="n">
        <v>771.475</v>
      </c>
      <c r="AU165" t="n">
        <v>1181.066</v>
      </c>
      <c r="AV165" t="n">
        <v>1414.555</v>
      </c>
      <c r="AW165" t="n">
        <v>919.865</v>
      </c>
      <c r="AX165" t="n">
        <v>1149.333</v>
      </c>
      <c r="AY165" t="n">
        <v>1093.238</v>
      </c>
      <c r="AZ165" t="n">
        <v>1847.271</v>
      </c>
      <c r="BA165" t="n">
        <v>1941.587</v>
      </c>
      <c r="BB165" t="n">
        <v>1814.388</v>
      </c>
      <c r="BC165" t="n">
        <v>2511.495</v>
      </c>
      <c r="BD165" t="n">
        <v>2855.944</v>
      </c>
      <c r="BE165" t="n">
        <v>2558.375</v>
      </c>
      <c r="BF165" t="n">
        <v>2250.755</v>
      </c>
      <c r="BG165" t="n">
        <v>3486.372</v>
      </c>
      <c r="BH165" t="n">
        <v>2306.434</v>
      </c>
      <c r="BI165" t="n">
        <v>2601.697</v>
      </c>
      <c r="BJ165" t="n">
        <v>2897.523</v>
      </c>
      <c r="BK165" t="n">
        <v>2825.48</v>
      </c>
      <c r="BL165" t="n">
        <v>5721.979</v>
      </c>
      <c r="BM165" t="n">
        <v>4636.192</v>
      </c>
      <c r="BN165" t="n">
        <v>4918.537</v>
      </c>
      <c r="BO165" t="n">
        <v>4275.021</v>
      </c>
      <c r="BP165" t="n">
        <v>2943.032</v>
      </c>
      <c r="BQ165" t="n">
        <v>3033.04</v>
      </c>
      <c r="BR165" t="n">
        <v>4652.954</v>
      </c>
      <c r="BS165" t="n">
        <v>5112.608</v>
      </c>
      <c r="BT165" t="n">
        <v>3781.511</v>
      </c>
      <c r="BU165" t="n">
        <v>5321.222</v>
      </c>
      <c r="BV165" t="n">
        <v>4922.844</v>
      </c>
    </row>
    <row r="166">
      <c r="A166" t="inlineStr">
        <is>
          <t>Thunnus</t>
        </is>
      </c>
      <c r="B166" t="inlineStr">
        <is>
          <t>Tunas</t>
        </is>
      </c>
      <c r="C166" t="inlineStr">
        <is>
          <t>Large pelagics (&gt;=90 cm)</t>
        </is>
      </c>
      <c r="D166" t="inlineStr">
        <is>
          <t>Tuna &amp; billfishes</t>
        </is>
      </c>
      <c r="E166" t="n">
        <v>197.275</v>
      </c>
      <c r="F166" t="n">
        <v>75.679</v>
      </c>
      <c r="G166" t="n">
        <v>50.23</v>
      </c>
      <c r="H166" t="n">
        <v>83.80500000000001</v>
      </c>
      <c r="I166" t="n">
        <v>174.839</v>
      </c>
      <c r="J166" t="n">
        <v>191.162</v>
      </c>
      <c r="K166" t="n">
        <v>226.837</v>
      </c>
      <c r="L166" t="n">
        <v>286.123</v>
      </c>
      <c r="M166" t="n">
        <v>127.51</v>
      </c>
      <c r="N166" t="n">
        <v>92.44799999999999</v>
      </c>
      <c r="O166" t="n">
        <v>78.833</v>
      </c>
      <c r="P166" t="n">
        <v>243.202</v>
      </c>
      <c r="Q166" t="n">
        <v>302.507</v>
      </c>
      <c r="R166" t="n">
        <v>281.639</v>
      </c>
      <c r="S166" t="n">
        <v>491.405</v>
      </c>
      <c r="T166" t="n">
        <v>254.893</v>
      </c>
      <c r="U166" t="n">
        <v>209.819</v>
      </c>
      <c r="V166" t="n">
        <v>147.387</v>
      </c>
      <c r="W166" t="n">
        <v>243.209</v>
      </c>
      <c r="X166" t="n">
        <v>196.528</v>
      </c>
      <c r="Y166" t="n">
        <v>528.393</v>
      </c>
      <c r="Z166" t="n">
        <v>451.691</v>
      </c>
      <c r="AA166" t="n">
        <v>493.066</v>
      </c>
      <c r="AB166" t="n">
        <v>71.33499999999999</v>
      </c>
      <c r="AC166" t="n">
        <v>169.237</v>
      </c>
      <c r="AD166" t="n">
        <v>162.293</v>
      </c>
      <c r="AE166" t="n">
        <v>190.074</v>
      </c>
      <c r="AF166" t="n">
        <v>282.096</v>
      </c>
      <c r="AG166" t="n">
        <v>898.679</v>
      </c>
      <c r="AH166" t="n">
        <v>655.276</v>
      </c>
      <c r="AI166" t="n">
        <v>1287.848</v>
      </c>
      <c r="AJ166" t="n">
        <v>756.397</v>
      </c>
      <c r="AK166" t="n">
        <v>544.1660000000001</v>
      </c>
      <c r="AL166" t="n">
        <v>755.389</v>
      </c>
      <c r="AM166" t="n">
        <v>984.405</v>
      </c>
      <c r="AN166" t="n">
        <v>1576.533</v>
      </c>
      <c r="AO166" t="n">
        <v>1377.892</v>
      </c>
      <c r="AP166" t="n">
        <v>831.172</v>
      </c>
      <c r="AQ166" t="n">
        <v>311.86</v>
      </c>
      <c r="AR166" t="n">
        <v>1200.122</v>
      </c>
      <c r="AS166" t="n">
        <v>450.962</v>
      </c>
      <c r="AT166" t="n">
        <v>357.072</v>
      </c>
      <c r="AU166" t="n">
        <v>307.53</v>
      </c>
      <c r="AV166" t="n">
        <v>454.372</v>
      </c>
      <c r="AW166" t="n">
        <v>779.648</v>
      </c>
      <c r="AX166" t="n">
        <v>795.6900000000001</v>
      </c>
      <c r="AY166" t="n">
        <v>735.994</v>
      </c>
      <c r="AZ166" t="n">
        <v>1013.712</v>
      </c>
      <c r="BA166" t="n">
        <v>1406.173</v>
      </c>
      <c r="BB166" t="n">
        <v>1411.325</v>
      </c>
      <c r="BC166" t="n">
        <v>1675.43</v>
      </c>
      <c r="BD166" t="n">
        <v>1571.679</v>
      </c>
      <c r="BE166" t="n">
        <v>1546.417</v>
      </c>
      <c r="BF166" t="n">
        <v>1536.156</v>
      </c>
      <c r="BG166" t="n">
        <v>1527.306</v>
      </c>
      <c r="BH166" t="n">
        <v>4896.672</v>
      </c>
      <c r="BI166" t="n">
        <v>5106.494</v>
      </c>
      <c r="BJ166" t="n">
        <v>5649.877</v>
      </c>
      <c r="BK166" t="n">
        <v>5610.044</v>
      </c>
      <c r="BL166" t="n">
        <v>3145.255</v>
      </c>
      <c r="BM166" t="n">
        <v>3126.305</v>
      </c>
      <c r="BN166" t="n">
        <v>4168.203</v>
      </c>
      <c r="BO166" t="n">
        <v>4253.087</v>
      </c>
      <c r="BP166" t="n">
        <v>4333.168</v>
      </c>
      <c r="BQ166" t="n">
        <v>4655.3</v>
      </c>
      <c r="BR166" t="n">
        <v>4664.651</v>
      </c>
      <c r="BS166" t="n">
        <v>4774.271</v>
      </c>
      <c r="BT166" t="n">
        <v>4751.411</v>
      </c>
      <c r="BU166" t="n">
        <v>4510.052</v>
      </c>
      <c r="BV166" t="n">
        <v>4567.178</v>
      </c>
    </row>
    <row r="167">
      <c r="A167" t="inlineStr">
        <is>
          <t>Sergestidae</t>
        </is>
      </c>
      <c r="B167" t="inlineStr">
        <is>
          <t>Sergestid shrimp</t>
        </is>
      </c>
      <c r="C167" t="inlineStr">
        <is>
          <t>Shrimps</t>
        </is>
      </c>
      <c r="D167" t="inlineStr">
        <is>
          <t>Crustaceans</t>
        </is>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3354.597</v>
      </c>
      <c r="AI167" t="n">
        <v>4715.553</v>
      </c>
      <c r="AJ167" t="n">
        <v>4050.013</v>
      </c>
      <c r="AK167" t="n">
        <v>4120.35</v>
      </c>
      <c r="AL167" t="n">
        <v>6957.038</v>
      </c>
      <c r="AM167" t="n">
        <v>4441.335</v>
      </c>
      <c r="AN167" t="n">
        <v>4557.074</v>
      </c>
      <c r="AO167" t="n">
        <v>4777.237</v>
      </c>
      <c r="AP167" t="n">
        <v>4543.654</v>
      </c>
      <c r="AQ167" t="n">
        <v>4567.727</v>
      </c>
      <c r="AR167" t="n">
        <v>4198.01</v>
      </c>
      <c r="AS167" t="n">
        <v>4192.138</v>
      </c>
      <c r="AT167" t="n">
        <v>3592.034</v>
      </c>
      <c r="AU167" t="n">
        <v>4230.112</v>
      </c>
      <c r="AV167" t="n">
        <v>3441.315</v>
      </c>
      <c r="AW167" t="n">
        <v>3227.015</v>
      </c>
      <c r="AX167" t="n">
        <v>5415.509</v>
      </c>
      <c r="AY167" t="n">
        <v>4724.854</v>
      </c>
      <c r="AZ167" t="n">
        <v>3016.064</v>
      </c>
      <c r="BA167" t="n">
        <v>1384.964</v>
      </c>
      <c r="BB167" t="n">
        <v>1721.799</v>
      </c>
      <c r="BC167" t="n">
        <v>915.818</v>
      </c>
      <c r="BD167" t="n">
        <v>842.198</v>
      </c>
      <c r="BE167" t="n">
        <v>1130.144</v>
      </c>
      <c r="BF167" t="n">
        <v>920.317</v>
      </c>
      <c r="BG167" t="n">
        <v>761.8150000000001</v>
      </c>
      <c r="BH167" t="n">
        <v>1567.425</v>
      </c>
      <c r="BI167" t="n">
        <v>134.857</v>
      </c>
      <c r="BJ167" t="n">
        <v>86.071</v>
      </c>
      <c r="BK167" t="n">
        <v>229.32</v>
      </c>
      <c r="BL167" t="n">
        <v>2865.213</v>
      </c>
      <c r="BM167" t="n">
        <v>2157.136</v>
      </c>
      <c r="BN167" t="n">
        <v>182.952</v>
      </c>
      <c r="BO167" t="n">
        <v>117.996</v>
      </c>
      <c r="BP167" t="n">
        <v>64.65600000000001</v>
      </c>
      <c r="BQ167" t="n">
        <v>81.581</v>
      </c>
      <c r="BR167" t="n">
        <v>62.259</v>
      </c>
      <c r="BS167" t="n">
        <v>2.533</v>
      </c>
      <c r="BT167" t="n">
        <v>2.535</v>
      </c>
      <c r="BU167" t="n">
        <v>0</v>
      </c>
      <c r="BV167" t="n">
        <v>8.731999999999999</v>
      </c>
    </row>
    <row r="168">
      <c r="A168" t="inlineStr">
        <is>
          <t>Siganus</t>
        </is>
      </c>
      <c r="B168" t="inlineStr">
        <is>
          <t>Spinefoots</t>
        </is>
      </c>
      <c r="C168" t="inlineStr">
        <is>
          <t>Medium reef assoc. fish (30 - 89 cm)</t>
        </is>
      </c>
      <c r="D168" t="inlineStr">
        <is>
          <t>Perch-likes</t>
        </is>
      </c>
      <c r="E168" t="n">
        <v>21.766</v>
      </c>
      <c r="F168" t="n">
        <v>23.745</v>
      </c>
      <c r="G168" t="n">
        <v>21.766</v>
      </c>
      <c r="H168" t="n">
        <v>22.755</v>
      </c>
      <c r="I168" t="n">
        <v>21.766</v>
      </c>
      <c r="J168" t="n">
        <v>24.734</v>
      </c>
      <c r="K168" t="n">
        <v>23.745</v>
      </c>
      <c r="L168" t="n">
        <v>23.745</v>
      </c>
      <c r="M168" t="n">
        <v>26.713</v>
      </c>
      <c r="N168" t="n">
        <v>27.702</v>
      </c>
      <c r="O168" t="n">
        <v>31.659</v>
      </c>
      <c r="P168" t="n">
        <v>33.638</v>
      </c>
      <c r="Q168" t="n">
        <v>39.574</v>
      </c>
      <c r="R168" t="n">
        <v>43.532</v>
      </c>
      <c r="S168" t="n">
        <v>116.754</v>
      </c>
      <c r="T168" t="n">
        <v>154.354</v>
      </c>
      <c r="U168" t="n">
        <v>183.048</v>
      </c>
      <c r="V168" t="n">
        <v>225.595</v>
      </c>
      <c r="W168" t="n">
        <v>256.268</v>
      </c>
      <c r="X168" t="n">
        <v>251.321</v>
      </c>
      <c r="Y168" t="n">
        <v>308.712</v>
      </c>
      <c r="Z168" t="n">
        <v>545.2</v>
      </c>
      <c r="AA168" t="n">
        <v>681.75</v>
      </c>
      <c r="AB168" t="n">
        <v>966.721</v>
      </c>
      <c r="AC168" t="n">
        <v>1306.116</v>
      </c>
      <c r="AD168" t="n">
        <v>1411.002</v>
      </c>
      <c r="AE168" t="n">
        <v>1065.672</v>
      </c>
      <c r="AF168" t="n">
        <v>1289.122</v>
      </c>
      <c r="AG168" t="n">
        <v>1173.521</v>
      </c>
      <c r="AH168" t="n">
        <v>1102.278</v>
      </c>
      <c r="AI168" t="n">
        <v>1019.163</v>
      </c>
      <c r="AJ168" t="n">
        <v>1074.575</v>
      </c>
      <c r="AK168" t="n">
        <v>1134.935</v>
      </c>
      <c r="AL168" t="n">
        <v>1259.276</v>
      </c>
      <c r="AM168" t="n">
        <v>1175.504</v>
      </c>
      <c r="AN168" t="n">
        <v>2384.549</v>
      </c>
      <c r="AO168" t="n">
        <v>2526.057</v>
      </c>
      <c r="AP168" t="n">
        <v>2919.886</v>
      </c>
      <c r="AQ168" t="n">
        <v>2333.14</v>
      </c>
      <c r="AR168" t="n">
        <v>2767.503</v>
      </c>
      <c r="AS168" t="n">
        <v>2612.238</v>
      </c>
      <c r="AT168" t="n">
        <v>2065.052</v>
      </c>
      <c r="AU168" t="n">
        <v>2164</v>
      </c>
      <c r="AV168" t="n">
        <v>2107.601</v>
      </c>
      <c r="AW168" t="n">
        <v>2045.263</v>
      </c>
      <c r="AX168" t="n">
        <v>1732.585</v>
      </c>
      <c r="AY168" t="n">
        <v>1764.249</v>
      </c>
      <c r="AZ168" t="n">
        <v>1738.521</v>
      </c>
      <c r="BA168" t="n">
        <v>2098.555</v>
      </c>
      <c r="BB168" t="n">
        <v>1905.746</v>
      </c>
      <c r="BC168" t="n">
        <v>2231.29</v>
      </c>
      <c r="BD168" t="n">
        <v>2113.541</v>
      </c>
      <c r="BE168" t="n">
        <v>2339.144</v>
      </c>
      <c r="BF168" t="n">
        <v>2349.039</v>
      </c>
      <c r="BG168" t="n">
        <v>2425.229</v>
      </c>
      <c r="BH168" t="n">
        <v>1978.972</v>
      </c>
      <c r="BI168" t="n">
        <v>2373.083</v>
      </c>
      <c r="BJ168" t="n">
        <v>2337.166</v>
      </c>
      <c r="BK168" t="n">
        <v>2299.293</v>
      </c>
      <c r="BL168" t="n">
        <v>2066.243</v>
      </c>
      <c r="BM168" t="n">
        <v>2208.477</v>
      </c>
      <c r="BN168" t="n">
        <v>2078.175</v>
      </c>
      <c r="BO168" t="n">
        <v>2108.962</v>
      </c>
      <c r="BP168" t="n">
        <v>2055.802</v>
      </c>
      <c r="BQ168" t="n">
        <v>2180.948</v>
      </c>
      <c r="BR168" t="n">
        <v>2210.64</v>
      </c>
      <c r="BS168" t="n">
        <v>2373.47</v>
      </c>
      <c r="BT168" t="n">
        <v>2194.947</v>
      </c>
      <c r="BU168" t="n">
        <v>2014.484</v>
      </c>
      <c r="BV168" t="n">
        <v>2132.236</v>
      </c>
    </row>
    <row r="169">
      <c r="A169" t="inlineStr">
        <is>
          <t>Ilisha elongata</t>
        </is>
      </c>
      <c r="B169" t="inlineStr">
        <is>
          <t>Elongate ilisha</t>
        </is>
      </c>
      <c r="C169" t="inlineStr">
        <is>
          <t>Medium pelagics (30 - 89 cm)</t>
        </is>
      </c>
      <c r="D169" t="inlineStr">
        <is>
          <t>Herring-likes</t>
        </is>
      </c>
      <c r="E169" t="n">
        <v>0</v>
      </c>
      <c r="F169" t="n">
        <v>0</v>
      </c>
      <c r="G169" t="n">
        <v>0</v>
      </c>
      <c r="H169" t="n">
        <v>0</v>
      </c>
      <c r="I169" t="n">
        <v>0</v>
      </c>
      <c r="J169" t="n">
        <v>0</v>
      </c>
      <c r="K169" t="n">
        <v>0</v>
      </c>
      <c r="L169" t="n">
        <v>0</v>
      </c>
      <c r="M169" t="n">
        <v>0</v>
      </c>
      <c r="N169" t="n">
        <v>0</v>
      </c>
      <c r="O169" t="n">
        <v>0</v>
      </c>
      <c r="P169" t="n">
        <v>0</v>
      </c>
      <c r="Q169" t="n">
        <v>0</v>
      </c>
      <c r="R169" t="n">
        <v>0</v>
      </c>
      <c r="S169" t="n">
        <v>0</v>
      </c>
      <c r="T169" t="n">
        <v>50</v>
      </c>
      <c r="U169" t="n">
        <v>99</v>
      </c>
      <c r="V169" t="n">
        <v>175</v>
      </c>
      <c r="W169" t="n">
        <v>232</v>
      </c>
      <c r="X169" t="n">
        <v>268</v>
      </c>
      <c r="Y169" t="n">
        <v>282</v>
      </c>
      <c r="Z169" t="n">
        <v>419</v>
      </c>
      <c r="AA169" t="n">
        <v>478</v>
      </c>
      <c r="AB169" t="n">
        <v>642</v>
      </c>
      <c r="AC169" t="n">
        <v>958</v>
      </c>
      <c r="AD169" t="n">
        <v>1053</v>
      </c>
      <c r="AE169" t="n">
        <v>1132</v>
      </c>
      <c r="AF169" t="n">
        <v>1353.326</v>
      </c>
      <c r="AG169" t="n">
        <v>1221</v>
      </c>
      <c r="AH169" t="n">
        <v>1155</v>
      </c>
      <c r="AI169" t="n">
        <v>1021</v>
      </c>
      <c r="AJ169" t="n">
        <v>1074</v>
      </c>
      <c r="AK169" t="n">
        <v>1146</v>
      </c>
      <c r="AL169" t="n">
        <v>1261</v>
      </c>
      <c r="AM169" t="n">
        <v>1202</v>
      </c>
      <c r="AN169" t="n">
        <v>1282</v>
      </c>
      <c r="AO169" t="n">
        <v>1550</v>
      </c>
      <c r="AP169" t="n">
        <v>2080</v>
      </c>
      <c r="AQ169" t="n">
        <v>1656</v>
      </c>
      <c r="AR169" t="n">
        <v>1934</v>
      </c>
      <c r="AS169" t="n">
        <v>2231</v>
      </c>
      <c r="AT169" t="n">
        <v>1666</v>
      </c>
      <c r="AU169" t="n">
        <v>1693</v>
      </c>
      <c r="AV169" t="n">
        <v>1703</v>
      </c>
      <c r="AW169" t="n">
        <v>1653</v>
      </c>
      <c r="AX169" t="n">
        <v>1743</v>
      </c>
      <c r="AY169" t="n">
        <v>1787</v>
      </c>
      <c r="AZ169" t="n">
        <v>1745</v>
      </c>
      <c r="BA169" t="n">
        <v>2149</v>
      </c>
      <c r="BB169" t="n">
        <v>1932</v>
      </c>
      <c r="BC169" t="n">
        <v>2123</v>
      </c>
      <c r="BD169" t="n">
        <v>2019</v>
      </c>
      <c r="BE169" t="n">
        <v>2264</v>
      </c>
      <c r="BF169" t="n">
        <v>2237</v>
      </c>
      <c r="BG169" t="n">
        <v>2306</v>
      </c>
      <c r="BH169" t="n">
        <v>2459</v>
      </c>
      <c r="BI169" t="n">
        <v>2902</v>
      </c>
      <c r="BJ169" t="n">
        <v>2961</v>
      </c>
      <c r="BK169" t="n">
        <v>2939</v>
      </c>
      <c r="BL169" t="n">
        <v>2560</v>
      </c>
      <c r="BM169" t="n">
        <v>2696</v>
      </c>
      <c r="BN169" t="n">
        <v>2527.039</v>
      </c>
      <c r="BO169" t="n">
        <v>2563.598</v>
      </c>
      <c r="BP169" t="n">
        <v>2501.523</v>
      </c>
      <c r="BQ169" t="n">
        <v>2655.991</v>
      </c>
      <c r="BR169" t="n">
        <v>2692.449</v>
      </c>
      <c r="BS169" t="n">
        <v>2891.428</v>
      </c>
      <c r="BT169" t="n">
        <v>2673.905</v>
      </c>
      <c r="BU169" t="n">
        <v>2455.187</v>
      </c>
      <c r="BV169" t="n">
        <v>2937.03</v>
      </c>
    </row>
    <row r="170">
      <c r="A170" t="inlineStr">
        <is>
          <t>Plotosus</t>
        </is>
      </c>
      <c r="B170" t="inlineStr">
        <is>
          <t>Eel catfishes</t>
        </is>
      </c>
      <c r="C170" t="inlineStr">
        <is>
          <t>Medium reef assoc. fish (30 - 89 cm)</t>
        </is>
      </c>
      <c r="D170" t="inlineStr">
        <is>
          <t>Other fishes &amp; inverts</t>
        </is>
      </c>
      <c r="E170" t="n">
        <v>197.88</v>
      </c>
      <c r="F170" t="n">
        <v>196.89</v>
      </c>
      <c r="G170" t="n">
        <v>191.943</v>
      </c>
      <c r="H170" t="n">
        <v>187.986</v>
      </c>
      <c r="I170" t="n">
        <v>186.996</v>
      </c>
      <c r="J170" t="n">
        <v>204.805</v>
      </c>
      <c r="K170" t="n">
        <v>190.954</v>
      </c>
      <c r="L170" t="n">
        <v>196.89</v>
      </c>
      <c r="M170" t="n">
        <v>221.625</v>
      </c>
      <c r="N170" t="n">
        <v>232.509</v>
      </c>
      <c r="O170" t="n">
        <v>261.201</v>
      </c>
      <c r="P170" t="n">
        <v>276.042</v>
      </c>
      <c r="Q170" t="n">
        <v>325.512</v>
      </c>
      <c r="R170" t="n">
        <v>363.109</v>
      </c>
      <c r="S170" t="n">
        <v>400.709</v>
      </c>
      <c r="T170" t="n">
        <v>430.391</v>
      </c>
      <c r="U170" t="n">
        <v>453.147</v>
      </c>
      <c r="V170" t="n">
        <v>541.203</v>
      </c>
      <c r="W170" t="n">
        <v>595.62</v>
      </c>
      <c r="X170" t="n">
        <v>557.033</v>
      </c>
      <c r="Y170" t="n">
        <v>539.225</v>
      </c>
      <c r="Z170" t="n">
        <v>557.038</v>
      </c>
      <c r="AA170" t="n">
        <v>526.369</v>
      </c>
      <c r="AB170" t="n">
        <v>580.788</v>
      </c>
      <c r="AC170" t="n">
        <v>561.002</v>
      </c>
      <c r="AD170" t="n">
        <v>536.268</v>
      </c>
      <c r="AE170" t="n">
        <v>1773.119</v>
      </c>
      <c r="AF170" t="n">
        <v>2015.807</v>
      </c>
      <c r="AG170" t="n">
        <v>2423.154</v>
      </c>
      <c r="AH170" t="n">
        <v>2505.285</v>
      </c>
      <c r="AI170" t="n">
        <v>2844.651</v>
      </c>
      <c r="AJ170" t="n">
        <v>2604.224</v>
      </c>
      <c r="AK170" t="n">
        <v>2540.905</v>
      </c>
      <c r="AL170" t="n">
        <v>2466.691</v>
      </c>
      <c r="AM170" t="n">
        <v>2335.103</v>
      </c>
      <c r="AN170" t="n">
        <v>1596.989</v>
      </c>
      <c r="AO170" t="n">
        <v>1476.538</v>
      </c>
      <c r="AP170" t="n">
        <v>1372.389</v>
      </c>
      <c r="AQ170" t="n">
        <v>1147.676</v>
      </c>
      <c r="AR170" t="n">
        <v>1313.898</v>
      </c>
      <c r="AS170" t="n">
        <v>1379.304</v>
      </c>
      <c r="AT170" t="n">
        <v>1255.627</v>
      </c>
      <c r="AU170" t="n">
        <v>1438.678</v>
      </c>
      <c r="AV170" t="n">
        <v>1261.965</v>
      </c>
      <c r="AW170" t="n">
        <v>1223.291</v>
      </c>
      <c r="AX170" t="n">
        <v>1377.522</v>
      </c>
      <c r="AY170" t="n">
        <v>1251.024</v>
      </c>
      <c r="AZ170" t="n">
        <v>1382.257</v>
      </c>
      <c r="BA170" t="n">
        <v>1097.312</v>
      </c>
      <c r="BB170" t="n">
        <v>1265.37</v>
      </c>
      <c r="BC170" t="n">
        <v>1889.832</v>
      </c>
      <c r="BD170" t="n">
        <v>1802.815</v>
      </c>
      <c r="BE170" t="n">
        <v>1740.962</v>
      </c>
      <c r="BF170" t="n">
        <v>1949.199</v>
      </c>
      <c r="BG170" t="n">
        <v>2106.518</v>
      </c>
      <c r="BH170" t="n">
        <v>1480.194</v>
      </c>
      <c r="BI170" t="n">
        <v>1570.817</v>
      </c>
      <c r="BJ170" t="n">
        <v>1816.367</v>
      </c>
      <c r="BK170" t="n">
        <v>1844.304</v>
      </c>
      <c r="BL170" t="n">
        <v>2439.978</v>
      </c>
      <c r="BM170" t="n">
        <v>2395.455</v>
      </c>
      <c r="BN170" t="n">
        <v>2224.41</v>
      </c>
      <c r="BO170" t="n">
        <v>2254.288</v>
      </c>
      <c r="BP170" t="n">
        <v>2206.385</v>
      </c>
      <c r="BQ170" t="n">
        <v>2348.304</v>
      </c>
      <c r="BR170" t="n">
        <v>2381.387</v>
      </c>
      <c r="BS170" t="n">
        <v>2559.11</v>
      </c>
      <c r="BT170" t="n">
        <v>2366.481</v>
      </c>
      <c r="BU170" t="n">
        <v>2175.041</v>
      </c>
      <c r="BV170" t="n">
        <v>2270.164</v>
      </c>
    </row>
    <row r="171">
      <c r="A171" t="inlineStr">
        <is>
          <t>Caranx</t>
        </is>
      </c>
      <c r="B171" t="inlineStr">
        <is>
          <t>Jacks</t>
        </is>
      </c>
      <c r="C171" t="inlineStr">
        <is>
          <t>Medium reef assoc. fish (30 - 89 cm)</t>
        </is>
      </c>
      <c r="D171" t="inlineStr">
        <is>
          <t>Perch-likes</t>
        </is>
      </c>
      <c r="E171" t="n">
        <v>24.631</v>
      </c>
      <c r="F171" t="n">
        <v>27.733</v>
      </c>
      <c r="G171" t="n">
        <v>30.875</v>
      </c>
      <c r="H171" t="n">
        <v>53.668</v>
      </c>
      <c r="I171" t="n">
        <v>58.019</v>
      </c>
      <c r="J171" t="n">
        <v>58.952</v>
      </c>
      <c r="K171" t="n">
        <v>39.553</v>
      </c>
      <c r="L171" t="n">
        <v>39.964</v>
      </c>
      <c r="M171" t="n">
        <v>38.101</v>
      </c>
      <c r="N171" t="n">
        <v>42.371</v>
      </c>
      <c r="O171" t="n">
        <v>42.185</v>
      </c>
      <c r="P171" t="n">
        <v>56.785</v>
      </c>
      <c r="Q171" t="n">
        <v>93.818</v>
      </c>
      <c r="R171" t="n">
        <v>142.467</v>
      </c>
      <c r="S171" t="n">
        <v>199.775</v>
      </c>
      <c r="T171" t="n">
        <v>286.495</v>
      </c>
      <c r="U171" t="n">
        <v>386.822</v>
      </c>
      <c r="V171" t="n">
        <v>436.315</v>
      </c>
      <c r="W171" t="n">
        <v>480.421</v>
      </c>
      <c r="X171" t="n">
        <v>550.691</v>
      </c>
      <c r="Y171" t="n">
        <v>621.501</v>
      </c>
      <c r="Z171" t="n">
        <v>656.773</v>
      </c>
      <c r="AA171" t="n">
        <v>676.601</v>
      </c>
      <c r="AB171" t="n">
        <v>788.383</v>
      </c>
      <c r="AC171" t="n">
        <v>738.873</v>
      </c>
      <c r="AD171" t="n">
        <v>754.0839999999999</v>
      </c>
      <c r="AE171" t="n">
        <v>868.383</v>
      </c>
      <c r="AF171" t="n">
        <v>1039.184</v>
      </c>
      <c r="AG171" t="n">
        <v>1339.086</v>
      </c>
      <c r="AH171" t="n">
        <v>1192.069</v>
      </c>
      <c r="AI171" t="n">
        <v>950.965</v>
      </c>
      <c r="AJ171" t="n">
        <v>1045.274</v>
      </c>
      <c r="AK171" t="n">
        <v>1176.098</v>
      </c>
      <c r="AL171" t="n">
        <v>1454.281</v>
      </c>
      <c r="AM171" t="n">
        <v>1466.703</v>
      </c>
      <c r="AN171" t="n">
        <v>1167.021</v>
      </c>
      <c r="AO171" t="n">
        <v>1206.956</v>
      </c>
      <c r="AP171" t="n">
        <v>1315.581</v>
      </c>
      <c r="AQ171" t="n">
        <v>1581.794</v>
      </c>
      <c r="AR171" t="n">
        <v>1730.087</v>
      </c>
      <c r="AS171" t="n">
        <v>1650.568</v>
      </c>
      <c r="AT171" t="n">
        <v>1779.697</v>
      </c>
      <c r="AU171" t="n">
        <v>1902.721</v>
      </c>
      <c r="AV171" t="n">
        <v>2130.076</v>
      </c>
      <c r="AW171" t="n">
        <v>1891.267</v>
      </c>
      <c r="AX171" t="n">
        <v>2002.782</v>
      </c>
      <c r="AY171" t="n">
        <v>1911.805</v>
      </c>
      <c r="AZ171" t="n">
        <v>1780.214</v>
      </c>
      <c r="BA171" t="n">
        <v>1791.294</v>
      </c>
      <c r="BB171" t="n">
        <v>1753.992</v>
      </c>
      <c r="BC171" t="n">
        <v>1650.542</v>
      </c>
      <c r="BD171" t="n">
        <v>1751.705</v>
      </c>
      <c r="BE171" t="n">
        <v>2022.256</v>
      </c>
      <c r="BF171" t="n">
        <v>1776.849</v>
      </c>
      <c r="BG171" t="n">
        <v>1463.625</v>
      </c>
      <c r="BH171" t="n">
        <v>1365.538</v>
      </c>
      <c r="BI171" t="n">
        <v>1902.346</v>
      </c>
      <c r="BJ171" t="n">
        <v>2060.942</v>
      </c>
      <c r="BK171" t="n">
        <v>2849.333</v>
      </c>
      <c r="BL171" t="n">
        <v>2202.894</v>
      </c>
      <c r="BM171" t="n">
        <v>2333.431</v>
      </c>
      <c r="BN171" t="n">
        <v>2644.722</v>
      </c>
      <c r="BO171" t="n">
        <v>2695.617</v>
      </c>
      <c r="BP171" t="n">
        <v>2694.814</v>
      </c>
      <c r="BQ171" t="n">
        <v>2780.764</v>
      </c>
      <c r="BR171" t="n">
        <v>3242.399</v>
      </c>
      <c r="BS171" t="n">
        <v>3169.816</v>
      </c>
      <c r="BT171" t="n">
        <v>3680.522</v>
      </c>
      <c r="BU171" t="n">
        <v>3096.557</v>
      </c>
      <c r="BV171" t="n">
        <v>3355.279</v>
      </c>
    </row>
    <row r="172">
      <c r="A172" t="inlineStr">
        <is>
          <t>Carangoides</t>
        </is>
      </c>
      <c r="B172" t="inlineStr">
        <is>
          <t>Trevallies</t>
        </is>
      </c>
      <c r="C172" t="inlineStr">
        <is>
          <t>Medium reef assoc. fish (30 - 89 cm)</t>
        </is>
      </c>
      <c r="D172" t="inlineStr">
        <is>
          <t>Perch-likes</t>
        </is>
      </c>
      <c r="E172" t="n">
        <v>55.666</v>
      </c>
      <c r="F172" t="n">
        <v>54.672</v>
      </c>
      <c r="G172" t="n">
        <v>52.684</v>
      </c>
      <c r="H172" t="n">
        <v>51.69</v>
      </c>
      <c r="I172" t="n">
        <v>50.696</v>
      </c>
      <c r="J172" t="n">
        <v>55.666</v>
      </c>
      <c r="K172" t="n">
        <v>50.696</v>
      </c>
      <c r="L172" t="n">
        <v>53.678</v>
      </c>
      <c r="M172" t="n">
        <v>60.636</v>
      </c>
      <c r="N172" t="n">
        <v>63.618</v>
      </c>
      <c r="O172" t="n">
        <v>72.56399999999999</v>
      </c>
      <c r="P172" t="n">
        <v>76.54000000000001</v>
      </c>
      <c r="Q172" t="n">
        <v>89.46299999999999</v>
      </c>
      <c r="R172" t="n">
        <v>98.40900000000001</v>
      </c>
      <c r="S172" t="n">
        <v>135.257</v>
      </c>
      <c r="T172" t="n">
        <v>147.194</v>
      </c>
      <c r="U172" t="n">
        <v>154.157</v>
      </c>
      <c r="V172" t="n">
        <v>175.02</v>
      </c>
      <c r="W172" t="n">
        <v>188.934</v>
      </c>
      <c r="X172" t="n">
        <v>173.019</v>
      </c>
      <c r="Y172" t="n">
        <v>175.022</v>
      </c>
      <c r="Z172" t="n">
        <v>228.828</v>
      </c>
      <c r="AA172" t="n">
        <v>241.808</v>
      </c>
      <c r="AB172" t="n">
        <v>278.647</v>
      </c>
      <c r="AC172" t="n">
        <v>293.611</v>
      </c>
      <c r="AD172" t="n">
        <v>293.631</v>
      </c>
      <c r="AE172" t="n">
        <v>2361.871</v>
      </c>
      <c r="AF172" t="n">
        <v>1986.332</v>
      </c>
      <c r="AG172" t="n">
        <v>2453.366</v>
      </c>
      <c r="AH172" t="n">
        <v>2647.636</v>
      </c>
      <c r="AI172" t="n">
        <v>4560.336</v>
      </c>
      <c r="AJ172" t="n">
        <v>4414.771</v>
      </c>
      <c r="AK172" t="n">
        <v>4508.535</v>
      </c>
      <c r="AL172" t="n">
        <v>4208.345</v>
      </c>
      <c r="AM172" t="n">
        <v>4259.234</v>
      </c>
      <c r="AN172" t="n">
        <v>3191.021</v>
      </c>
      <c r="AO172" t="n">
        <v>2938.033</v>
      </c>
      <c r="AP172" t="n">
        <v>2834.67</v>
      </c>
      <c r="AQ172" t="n">
        <v>2419.396</v>
      </c>
      <c r="AR172" t="n">
        <v>2631.167</v>
      </c>
      <c r="AS172" t="n">
        <v>4582.844</v>
      </c>
      <c r="AT172" t="n">
        <v>4412.413</v>
      </c>
      <c r="AU172" t="n">
        <v>5084.609</v>
      </c>
      <c r="AV172" t="n">
        <v>4479.332</v>
      </c>
      <c r="AW172" t="n">
        <v>4335.74</v>
      </c>
      <c r="AX172" t="n">
        <v>1656.466</v>
      </c>
      <c r="AY172" t="n">
        <v>1546.769</v>
      </c>
      <c r="AZ172" t="n">
        <v>1513.838</v>
      </c>
      <c r="BA172" t="n">
        <v>1529.831</v>
      </c>
      <c r="BB172" t="n">
        <v>1474.955</v>
      </c>
      <c r="BC172" t="n">
        <v>1229.678</v>
      </c>
      <c r="BD172" t="n">
        <v>1102.02</v>
      </c>
      <c r="BE172" t="n">
        <v>1095.038</v>
      </c>
      <c r="BF172" t="n">
        <v>1277.546</v>
      </c>
      <c r="BG172" t="n">
        <v>1345.365</v>
      </c>
      <c r="BH172" t="n">
        <v>270.247</v>
      </c>
      <c r="BI172" t="n">
        <v>284.209</v>
      </c>
      <c r="BJ172" t="n">
        <v>332.078</v>
      </c>
      <c r="BK172" t="n">
        <v>328.088</v>
      </c>
      <c r="BL172" t="n">
        <v>472.698</v>
      </c>
      <c r="BM172" t="n">
        <v>472.698</v>
      </c>
      <c r="BN172" t="n">
        <v>439.724</v>
      </c>
      <c r="BO172" t="n">
        <v>445.712</v>
      </c>
      <c r="BP172" t="n">
        <v>436.004</v>
      </c>
      <c r="BQ172" t="n">
        <v>463.847</v>
      </c>
      <c r="BR172" t="n">
        <v>470.352</v>
      </c>
      <c r="BS172" t="n">
        <v>505.393</v>
      </c>
      <c r="BT172" t="n">
        <v>467.355</v>
      </c>
      <c r="BU172" t="n">
        <v>429.598</v>
      </c>
      <c r="BV172" t="n">
        <v>448.347</v>
      </c>
    </row>
    <row r="173">
      <c r="A173" t="inlineStr">
        <is>
          <t>Penaeus indicus</t>
        </is>
      </c>
      <c r="B173" t="inlineStr">
        <is>
          <t>Indian white prawn</t>
        </is>
      </c>
      <c r="C173" t="inlineStr">
        <is>
          <t>Shrimps</t>
        </is>
      </c>
      <c r="D173" t="inlineStr">
        <is>
          <t>Crustaceans</t>
        </is>
      </c>
      <c r="E173" t="n">
        <v>472.685</v>
      </c>
      <c r="F173" t="n">
        <v>468.744</v>
      </c>
      <c r="G173" t="n">
        <v>480.729</v>
      </c>
      <c r="H173" t="n">
        <v>492.664</v>
      </c>
      <c r="I173" t="n">
        <v>542.021</v>
      </c>
      <c r="J173" t="n">
        <v>525.726</v>
      </c>
      <c r="K173" t="n">
        <v>574.9640000000001</v>
      </c>
      <c r="L173" t="n">
        <v>558.53</v>
      </c>
      <c r="M173" t="n">
        <v>635.749</v>
      </c>
      <c r="N173" t="n">
        <v>619.177</v>
      </c>
      <c r="O173" t="n">
        <v>641.985</v>
      </c>
      <c r="P173" t="n">
        <v>648.346</v>
      </c>
      <c r="Q173" t="n">
        <v>760.17</v>
      </c>
      <c r="R173" t="n">
        <v>709.279</v>
      </c>
      <c r="S173" t="n">
        <v>948.854</v>
      </c>
      <c r="T173" t="n">
        <v>747.915</v>
      </c>
      <c r="U173" t="n">
        <v>798.881</v>
      </c>
      <c r="V173" t="n">
        <v>831.023</v>
      </c>
      <c r="W173" t="n">
        <v>750.606</v>
      </c>
      <c r="X173" t="n">
        <v>885.63</v>
      </c>
      <c r="Y173" t="n">
        <v>831.563</v>
      </c>
      <c r="Z173" t="n">
        <v>818.103</v>
      </c>
      <c r="AA173" t="n">
        <v>868.566</v>
      </c>
      <c r="AB173" t="n">
        <v>834.562</v>
      </c>
      <c r="AC173" t="n">
        <v>1035.247</v>
      </c>
      <c r="AD173" t="n">
        <v>1110.738</v>
      </c>
      <c r="AE173" t="n">
        <v>1219.314</v>
      </c>
      <c r="AF173" t="n">
        <v>1121.54</v>
      </c>
      <c r="AG173" t="n">
        <v>1236.56</v>
      </c>
      <c r="AH173" t="n">
        <v>1069.19</v>
      </c>
      <c r="AI173" t="n">
        <v>1019.147</v>
      </c>
      <c r="AJ173" t="n">
        <v>1227.466</v>
      </c>
      <c r="AK173" t="n">
        <v>1493.032</v>
      </c>
      <c r="AL173" t="n">
        <v>1275.35</v>
      </c>
      <c r="AM173" t="n">
        <v>1253.084</v>
      </c>
      <c r="AN173" t="n">
        <v>1017.451</v>
      </c>
      <c r="AO173" t="n">
        <v>1010.488</v>
      </c>
      <c r="AP173" t="n">
        <v>1023.984</v>
      </c>
      <c r="AQ173" t="n">
        <v>1048.311</v>
      </c>
      <c r="AR173" t="n">
        <v>1044.062</v>
      </c>
      <c r="AS173" t="n">
        <v>1030.732</v>
      </c>
      <c r="AT173" t="n">
        <v>1114.007</v>
      </c>
      <c r="AU173" t="n">
        <v>1285.938</v>
      </c>
      <c r="AV173" t="n">
        <v>1269.791</v>
      </c>
      <c r="AW173" t="n">
        <v>883.6369999999999</v>
      </c>
      <c r="AX173" t="n">
        <v>1250.903</v>
      </c>
      <c r="AY173" t="n">
        <v>1157.468</v>
      </c>
      <c r="AZ173" t="n">
        <v>1151.451</v>
      </c>
      <c r="BA173" t="n">
        <v>1284.292</v>
      </c>
      <c r="BB173" t="n">
        <v>1033.485</v>
      </c>
      <c r="BC173" t="n">
        <v>1420.913</v>
      </c>
      <c r="BD173" t="n">
        <v>1026.118</v>
      </c>
      <c r="BE173" t="n">
        <v>998.908</v>
      </c>
      <c r="BF173" t="n">
        <v>1763.241</v>
      </c>
      <c r="BG173" t="n">
        <v>1827.459</v>
      </c>
      <c r="BH173" t="n">
        <v>851.2190000000001</v>
      </c>
      <c r="BI173" t="n">
        <v>1347.859</v>
      </c>
      <c r="BJ173" t="n">
        <v>1420.751</v>
      </c>
      <c r="BK173" t="n">
        <v>1645.467</v>
      </c>
      <c r="BL173" t="n">
        <v>1789.802</v>
      </c>
      <c r="BM173" t="n">
        <v>2049.227</v>
      </c>
      <c r="BN173" t="n">
        <v>1701.064</v>
      </c>
      <c r="BO173" t="n">
        <v>1944.701</v>
      </c>
      <c r="BP173" t="n">
        <v>2311.959</v>
      </c>
      <c r="BQ173" t="n">
        <v>3556.365</v>
      </c>
      <c r="BR173" t="n">
        <v>3424.205</v>
      </c>
      <c r="BS173" t="n">
        <v>4064.917</v>
      </c>
      <c r="BT173" t="n">
        <v>3361.449</v>
      </c>
      <c r="BU173" t="n">
        <v>3426.417</v>
      </c>
      <c r="BV173" t="n">
        <v>3484.889</v>
      </c>
    </row>
    <row r="174">
      <c r="A174" t="inlineStr">
        <is>
          <t>Gudusia chapra</t>
        </is>
      </c>
      <c r="B174" t="inlineStr">
        <is>
          <t>Indian river shad</t>
        </is>
      </c>
      <c r="C174" t="inlineStr">
        <is>
          <t>Small pelagics (&lt;30 cm)</t>
        </is>
      </c>
      <c r="D174" t="inlineStr">
        <is>
          <t>Herring-likes</t>
        </is>
      </c>
      <c r="E174" t="n">
        <v>4989.959</v>
      </c>
      <c r="F174" t="n">
        <v>579.071</v>
      </c>
      <c r="G174" t="n">
        <v>582.658</v>
      </c>
      <c r="H174" t="n">
        <v>5004.449</v>
      </c>
      <c r="I174" t="n">
        <v>589.6079999999999</v>
      </c>
      <c r="J174" t="n">
        <v>592.9690000000001</v>
      </c>
      <c r="K174" t="n">
        <v>596.2380000000001</v>
      </c>
      <c r="L174" t="n">
        <v>599.4059999999999</v>
      </c>
      <c r="M174" t="n">
        <v>602.491</v>
      </c>
      <c r="N174" t="n">
        <v>605.471</v>
      </c>
      <c r="O174" t="n">
        <v>623.914</v>
      </c>
      <c r="P174" t="n">
        <v>658.37</v>
      </c>
      <c r="Q174" t="n">
        <v>657.503</v>
      </c>
      <c r="R174" t="n">
        <v>664.828</v>
      </c>
      <c r="S174" t="n">
        <v>672.091</v>
      </c>
      <c r="T174" t="n">
        <v>679.271</v>
      </c>
      <c r="U174" t="n">
        <v>684.91</v>
      </c>
      <c r="V174" t="n">
        <v>690.439</v>
      </c>
      <c r="W174" t="n">
        <v>695.827</v>
      </c>
      <c r="X174" t="n">
        <v>701.078</v>
      </c>
      <c r="Y174" t="n">
        <v>691.181</v>
      </c>
      <c r="Z174" t="n">
        <v>711.294</v>
      </c>
      <c r="AA174" t="n">
        <v>716.245</v>
      </c>
      <c r="AB174" t="n">
        <v>721.023</v>
      </c>
      <c r="AC174" t="n">
        <v>739.22</v>
      </c>
      <c r="AD174" t="n">
        <v>728.101</v>
      </c>
      <c r="AE174" t="n">
        <v>754.0309999999999</v>
      </c>
      <c r="AF174" t="n">
        <v>756.048</v>
      </c>
      <c r="AG174" t="n">
        <v>762.268</v>
      </c>
      <c r="AH174" t="n">
        <v>761.884</v>
      </c>
      <c r="AI174" t="n">
        <v>762.1420000000001</v>
      </c>
      <c r="AJ174" t="n">
        <v>761.232</v>
      </c>
      <c r="AK174" t="n">
        <v>764.424</v>
      </c>
      <c r="AL174" t="n">
        <v>762.385</v>
      </c>
      <c r="AM174" t="n">
        <v>759.994</v>
      </c>
      <c r="AN174" t="n">
        <v>781.167</v>
      </c>
      <c r="AO174" t="n">
        <v>754.244</v>
      </c>
      <c r="AP174" t="n">
        <v>750.772</v>
      </c>
      <c r="AQ174" t="n">
        <v>758.567</v>
      </c>
      <c r="AR174" t="n">
        <v>742.702</v>
      </c>
      <c r="AS174" t="n">
        <v>759.006</v>
      </c>
      <c r="AT174" t="n">
        <v>761.785</v>
      </c>
      <c r="AU174" t="n">
        <v>763.927</v>
      </c>
      <c r="AV174" t="n">
        <v>765.432</v>
      </c>
      <c r="AW174" t="n">
        <v>766.301</v>
      </c>
      <c r="AX174" t="n">
        <v>766.533</v>
      </c>
      <c r="AY174" t="n">
        <v>766.129</v>
      </c>
      <c r="AZ174" t="n">
        <v>765.088</v>
      </c>
      <c r="BA174" t="n">
        <v>763.4109999999999</v>
      </c>
      <c r="BB174" t="n">
        <v>761.098</v>
      </c>
      <c r="BC174" t="n">
        <v>758.147</v>
      </c>
      <c r="BD174" t="n">
        <v>761.461</v>
      </c>
      <c r="BE174" t="n">
        <v>763.819</v>
      </c>
      <c r="BF174" t="n">
        <v>765.22</v>
      </c>
      <c r="BG174" t="n">
        <v>765.663</v>
      </c>
      <c r="BH174" t="n">
        <v>765.148</v>
      </c>
      <c r="BI174" t="n">
        <v>763.675</v>
      </c>
      <c r="BJ174" t="n">
        <v>761.245</v>
      </c>
      <c r="BK174" t="n">
        <v>757.856</v>
      </c>
      <c r="BL174" t="n">
        <v>775.072</v>
      </c>
      <c r="BM174" t="n">
        <v>792.29</v>
      </c>
      <c r="BN174" t="n">
        <v>2935.543</v>
      </c>
      <c r="BO174" t="n">
        <v>2970.978</v>
      </c>
      <c r="BP174" t="n">
        <v>3007.336</v>
      </c>
      <c r="BQ174" t="n">
        <v>3044.079</v>
      </c>
      <c r="BR174" t="n">
        <v>3070.54</v>
      </c>
      <c r="BS174" t="n">
        <v>3086.28</v>
      </c>
      <c r="BT174" t="n">
        <v>3091.235</v>
      </c>
      <c r="BU174" t="n">
        <v>3091.235</v>
      </c>
      <c r="BV174" t="n">
        <v>3091.235</v>
      </c>
    </row>
    <row r="175">
      <c r="A175" t="inlineStr">
        <is>
          <t>Portunus</t>
        </is>
      </c>
      <c r="B175" t="inlineStr">
        <is>
          <t>Swimmer crabs</t>
        </is>
      </c>
      <c r="C175" t="inlineStr">
        <is>
          <t>Lobsters, crabs</t>
        </is>
      </c>
      <c r="D175" t="inlineStr">
        <is>
          <t>Crustaceans</t>
        </is>
      </c>
      <c r="E175" t="n">
        <v>1252.122</v>
      </c>
      <c r="F175" t="n">
        <v>1261.144</v>
      </c>
      <c r="G175" t="n">
        <v>1268.996</v>
      </c>
      <c r="H175" t="n">
        <v>1278.455</v>
      </c>
      <c r="I175" t="n">
        <v>1288.754</v>
      </c>
      <c r="J175" t="n">
        <v>1293.691</v>
      </c>
      <c r="K175" t="n">
        <v>1297.864</v>
      </c>
      <c r="L175" t="n">
        <v>1305.091</v>
      </c>
      <c r="M175" t="n">
        <v>1309.112</v>
      </c>
      <c r="N175" t="n">
        <v>1313.726</v>
      </c>
      <c r="O175" t="n">
        <v>1295.009</v>
      </c>
      <c r="P175" t="n">
        <v>1299.121</v>
      </c>
      <c r="Q175" t="n">
        <v>1301.561</v>
      </c>
      <c r="R175" t="n">
        <v>1302.641</v>
      </c>
      <c r="S175" t="n">
        <v>1302.784</v>
      </c>
      <c r="T175" t="n">
        <v>1302.231</v>
      </c>
      <c r="U175" t="n">
        <v>1301.005</v>
      </c>
      <c r="V175" t="n">
        <v>1298.873</v>
      </c>
      <c r="W175" t="n">
        <v>1295.499</v>
      </c>
      <c r="X175" t="n">
        <v>1290.464</v>
      </c>
      <c r="Y175" t="n">
        <v>1283.487</v>
      </c>
      <c r="Z175" t="n">
        <v>1274.463</v>
      </c>
      <c r="AA175" t="n">
        <v>1263.461</v>
      </c>
      <c r="AB175" t="n">
        <v>1250.593</v>
      </c>
      <c r="AC175" t="n">
        <v>1236.022</v>
      </c>
      <c r="AD175" t="n">
        <v>1219.839</v>
      </c>
      <c r="AE175" t="n">
        <v>1202.105</v>
      </c>
      <c r="AF175" t="n">
        <v>1182.726</v>
      </c>
      <c r="AG175" t="n">
        <v>1161.471</v>
      </c>
      <c r="AH175" t="n">
        <v>1138.065</v>
      </c>
      <c r="AI175" t="n">
        <v>1112.385</v>
      </c>
      <c r="AJ175" t="n">
        <v>1098.068</v>
      </c>
      <c r="AK175" t="n">
        <v>1076.865</v>
      </c>
      <c r="AL175" t="n">
        <v>1054.199</v>
      </c>
      <c r="AM175" t="n">
        <v>1030.529</v>
      </c>
      <c r="AN175" t="n">
        <v>1006.135</v>
      </c>
      <c r="AO175" t="n">
        <v>981.032</v>
      </c>
      <c r="AP175" t="n">
        <v>995.374</v>
      </c>
      <c r="AQ175" t="n">
        <v>1009.821</v>
      </c>
      <c r="AR175" t="n">
        <v>1024.166</v>
      </c>
      <c r="AS175" t="n">
        <v>1038.231</v>
      </c>
      <c r="AT175" t="n">
        <v>1052</v>
      </c>
      <c r="AU175" t="n">
        <v>1065.451</v>
      </c>
      <c r="AV175" t="n">
        <v>1078.401</v>
      </c>
      <c r="AW175" t="n">
        <v>1090.628</v>
      </c>
      <c r="AX175" t="n">
        <v>1101.97</v>
      </c>
      <c r="AY175" t="n">
        <v>1112.38</v>
      </c>
      <c r="AZ175" t="n">
        <v>1121.898</v>
      </c>
      <c r="BA175" t="n">
        <v>1130.579</v>
      </c>
      <c r="BB175" t="n">
        <v>1138.526</v>
      </c>
      <c r="BC175" t="n">
        <v>1145.84</v>
      </c>
      <c r="BD175" t="n">
        <v>1151.998</v>
      </c>
      <c r="BE175" t="n">
        <v>1160.662</v>
      </c>
      <c r="BF175" t="n">
        <v>1177.199</v>
      </c>
      <c r="BG175" t="n">
        <v>1196.039</v>
      </c>
      <c r="BH175" t="n">
        <v>639.019</v>
      </c>
      <c r="BI175" t="n">
        <v>1224.334</v>
      </c>
      <c r="BJ175" t="n">
        <v>1233.302</v>
      </c>
      <c r="BK175" t="n">
        <v>1242.534</v>
      </c>
      <c r="BL175" t="n">
        <v>1149.213</v>
      </c>
      <c r="BM175" t="n">
        <v>982.353</v>
      </c>
      <c r="BN175" t="n">
        <v>1103.739</v>
      </c>
      <c r="BO175" t="n">
        <v>705.785</v>
      </c>
      <c r="BP175" t="n">
        <v>692.484</v>
      </c>
      <c r="BQ175" t="n">
        <v>558.931</v>
      </c>
      <c r="BR175" t="n">
        <v>821.921</v>
      </c>
      <c r="BS175" t="n">
        <v>802.393</v>
      </c>
      <c r="BT175" t="n">
        <v>667.401</v>
      </c>
      <c r="BU175" t="n">
        <v>702.528</v>
      </c>
      <c r="BV175" t="n">
        <v>702.528</v>
      </c>
    </row>
    <row r="176">
      <c r="A176" t="inlineStr">
        <is>
          <t>Metapenaeus monoceros</t>
        </is>
      </c>
      <c r="B176" t="inlineStr">
        <is>
          <t>Speckled shrimp</t>
        </is>
      </c>
      <c r="C176" t="inlineStr">
        <is>
          <t>Shrimps</t>
        </is>
      </c>
      <c r="D176" t="inlineStr">
        <is>
          <t>Crustaceans</t>
        </is>
      </c>
      <c r="E176" t="n">
        <v>872.562</v>
      </c>
      <c r="F176" t="n">
        <v>864.4880000000001</v>
      </c>
      <c r="G176" t="n">
        <v>869.842</v>
      </c>
      <c r="H176" t="n">
        <v>875.096</v>
      </c>
      <c r="I176" t="n">
        <v>880.218</v>
      </c>
      <c r="J176" t="n">
        <v>885.235</v>
      </c>
      <c r="K176" t="n">
        <v>890.115</v>
      </c>
      <c r="L176" t="n">
        <v>894.845</v>
      </c>
      <c r="M176" t="n">
        <v>899.45</v>
      </c>
      <c r="N176" t="n">
        <v>903.899</v>
      </c>
      <c r="O176" t="n">
        <v>931.433</v>
      </c>
      <c r="P176" t="n">
        <v>982.872</v>
      </c>
      <c r="Q176" t="n">
        <v>981.578</v>
      </c>
      <c r="R176" t="n">
        <v>992.513</v>
      </c>
      <c r="S176" t="n">
        <v>1003.356</v>
      </c>
      <c r="T176" t="n">
        <v>1014.074</v>
      </c>
      <c r="U176" t="n">
        <v>1022.493</v>
      </c>
      <c r="V176" t="n">
        <v>1030.746</v>
      </c>
      <c r="W176" t="n">
        <v>1038.79</v>
      </c>
      <c r="X176" t="n">
        <v>1046.629</v>
      </c>
      <c r="Y176" t="n">
        <v>1031.855</v>
      </c>
      <c r="Z176" t="n">
        <v>1061.881</v>
      </c>
      <c r="AA176" t="n">
        <v>1069.272</v>
      </c>
      <c r="AB176" t="n">
        <v>1076.405</v>
      </c>
      <c r="AC176" t="n">
        <v>1103.571</v>
      </c>
      <c r="AD176" t="n">
        <v>1086.971</v>
      </c>
      <c r="AE176" t="n">
        <v>1125.683</v>
      </c>
      <c r="AF176" t="n">
        <v>1128.693</v>
      </c>
      <c r="AG176" t="n">
        <v>1137.979</v>
      </c>
      <c r="AH176" t="n">
        <v>1137.406</v>
      </c>
      <c r="AI176" t="n">
        <v>1137.791</v>
      </c>
      <c r="AJ176" t="n">
        <v>1136.433</v>
      </c>
      <c r="AK176" t="n">
        <v>1141.198</v>
      </c>
      <c r="AL176" t="n">
        <v>1138.154</v>
      </c>
      <c r="AM176" t="n">
        <v>1134.585</v>
      </c>
      <c r="AN176" t="n">
        <v>1166.193</v>
      </c>
      <c r="AO176" t="n">
        <v>1126</v>
      </c>
      <c r="AP176" t="n">
        <v>1120.818</v>
      </c>
      <c r="AQ176" t="n">
        <v>1132.454</v>
      </c>
      <c r="AR176" t="n">
        <v>1108.769</v>
      </c>
      <c r="AS176" t="n">
        <v>1133.109</v>
      </c>
      <c r="AT176" t="n">
        <v>1137.259</v>
      </c>
      <c r="AU176" t="n">
        <v>1140.456</v>
      </c>
      <c r="AV176" t="n">
        <v>1142.703</v>
      </c>
      <c r="AW176" t="n">
        <v>1144</v>
      </c>
      <c r="AX176" t="n">
        <v>1144.346</v>
      </c>
      <c r="AY176" t="n">
        <v>1143.743</v>
      </c>
      <c r="AZ176" t="n">
        <v>1142.19</v>
      </c>
      <c r="BA176" t="n">
        <v>1139.686</v>
      </c>
      <c r="BB176" t="n">
        <v>1136.233</v>
      </c>
      <c r="BC176" t="n">
        <v>1131.828</v>
      </c>
      <c r="BD176" t="n">
        <v>1136.774</v>
      </c>
      <c r="BE176" t="n">
        <v>1140.295</v>
      </c>
      <c r="BF176" t="n">
        <v>1142.386</v>
      </c>
      <c r="BG176" t="n">
        <v>1143.047</v>
      </c>
      <c r="BH176" t="n">
        <v>1142.279</v>
      </c>
      <c r="BI176" t="n">
        <v>1140.08</v>
      </c>
      <c r="BJ176" t="n">
        <v>1136.451</v>
      </c>
      <c r="BK176" t="n">
        <v>1131.393</v>
      </c>
      <c r="BL176" t="n">
        <v>1157.094</v>
      </c>
      <c r="BM176" t="n">
        <v>1182.799</v>
      </c>
      <c r="BN176" t="n">
        <v>1182.557</v>
      </c>
      <c r="BO176" t="n">
        <v>1196.832</v>
      </c>
      <c r="BP176" t="n">
        <v>1211.478</v>
      </c>
      <c r="BQ176" t="n">
        <v>1226.28</v>
      </c>
      <c r="BR176" t="n">
        <v>1236.94</v>
      </c>
      <c r="BS176" t="n">
        <v>1243.28</v>
      </c>
      <c r="BT176" t="n">
        <v>1245.276</v>
      </c>
      <c r="BU176" t="n">
        <v>1245.276</v>
      </c>
      <c r="BV176" t="n">
        <v>1245.276</v>
      </c>
    </row>
    <row r="177">
      <c r="A177" t="inlineStr">
        <is>
          <t>Palinuridae</t>
        </is>
      </c>
      <c r="B177" t="inlineStr">
        <is>
          <t>Spiny lobsters</t>
        </is>
      </c>
      <c r="C177" t="inlineStr">
        <is>
          <t>Lobsters, crabs</t>
        </is>
      </c>
      <c r="D177" t="inlineStr">
        <is>
          <t>Crustaceans</t>
        </is>
      </c>
      <c r="E177" t="n">
        <v>15.622</v>
      </c>
      <c r="F177" t="n">
        <v>14.624</v>
      </c>
      <c r="G177" t="n">
        <v>13.176</v>
      </c>
      <c r="H177" t="n">
        <v>19.237</v>
      </c>
      <c r="I177" t="n">
        <v>12.576</v>
      </c>
      <c r="J177" t="n">
        <v>13.566</v>
      </c>
      <c r="K177" t="n">
        <v>25.847</v>
      </c>
      <c r="L177" t="n">
        <v>88.86499999999999</v>
      </c>
      <c r="M177" t="n">
        <v>204.493</v>
      </c>
      <c r="N177" t="n">
        <v>315.06</v>
      </c>
      <c r="O177" t="n">
        <v>317.733</v>
      </c>
      <c r="P177" t="n">
        <v>170.901</v>
      </c>
      <c r="Q177" t="n">
        <v>97.70399999999999</v>
      </c>
      <c r="R177" t="n">
        <v>216.479</v>
      </c>
      <c r="S177" t="n">
        <v>282.778</v>
      </c>
      <c r="T177" t="n">
        <v>141.196</v>
      </c>
      <c r="U177" t="n">
        <v>169.171</v>
      </c>
      <c r="V177" t="n">
        <v>252.582</v>
      </c>
      <c r="W177" t="n">
        <v>200.759</v>
      </c>
      <c r="X177" t="n">
        <v>262.118</v>
      </c>
      <c r="Y177" t="n">
        <v>399.181</v>
      </c>
      <c r="Z177" t="n">
        <v>536.439</v>
      </c>
      <c r="AA177" t="n">
        <v>720.508</v>
      </c>
      <c r="AB177" t="n">
        <v>722.509</v>
      </c>
      <c r="AC177" t="n">
        <v>527.792</v>
      </c>
      <c r="AD177" t="n">
        <v>409.923</v>
      </c>
      <c r="AE177" t="n">
        <v>424.667</v>
      </c>
      <c r="AF177" t="n">
        <v>396.894</v>
      </c>
      <c r="AG177" t="n">
        <v>664.712</v>
      </c>
      <c r="AH177" t="n">
        <v>421.282</v>
      </c>
      <c r="AI177" t="n">
        <v>203.441</v>
      </c>
      <c r="AJ177" t="n">
        <v>343.516</v>
      </c>
      <c r="AK177" t="n">
        <v>381.053</v>
      </c>
      <c r="AL177" t="n">
        <v>329.341</v>
      </c>
      <c r="AM177" t="n">
        <v>494.433</v>
      </c>
      <c r="AN177" t="n">
        <v>547.008</v>
      </c>
      <c r="AO177" t="n">
        <v>400.926</v>
      </c>
      <c r="AP177" t="n">
        <v>485.736</v>
      </c>
      <c r="AQ177" t="n">
        <v>288.921</v>
      </c>
      <c r="AR177" t="n">
        <v>312.215</v>
      </c>
      <c r="AS177" t="n">
        <v>461.57</v>
      </c>
      <c r="AT177" t="n">
        <v>440.992</v>
      </c>
      <c r="AU177" t="n">
        <v>476.308</v>
      </c>
      <c r="AV177" t="n">
        <v>421.022</v>
      </c>
      <c r="AW177" t="n">
        <v>640.112</v>
      </c>
      <c r="AX177" t="n">
        <v>732.453</v>
      </c>
      <c r="AY177" t="n">
        <v>871.097</v>
      </c>
      <c r="AZ177" t="n">
        <v>984.73</v>
      </c>
      <c r="BA177" t="n">
        <v>1518.923</v>
      </c>
      <c r="BB177" t="n">
        <v>1426.654</v>
      </c>
      <c r="BC177" t="n">
        <v>1466.218</v>
      </c>
      <c r="BD177" t="n">
        <v>1698.688</v>
      </c>
      <c r="BE177" t="n">
        <v>1930.329</v>
      </c>
      <c r="BF177" t="n">
        <v>2205.842</v>
      </c>
      <c r="BG177" t="n">
        <v>2210.602</v>
      </c>
      <c r="BH177" t="n">
        <v>2170.918</v>
      </c>
      <c r="BI177" t="n">
        <v>2330.915</v>
      </c>
      <c r="BJ177" t="n">
        <v>2340.704</v>
      </c>
      <c r="BK177" t="n">
        <v>2432.681</v>
      </c>
      <c r="BL177" t="n">
        <v>2383.121</v>
      </c>
      <c r="BM177" t="n">
        <v>2445.962</v>
      </c>
      <c r="BN177" t="n">
        <v>2545.715</v>
      </c>
      <c r="BO177" t="n">
        <v>2477.027</v>
      </c>
      <c r="BP177" t="n">
        <v>2400.593</v>
      </c>
      <c r="BQ177" t="n">
        <v>2467.504</v>
      </c>
      <c r="BR177" t="n">
        <v>2452.808</v>
      </c>
      <c r="BS177" t="n">
        <v>2584.006</v>
      </c>
      <c r="BT177" t="n">
        <v>2721.19</v>
      </c>
      <c r="BU177" t="n">
        <v>2584.035</v>
      </c>
      <c r="BV177" t="n">
        <v>2443.931</v>
      </c>
    </row>
    <row r="178">
      <c r="A178" t="inlineStr">
        <is>
          <t>Dussumieria</t>
        </is>
      </c>
      <c r="B178" t="inlineStr">
        <is>
          <t>Rainbow sardines</t>
        </is>
      </c>
      <c r="C178" t="inlineStr">
        <is>
          <t>Small pelagics (&lt;30 cm)</t>
        </is>
      </c>
      <c r="D178" t="inlineStr">
        <is>
          <t>Herring-likes</t>
        </is>
      </c>
      <c r="E178" t="n">
        <v>17.135</v>
      </c>
      <c r="F178" t="n">
        <v>16.981</v>
      </c>
      <c r="G178" t="n">
        <v>18.767</v>
      </c>
      <c r="H178" t="n">
        <v>20.554</v>
      </c>
      <c r="I178" t="n">
        <v>22.34</v>
      </c>
      <c r="J178" t="n">
        <v>24.126</v>
      </c>
      <c r="K178" t="n">
        <v>25.912</v>
      </c>
      <c r="L178" t="n">
        <v>27.698</v>
      </c>
      <c r="M178" t="n">
        <v>29.484</v>
      </c>
      <c r="N178" t="n">
        <v>31.271</v>
      </c>
      <c r="O178" t="n">
        <v>33.057</v>
      </c>
      <c r="P178" t="n">
        <v>34.843</v>
      </c>
      <c r="Q178" t="n">
        <v>37.671</v>
      </c>
      <c r="R178" t="n">
        <v>40.5</v>
      </c>
      <c r="S178" t="n">
        <v>43.328</v>
      </c>
      <c r="T178" t="n">
        <v>46.157</v>
      </c>
      <c r="U178" t="n">
        <v>48.985</v>
      </c>
      <c r="V178" t="n">
        <v>51.813</v>
      </c>
      <c r="W178" t="n">
        <v>54.642</v>
      </c>
      <c r="X178" t="n">
        <v>57.47</v>
      </c>
      <c r="Y178" t="n">
        <v>60.298</v>
      </c>
      <c r="Z178" t="n">
        <v>63.127</v>
      </c>
      <c r="AA178" t="n">
        <v>65.854</v>
      </c>
      <c r="AB178" t="n">
        <v>68.581</v>
      </c>
      <c r="AC178" t="n">
        <v>71.307</v>
      </c>
      <c r="AD178" t="n">
        <v>74.03400000000001</v>
      </c>
      <c r="AE178" t="n">
        <v>76.761</v>
      </c>
      <c r="AF178" t="n">
        <v>79.488</v>
      </c>
      <c r="AG178" t="n">
        <v>82.215</v>
      </c>
      <c r="AH178" t="n">
        <v>84.94199999999999</v>
      </c>
      <c r="AI178" t="n">
        <v>87.669</v>
      </c>
      <c r="AJ178" t="n">
        <v>90.122</v>
      </c>
      <c r="AK178" t="n">
        <v>93.327</v>
      </c>
      <c r="AL178" t="n">
        <v>96.53100000000001</v>
      </c>
      <c r="AM178" t="n">
        <v>99.736</v>
      </c>
      <c r="AN178" t="n">
        <v>102.941</v>
      </c>
      <c r="AO178" t="n">
        <v>106.146</v>
      </c>
      <c r="AP178" t="n">
        <v>109.351</v>
      </c>
      <c r="AQ178" t="n">
        <v>112.556</v>
      </c>
      <c r="AR178" t="n">
        <v>115.761</v>
      </c>
      <c r="AS178" t="n">
        <v>118.966</v>
      </c>
      <c r="AT178" t="n">
        <v>122.17</v>
      </c>
      <c r="AU178" t="n">
        <v>124.634</v>
      </c>
      <c r="AV178" t="n">
        <v>127.098</v>
      </c>
      <c r="AW178" t="n">
        <v>129.561</v>
      </c>
      <c r="AX178" t="n">
        <v>132.025</v>
      </c>
      <c r="AY178" t="n">
        <v>134.488</v>
      </c>
      <c r="AZ178" t="n">
        <v>136.952</v>
      </c>
      <c r="BA178" t="n">
        <v>139.416</v>
      </c>
      <c r="BB178" t="n">
        <v>141.879</v>
      </c>
      <c r="BC178" t="n">
        <v>144.343</v>
      </c>
      <c r="BD178" t="n">
        <v>146.807</v>
      </c>
      <c r="BE178" t="n">
        <v>147.273</v>
      </c>
      <c r="BF178" t="n">
        <v>147.739</v>
      </c>
      <c r="BG178" t="n">
        <v>148.205</v>
      </c>
      <c r="BH178" t="n">
        <v>2677.854</v>
      </c>
      <c r="BI178" t="n">
        <v>2817.111</v>
      </c>
      <c r="BJ178" t="n">
        <v>3276.884</v>
      </c>
      <c r="BK178" t="n">
        <v>3246.397</v>
      </c>
      <c r="BL178" t="n">
        <v>4540.879</v>
      </c>
      <c r="BM178" t="n">
        <v>4547.338</v>
      </c>
      <c r="BN178" t="n">
        <v>4241.266</v>
      </c>
      <c r="BO178" t="n">
        <v>4297.912</v>
      </c>
      <c r="BP178" t="n">
        <v>4208.513</v>
      </c>
      <c r="BQ178" t="n">
        <v>4468.381</v>
      </c>
      <c r="BR178" t="n">
        <v>4530.472</v>
      </c>
      <c r="BS178" t="n">
        <v>4859.736</v>
      </c>
      <c r="BT178" t="n">
        <v>4507.516</v>
      </c>
      <c r="BU178" t="n">
        <v>4156.375</v>
      </c>
      <c r="BV178" t="n">
        <v>4330.749</v>
      </c>
    </row>
    <row r="179">
      <c r="A179" t="inlineStr">
        <is>
          <t>Sepioteuthis lessoniana</t>
        </is>
      </c>
      <c r="B179" t="inlineStr">
        <is>
          <t>Bigfin reef squid</t>
        </is>
      </c>
      <c r="C179" t="inlineStr">
        <is>
          <t>Cephalopods</t>
        </is>
      </c>
      <c r="D179" t="inlineStr">
        <is>
          <t>Other fishes &amp; inverts</t>
        </is>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3512.479</v>
      </c>
      <c r="AZ179" t="n">
        <v>3257.037</v>
      </c>
      <c r="BA179" t="n">
        <v>440.077</v>
      </c>
      <c r="BB179" t="n">
        <v>4349.003</v>
      </c>
      <c r="BC179" t="n">
        <v>4751.847</v>
      </c>
      <c r="BD179" t="n">
        <v>4227.46</v>
      </c>
      <c r="BE179" t="n">
        <v>6308.103</v>
      </c>
      <c r="BF179" t="n">
        <v>2982.328</v>
      </c>
      <c r="BG179" t="n">
        <v>2783.666</v>
      </c>
      <c r="BH179" t="n">
        <v>3057.905</v>
      </c>
      <c r="BI179" t="n">
        <v>2998.652</v>
      </c>
      <c r="BJ179" t="n">
        <v>3261.463</v>
      </c>
      <c r="BK179" t="n">
        <v>4715.879</v>
      </c>
      <c r="BL179" t="n">
        <v>3223.137</v>
      </c>
      <c r="BM179" t="n">
        <v>2324.805</v>
      </c>
      <c r="BN179" t="n">
        <v>1649.088</v>
      </c>
      <c r="BO179" t="n">
        <v>1651.481</v>
      </c>
      <c r="BP179" t="n">
        <v>1633.724</v>
      </c>
      <c r="BQ179" t="n">
        <v>1023.308</v>
      </c>
      <c r="BR179" t="n">
        <v>1153.421</v>
      </c>
      <c r="BS179" t="n">
        <v>1433.23</v>
      </c>
      <c r="BT179" t="n">
        <v>1923.516</v>
      </c>
      <c r="BU179" t="n">
        <v>1249.4</v>
      </c>
      <c r="BV179" t="n">
        <v>1253.952</v>
      </c>
    </row>
    <row r="180">
      <c r="A180" t="inlineStr">
        <is>
          <t>Seriolina nigrofasciata</t>
        </is>
      </c>
      <c r="B180" t="inlineStr">
        <is>
          <t>Blackbanded trevally</t>
        </is>
      </c>
      <c r="C180" t="inlineStr">
        <is>
          <t>Medium reef assoc. fish (30 - 89 cm)</t>
        </is>
      </c>
      <c r="D180" t="inlineStr">
        <is>
          <t>Perch-likes</t>
        </is>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1696.57</v>
      </c>
      <c r="AX180" t="n">
        <v>3571.533</v>
      </c>
      <c r="AY180" t="n">
        <v>4562.982</v>
      </c>
      <c r="AZ180" t="n">
        <v>4453.367</v>
      </c>
      <c r="BA180" t="n">
        <v>3938.72</v>
      </c>
      <c r="BB180" t="n">
        <v>3572.654</v>
      </c>
      <c r="BC180" t="n">
        <v>2979.17</v>
      </c>
      <c r="BD180" t="n">
        <v>2496.715</v>
      </c>
      <c r="BE180" t="n">
        <v>3556.458</v>
      </c>
      <c r="BF180" t="n">
        <v>2780.644</v>
      </c>
      <c r="BG180" t="n">
        <v>3771.916</v>
      </c>
      <c r="BH180" t="n">
        <v>3087.476</v>
      </c>
      <c r="BI180" t="n">
        <v>4121.562</v>
      </c>
      <c r="BJ180" t="n">
        <v>3089.076</v>
      </c>
      <c r="BK180" t="n">
        <v>2901.859</v>
      </c>
      <c r="BL180" t="n">
        <v>2824.393</v>
      </c>
      <c r="BM180" t="n">
        <v>1567.763</v>
      </c>
      <c r="BN180" t="n">
        <v>1518.44</v>
      </c>
      <c r="BO180" t="n">
        <v>1796.499</v>
      </c>
      <c r="BP180" t="n">
        <v>1067.895</v>
      </c>
      <c r="BQ180" t="n">
        <v>969.7329999999999</v>
      </c>
      <c r="BR180" t="n">
        <v>908.088</v>
      </c>
      <c r="BS180" t="n">
        <v>977.04</v>
      </c>
      <c r="BT180" t="n">
        <v>1069.609</v>
      </c>
      <c r="BU180" t="n">
        <v>896.832</v>
      </c>
      <c r="BV180" t="n">
        <v>951.546</v>
      </c>
    </row>
    <row r="181">
      <c r="A181" t="inlineStr">
        <is>
          <t>Scorpaenidae</t>
        </is>
      </c>
      <c r="B181" t="inlineStr">
        <is>
          <t>Scorpionfishes, rockfishes</t>
        </is>
      </c>
      <c r="C181" t="inlineStr">
        <is>
          <t>Large reef assoc. fish (&gt;=90 cm)</t>
        </is>
      </c>
      <c r="D181" t="inlineStr">
        <is>
          <t>Scorpionfishes</t>
        </is>
      </c>
      <c r="E181" t="n">
        <v>128.234</v>
      </c>
      <c r="F181" t="n">
        <v>128.234</v>
      </c>
      <c r="G181" t="n">
        <v>171.973</v>
      </c>
      <c r="H181" t="n">
        <v>150.103</v>
      </c>
      <c r="I181" t="n">
        <v>128.234</v>
      </c>
      <c r="J181" t="n">
        <v>128.234</v>
      </c>
      <c r="K181" t="n">
        <v>128.234</v>
      </c>
      <c r="L181" t="n">
        <v>125.252</v>
      </c>
      <c r="M181" t="n">
        <v>133.204</v>
      </c>
      <c r="N181" t="n">
        <v>128.234</v>
      </c>
      <c r="O181" t="n">
        <v>171.973</v>
      </c>
      <c r="P181" t="n">
        <v>220.682</v>
      </c>
      <c r="Q181" t="n">
        <v>223.664</v>
      </c>
      <c r="R181" t="n">
        <v>384.702</v>
      </c>
      <c r="S181" t="n">
        <v>357.862</v>
      </c>
      <c r="T181" t="n">
        <v>379.786</v>
      </c>
      <c r="U181" t="n">
        <v>474.275</v>
      </c>
      <c r="V181" t="n">
        <v>593.648</v>
      </c>
      <c r="W181" t="n">
        <v>606.6319999999999</v>
      </c>
      <c r="X181" t="n">
        <v>558.9589999999999</v>
      </c>
      <c r="Y181" t="n">
        <v>488.396</v>
      </c>
      <c r="Z181" t="n">
        <v>573.0410000000001</v>
      </c>
      <c r="AA181" t="n">
        <v>540.301</v>
      </c>
      <c r="AB181" t="n">
        <v>620.006</v>
      </c>
      <c r="AC181" t="n">
        <v>806.2430000000001</v>
      </c>
      <c r="AD181" t="n">
        <v>783.4829999999999</v>
      </c>
      <c r="AE181" t="n">
        <v>835.2619999999999</v>
      </c>
      <c r="AF181" t="n">
        <v>1024.24</v>
      </c>
      <c r="AG181" t="n">
        <v>943.7140000000001</v>
      </c>
      <c r="AH181" t="n">
        <v>825.348</v>
      </c>
      <c r="AI181" t="n">
        <v>838.121</v>
      </c>
      <c r="AJ181" t="n">
        <v>881.919</v>
      </c>
      <c r="AK181" t="n">
        <v>907.8440000000001</v>
      </c>
      <c r="AL181" t="n">
        <v>942.761</v>
      </c>
      <c r="AM181" t="n">
        <v>823.41</v>
      </c>
      <c r="AN181" t="n">
        <v>908.9880000000001</v>
      </c>
      <c r="AO181" t="n">
        <v>1074.296</v>
      </c>
      <c r="AP181" t="n">
        <v>1306.307</v>
      </c>
      <c r="AQ181" t="n">
        <v>1024.357</v>
      </c>
      <c r="AR181" t="n">
        <v>1247.44</v>
      </c>
      <c r="AS181" t="n">
        <v>1357.23</v>
      </c>
      <c r="AT181" t="n">
        <v>1014.432</v>
      </c>
      <c r="AU181" t="n">
        <v>1052.245</v>
      </c>
      <c r="AV181" t="n">
        <v>1084.072</v>
      </c>
      <c r="AW181" t="n">
        <v>1064.117</v>
      </c>
      <c r="AX181" t="n">
        <v>1138.802</v>
      </c>
      <c r="AY181" t="n">
        <v>1158.752</v>
      </c>
      <c r="AZ181" t="n">
        <v>1135.823</v>
      </c>
      <c r="BA181" t="n">
        <v>1341.2</v>
      </c>
      <c r="BB181" t="n">
        <v>1189.782</v>
      </c>
      <c r="BC181" t="n">
        <v>1335.2</v>
      </c>
      <c r="BD181" t="n">
        <v>1280.372</v>
      </c>
      <c r="BE181" t="n">
        <v>1371.526</v>
      </c>
      <c r="BF181" t="n">
        <v>1387.389</v>
      </c>
      <c r="BG181" t="n">
        <v>1443.167</v>
      </c>
      <c r="BH181" t="n">
        <v>1276.816</v>
      </c>
      <c r="BI181" t="n">
        <v>1522.073</v>
      </c>
      <c r="BJ181" t="n">
        <v>1504.127</v>
      </c>
      <c r="BK181" t="n">
        <v>1494.111</v>
      </c>
      <c r="BL181" t="n">
        <v>1351.48</v>
      </c>
      <c r="BM181" t="n">
        <v>1440.198</v>
      </c>
      <c r="BN181" t="n">
        <v>1356.222</v>
      </c>
      <c r="BO181" t="n">
        <v>1376.51</v>
      </c>
      <c r="BP181" t="n">
        <v>1341.243</v>
      </c>
      <c r="BQ181" t="n">
        <v>1422.417</v>
      </c>
      <c r="BR181" t="n">
        <v>1441.699</v>
      </c>
      <c r="BS181" t="n">
        <v>1547.743</v>
      </c>
      <c r="BT181" t="n">
        <v>1431.337</v>
      </c>
      <c r="BU181" t="n">
        <v>1313.406</v>
      </c>
      <c r="BV181" t="n">
        <v>1369.338</v>
      </c>
    </row>
    <row r="182">
      <c r="A182" t="inlineStr">
        <is>
          <t>Muraenesox cinereus</t>
        </is>
      </c>
      <c r="B182" t="inlineStr">
        <is>
          <t>Daggertooth pike conger</t>
        </is>
      </c>
      <c r="C182" t="inlineStr">
        <is>
          <t>Large demersals (&gt;=90 cm)</t>
        </is>
      </c>
      <c r="D182" t="inlineStr">
        <is>
          <t>Other fishes &amp; inverts</t>
        </is>
      </c>
      <c r="E182" t="n">
        <v>27.836</v>
      </c>
      <c r="F182" t="n">
        <v>27.836</v>
      </c>
      <c r="G182" t="n">
        <v>37.778</v>
      </c>
      <c r="H182" t="n">
        <v>32.807</v>
      </c>
      <c r="I182" t="n">
        <v>27.836</v>
      </c>
      <c r="J182" t="n">
        <v>27.836</v>
      </c>
      <c r="K182" t="n">
        <v>27.836</v>
      </c>
      <c r="L182" t="n">
        <v>26.842</v>
      </c>
      <c r="M182" t="n">
        <v>28.83</v>
      </c>
      <c r="N182" t="n">
        <v>27.836</v>
      </c>
      <c r="O182" t="n">
        <v>37.778</v>
      </c>
      <c r="P182" t="n">
        <v>47.719</v>
      </c>
      <c r="Q182" t="n">
        <v>48.713</v>
      </c>
      <c r="R182" t="n">
        <v>83.508</v>
      </c>
      <c r="S182" t="n">
        <v>78.538</v>
      </c>
      <c r="T182" t="n">
        <v>82.52500000000001</v>
      </c>
      <c r="U182" t="n">
        <v>102.419</v>
      </c>
      <c r="V182" t="n">
        <v>129.281</v>
      </c>
      <c r="W182" t="n">
        <v>131.283</v>
      </c>
      <c r="X182" t="n">
        <v>121.35</v>
      </c>
      <c r="Y182" t="n">
        <v>105.446</v>
      </c>
      <c r="Z182" t="n">
        <v>124.368</v>
      </c>
      <c r="AA182" t="n">
        <v>117.425</v>
      </c>
      <c r="AB182" t="n">
        <v>483.015</v>
      </c>
      <c r="AC182" t="n">
        <v>2005.321</v>
      </c>
      <c r="AD182" t="n">
        <v>2702.471</v>
      </c>
      <c r="AE182" t="n">
        <v>2013.559</v>
      </c>
      <c r="AF182" t="n">
        <v>2430.974</v>
      </c>
      <c r="AG182" t="n">
        <v>2148.411</v>
      </c>
      <c r="AH182" t="n">
        <v>2953.882</v>
      </c>
      <c r="AI182" t="n">
        <v>951.939</v>
      </c>
      <c r="AJ182" t="n">
        <v>1106.396</v>
      </c>
      <c r="AK182" t="n">
        <v>368.381</v>
      </c>
      <c r="AL182" t="n">
        <v>290.411</v>
      </c>
      <c r="AM182" t="n">
        <v>364.076</v>
      </c>
      <c r="AN182" t="n">
        <v>282.332</v>
      </c>
      <c r="AO182" t="n">
        <v>784.503</v>
      </c>
      <c r="AP182" t="n">
        <v>505.244</v>
      </c>
      <c r="AQ182" t="n">
        <v>436.361</v>
      </c>
      <c r="AR182" t="n">
        <v>682.477</v>
      </c>
      <c r="AS182" t="n">
        <v>847.013</v>
      </c>
      <c r="AT182" t="n">
        <v>1716.399</v>
      </c>
      <c r="AU182" t="n">
        <v>2200.793</v>
      </c>
      <c r="AV182" t="n">
        <v>1576.41</v>
      </c>
      <c r="AW182" t="n">
        <v>1267.053</v>
      </c>
      <c r="AX182" t="n">
        <v>1950.775</v>
      </c>
      <c r="AY182" t="n">
        <v>1127.756</v>
      </c>
      <c r="AZ182" t="n">
        <v>1172.951</v>
      </c>
      <c r="BA182" t="n">
        <v>900.427</v>
      </c>
      <c r="BB182" t="n">
        <v>1842.162</v>
      </c>
      <c r="BC182" t="n">
        <v>1056.01</v>
      </c>
      <c r="BD182" t="n">
        <v>1513.915</v>
      </c>
      <c r="BE182" t="n">
        <v>1523.625</v>
      </c>
      <c r="BF182" t="n">
        <v>1648.101</v>
      </c>
      <c r="BG182" t="n">
        <v>1508.181</v>
      </c>
      <c r="BH182" t="n">
        <v>1827.699</v>
      </c>
      <c r="BI182" t="n">
        <v>1700.842</v>
      </c>
      <c r="BJ182" t="n">
        <v>1511.341</v>
      </c>
      <c r="BK182" t="n">
        <v>1386.967</v>
      </c>
      <c r="BL182" t="n">
        <v>1595.394</v>
      </c>
      <c r="BM182" t="n">
        <v>1360.608</v>
      </c>
      <c r="BN182" t="n">
        <v>933.26</v>
      </c>
      <c r="BO182" t="n">
        <v>867.779</v>
      </c>
      <c r="BP182" t="n">
        <v>726.539</v>
      </c>
      <c r="BQ182" t="n">
        <v>721.125</v>
      </c>
      <c r="BR182" t="n">
        <v>708.664</v>
      </c>
      <c r="BS182" t="n">
        <v>874.676</v>
      </c>
      <c r="BT182" t="n">
        <v>952.61</v>
      </c>
      <c r="BU182" t="n">
        <v>834.002</v>
      </c>
      <c r="BV182" t="n">
        <v>677.724</v>
      </c>
    </row>
    <row r="183">
      <c r="A183" t="inlineStr">
        <is>
          <t>Balistidae</t>
        </is>
      </c>
      <c r="B183" t="inlineStr">
        <is>
          <t>Triggerfishes</t>
        </is>
      </c>
      <c r="C183" t="inlineStr">
        <is>
          <t>Medium reef assoc. fish (30 - 89 cm)</t>
        </is>
      </c>
      <c r="D183" t="inlineStr">
        <is>
          <t>Other fishes &amp; inverts</t>
        </is>
      </c>
      <c r="E183" t="n">
        <v>29.822</v>
      </c>
      <c r="F183" t="n">
        <v>29.822</v>
      </c>
      <c r="G183" t="n">
        <v>28.828</v>
      </c>
      <c r="H183" t="n">
        <v>28.828</v>
      </c>
      <c r="I183" t="n">
        <v>27.834</v>
      </c>
      <c r="J183" t="n">
        <v>29.822</v>
      </c>
      <c r="K183" t="n">
        <v>27.834</v>
      </c>
      <c r="L183" t="n">
        <v>28.828</v>
      </c>
      <c r="M183" t="n">
        <v>32.804</v>
      </c>
      <c r="N183" t="n">
        <v>34.792</v>
      </c>
      <c r="O183" t="n">
        <v>38.768</v>
      </c>
      <c r="P183" t="n">
        <v>41.75</v>
      </c>
      <c r="Q183" t="n">
        <v>48.709</v>
      </c>
      <c r="R183" t="n">
        <v>54.673</v>
      </c>
      <c r="S183" t="n">
        <v>56.661</v>
      </c>
      <c r="T183" t="n">
        <v>60.637</v>
      </c>
      <c r="U183" t="n">
        <v>64.614</v>
      </c>
      <c r="V183" t="n">
        <v>77.536</v>
      </c>
      <c r="W183" t="n">
        <v>84.495</v>
      </c>
      <c r="X183" t="n">
        <v>80.91800000000001</v>
      </c>
      <c r="Y183" t="n">
        <v>76.542</v>
      </c>
      <c r="Z183" t="n">
        <v>74.554</v>
      </c>
      <c r="AA183" t="n">
        <v>67.596</v>
      </c>
      <c r="AB183" t="n">
        <v>72.566</v>
      </c>
      <c r="AC183" t="n">
        <v>69.928</v>
      </c>
      <c r="AD183" t="n">
        <v>64.69</v>
      </c>
      <c r="AE183" t="n">
        <v>896.196</v>
      </c>
      <c r="AF183" t="n">
        <v>907.909</v>
      </c>
      <c r="AG183" t="n">
        <v>1086.065</v>
      </c>
      <c r="AH183" t="n">
        <v>1108.977</v>
      </c>
      <c r="AI183" t="n">
        <v>1239.008</v>
      </c>
      <c r="AJ183" t="n">
        <v>1180.074</v>
      </c>
      <c r="AK183" t="n">
        <v>1189.069</v>
      </c>
      <c r="AL183" t="n">
        <v>1125.709</v>
      </c>
      <c r="AM183" t="n">
        <v>1119.856</v>
      </c>
      <c r="AN183" t="n">
        <v>1490.489</v>
      </c>
      <c r="AO183" t="n">
        <v>1360.169</v>
      </c>
      <c r="AP183" t="n">
        <v>1273.157</v>
      </c>
      <c r="AQ183" t="n">
        <v>1066.582</v>
      </c>
      <c r="AR183" t="n">
        <v>1225.63</v>
      </c>
      <c r="AS183" t="n">
        <v>5806.025</v>
      </c>
      <c r="AT183" t="n">
        <v>5607.623</v>
      </c>
      <c r="AU183" t="n">
        <v>6460.441</v>
      </c>
      <c r="AV183" t="n">
        <v>5695.524</v>
      </c>
      <c r="AW183" t="n">
        <v>5511.027</v>
      </c>
      <c r="AX183" t="n">
        <v>1346.74</v>
      </c>
      <c r="AY183" t="n">
        <v>1259.947</v>
      </c>
      <c r="AZ183" t="n">
        <v>1228.64</v>
      </c>
      <c r="BA183" t="n">
        <v>1238.651</v>
      </c>
      <c r="BB183" t="n">
        <v>1196.738</v>
      </c>
      <c r="BC183" t="n">
        <v>307.159</v>
      </c>
      <c r="BD183" t="n">
        <v>277.762</v>
      </c>
      <c r="BE183" t="n">
        <v>277.816</v>
      </c>
      <c r="BF183" t="n">
        <v>327.136</v>
      </c>
      <c r="BG183" t="n">
        <v>339.07</v>
      </c>
      <c r="BH183" t="n">
        <v>349.114</v>
      </c>
      <c r="BI183" t="n">
        <v>363.236</v>
      </c>
      <c r="BJ183" t="n">
        <v>423.902</v>
      </c>
      <c r="BK183" t="n">
        <v>419.802</v>
      </c>
      <c r="BL183" t="n">
        <v>284.889</v>
      </c>
      <c r="BM183" t="n">
        <v>279.236</v>
      </c>
      <c r="BN183" t="n">
        <v>259.744</v>
      </c>
      <c r="BO183" t="n">
        <v>263.279</v>
      </c>
      <c r="BP183" t="n">
        <v>257.549</v>
      </c>
      <c r="BQ183" t="n">
        <v>273.999</v>
      </c>
      <c r="BR183" t="n">
        <v>277.843</v>
      </c>
      <c r="BS183" t="n">
        <v>298.543</v>
      </c>
      <c r="BT183" t="n">
        <v>276.073</v>
      </c>
      <c r="BU183" t="n">
        <v>253.771</v>
      </c>
      <c r="BV183" t="n">
        <v>778.0359999999999</v>
      </c>
    </row>
    <row r="184">
      <c r="A184" t="inlineStr">
        <is>
          <t>Coryphaena</t>
        </is>
      </c>
      <c r="B184" t="inlineStr">
        <is>
          <t>Dolphinfishes</t>
        </is>
      </c>
      <c r="C184" t="inlineStr">
        <is>
          <t>Large pelagics (&gt;=90 cm)</t>
        </is>
      </c>
      <c r="D184" t="inlineStr">
        <is>
          <t>Perch-likes</t>
        </is>
      </c>
      <c r="E184" t="n">
        <v>0</v>
      </c>
      <c r="F184" t="n">
        <v>0</v>
      </c>
      <c r="G184" t="n">
        <v>0</v>
      </c>
      <c r="H184" t="n">
        <v>1.038</v>
      </c>
      <c r="I184" t="n">
        <v>1.06</v>
      </c>
      <c r="J184" t="n">
        <v>1.056</v>
      </c>
      <c r="K184" t="n">
        <v>0.985</v>
      </c>
      <c r="L184" t="n">
        <v>0.985</v>
      </c>
      <c r="M184" t="n">
        <v>0.985</v>
      </c>
      <c r="N184" t="n">
        <v>0.985</v>
      </c>
      <c r="O184" t="n">
        <v>0.985</v>
      </c>
      <c r="P184" t="n">
        <v>0.985</v>
      </c>
      <c r="Q184" t="n">
        <v>0.985</v>
      </c>
      <c r="R184" t="n">
        <v>0.985</v>
      </c>
      <c r="S184" t="n">
        <v>0.985</v>
      </c>
      <c r="T184" t="n">
        <v>0.985</v>
      </c>
      <c r="U184" t="n">
        <v>0.985</v>
      </c>
      <c r="V184" t="n">
        <v>1.068</v>
      </c>
      <c r="W184" t="n">
        <v>0.985</v>
      </c>
      <c r="X184" t="n">
        <v>0.985</v>
      </c>
      <c r="Y184" t="n">
        <v>0.985</v>
      </c>
      <c r="Z184" t="n">
        <v>0.985</v>
      </c>
      <c r="AA184" t="n">
        <v>1.02</v>
      </c>
      <c r="AB184" t="n">
        <v>0.988</v>
      </c>
      <c r="AC184" t="n">
        <v>1.166</v>
      </c>
      <c r="AD184" t="n">
        <v>1.011</v>
      </c>
      <c r="AE184" t="n">
        <v>1.021</v>
      </c>
      <c r="AF184" t="n">
        <v>11.866</v>
      </c>
      <c r="AG184" t="n">
        <v>70.07899999999999</v>
      </c>
      <c r="AH184" t="n">
        <v>122.34</v>
      </c>
      <c r="AI184" t="n">
        <v>123.667</v>
      </c>
      <c r="AJ184" t="n">
        <v>134.836</v>
      </c>
      <c r="AK184" t="n">
        <v>113.274</v>
      </c>
      <c r="AL184" t="n">
        <v>212.357</v>
      </c>
      <c r="AM184" t="n">
        <v>372.629</v>
      </c>
      <c r="AN184" t="n">
        <v>378.71</v>
      </c>
      <c r="AO184" t="n">
        <v>517.913</v>
      </c>
      <c r="AP184" t="n">
        <v>655.235</v>
      </c>
      <c r="AQ184" t="n">
        <v>791.574</v>
      </c>
      <c r="AR184" t="n">
        <v>927.341</v>
      </c>
      <c r="AS184" t="n">
        <v>1065.154</v>
      </c>
      <c r="AT184" t="n">
        <v>1199.941</v>
      </c>
      <c r="AU184" t="n">
        <v>1282.765</v>
      </c>
      <c r="AV184" t="n">
        <v>1348.414</v>
      </c>
      <c r="AW184" t="n">
        <v>1406.989</v>
      </c>
      <c r="AX184" t="n">
        <v>1316.544</v>
      </c>
      <c r="AY184" t="n">
        <v>1308.334</v>
      </c>
      <c r="AZ184" t="n">
        <v>1164.132</v>
      </c>
      <c r="BA184" t="n">
        <v>1205.962</v>
      </c>
      <c r="BB184" t="n">
        <v>1950.465</v>
      </c>
      <c r="BC184" t="n">
        <v>951.12</v>
      </c>
      <c r="BD184" t="n">
        <v>1192.167</v>
      </c>
      <c r="BE184" t="n">
        <v>1362.096</v>
      </c>
      <c r="BF184" t="n">
        <v>1531.126</v>
      </c>
      <c r="BG184" t="n">
        <v>1701.033</v>
      </c>
      <c r="BH184" t="n">
        <v>1863.827</v>
      </c>
      <c r="BI184" t="n">
        <v>2031.691</v>
      </c>
      <c r="BJ184" t="n">
        <v>1772.642</v>
      </c>
      <c r="BK184" t="n">
        <v>1518.566</v>
      </c>
      <c r="BL184" t="n">
        <v>2185.188</v>
      </c>
      <c r="BM184" t="n">
        <v>2660.626</v>
      </c>
      <c r="BN184" t="n">
        <v>2148.181</v>
      </c>
      <c r="BO184" t="n">
        <v>2267.639</v>
      </c>
      <c r="BP184" t="n">
        <v>2372.004</v>
      </c>
      <c r="BQ184" t="n">
        <v>2362.29</v>
      </c>
      <c r="BR184" t="n">
        <v>2348.698</v>
      </c>
      <c r="BS184" t="n">
        <v>2347.586</v>
      </c>
      <c r="BT184" t="n">
        <v>2483.697</v>
      </c>
      <c r="BU184" t="n">
        <v>2497.309</v>
      </c>
      <c r="BV184" t="n">
        <v>2603.809</v>
      </c>
    </row>
    <row r="185">
      <c r="A185" t="inlineStr">
        <is>
          <t>Gerreidae</t>
        </is>
      </c>
      <c r="B185" t="inlineStr">
        <is>
          <t>Mojarras, silverbellies</t>
        </is>
      </c>
      <c r="C185" t="inlineStr">
        <is>
          <t>Small benthopelagics (&lt;30 cm)</t>
        </is>
      </c>
      <c r="D185" t="inlineStr">
        <is>
          <t>Perch-likes</t>
        </is>
      </c>
      <c r="E185" t="n">
        <v>117.942</v>
      </c>
      <c r="F185" t="n">
        <v>117.785</v>
      </c>
      <c r="G185" t="n">
        <v>154.405</v>
      </c>
      <c r="H185" t="n">
        <v>138.342</v>
      </c>
      <c r="I185" t="n">
        <v>123.272</v>
      </c>
      <c r="J185" t="n">
        <v>125.101</v>
      </c>
      <c r="K185" t="n">
        <v>126.93</v>
      </c>
      <c r="L185" t="n">
        <v>125.777</v>
      </c>
      <c r="M185" t="n">
        <v>134.565</v>
      </c>
      <c r="N185" t="n">
        <v>132.418</v>
      </c>
      <c r="O185" t="n">
        <v>168.044</v>
      </c>
      <c r="P185" t="n">
        <v>208.64</v>
      </c>
      <c r="Q185" t="n">
        <v>213.524</v>
      </c>
      <c r="R185" t="n">
        <v>341.667</v>
      </c>
      <c r="S185" t="n">
        <v>323.689</v>
      </c>
      <c r="T185" t="n">
        <v>344.522</v>
      </c>
      <c r="U185" t="n">
        <v>422.012</v>
      </c>
      <c r="V185" t="n">
        <v>518.413</v>
      </c>
      <c r="W185" t="n">
        <v>531.298</v>
      </c>
      <c r="X185" t="n">
        <v>495.458</v>
      </c>
      <c r="Y185" t="n">
        <v>442.699</v>
      </c>
      <c r="Z185" t="n">
        <v>512.314</v>
      </c>
      <c r="AA185" t="n">
        <v>490.306</v>
      </c>
      <c r="AB185" t="n">
        <v>554.869</v>
      </c>
      <c r="AC185" t="n">
        <v>704.056</v>
      </c>
      <c r="AD185" t="n">
        <v>690.0309999999999</v>
      </c>
      <c r="AE185" t="n">
        <v>732.653</v>
      </c>
      <c r="AF185" t="n">
        <v>882.904</v>
      </c>
      <c r="AG185" t="n">
        <v>821.813</v>
      </c>
      <c r="AH185" t="n">
        <v>732.103</v>
      </c>
      <c r="AI185" t="n">
        <v>744.7190000000001</v>
      </c>
      <c r="AJ185" t="n">
        <v>782.068</v>
      </c>
      <c r="AK185" t="n">
        <v>806.288</v>
      </c>
      <c r="AL185" t="n">
        <v>836.506</v>
      </c>
      <c r="AM185" t="n">
        <v>746.298</v>
      </c>
      <c r="AN185" t="n">
        <v>817.242</v>
      </c>
      <c r="AO185" t="n">
        <v>948.986</v>
      </c>
      <c r="AP185" t="n">
        <v>1134.237</v>
      </c>
      <c r="AQ185" t="n">
        <v>917.352</v>
      </c>
      <c r="AR185" t="n">
        <v>1093.911</v>
      </c>
      <c r="AS185" t="n">
        <v>1184.017</v>
      </c>
      <c r="AT185" t="n">
        <v>919.256</v>
      </c>
      <c r="AU185" t="n">
        <v>952.626</v>
      </c>
      <c r="AV185" t="n">
        <v>978.02</v>
      </c>
      <c r="AW185" t="n">
        <v>965.577</v>
      </c>
      <c r="AX185" t="n">
        <v>1025.853</v>
      </c>
      <c r="AY185" t="n">
        <v>1044.336</v>
      </c>
      <c r="AZ185" t="n">
        <v>1028.916</v>
      </c>
      <c r="BA185" t="n">
        <v>1193.93</v>
      </c>
      <c r="BB185" t="n">
        <v>1076.919</v>
      </c>
      <c r="BC185" t="n">
        <v>1192.981</v>
      </c>
      <c r="BD185" t="n">
        <v>1151.647</v>
      </c>
      <c r="BE185" t="n">
        <v>1222.218</v>
      </c>
      <c r="BF185" t="n">
        <v>1236.583</v>
      </c>
      <c r="BG185" t="n">
        <v>1279.887</v>
      </c>
      <c r="BH185" t="n">
        <v>1152.869</v>
      </c>
      <c r="BI185" t="n">
        <v>1343.75</v>
      </c>
      <c r="BJ185" t="n">
        <v>1329.275</v>
      </c>
      <c r="BK185" t="n">
        <v>1322.739</v>
      </c>
      <c r="BL185" t="n">
        <v>1211.515</v>
      </c>
      <c r="BM185" t="n">
        <v>1281.764</v>
      </c>
      <c r="BN185" t="n">
        <v>1216.517</v>
      </c>
      <c r="BO185" t="n">
        <v>1233.356</v>
      </c>
      <c r="BP185" t="n">
        <v>1206.72</v>
      </c>
      <c r="BQ185" t="n">
        <v>1271.214</v>
      </c>
      <c r="BR185" t="n">
        <v>1287.936</v>
      </c>
      <c r="BS185" t="n">
        <v>1374.377</v>
      </c>
      <c r="BT185" t="n">
        <v>1284.871</v>
      </c>
      <c r="BU185" t="n">
        <v>1192.576</v>
      </c>
      <c r="BV185" t="n">
        <v>1236.35</v>
      </c>
    </row>
    <row r="186">
      <c r="A186" t="inlineStr">
        <is>
          <t>Alopias</t>
        </is>
      </c>
      <c r="B186" t="inlineStr">
        <is>
          <t>Thresher sharks</t>
        </is>
      </c>
      <c r="C186" t="inlineStr">
        <is>
          <t>Large sharks (&gt;=90 cm)</t>
        </is>
      </c>
      <c r="D186" t="inlineStr">
        <is>
          <t>Sharks &amp; rays</t>
        </is>
      </c>
      <c r="E186" t="n">
        <v>260.903</v>
      </c>
      <c r="F186" t="n">
        <v>426.724</v>
      </c>
      <c r="G186" t="n">
        <v>316.22</v>
      </c>
      <c r="H186" t="n">
        <v>205.842</v>
      </c>
      <c r="I186" t="n">
        <v>396.061</v>
      </c>
      <c r="J186" t="n">
        <v>323.409</v>
      </c>
      <c r="K186" t="n">
        <v>387.981</v>
      </c>
      <c r="L186" t="n">
        <v>472.113</v>
      </c>
      <c r="M186" t="n">
        <v>520.179</v>
      </c>
      <c r="N186" t="n">
        <v>523.293</v>
      </c>
      <c r="O186" t="n">
        <v>607.147</v>
      </c>
      <c r="P186" t="n">
        <v>609.191</v>
      </c>
      <c r="Q186" t="n">
        <v>842.0549999999999</v>
      </c>
      <c r="R186" t="n">
        <v>840.615</v>
      </c>
      <c r="S186" t="n">
        <v>948.495</v>
      </c>
      <c r="T186" t="n">
        <v>841.699</v>
      </c>
      <c r="U186" t="n">
        <v>842.299</v>
      </c>
      <c r="V186" t="n">
        <v>1009.703</v>
      </c>
      <c r="W186" t="n">
        <v>1014.504</v>
      </c>
      <c r="X186" t="n">
        <v>1091.269</v>
      </c>
      <c r="Y186" t="n">
        <v>956.23</v>
      </c>
      <c r="Z186" t="n">
        <v>762.556</v>
      </c>
      <c r="AA186" t="n">
        <v>961.751</v>
      </c>
      <c r="AB186" t="n">
        <v>1330.84</v>
      </c>
      <c r="AC186" t="n">
        <v>1172.855</v>
      </c>
      <c r="AD186" t="n">
        <v>973.391</v>
      </c>
      <c r="AE186" t="n">
        <v>1162.002</v>
      </c>
      <c r="AF186" t="n">
        <v>844.189</v>
      </c>
      <c r="AG186" t="n">
        <v>933.574</v>
      </c>
      <c r="AH186" t="n">
        <v>953.437</v>
      </c>
      <c r="AI186" t="n">
        <v>1052.761</v>
      </c>
      <c r="AJ186" t="n">
        <v>1564.818</v>
      </c>
      <c r="AK186" t="n">
        <v>1161.323</v>
      </c>
      <c r="AL186" t="n">
        <v>967.116</v>
      </c>
      <c r="AM186" t="n">
        <v>1151.47</v>
      </c>
      <c r="AN186" t="n">
        <v>836.5700000000001</v>
      </c>
      <c r="AO186" t="n">
        <v>925.121</v>
      </c>
      <c r="AP186" t="n">
        <v>944.809</v>
      </c>
      <c r="AQ186" t="n">
        <v>1043.223</v>
      </c>
      <c r="AR186" t="n">
        <v>1564.818</v>
      </c>
      <c r="AS186" t="n">
        <v>884.7619999999999</v>
      </c>
      <c r="AT186" t="n">
        <v>1042.13</v>
      </c>
      <c r="AU186" t="n">
        <v>891.651</v>
      </c>
      <c r="AV186" t="n">
        <v>1461.915</v>
      </c>
      <c r="AW186" t="n">
        <v>1397.549</v>
      </c>
      <c r="AX186" t="n">
        <v>946.472</v>
      </c>
      <c r="AY186" t="n">
        <v>1020.576</v>
      </c>
      <c r="AZ186" t="n">
        <v>365.518</v>
      </c>
      <c r="BA186" t="n">
        <v>758.199</v>
      </c>
      <c r="BB186" t="n">
        <v>351.641</v>
      </c>
      <c r="BC186" t="n">
        <v>320.809</v>
      </c>
      <c r="BD186" t="n">
        <v>881.908</v>
      </c>
      <c r="BE186" t="n">
        <v>1537.863</v>
      </c>
      <c r="BF186" t="n">
        <v>602.451</v>
      </c>
      <c r="BG186" t="n">
        <v>1132.261</v>
      </c>
      <c r="BH186" t="n">
        <v>420.223</v>
      </c>
      <c r="BI186" t="n">
        <v>497.291</v>
      </c>
      <c r="BJ186" t="n">
        <v>227.593</v>
      </c>
      <c r="BK186" t="n">
        <v>257.493</v>
      </c>
      <c r="BL186" t="n">
        <v>84.20699999999999</v>
      </c>
      <c r="BM186" t="n">
        <v>74.896</v>
      </c>
      <c r="BN186" t="n">
        <v>32.784</v>
      </c>
      <c r="BO186" t="n">
        <v>603.518</v>
      </c>
      <c r="BP186" t="n">
        <v>683.728</v>
      </c>
      <c r="BQ186" t="n">
        <v>606.6609999999999</v>
      </c>
      <c r="BR186" t="n">
        <v>66.233</v>
      </c>
      <c r="BS186" t="n">
        <v>97.376</v>
      </c>
      <c r="BT186" t="n">
        <v>66.60299999999999</v>
      </c>
      <c r="BU186" t="n">
        <v>3.424</v>
      </c>
      <c r="BV186" t="n">
        <v>618.963</v>
      </c>
    </row>
    <row r="187">
      <c r="A187" t="inlineStr">
        <is>
          <t>Pristipomoides</t>
        </is>
      </c>
      <c r="B187" t="inlineStr">
        <is>
          <t>Jobfishes</t>
        </is>
      </c>
      <c r="C187" t="inlineStr">
        <is>
          <t>Medium demersals (30 - 89 cm)</t>
        </is>
      </c>
      <c r="D187" t="inlineStr">
        <is>
          <t>Perch-likes</t>
        </is>
      </c>
      <c r="E187" t="n">
        <v>77.95</v>
      </c>
      <c r="F187" t="n">
        <v>76.95099999999999</v>
      </c>
      <c r="G187" t="n">
        <v>76.95099999999999</v>
      </c>
      <c r="H187" t="n">
        <v>73.953</v>
      </c>
      <c r="I187" t="n">
        <v>72.953</v>
      </c>
      <c r="J187" t="n">
        <v>79.949</v>
      </c>
      <c r="K187" t="n">
        <v>74.952</v>
      </c>
      <c r="L187" t="n">
        <v>76.95099999999999</v>
      </c>
      <c r="M187" t="n">
        <v>86.944</v>
      </c>
      <c r="N187" t="n">
        <v>89.943</v>
      </c>
      <c r="O187" t="n">
        <v>101.935</v>
      </c>
      <c r="P187" t="n">
        <v>107.931</v>
      </c>
      <c r="Q187" t="n">
        <v>127.918</v>
      </c>
      <c r="R187" t="n">
        <v>141.909</v>
      </c>
      <c r="S187" t="n">
        <v>149.904</v>
      </c>
      <c r="T187" t="n">
        <v>160.897</v>
      </c>
      <c r="U187" t="n">
        <v>168.892</v>
      </c>
      <c r="V187" t="n">
        <v>205.869</v>
      </c>
      <c r="W187" t="n">
        <v>225.856</v>
      </c>
      <c r="X187" t="n">
        <v>212.864</v>
      </c>
      <c r="Y187" t="n">
        <v>204.869</v>
      </c>
      <c r="Z187" t="n">
        <v>196.874</v>
      </c>
      <c r="AA187" t="n">
        <v>178.886</v>
      </c>
      <c r="AB187" t="n">
        <v>194.876</v>
      </c>
      <c r="AC187" t="n">
        <v>181.884</v>
      </c>
      <c r="AD187" t="n">
        <v>169.891</v>
      </c>
      <c r="AE187" t="n">
        <v>1154.285</v>
      </c>
      <c r="AF187" t="n">
        <v>1632.509</v>
      </c>
      <c r="AG187" t="n">
        <v>1933.788</v>
      </c>
      <c r="AH187" t="n">
        <v>1945.782</v>
      </c>
      <c r="AI187" t="n">
        <v>884.528</v>
      </c>
      <c r="AJ187" t="n">
        <v>809.573</v>
      </c>
      <c r="AK187" t="n">
        <v>789.588</v>
      </c>
      <c r="AL187" t="n">
        <v>765.597</v>
      </c>
      <c r="AM187" t="n">
        <v>727.623</v>
      </c>
      <c r="AN187" t="n">
        <v>605.706</v>
      </c>
      <c r="AO187" t="n">
        <v>554.732</v>
      </c>
      <c r="AP187" t="n">
        <v>522.752</v>
      </c>
      <c r="AQ187" t="n">
        <v>437.797</v>
      </c>
      <c r="AR187" t="n">
        <v>495.76</v>
      </c>
      <c r="AS187" t="n">
        <v>1251.536</v>
      </c>
      <c r="AT187" t="n">
        <v>1198.559</v>
      </c>
      <c r="AU187" t="n">
        <v>1378.61</v>
      </c>
      <c r="AV187" t="n">
        <v>1214.657</v>
      </c>
      <c r="AW187" t="n">
        <v>1176.668</v>
      </c>
      <c r="AX187" t="n">
        <v>774.798</v>
      </c>
      <c r="AY187" t="n">
        <v>720.813</v>
      </c>
      <c r="AZ187" t="n">
        <v>708.814</v>
      </c>
      <c r="BA187" t="n">
        <v>711.817</v>
      </c>
      <c r="BB187" t="n">
        <v>689.8200000000001</v>
      </c>
      <c r="BC187" t="n">
        <v>363.91</v>
      </c>
      <c r="BD187" t="n">
        <v>325.919</v>
      </c>
      <c r="BE187" t="n">
        <v>323.92</v>
      </c>
      <c r="BF187" t="n">
        <v>377.906</v>
      </c>
      <c r="BG187" t="n">
        <v>397.901</v>
      </c>
      <c r="BH187" t="n">
        <v>927.801</v>
      </c>
      <c r="BI187" t="n">
        <v>976.059</v>
      </c>
      <c r="BJ187" t="n">
        <v>1141.706</v>
      </c>
      <c r="BK187" t="n">
        <v>1133.707</v>
      </c>
      <c r="BL187" t="n">
        <v>1718.62</v>
      </c>
      <c r="BM187" t="n">
        <v>1720.62</v>
      </c>
      <c r="BN187" t="n">
        <v>1600.648</v>
      </c>
      <c r="BO187" t="n">
        <v>1622.45</v>
      </c>
      <c r="BP187" t="n">
        <v>1587.094</v>
      </c>
      <c r="BQ187" t="n">
        <v>1688.432</v>
      </c>
      <c r="BR187" t="n">
        <v>1712.11</v>
      </c>
      <c r="BS187" t="n">
        <v>1839.662</v>
      </c>
      <c r="BT187" t="n">
        <v>1701.2</v>
      </c>
      <c r="BU187" t="n">
        <v>1563.769</v>
      </c>
      <c r="BV187" t="n">
        <v>1632.015</v>
      </c>
    </row>
    <row r="188">
      <c r="A188" t="inlineStr">
        <is>
          <t>Kajikia audax</t>
        </is>
      </c>
      <c r="B188" t="inlineStr">
        <is>
          <t>Striped marlin</t>
        </is>
      </c>
      <c r="C188" t="inlineStr">
        <is>
          <t>Large pelagics (&gt;=90 cm)</t>
        </is>
      </c>
      <c r="D188" t="inlineStr">
        <is>
          <t>Tuna &amp; billfishes</t>
        </is>
      </c>
      <c r="E188" t="n">
        <v>0.08500000000000001</v>
      </c>
      <c r="F188" t="n">
        <v>0.067</v>
      </c>
      <c r="G188" t="n">
        <v>0.01</v>
      </c>
      <c r="H188" t="n">
        <v>0.01</v>
      </c>
      <c r="I188" t="n">
        <v>85.307</v>
      </c>
      <c r="J188" t="n">
        <v>290.033</v>
      </c>
      <c r="K188" t="n">
        <v>510.555</v>
      </c>
      <c r="L188" t="n">
        <v>230.549</v>
      </c>
      <c r="M188" t="n">
        <v>245.64</v>
      </c>
      <c r="N188" t="n">
        <v>783.817</v>
      </c>
      <c r="O188" t="n">
        <v>630.628</v>
      </c>
      <c r="P188" t="n">
        <v>613.693</v>
      </c>
      <c r="Q188" t="n">
        <v>564.701</v>
      </c>
      <c r="R188" t="n">
        <v>387.606</v>
      </c>
      <c r="S188" t="n">
        <v>840.703</v>
      </c>
      <c r="T188" t="n">
        <v>1214.9</v>
      </c>
      <c r="U188" t="n">
        <v>1833.77</v>
      </c>
      <c r="V188" t="n">
        <v>2019.764</v>
      </c>
      <c r="W188" t="n">
        <v>1118.062</v>
      </c>
      <c r="X188" t="n">
        <v>2431.529</v>
      </c>
      <c r="Y188" t="n">
        <v>1037.691</v>
      </c>
      <c r="Z188" t="n">
        <v>917.405</v>
      </c>
      <c r="AA188" t="n">
        <v>561.529</v>
      </c>
      <c r="AB188" t="n">
        <v>180.502</v>
      </c>
      <c r="AC188" t="n">
        <v>422.289</v>
      </c>
      <c r="AD188" t="n">
        <v>510.413</v>
      </c>
      <c r="AE188" t="n">
        <v>368.02</v>
      </c>
      <c r="AF188" t="n">
        <v>677.749</v>
      </c>
      <c r="AG188" t="n">
        <v>1324.048</v>
      </c>
      <c r="AH188" t="n">
        <v>749.708</v>
      </c>
      <c r="AI188" t="n">
        <v>572.523</v>
      </c>
      <c r="AJ188" t="n">
        <v>596.698</v>
      </c>
      <c r="AK188" t="n">
        <v>382.053</v>
      </c>
      <c r="AL188" t="n">
        <v>468.299</v>
      </c>
      <c r="AM188" t="n">
        <v>505.845</v>
      </c>
      <c r="AN188" t="n">
        <v>659.9829999999999</v>
      </c>
      <c r="AO188" t="n">
        <v>2057.646</v>
      </c>
      <c r="AP188" t="n">
        <v>1985.071</v>
      </c>
      <c r="AQ188" t="n">
        <v>1799.733</v>
      </c>
      <c r="AR188" t="n">
        <v>1084.361</v>
      </c>
      <c r="AS188" t="n">
        <v>170.954</v>
      </c>
      <c r="AT188" t="n">
        <v>404.146</v>
      </c>
      <c r="AU188" t="n">
        <v>460.142</v>
      </c>
      <c r="AV188" t="n">
        <v>997.664</v>
      </c>
      <c r="AW188" t="n">
        <v>795.587</v>
      </c>
      <c r="AX188" t="n">
        <v>1779</v>
      </c>
      <c r="AY188" t="n">
        <v>888.141</v>
      </c>
      <c r="AZ188" t="n">
        <v>968.155</v>
      </c>
      <c r="BA188" t="n">
        <v>1522.249</v>
      </c>
      <c r="BB188" t="n">
        <v>1252.054</v>
      </c>
      <c r="BC188" t="n">
        <v>1008.4</v>
      </c>
      <c r="BD188" t="n">
        <v>605.826</v>
      </c>
      <c r="BE188" t="n">
        <v>823.795</v>
      </c>
      <c r="BF188" t="n">
        <v>623.5599999999999</v>
      </c>
      <c r="BG188" t="n">
        <v>575.973</v>
      </c>
      <c r="BH188" t="n">
        <v>443.434</v>
      </c>
      <c r="BI188" t="n">
        <v>318.12</v>
      </c>
      <c r="BJ188" t="n">
        <v>391.838</v>
      </c>
      <c r="BK188" t="n">
        <v>562.607</v>
      </c>
      <c r="BL188" t="n">
        <v>368.664</v>
      </c>
      <c r="BM188" t="n">
        <v>349.258</v>
      </c>
      <c r="BN188" t="n">
        <v>450.422</v>
      </c>
      <c r="BO188" t="n">
        <v>1524.12</v>
      </c>
      <c r="BP188" t="n">
        <v>629.676</v>
      </c>
      <c r="BQ188" t="n">
        <v>195.62</v>
      </c>
      <c r="BR188" t="n">
        <v>362.685</v>
      </c>
      <c r="BS188" t="n">
        <v>300.557</v>
      </c>
      <c r="BT188" t="n">
        <v>332.653</v>
      </c>
      <c r="BU188" t="n">
        <v>219.447</v>
      </c>
      <c r="BV188" t="n">
        <v>190.998</v>
      </c>
    </row>
    <row r="189">
      <c r="A189" t="inlineStr">
        <is>
          <t>Modiolus</t>
        </is>
      </c>
      <c r="B189" t="inlineStr">
        <is>
          <t>Horse mussels</t>
        </is>
      </c>
      <c r="C189" t="inlineStr">
        <is>
          <t>Other demersal invertebrates</t>
        </is>
      </c>
      <c r="D189" t="inlineStr">
        <is>
          <t>Molluscs</t>
        </is>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294.578</v>
      </c>
      <c r="AG189" t="n">
        <v>274.704</v>
      </c>
      <c r="AH189" t="n">
        <v>2040.833</v>
      </c>
      <c r="AI189" t="n">
        <v>1131.425</v>
      </c>
      <c r="AJ189" t="n">
        <v>1572.692</v>
      </c>
      <c r="AK189" t="n">
        <v>2269.214</v>
      </c>
      <c r="AL189" t="n">
        <v>4234.966</v>
      </c>
      <c r="AM189" t="n">
        <v>2720.473</v>
      </c>
      <c r="AN189" t="n">
        <v>2020.884</v>
      </c>
      <c r="AO189" t="n">
        <v>3199.927</v>
      </c>
      <c r="AP189" t="n">
        <v>5744.291</v>
      </c>
      <c r="AQ189" t="n">
        <v>10378.124</v>
      </c>
      <c r="AR189" t="n">
        <v>8266.105</v>
      </c>
      <c r="AS189" t="n">
        <v>4412.777</v>
      </c>
      <c r="AT189" t="n">
        <v>0</v>
      </c>
      <c r="AU189" t="n">
        <v>0</v>
      </c>
      <c r="AV189" t="n">
        <v>0</v>
      </c>
      <c r="AW189" t="n">
        <v>0</v>
      </c>
      <c r="AX189" t="n">
        <v>0</v>
      </c>
      <c r="AY189" t="n">
        <v>0</v>
      </c>
      <c r="AZ189" t="n">
        <v>0</v>
      </c>
      <c r="BA189" t="n">
        <v>0</v>
      </c>
      <c r="BB189" t="n">
        <v>0</v>
      </c>
      <c r="BC189" t="n">
        <v>26.485</v>
      </c>
      <c r="BD189" t="n">
        <v>355.214</v>
      </c>
      <c r="BE189" t="n">
        <v>315.164</v>
      </c>
      <c r="BF189" t="n">
        <v>28.891</v>
      </c>
      <c r="BG189" t="n">
        <v>0.288</v>
      </c>
      <c r="BH189" t="n">
        <v>36.172</v>
      </c>
      <c r="BI189" t="n">
        <v>0</v>
      </c>
      <c r="BJ189" t="n">
        <v>0</v>
      </c>
      <c r="BK189" t="n">
        <v>0</v>
      </c>
      <c r="BL189" t="n">
        <v>0</v>
      </c>
      <c r="BM189" t="n">
        <v>0</v>
      </c>
      <c r="BN189" t="n">
        <v>0</v>
      </c>
      <c r="BO189" t="n">
        <v>0</v>
      </c>
      <c r="BP189" t="n">
        <v>0</v>
      </c>
      <c r="BQ189" t="n">
        <v>0</v>
      </c>
      <c r="BR189" t="n">
        <v>0</v>
      </c>
      <c r="BS189" t="n">
        <v>0</v>
      </c>
      <c r="BT189" t="n">
        <v>0</v>
      </c>
      <c r="BU189" t="n">
        <v>0</v>
      </c>
      <c r="BV189" t="n">
        <v>0</v>
      </c>
    </row>
    <row r="190">
      <c r="A190" t="inlineStr">
        <is>
          <t>Scomberoides</t>
        </is>
      </c>
      <c r="B190" t="inlineStr">
        <is>
          <t>Queenfishes</t>
        </is>
      </c>
      <c r="C190" t="inlineStr">
        <is>
          <t>Medium pelagics (30 - 89 cm)</t>
        </is>
      </c>
      <c r="D190" t="inlineStr">
        <is>
          <t>Perch-likes</t>
        </is>
      </c>
      <c r="E190" t="n">
        <v>37.858</v>
      </c>
      <c r="F190" t="n">
        <v>37.871</v>
      </c>
      <c r="G190" t="n">
        <v>35.836</v>
      </c>
      <c r="H190" t="n">
        <v>35.823</v>
      </c>
      <c r="I190" t="n">
        <v>36.827</v>
      </c>
      <c r="J190" t="n">
        <v>39.783</v>
      </c>
      <c r="K190" t="n">
        <v>35.822</v>
      </c>
      <c r="L190" t="n">
        <v>37.798</v>
      </c>
      <c r="M190" t="n">
        <v>42.765</v>
      </c>
      <c r="N190" t="n">
        <v>43.806</v>
      </c>
      <c r="O190" t="n">
        <v>50.749</v>
      </c>
      <c r="P190" t="n">
        <v>52.765</v>
      </c>
      <c r="Q190" t="n">
        <v>62.707</v>
      </c>
      <c r="R190" t="n">
        <v>71.84999999999999</v>
      </c>
      <c r="S190" t="n">
        <v>75.65300000000001</v>
      </c>
      <c r="T190" t="n">
        <v>81.012</v>
      </c>
      <c r="U190" t="n">
        <v>86.69</v>
      </c>
      <c r="V190" t="n">
        <v>102.327</v>
      </c>
      <c r="W190" t="n">
        <v>109.702</v>
      </c>
      <c r="X190" t="n">
        <v>104.261</v>
      </c>
      <c r="Y190" t="n">
        <v>99.399</v>
      </c>
      <c r="Z190" t="n">
        <v>98.407</v>
      </c>
      <c r="AA190" t="n">
        <v>87.473</v>
      </c>
      <c r="AB190" t="n">
        <v>95.425</v>
      </c>
      <c r="AC190" t="n">
        <v>90.455</v>
      </c>
      <c r="AD190" t="n">
        <v>82.504</v>
      </c>
      <c r="AE190" t="n">
        <v>508.434</v>
      </c>
      <c r="AF190" t="n">
        <v>505.062</v>
      </c>
      <c r="AG190" t="n">
        <v>604.856</v>
      </c>
      <c r="AH190" t="n">
        <v>620.802</v>
      </c>
      <c r="AI190" t="n">
        <v>1767.983</v>
      </c>
      <c r="AJ190" t="n">
        <v>1586.065</v>
      </c>
      <c r="AK190" t="n">
        <v>1520.476</v>
      </c>
      <c r="AL190" t="n">
        <v>1499.557</v>
      </c>
      <c r="AM190" t="n">
        <v>1385.399</v>
      </c>
      <c r="AN190" t="n">
        <v>1412.787</v>
      </c>
      <c r="AO190" t="n">
        <v>1284.475</v>
      </c>
      <c r="AP190" t="n">
        <v>1198.301</v>
      </c>
      <c r="AQ190" t="n">
        <v>991.968</v>
      </c>
      <c r="AR190" t="n">
        <v>1151.416</v>
      </c>
      <c r="AS190" t="n">
        <v>1089.024</v>
      </c>
      <c r="AT190" t="n">
        <v>1007.632</v>
      </c>
      <c r="AU190" t="n">
        <v>1146.862</v>
      </c>
      <c r="AV190" t="n">
        <v>1007.347</v>
      </c>
      <c r="AW190" t="n">
        <v>972.652</v>
      </c>
      <c r="AX190" t="n">
        <v>537.7569999999999</v>
      </c>
      <c r="AY190" t="n">
        <v>495.593</v>
      </c>
      <c r="AZ190" t="n">
        <v>514.816</v>
      </c>
      <c r="BA190" t="n">
        <v>462.106</v>
      </c>
      <c r="BB190" t="n">
        <v>489.503</v>
      </c>
      <c r="BC190" t="n">
        <v>883.093</v>
      </c>
      <c r="BD190" t="n">
        <v>817.342</v>
      </c>
      <c r="BE190" t="n">
        <v>806.982</v>
      </c>
      <c r="BF190" t="n">
        <v>916.121</v>
      </c>
      <c r="BG190" t="n">
        <v>977.308</v>
      </c>
      <c r="BH190" t="n">
        <v>886.516</v>
      </c>
      <c r="BI190" t="n">
        <v>940.826</v>
      </c>
      <c r="BJ190" t="n">
        <v>1085.07</v>
      </c>
      <c r="BK190" t="n">
        <v>1093.617</v>
      </c>
      <c r="BL190" t="n">
        <v>1459.163</v>
      </c>
      <c r="BM190" t="n">
        <v>1439.514</v>
      </c>
      <c r="BN190" t="n">
        <v>1337.391</v>
      </c>
      <c r="BO190" t="n">
        <v>1355.424</v>
      </c>
      <c r="BP190" t="n">
        <v>1326.419</v>
      </c>
      <c r="BQ190" t="n">
        <v>1411.565</v>
      </c>
      <c r="BR190" t="n">
        <v>1431.427</v>
      </c>
      <c r="BS190" t="n">
        <v>1538.202</v>
      </c>
      <c r="BT190" t="n">
        <v>1422.422</v>
      </c>
      <c r="BU190" t="n">
        <v>1307.394</v>
      </c>
      <c r="BV190" t="n">
        <v>1364.538</v>
      </c>
    </row>
    <row r="191">
      <c r="A191" t="inlineStr">
        <is>
          <t>Octopus</t>
        </is>
      </c>
      <c r="B191" t="inlineStr">
        <is>
          <t>Octopuses, pikas</t>
        </is>
      </c>
      <c r="C191" t="inlineStr">
        <is>
          <t>Cephalopods</t>
        </is>
      </c>
      <c r="D191" t="inlineStr">
        <is>
          <t>Other fishes &amp; inverts</t>
        </is>
      </c>
      <c r="E191" t="n">
        <v>13.918</v>
      </c>
      <c r="F191" t="n">
        <v>13.918</v>
      </c>
      <c r="G191" t="n">
        <v>17.894</v>
      </c>
      <c r="H191" t="n">
        <v>15.906</v>
      </c>
      <c r="I191" t="n">
        <v>13.918</v>
      </c>
      <c r="J191" t="n">
        <v>13.918</v>
      </c>
      <c r="K191" t="n">
        <v>13.918</v>
      </c>
      <c r="L191" t="n">
        <v>12.924</v>
      </c>
      <c r="M191" t="n">
        <v>13.918</v>
      </c>
      <c r="N191" t="n">
        <v>13.918</v>
      </c>
      <c r="O191" t="n">
        <v>17.894</v>
      </c>
      <c r="P191" t="n">
        <v>22.865</v>
      </c>
      <c r="Q191" t="n">
        <v>22.865</v>
      </c>
      <c r="R191" t="n">
        <v>39.765</v>
      </c>
      <c r="S191" t="n">
        <v>37.777</v>
      </c>
      <c r="T191" t="n">
        <v>38.776</v>
      </c>
      <c r="U191" t="n">
        <v>50.714</v>
      </c>
      <c r="V191" t="n">
        <v>61.657</v>
      </c>
      <c r="W191" t="n">
        <v>63.652</v>
      </c>
      <c r="X191" t="n">
        <v>57.691</v>
      </c>
      <c r="Y191" t="n">
        <v>49.738</v>
      </c>
      <c r="Z191" t="n">
        <v>59.698</v>
      </c>
      <c r="AA191" t="n">
        <v>56.722</v>
      </c>
      <c r="AB191" t="n">
        <v>65.68899999999999</v>
      </c>
      <c r="AC191" t="n">
        <v>84.614</v>
      </c>
      <c r="AD191" t="n">
        <v>81.643</v>
      </c>
      <c r="AE191" t="n">
        <v>87.617</v>
      </c>
      <c r="AF191" t="n">
        <v>107.149</v>
      </c>
      <c r="AG191" t="n">
        <v>98.563</v>
      </c>
      <c r="AH191" t="n">
        <v>85.631</v>
      </c>
      <c r="AI191" t="n">
        <v>88.59999999999999</v>
      </c>
      <c r="AJ191" t="n">
        <v>92.581</v>
      </c>
      <c r="AK191" t="n">
        <v>94.578</v>
      </c>
      <c r="AL191" t="n">
        <v>99.562</v>
      </c>
      <c r="AM191" t="n">
        <v>85.63500000000001</v>
      </c>
      <c r="AN191" t="n">
        <v>94.59399999999999</v>
      </c>
      <c r="AO191" t="n">
        <v>111.525</v>
      </c>
      <c r="AP191" t="n">
        <v>135.525</v>
      </c>
      <c r="AQ191" t="n">
        <v>107.626</v>
      </c>
      <c r="AR191" t="n">
        <v>130.533</v>
      </c>
      <c r="AS191" t="n">
        <v>142.511</v>
      </c>
      <c r="AT191" t="n">
        <v>106.632</v>
      </c>
      <c r="AU191" t="n">
        <v>109.618</v>
      </c>
      <c r="AV191" t="n">
        <v>113.597</v>
      </c>
      <c r="AW191" t="n">
        <v>111.603</v>
      </c>
      <c r="AX191" t="n">
        <v>118.574</v>
      </c>
      <c r="AY191" t="n">
        <v>120.568</v>
      </c>
      <c r="AZ191" t="n">
        <v>118.574</v>
      </c>
      <c r="BA191" t="n">
        <v>140.507</v>
      </c>
      <c r="BB191" t="n">
        <v>124.568</v>
      </c>
      <c r="BC191" t="n">
        <v>139.51</v>
      </c>
      <c r="BD191" t="n">
        <v>134.525</v>
      </c>
      <c r="BE191" t="n">
        <v>143.538</v>
      </c>
      <c r="BF191" t="n">
        <v>145.523</v>
      </c>
      <c r="BG191" t="n">
        <v>150.503</v>
      </c>
      <c r="BH191" t="n">
        <v>134.564</v>
      </c>
      <c r="BI191" t="n">
        <v>1019.858</v>
      </c>
      <c r="BJ191" t="n">
        <v>657.644</v>
      </c>
      <c r="BK191" t="n">
        <v>837.38</v>
      </c>
      <c r="BL191" t="n">
        <v>1649.738</v>
      </c>
      <c r="BM191" t="n">
        <v>1257.107</v>
      </c>
      <c r="BN191" t="n">
        <v>2550.277</v>
      </c>
      <c r="BO191" t="n">
        <v>2378.129</v>
      </c>
      <c r="BP191" t="n">
        <v>1461.888</v>
      </c>
      <c r="BQ191" t="n">
        <v>1601.319</v>
      </c>
      <c r="BR191" t="n">
        <v>6392.384</v>
      </c>
      <c r="BS191" t="n">
        <v>6383.348</v>
      </c>
      <c r="BT191" t="n">
        <v>4374.859</v>
      </c>
      <c r="BU191" t="n">
        <v>6905.146</v>
      </c>
      <c r="BV191" t="n">
        <v>5731.716</v>
      </c>
    </row>
    <row r="192">
      <c r="A192" t="inlineStr">
        <is>
          <t>Penaeus japonicus</t>
        </is>
      </c>
      <c r="B192" t="inlineStr">
        <is>
          <t>Kuruma prawn</t>
        </is>
      </c>
      <c r="C192" t="inlineStr">
        <is>
          <t>Shrimps</t>
        </is>
      </c>
      <c r="D192" t="inlineStr">
        <is>
          <t>Crustaceans</t>
        </is>
      </c>
      <c r="E192" t="n">
        <v>538.783</v>
      </c>
      <c r="F192" t="n">
        <v>533.797</v>
      </c>
      <c r="G192" t="n">
        <v>537.103</v>
      </c>
      <c r="H192" t="n">
        <v>540.347</v>
      </c>
      <c r="I192" t="n">
        <v>543.51</v>
      </c>
      <c r="J192" t="n">
        <v>546.6079999999999</v>
      </c>
      <c r="K192" t="n">
        <v>549.621</v>
      </c>
      <c r="L192" t="n">
        <v>552.542</v>
      </c>
      <c r="M192" t="n">
        <v>555.386</v>
      </c>
      <c r="N192" t="n">
        <v>558.1319999999999</v>
      </c>
      <c r="O192" t="n">
        <v>575.134</v>
      </c>
      <c r="P192" t="n">
        <v>606.896</v>
      </c>
      <c r="Q192" t="n">
        <v>606.097</v>
      </c>
      <c r="R192" t="n">
        <v>612.849</v>
      </c>
      <c r="S192" t="n">
        <v>619.544</v>
      </c>
      <c r="T192" t="n">
        <v>626.163</v>
      </c>
      <c r="U192" t="n">
        <v>631.361</v>
      </c>
      <c r="V192" t="n">
        <v>636.457</v>
      </c>
      <c r="W192" t="n">
        <v>641.424</v>
      </c>
      <c r="X192" t="n">
        <v>646.264</v>
      </c>
      <c r="Y192" t="n">
        <v>637.141</v>
      </c>
      <c r="Z192" t="n">
        <v>655.682</v>
      </c>
      <c r="AA192" t="n">
        <v>660.246</v>
      </c>
      <c r="AB192" t="n">
        <v>664.65</v>
      </c>
      <c r="AC192" t="n">
        <v>681.424</v>
      </c>
      <c r="AD192" t="n">
        <v>671.174</v>
      </c>
      <c r="AE192" t="n">
        <v>695.078</v>
      </c>
      <c r="AF192" t="n">
        <v>696.936</v>
      </c>
      <c r="AG192" t="n">
        <v>702.67</v>
      </c>
      <c r="AH192" t="n">
        <v>702.317</v>
      </c>
      <c r="AI192" t="n">
        <v>702.554</v>
      </c>
      <c r="AJ192" t="n">
        <v>701.716</v>
      </c>
      <c r="AK192" t="n">
        <v>704.658</v>
      </c>
      <c r="AL192" t="n">
        <v>702.779</v>
      </c>
      <c r="AM192" t="n">
        <v>700.574</v>
      </c>
      <c r="AN192" t="n">
        <v>720.092</v>
      </c>
      <c r="AO192" t="n">
        <v>695.274</v>
      </c>
      <c r="AP192" t="n">
        <v>692.074</v>
      </c>
      <c r="AQ192" t="n">
        <v>699.259</v>
      </c>
      <c r="AR192" t="n">
        <v>684.634</v>
      </c>
      <c r="AS192" t="n">
        <v>699.663</v>
      </c>
      <c r="AT192" t="n">
        <v>702.226</v>
      </c>
      <c r="AU192" t="n">
        <v>704.2</v>
      </c>
      <c r="AV192" t="n">
        <v>705.587</v>
      </c>
      <c r="AW192" t="n">
        <v>706.388</v>
      </c>
      <c r="AX192" t="n">
        <v>706.602</v>
      </c>
      <c r="AY192" t="n">
        <v>706.229</v>
      </c>
      <c r="AZ192" t="n">
        <v>705.27</v>
      </c>
      <c r="BA192" t="n">
        <v>703.724</v>
      </c>
      <c r="BB192" t="n">
        <v>701.592</v>
      </c>
      <c r="BC192" t="n">
        <v>698.872</v>
      </c>
      <c r="BD192" t="n">
        <v>701.926</v>
      </c>
      <c r="BE192" t="n">
        <v>704.1</v>
      </c>
      <c r="BF192" t="n">
        <v>705.3920000000001</v>
      </c>
      <c r="BG192" t="n">
        <v>705.8</v>
      </c>
      <c r="BH192" t="n">
        <v>705.325</v>
      </c>
      <c r="BI192" t="n">
        <v>703.968</v>
      </c>
      <c r="BJ192" t="n">
        <v>701.727</v>
      </c>
      <c r="BK192" t="n">
        <v>698.604</v>
      </c>
      <c r="BL192" t="n">
        <v>714.473</v>
      </c>
      <c r="BM192" t="n">
        <v>730.345</v>
      </c>
      <c r="BN192" t="n">
        <v>730.196</v>
      </c>
      <c r="BO192" t="n">
        <v>739.01</v>
      </c>
      <c r="BP192" t="n">
        <v>748.054</v>
      </c>
      <c r="BQ192" t="n">
        <v>757.194</v>
      </c>
      <c r="BR192" t="n">
        <v>763.776</v>
      </c>
      <c r="BS192" t="n">
        <v>767.691</v>
      </c>
      <c r="BT192" t="n">
        <v>768.923</v>
      </c>
      <c r="BU192" t="n">
        <v>768.923</v>
      </c>
      <c r="BV192" t="n">
        <v>768.923</v>
      </c>
    </row>
    <row r="193">
      <c r="A193" t="inlineStr">
        <is>
          <t>Anchoviella</t>
        </is>
      </c>
      <c r="B193" t="inlineStr">
        <is>
          <t>Anchovies</t>
        </is>
      </c>
      <c r="C193" t="inlineStr">
        <is>
          <t>Small pelagics (&lt;30 cm)</t>
        </is>
      </c>
      <c r="D193" t="inlineStr">
        <is>
          <t>Anchovies</t>
        </is>
      </c>
      <c r="E193" t="n">
        <v>0</v>
      </c>
      <c r="F193" t="n">
        <v>1.158</v>
      </c>
      <c r="G193" t="n">
        <v>1.102</v>
      </c>
      <c r="H193" t="n">
        <v>1.069</v>
      </c>
      <c r="I193" t="n">
        <v>1.072</v>
      </c>
      <c r="J193" t="n">
        <v>2.126</v>
      </c>
      <c r="K193" t="n">
        <v>2.348</v>
      </c>
      <c r="L193" t="n">
        <v>4.958</v>
      </c>
      <c r="M193" t="n">
        <v>6.458</v>
      </c>
      <c r="N193" t="n">
        <v>8.121</v>
      </c>
      <c r="O193" t="n">
        <v>9.568</v>
      </c>
      <c r="P193" t="n">
        <v>10.596</v>
      </c>
      <c r="Q193" t="n">
        <v>12.253</v>
      </c>
      <c r="R193" t="n">
        <v>11.973</v>
      </c>
      <c r="S193" t="n">
        <v>11.56</v>
      </c>
      <c r="T193" t="n">
        <v>17.613</v>
      </c>
      <c r="U193" t="n">
        <v>26.285</v>
      </c>
      <c r="V193" t="n">
        <v>32.527</v>
      </c>
      <c r="W193" t="n">
        <v>27.491</v>
      </c>
      <c r="X193" t="n">
        <v>33.076</v>
      </c>
      <c r="Y193" t="n">
        <v>36.844</v>
      </c>
      <c r="Z193" t="n">
        <v>33.376</v>
      </c>
      <c r="AA193" t="n">
        <v>66.879</v>
      </c>
      <c r="AB193" t="n">
        <v>64.794</v>
      </c>
      <c r="AC193" t="n">
        <v>60.446</v>
      </c>
      <c r="AD193" t="n">
        <v>78.051</v>
      </c>
      <c r="AE193" t="n">
        <v>117.752</v>
      </c>
      <c r="AF193" t="n">
        <v>99.542</v>
      </c>
      <c r="AG193" t="n">
        <v>100.525</v>
      </c>
      <c r="AH193" t="n">
        <v>102.348</v>
      </c>
      <c r="AI193" t="n">
        <v>142.172</v>
      </c>
      <c r="AJ193" t="n">
        <v>153.208</v>
      </c>
      <c r="AK193" t="n">
        <v>206.449</v>
      </c>
      <c r="AL193" t="n">
        <v>221.134</v>
      </c>
      <c r="AM193" t="n">
        <v>280.804</v>
      </c>
      <c r="AN193" t="n">
        <v>310.283</v>
      </c>
      <c r="AO193" t="n">
        <v>392.408</v>
      </c>
      <c r="AP193" t="n">
        <v>468.488</v>
      </c>
      <c r="AQ193" t="n">
        <v>540.958</v>
      </c>
      <c r="AR193" t="n">
        <v>611.141</v>
      </c>
      <c r="AS193" t="n">
        <v>679.627</v>
      </c>
      <c r="AT193" t="n">
        <v>747.092</v>
      </c>
      <c r="AU193" t="n">
        <v>887.796</v>
      </c>
      <c r="AV193" t="n">
        <v>1063.131</v>
      </c>
      <c r="AW193" t="n">
        <v>1241.899</v>
      </c>
      <c r="AX193" t="n">
        <v>1094.777</v>
      </c>
      <c r="AY193" t="n">
        <v>1099.833</v>
      </c>
      <c r="AZ193" t="n">
        <v>1031.582</v>
      </c>
      <c r="BA193" t="n">
        <v>791.1660000000001</v>
      </c>
      <c r="BB193" t="n">
        <v>1148.456</v>
      </c>
      <c r="BC193" t="n">
        <v>1112.222</v>
      </c>
      <c r="BD193" t="n">
        <v>1299.363</v>
      </c>
      <c r="BE193" t="n">
        <v>1405.095</v>
      </c>
      <c r="BF193" t="n">
        <v>1510.477</v>
      </c>
      <c r="BG193" t="n">
        <v>1618.653</v>
      </c>
      <c r="BH193" t="n">
        <v>1721.398</v>
      </c>
      <c r="BI193" t="n">
        <v>1830.459</v>
      </c>
      <c r="BJ193" t="n">
        <v>1559.618</v>
      </c>
      <c r="BK193" t="n">
        <v>884.829</v>
      </c>
      <c r="BL193" t="n">
        <v>850.509</v>
      </c>
      <c r="BM193" t="n">
        <v>1162.605</v>
      </c>
      <c r="BN193" t="n">
        <v>1442.062</v>
      </c>
      <c r="BO193" t="n">
        <v>1488.806</v>
      </c>
      <c r="BP193" t="n">
        <v>1988.074</v>
      </c>
      <c r="BQ193" t="n">
        <v>1935.491</v>
      </c>
      <c r="BR193" t="n">
        <v>1928.702</v>
      </c>
      <c r="BS193" t="n">
        <v>1950.174</v>
      </c>
      <c r="BT193" t="n">
        <v>2063.586</v>
      </c>
      <c r="BU193" t="n">
        <v>2074.864</v>
      </c>
      <c r="BV193" t="n">
        <v>2163.108</v>
      </c>
    </row>
    <row r="194">
      <c r="A194" t="inlineStr">
        <is>
          <t>Mierspenaeopsis sculptilis</t>
        </is>
      </c>
      <c r="B194" t="inlineStr">
        <is>
          <t>Rainbow shrimp</t>
        </is>
      </c>
      <c r="C194" t="inlineStr">
        <is>
          <t>Shrimps</t>
        </is>
      </c>
      <c r="D194" t="inlineStr">
        <is>
          <t>Crustaceans</t>
        </is>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2453.543</v>
      </c>
      <c r="AO194" t="n">
        <v>2212.766</v>
      </c>
      <c r="AP194" t="n">
        <v>1952.089</v>
      </c>
      <c r="AQ194" t="n">
        <v>1513.317</v>
      </c>
      <c r="AR194" t="n">
        <v>1991.887</v>
      </c>
      <c r="AS194" t="n">
        <v>795.9589999999999</v>
      </c>
      <c r="AT194" t="n">
        <v>687.51</v>
      </c>
      <c r="AU194" t="n">
        <v>782.03</v>
      </c>
      <c r="AV194" t="n">
        <v>677.5599999999999</v>
      </c>
      <c r="AW194" t="n">
        <v>657.6609999999999</v>
      </c>
      <c r="AX194" t="n">
        <v>1350.145</v>
      </c>
      <c r="AY194" t="n">
        <v>1179.014</v>
      </c>
      <c r="AZ194" t="n">
        <v>1451.63</v>
      </c>
      <c r="BA194" t="n">
        <v>959.131</v>
      </c>
      <c r="BB194" t="n">
        <v>1271.544</v>
      </c>
      <c r="BC194" t="n">
        <v>1503.367</v>
      </c>
      <c r="BD194" t="n">
        <v>1456.605</v>
      </c>
      <c r="BE194" t="n">
        <v>1405.862</v>
      </c>
      <c r="BF194" t="n">
        <v>1546.15</v>
      </c>
      <c r="BG194" t="n">
        <v>1690.418</v>
      </c>
      <c r="BH194" t="n">
        <v>472.601</v>
      </c>
      <c r="BI194" t="n">
        <v>498.469</v>
      </c>
      <c r="BJ194" t="n">
        <v>567.121</v>
      </c>
      <c r="BK194" t="n">
        <v>592.989</v>
      </c>
      <c r="BL194" t="n">
        <v>1366.065</v>
      </c>
      <c r="BM194" t="n">
        <v>1324.277</v>
      </c>
      <c r="BN194" t="n">
        <v>1228.294</v>
      </c>
      <c r="BO194" t="n">
        <v>1244.643</v>
      </c>
      <c r="BP194" t="n">
        <v>1218.628</v>
      </c>
      <c r="BQ194" t="n">
        <v>1297.381</v>
      </c>
      <c r="BR194" t="n">
        <v>1315.713</v>
      </c>
      <c r="BS194" t="n">
        <v>1414.016</v>
      </c>
      <c r="BT194" t="n">
        <v>1307.573</v>
      </c>
      <c r="BU194" t="n">
        <v>1201.703</v>
      </c>
      <c r="BV194" t="n">
        <v>1254.33</v>
      </c>
    </row>
    <row r="195">
      <c r="A195" t="inlineStr">
        <is>
          <t>Holothuroidea</t>
        </is>
      </c>
      <c r="B195" t="inlineStr">
        <is>
          <t>Sea cucumbers</t>
        </is>
      </c>
      <c r="C195" t="inlineStr">
        <is>
          <t>Other demersal invertebrates</t>
        </is>
      </c>
      <c r="D195" t="inlineStr">
        <is>
          <t>Other fishes &amp; inverts</t>
        </is>
      </c>
      <c r="E195" t="n">
        <v>76.527</v>
      </c>
      <c r="F195" t="n">
        <v>75.819</v>
      </c>
      <c r="G195" t="n">
        <v>76.289</v>
      </c>
      <c r="H195" t="n">
        <v>76.75</v>
      </c>
      <c r="I195" t="n">
        <v>77.199</v>
      </c>
      <c r="J195" t="n">
        <v>77.639</v>
      </c>
      <c r="K195" t="n">
        <v>78.06699999999999</v>
      </c>
      <c r="L195" t="n">
        <v>78.482</v>
      </c>
      <c r="M195" t="n">
        <v>78.886</v>
      </c>
      <c r="N195" t="n">
        <v>79.276</v>
      </c>
      <c r="O195" t="n">
        <v>81.691</v>
      </c>
      <c r="P195" t="n">
        <v>86.202</v>
      </c>
      <c r="Q195" t="n">
        <v>86.08799999999999</v>
      </c>
      <c r="R195" t="n">
        <v>87.048</v>
      </c>
      <c r="S195" t="n">
        <v>87.998</v>
      </c>
      <c r="T195" t="n">
        <v>88.93899999999999</v>
      </c>
      <c r="U195" t="n">
        <v>89.67700000000001</v>
      </c>
      <c r="V195" t="n">
        <v>90.401</v>
      </c>
      <c r="W195" t="n">
        <v>91.10599999999999</v>
      </c>
      <c r="X195" t="n">
        <v>91.794</v>
      </c>
      <c r="Y195" t="n">
        <v>90.498</v>
      </c>
      <c r="Z195" t="n">
        <v>93.131</v>
      </c>
      <c r="AA195" t="n">
        <v>93.78</v>
      </c>
      <c r="AB195" t="n">
        <v>94.405</v>
      </c>
      <c r="AC195" t="n">
        <v>96.788</v>
      </c>
      <c r="AD195" t="n">
        <v>95.33199999999999</v>
      </c>
      <c r="AE195" t="n">
        <v>170.487</v>
      </c>
      <c r="AF195" t="n">
        <v>137.464</v>
      </c>
      <c r="AG195" t="n">
        <v>151.857</v>
      </c>
      <c r="AH195" t="n">
        <v>145.772</v>
      </c>
      <c r="AI195" t="n">
        <v>159.384</v>
      </c>
      <c r="AJ195" t="n">
        <v>154.739</v>
      </c>
      <c r="AK195" t="n">
        <v>159.683</v>
      </c>
      <c r="AL195" t="n">
        <v>142.065</v>
      </c>
      <c r="AM195" t="n">
        <v>126.665</v>
      </c>
      <c r="AN195" t="n">
        <v>187.523</v>
      </c>
      <c r="AO195" t="n">
        <v>167.402</v>
      </c>
      <c r="AP195" t="n">
        <v>160.913</v>
      </c>
      <c r="AQ195" t="n">
        <v>162.688</v>
      </c>
      <c r="AR195" t="n">
        <v>132.699</v>
      </c>
      <c r="AS195" t="n">
        <v>146.149</v>
      </c>
      <c r="AT195" t="n">
        <v>148.776</v>
      </c>
      <c r="AU195" t="n">
        <v>149.057</v>
      </c>
      <c r="AV195" t="n">
        <v>149.254</v>
      </c>
      <c r="AW195" t="n">
        <v>169.735</v>
      </c>
      <c r="AX195" t="n">
        <v>175.801</v>
      </c>
      <c r="AY195" t="n">
        <v>213.466</v>
      </c>
      <c r="AZ195" t="n">
        <v>305.363</v>
      </c>
      <c r="BA195" t="n">
        <v>253.092</v>
      </c>
      <c r="BB195" t="n">
        <v>227.895</v>
      </c>
      <c r="BC195" t="n">
        <v>208.649</v>
      </c>
      <c r="BD195" t="n">
        <v>167.593</v>
      </c>
      <c r="BE195" t="n">
        <v>213.164</v>
      </c>
      <c r="BF195" t="n">
        <v>228.434</v>
      </c>
      <c r="BG195" t="n">
        <v>311.473</v>
      </c>
      <c r="BH195" t="n">
        <v>1865.401</v>
      </c>
      <c r="BI195" t="n">
        <v>1118.385</v>
      </c>
      <c r="BJ195" t="n">
        <v>2272.248</v>
      </c>
      <c r="BK195" t="n">
        <v>3290.2</v>
      </c>
      <c r="BL195" t="n">
        <v>2765.583</v>
      </c>
      <c r="BM195" t="n">
        <v>3042.141</v>
      </c>
      <c r="BN195" t="n">
        <v>3137.946</v>
      </c>
      <c r="BO195" t="n">
        <v>3021.852</v>
      </c>
      <c r="BP195" t="n">
        <v>3098.574</v>
      </c>
      <c r="BQ195" t="n">
        <v>2923.853</v>
      </c>
      <c r="BR195" t="n">
        <v>2254.239</v>
      </c>
      <c r="BS195" t="n">
        <v>1106.482</v>
      </c>
      <c r="BT195" t="n">
        <v>1022.838</v>
      </c>
      <c r="BU195" t="n">
        <v>1031.22</v>
      </c>
      <c r="BV195" t="n">
        <v>2078.952</v>
      </c>
    </row>
    <row r="196">
      <c r="A196" t="inlineStr">
        <is>
          <t>Octopoda</t>
        </is>
      </c>
      <c r="B196" t="inlineStr">
        <is>
          <t>Octopuses, argonauts</t>
        </is>
      </c>
      <c r="C196" t="inlineStr">
        <is>
          <t>Cephalopods</t>
        </is>
      </c>
      <c r="D196" t="inlineStr">
        <is>
          <t>Other fishes &amp; inverts</t>
        </is>
      </c>
      <c r="E196" t="n">
        <v>645.706</v>
      </c>
      <c r="F196" t="n">
        <v>650.035</v>
      </c>
      <c r="G196" t="n">
        <v>654.082</v>
      </c>
      <c r="H196" t="n">
        <v>658.929</v>
      </c>
      <c r="I196" t="n">
        <v>664.1950000000001</v>
      </c>
      <c r="J196" t="n">
        <v>666.776</v>
      </c>
      <c r="K196" t="n">
        <v>668.972</v>
      </c>
      <c r="L196" t="n">
        <v>672.692</v>
      </c>
      <c r="M196" t="n">
        <v>674.806</v>
      </c>
      <c r="N196" t="n">
        <v>677.2140000000001</v>
      </c>
      <c r="O196" t="n">
        <v>668.475</v>
      </c>
      <c r="P196" t="n">
        <v>671.689</v>
      </c>
      <c r="Q196" t="n">
        <v>672.88</v>
      </c>
      <c r="R196" t="n">
        <v>673.6660000000001</v>
      </c>
      <c r="S196" t="n">
        <v>673.982</v>
      </c>
      <c r="T196" t="n">
        <v>673.947</v>
      </c>
      <c r="U196" t="n">
        <v>673.523</v>
      </c>
      <c r="V196" t="n">
        <v>672.643</v>
      </c>
      <c r="W196" t="n">
        <v>671.1369999999999</v>
      </c>
      <c r="X196" t="n">
        <v>668.796</v>
      </c>
      <c r="Y196" t="n">
        <v>664.975</v>
      </c>
      <c r="Z196" t="n">
        <v>661.139</v>
      </c>
      <c r="AA196" t="n">
        <v>655.804</v>
      </c>
      <c r="AB196" t="n">
        <v>649.5309999999999</v>
      </c>
      <c r="AC196" t="n">
        <v>642.857</v>
      </c>
      <c r="AD196" t="n">
        <v>634.3920000000001</v>
      </c>
      <c r="AE196" t="n">
        <v>626.397</v>
      </c>
      <c r="AF196" t="n">
        <v>616.775</v>
      </c>
      <c r="AG196" t="n">
        <v>606.356</v>
      </c>
      <c r="AH196" t="n">
        <v>594.64</v>
      </c>
      <c r="AI196" t="n">
        <v>581.809</v>
      </c>
      <c r="AJ196" t="n">
        <v>574.62</v>
      </c>
      <c r="AK196" t="n">
        <v>564.126</v>
      </c>
      <c r="AL196" t="n">
        <v>552.724</v>
      </c>
      <c r="AM196" t="n">
        <v>540.809</v>
      </c>
      <c r="AN196" t="n">
        <v>529.324</v>
      </c>
      <c r="AO196" t="n">
        <v>515.867</v>
      </c>
      <c r="AP196" t="n">
        <v>522.921</v>
      </c>
      <c r="AQ196" t="n">
        <v>530.407</v>
      </c>
      <c r="AR196" t="n">
        <v>537.046</v>
      </c>
      <c r="AS196" t="n">
        <v>544.627</v>
      </c>
      <c r="AT196" t="n">
        <v>551.605</v>
      </c>
      <c r="AU196" t="n">
        <v>558.402</v>
      </c>
      <c r="AV196" t="n">
        <v>564.928</v>
      </c>
      <c r="AW196" t="n">
        <v>571.0700000000001</v>
      </c>
      <c r="AX196" t="n">
        <v>576.749</v>
      </c>
      <c r="AY196" t="n">
        <v>581.941</v>
      </c>
      <c r="AZ196" t="n">
        <v>586.664</v>
      </c>
      <c r="BA196" t="n">
        <v>590.949</v>
      </c>
      <c r="BB196" t="n">
        <v>594.8440000000001</v>
      </c>
      <c r="BC196" t="n">
        <v>598.402</v>
      </c>
      <c r="BD196" t="n">
        <v>601.593</v>
      </c>
      <c r="BE196" t="n">
        <v>606.004</v>
      </c>
      <c r="BF196" t="n">
        <v>614.3200000000001</v>
      </c>
      <c r="BG196" t="n">
        <v>623.754</v>
      </c>
      <c r="BH196" t="n">
        <v>345.227</v>
      </c>
      <c r="BI196" t="n">
        <v>637.835</v>
      </c>
      <c r="BJ196" t="n">
        <v>642.237</v>
      </c>
      <c r="BK196" t="n">
        <v>646.74</v>
      </c>
      <c r="BL196" t="n">
        <v>600.657</v>
      </c>
      <c r="BM196" t="n">
        <v>517.807</v>
      </c>
      <c r="BN196" t="n">
        <v>578.494</v>
      </c>
      <c r="BO196" t="n">
        <v>379.838</v>
      </c>
      <c r="BP196" t="n">
        <v>373.518</v>
      </c>
      <c r="BQ196" t="n">
        <v>307.074</v>
      </c>
      <c r="BR196" t="n">
        <v>438.809</v>
      </c>
      <c r="BS196" t="n">
        <v>429.188</v>
      </c>
      <c r="BT196" t="n">
        <v>361.737</v>
      </c>
      <c r="BU196" t="n">
        <v>379.3</v>
      </c>
      <c r="BV196" t="n">
        <v>379.3</v>
      </c>
    </row>
    <row r="197">
      <c r="A197" t="inlineStr">
        <is>
          <t>Scyphozoa</t>
        </is>
      </c>
      <c r="B197" t="inlineStr">
        <is>
          <t>True jellyfishes</t>
        </is>
      </c>
      <c r="C197" t="inlineStr">
        <is>
          <t>Jellyfish</t>
        </is>
      </c>
      <c r="D197" t="inlineStr">
        <is>
          <t>Other fishes &amp; inverts</t>
        </is>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1811.321</v>
      </c>
      <c r="AY197" t="n">
        <v>3424.716</v>
      </c>
      <c r="AZ197" t="n">
        <v>1411.471</v>
      </c>
      <c r="BA197" t="n">
        <v>431.838</v>
      </c>
      <c r="BB197" t="n">
        <v>699.7380000000001</v>
      </c>
      <c r="BC197" t="n">
        <v>899.663</v>
      </c>
      <c r="BD197" t="n">
        <v>1099.588</v>
      </c>
      <c r="BE197" t="n">
        <v>1299.513</v>
      </c>
      <c r="BF197" t="n">
        <v>1499.438</v>
      </c>
      <c r="BG197" t="n">
        <v>1699.363</v>
      </c>
      <c r="BH197" t="n">
        <v>1975.259</v>
      </c>
      <c r="BI197" t="n">
        <v>1999.25</v>
      </c>
      <c r="BJ197" t="n">
        <v>2199.175</v>
      </c>
      <c r="BK197" t="n">
        <v>2409.097</v>
      </c>
      <c r="BL197" t="n">
        <v>2708.984</v>
      </c>
      <c r="BM197" t="n">
        <v>3178.808</v>
      </c>
      <c r="BN197" t="n">
        <v>3418.718</v>
      </c>
      <c r="BO197" t="n">
        <v>3688.617</v>
      </c>
      <c r="BP197" t="n">
        <v>3933.525</v>
      </c>
      <c r="BQ197" t="n">
        <v>0</v>
      </c>
      <c r="BR197" t="n">
        <v>0</v>
      </c>
      <c r="BS197" t="n">
        <v>0</v>
      </c>
      <c r="BT197" t="n">
        <v>0</v>
      </c>
      <c r="BU197" t="n">
        <v>0</v>
      </c>
      <c r="BV197" t="n">
        <v>0</v>
      </c>
    </row>
    <row r="198">
      <c r="A198" t="inlineStr">
        <is>
          <t>Siganus canaliculatus</t>
        </is>
      </c>
      <c r="B198" t="inlineStr">
        <is>
          <t>White-spotted spinefoot</t>
        </is>
      </c>
      <c r="C198" t="inlineStr">
        <is>
          <t>Small reef assoc. fish (&lt;30 cm)</t>
        </is>
      </c>
      <c r="D198" t="inlineStr">
        <is>
          <t>Perch-likes</t>
        </is>
      </c>
      <c r="E198" t="n">
        <v>246.373</v>
      </c>
      <c r="F198" t="n">
        <v>246.373</v>
      </c>
      <c r="G198" t="n">
        <v>329.487</v>
      </c>
      <c r="H198" t="n">
        <v>286.941</v>
      </c>
      <c r="I198" t="n">
        <v>246.373</v>
      </c>
      <c r="J198" t="n">
        <v>246.373</v>
      </c>
      <c r="K198" t="n">
        <v>246.373</v>
      </c>
      <c r="L198" t="n">
        <v>238.458</v>
      </c>
      <c r="M198" t="n">
        <v>254.289</v>
      </c>
      <c r="N198" t="n">
        <v>246.373</v>
      </c>
      <c r="O198" t="n">
        <v>328.498</v>
      </c>
      <c r="P198" t="n">
        <v>422.496</v>
      </c>
      <c r="Q198" t="n">
        <v>428.432</v>
      </c>
      <c r="R198" t="n">
        <v>736.152</v>
      </c>
      <c r="S198" t="n">
        <v>683.711</v>
      </c>
      <c r="T198" t="n">
        <v>699.545</v>
      </c>
      <c r="U198" t="n">
        <v>862.808</v>
      </c>
      <c r="V198" t="n">
        <v>1046.85</v>
      </c>
      <c r="W198" t="n">
        <v>1044.875</v>
      </c>
      <c r="X198" t="n">
        <v>938.0170000000001</v>
      </c>
      <c r="Y198" t="n">
        <v>761.891</v>
      </c>
      <c r="Z198" t="n">
        <v>819.283</v>
      </c>
      <c r="AA198" t="n">
        <v>675.809</v>
      </c>
      <c r="AB198" t="n">
        <v>606.538</v>
      </c>
      <c r="AC198" t="n">
        <v>673.823</v>
      </c>
      <c r="AD198" t="n">
        <v>545.194</v>
      </c>
      <c r="AE198" t="n">
        <v>577.848</v>
      </c>
      <c r="AF198" t="n">
        <v>737.47</v>
      </c>
      <c r="AG198" t="n">
        <v>711.425</v>
      </c>
      <c r="AH198" t="n">
        <v>557.072</v>
      </c>
      <c r="AI198" t="n">
        <v>714.395</v>
      </c>
      <c r="AJ198" t="n">
        <v>735.172</v>
      </c>
      <c r="AK198" t="n">
        <v>721.321</v>
      </c>
      <c r="AL198" t="n">
        <v>660.961</v>
      </c>
      <c r="AM198" t="n">
        <v>510.568</v>
      </c>
      <c r="AN198" t="n">
        <v>571.91</v>
      </c>
      <c r="AO198" t="n">
        <v>635.236</v>
      </c>
      <c r="AP198" t="n">
        <v>590.713</v>
      </c>
      <c r="AQ198" t="n">
        <v>447.241</v>
      </c>
      <c r="AR198" t="n">
        <v>609.511</v>
      </c>
      <c r="AS198" t="n">
        <v>531.3440000000001</v>
      </c>
      <c r="AT198" t="n">
        <v>401.724</v>
      </c>
      <c r="AU198" t="n">
        <v>455.155</v>
      </c>
      <c r="AV198" t="n">
        <v>497.701</v>
      </c>
      <c r="AW198" t="n">
        <v>506.606</v>
      </c>
      <c r="AX198" t="n">
        <v>566.963</v>
      </c>
      <c r="AY198" t="n">
        <v>562.015</v>
      </c>
      <c r="AZ198" t="n">
        <v>557.068</v>
      </c>
      <c r="BA198" t="n">
        <v>573.889</v>
      </c>
      <c r="BB198" t="n">
        <v>482.859</v>
      </c>
      <c r="BC198" t="n">
        <v>580.8150000000001</v>
      </c>
      <c r="BD198" t="n">
        <v>567.951</v>
      </c>
      <c r="BE198" t="n">
        <v>512.543</v>
      </c>
      <c r="BF198" t="n">
        <v>572.9</v>
      </c>
      <c r="BG198" t="n">
        <v>616.436</v>
      </c>
      <c r="BH198" t="n">
        <v>492.754</v>
      </c>
      <c r="BI198" t="n">
        <v>571.9109999999999</v>
      </c>
      <c r="BJ198" t="n">
        <v>573.891</v>
      </c>
      <c r="BK198" t="n">
        <v>598.627</v>
      </c>
      <c r="BL198" t="n">
        <v>607.533</v>
      </c>
      <c r="BM198" t="n">
        <v>636.227</v>
      </c>
      <c r="BN198" t="n">
        <v>599.588</v>
      </c>
      <c r="BO198" t="n">
        <v>608.739</v>
      </c>
      <c r="BP198" t="n">
        <v>592.616</v>
      </c>
      <c r="BQ198" t="n">
        <v>628.049</v>
      </c>
      <c r="BR198" t="n">
        <v>636.48</v>
      </c>
      <c r="BS198" t="n">
        <v>683.158</v>
      </c>
      <c r="BT198" t="n">
        <v>631.787</v>
      </c>
      <c r="BU198" t="n">
        <v>579.498</v>
      </c>
      <c r="BV198" t="n">
        <v>604.034</v>
      </c>
    </row>
    <row r="199">
      <c r="A199" t="inlineStr">
        <is>
          <t>Chirocentrus nudus</t>
        </is>
      </c>
      <c r="B199" t="inlineStr">
        <is>
          <t>Whitefin wolf-herring</t>
        </is>
      </c>
      <c r="C199" t="inlineStr">
        <is>
          <t>Large pelagics (&gt;=90 cm)</t>
        </is>
      </c>
      <c r="D199" t="inlineStr">
        <is>
          <t>Herring-likes</t>
        </is>
      </c>
      <c r="E199" t="n">
        <v>421.286</v>
      </c>
      <c r="F199" t="n">
        <v>417.388</v>
      </c>
      <c r="G199" t="n">
        <v>419.973</v>
      </c>
      <c r="H199" t="n">
        <v>422.51</v>
      </c>
      <c r="I199" t="n">
        <v>424.983</v>
      </c>
      <c r="J199" t="n">
        <v>427.405</v>
      </c>
      <c r="K199" t="n">
        <v>429.761</v>
      </c>
      <c r="L199" t="n">
        <v>432.045</v>
      </c>
      <c r="M199" t="n">
        <v>434.268</v>
      </c>
      <c r="N199" t="n">
        <v>436.416</v>
      </c>
      <c r="O199" t="n">
        <v>449.71</v>
      </c>
      <c r="P199" t="n">
        <v>474.546</v>
      </c>
      <c r="Q199" t="n">
        <v>473.921</v>
      </c>
      <c r="R199" t="n">
        <v>479.2</v>
      </c>
      <c r="S199" t="n">
        <v>484.435</v>
      </c>
      <c r="T199" t="n">
        <v>489.61</v>
      </c>
      <c r="U199" t="n">
        <v>493.675</v>
      </c>
      <c r="V199" t="n">
        <v>497.66</v>
      </c>
      <c r="W199" t="n">
        <v>501.544</v>
      </c>
      <c r="X199" t="n">
        <v>505.328</v>
      </c>
      <c r="Y199" t="n">
        <v>498.195</v>
      </c>
      <c r="Z199" t="n">
        <v>512.692</v>
      </c>
      <c r="AA199" t="n">
        <v>516.261</v>
      </c>
      <c r="AB199" t="n">
        <v>519.704</v>
      </c>
      <c r="AC199" t="n">
        <v>532.821</v>
      </c>
      <c r="AD199" t="n">
        <v>524.806</v>
      </c>
      <c r="AE199" t="n">
        <v>543.497</v>
      </c>
      <c r="AF199" t="n">
        <v>544.95</v>
      </c>
      <c r="AG199" t="n">
        <v>549.434</v>
      </c>
      <c r="AH199" t="n">
        <v>549.157</v>
      </c>
      <c r="AI199" t="n">
        <v>549.343</v>
      </c>
      <c r="AJ199" t="n">
        <v>548.687</v>
      </c>
      <c r="AK199" t="n">
        <v>550.9880000000001</v>
      </c>
      <c r="AL199" t="n">
        <v>549.518</v>
      </c>
      <c r="AM199" t="n">
        <v>547.795</v>
      </c>
      <c r="AN199" t="n">
        <v>563.056</v>
      </c>
      <c r="AO199" t="n">
        <v>543.65</v>
      </c>
      <c r="AP199" t="n">
        <v>541.148</v>
      </c>
      <c r="AQ199" t="n">
        <v>546.766</v>
      </c>
      <c r="AR199" t="n">
        <v>535.331</v>
      </c>
      <c r="AS199" t="n">
        <v>547.082</v>
      </c>
      <c r="AT199" t="n">
        <v>549.086</v>
      </c>
      <c r="AU199" t="n">
        <v>550.629</v>
      </c>
      <c r="AV199" t="n">
        <v>551.7140000000001</v>
      </c>
      <c r="AW199" t="n">
        <v>552.34</v>
      </c>
      <c r="AX199" t="n">
        <v>552.508</v>
      </c>
      <c r="AY199" t="n">
        <v>552.216</v>
      </c>
      <c r="AZ199" t="n">
        <v>551.466</v>
      </c>
      <c r="BA199" t="n">
        <v>550.258</v>
      </c>
      <c r="BB199" t="n">
        <v>548.59</v>
      </c>
      <c r="BC199" t="n">
        <v>546.4640000000001</v>
      </c>
      <c r="BD199" t="n">
        <v>548.852</v>
      </c>
      <c r="BE199" t="n">
        <v>550.552</v>
      </c>
      <c r="BF199" t="n">
        <v>551.561</v>
      </c>
      <c r="BG199" t="n">
        <v>551.881</v>
      </c>
      <c r="BH199" t="n">
        <v>551.509</v>
      </c>
      <c r="BI199" t="n">
        <v>550.448</v>
      </c>
      <c r="BJ199" t="n">
        <v>548.696</v>
      </c>
      <c r="BK199" t="n">
        <v>546.254</v>
      </c>
      <c r="BL199" t="n">
        <v>558.662</v>
      </c>
      <c r="BM199" t="n">
        <v>571.073</v>
      </c>
      <c r="BN199" t="n">
        <v>570.956</v>
      </c>
      <c r="BO199" t="n">
        <v>577.849</v>
      </c>
      <c r="BP199" t="n">
        <v>584.92</v>
      </c>
      <c r="BQ199" t="n">
        <v>592.067</v>
      </c>
      <c r="BR199" t="n">
        <v>597.213</v>
      </c>
      <c r="BS199" t="n">
        <v>600.275</v>
      </c>
      <c r="BT199" t="n">
        <v>601.2380000000001</v>
      </c>
      <c r="BU199" t="n">
        <v>601.2380000000001</v>
      </c>
      <c r="BV199" t="n">
        <v>601.2380000000001</v>
      </c>
    </row>
    <row r="200">
      <c r="A200" t="inlineStr">
        <is>
          <t>Pleuronectiformes</t>
        </is>
      </c>
      <c r="B200" t="inlineStr">
        <is>
          <t>Flatfishes</t>
        </is>
      </c>
      <c r="C200" t="inlineStr">
        <is>
          <t>Small to medium flatfishes (&lt;90 cm)</t>
        </is>
      </c>
      <c r="D200" t="inlineStr">
        <is>
          <t>Flatfishes</t>
        </is>
      </c>
      <c r="E200" t="n">
        <v>590.562</v>
      </c>
      <c r="F200" t="n">
        <v>134.782</v>
      </c>
      <c r="G200" t="n">
        <v>231.214</v>
      </c>
      <c r="H200" t="n">
        <v>20.591</v>
      </c>
      <c r="I200" t="n">
        <v>357.408</v>
      </c>
      <c r="J200" t="n">
        <v>712.908</v>
      </c>
      <c r="K200" t="n">
        <v>119.85</v>
      </c>
      <c r="L200" t="n">
        <v>348.209</v>
      </c>
      <c r="M200" t="n">
        <v>198.376</v>
      </c>
      <c r="N200" t="n">
        <v>438.873</v>
      </c>
      <c r="O200" t="n">
        <v>812.761</v>
      </c>
      <c r="P200" t="n">
        <v>1379.408</v>
      </c>
      <c r="Q200" t="n">
        <v>1138.161</v>
      </c>
      <c r="R200" t="n">
        <v>672.419</v>
      </c>
      <c r="S200" t="n">
        <v>1362.427</v>
      </c>
      <c r="T200" t="n">
        <v>875.199</v>
      </c>
      <c r="U200" t="n">
        <v>891.904</v>
      </c>
      <c r="V200" t="n">
        <v>1033.986</v>
      </c>
      <c r="W200" t="n">
        <v>1032.464</v>
      </c>
      <c r="X200" t="n">
        <v>794.27</v>
      </c>
      <c r="Y200" t="n">
        <v>829.801</v>
      </c>
      <c r="Z200" t="n">
        <v>841.54</v>
      </c>
      <c r="AA200" t="n">
        <v>792.203</v>
      </c>
      <c r="AB200" t="n">
        <v>1050.974</v>
      </c>
      <c r="AC200" t="n">
        <v>1533.311</v>
      </c>
      <c r="AD200" t="n">
        <v>1192.096</v>
      </c>
      <c r="AE200" t="n">
        <v>1179.391</v>
      </c>
      <c r="AF200" t="n">
        <v>1668.397</v>
      </c>
      <c r="AG200" t="n">
        <v>2073.858</v>
      </c>
      <c r="AH200" t="n">
        <v>3104.829</v>
      </c>
      <c r="AI200" t="n">
        <v>2782.453</v>
      </c>
      <c r="AJ200" t="n">
        <v>1013.719</v>
      </c>
      <c r="AK200" t="n">
        <v>77.679</v>
      </c>
      <c r="AL200" t="n">
        <v>158.372</v>
      </c>
      <c r="AM200" t="n">
        <v>60.159</v>
      </c>
      <c r="AN200" t="n">
        <v>109.785</v>
      </c>
      <c r="AO200" t="n">
        <v>126.569</v>
      </c>
      <c r="AP200" t="n">
        <v>57.703</v>
      </c>
      <c r="AQ200" t="n">
        <v>21.644</v>
      </c>
      <c r="AR200" t="n">
        <v>15.734</v>
      </c>
      <c r="AS200" t="n">
        <v>99.015</v>
      </c>
      <c r="AT200" t="n">
        <v>121.026</v>
      </c>
      <c r="AU200" t="n">
        <v>132.683</v>
      </c>
      <c r="AV200" t="n">
        <v>91.42400000000001</v>
      </c>
      <c r="AW200" t="n">
        <v>215.233</v>
      </c>
      <c r="AX200" t="n">
        <v>107.285</v>
      </c>
      <c r="AY200" t="n">
        <v>85.348</v>
      </c>
      <c r="AZ200" t="n">
        <v>106.018</v>
      </c>
      <c r="BA200" t="n">
        <v>304.288</v>
      </c>
      <c r="BB200" t="n">
        <v>80.072</v>
      </c>
      <c r="BC200" t="n">
        <v>139.584</v>
      </c>
      <c r="BD200" t="n">
        <v>179.748</v>
      </c>
      <c r="BE200" t="n">
        <v>119.677</v>
      </c>
      <c r="BF200" t="n">
        <v>46.872</v>
      </c>
      <c r="BG200" t="n">
        <v>53.107</v>
      </c>
      <c r="BH200" t="n">
        <v>59.755</v>
      </c>
      <c r="BI200" t="n">
        <v>18.023</v>
      </c>
      <c r="BJ200" t="n">
        <v>104.019</v>
      </c>
      <c r="BK200" t="n">
        <v>133.946</v>
      </c>
      <c r="BL200" t="n">
        <v>115.679</v>
      </c>
      <c r="BM200" t="n">
        <v>168.485</v>
      </c>
      <c r="BN200" t="n">
        <v>225.523</v>
      </c>
      <c r="BO200" t="n">
        <v>240.603</v>
      </c>
      <c r="BP200" t="n">
        <v>314.426</v>
      </c>
      <c r="BQ200" t="n">
        <v>248.752</v>
      </c>
      <c r="BR200" t="n">
        <v>85.693</v>
      </c>
      <c r="BS200" t="n">
        <v>102.115</v>
      </c>
      <c r="BT200" t="n">
        <v>95.77</v>
      </c>
      <c r="BU200" t="n">
        <v>74.697</v>
      </c>
      <c r="BV200" t="n">
        <v>127.03</v>
      </c>
    </row>
    <row r="201">
      <c r="A201" t="inlineStr">
        <is>
          <t>Elagatis bipinnulata</t>
        </is>
      </c>
      <c r="B201" t="inlineStr">
        <is>
          <t>Rainbow runner</t>
        </is>
      </c>
      <c r="C201" t="inlineStr">
        <is>
          <t>Large pelagics (&gt;=90 cm)</t>
        </is>
      </c>
      <c r="D201" t="inlineStr">
        <is>
          <t>Perch-likes</t>
        </is>
      </c>
      <c r="E201" t="n">
        <v>0</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1.852</v>
      </c>
      <c r="Z201" t="n">
        <v>1.924</v>
      </c>
      <c r="AA201" t="n">
        <v>0</v>
      </c>
      <c r="AB201" t="n">
        <v>1.745</v>
      </c>
      <c r="AC201" t="n">
        <v>4.277</v>
      </c>
      <c r="AD201" t="n">
        <v>3.131</v>
      </c>
      <c r="AE201" t="n">
        <v>1288.48</v>
      </c>
      <c r="AF201" t="n">
        <v>1046.821</v>
      </c>
      <c r="AG201" t="n">
        <v>1297.009</v>
      </c>
      <c r="AH201" t="n">
        <v>1408.964</v>
      </c>
      <c r="AI201" t="n">
        <v>1371.001</v>
      </c>
      <c r="AJ201" t="n">
        <v>1329.313</v>
      </c>
      <c r="AK201" t="n">
        <v>1358.237</v>
      </c>
      <c r="AL201" t="n">
        <v>1266.489</v>
      </c>
      <c r="AM201" t="n">
        <v>1283.446</v>
      </c>
      <c r="AN201" t="n">
        <v>490.494</v>
      </c>
      <c r="AO201" t="n">
        <v>446.728</v>
      </c>
      <c r="AP201" t="n">
        <v>414.946</v>
      </c>
      <c r="AQ201" t="n">
        <v>332.37</v>
      </c>
      <c r="AR201" t="n">
        <v>399.962</v>
      </c>
      <c r="AS201" t="n">
        <v>1579.658</v>
      </c>
      <c r="AT201" t="n">
        <v>1529.795</v>
      </c>
      <c r="AU201" t="n">
        <v>1764.151</v>
      </c>
      <c r="AV201" t="n">
        <v>1555.724</v>
      </c>
      <c r="AW201" t="n">
        <v>1505.861</v>
      </c>
      <c r="AX201" t="n">
        <v>1128.747</v>
      </c>
      <c r="AY201" t="n">
        <v>1050.98</v>
      </c>
      <c r="AZ201" t="n">
        <v>1033.998</v>
      </c>
      <c r="BA201" t="n">
        <v>1036.044</v>
      </c>
      <c r="BB201" t="n">
        <v>1004.103</v>
      </c>
      <c r="BC201" t="n">
        <v>1116.93</v>
      </c>
      <c r="BD201" t="n">
        <v>1001.248</v>
      </c>
      <c r="BE201" t="n">
        <v>994.2670000000001</v>
      </c>
      <c r="BF201" t="n">
        <v>1160.809</v>
      </c>
      <c r="BG201" t="n">
        <v>1223.637</v>
      </c>
      <c r="BH201" t="n">
        <v>21.933</v>
      </c>
      <c r="BI201" t="n">
        <v>23.928</v>
      </c>
      <c r="BJ201" t="n">
        <v>35.922</v>
      </c>
      <c r="BK201" t="n">
        <v>28.911</v>
      </c>
      <c r="BL201" t="n">
        <v>152.851</v>
      </c>
      <c r="BM201" t="n">
        <v>150.586</v>
      </c>
      <c r="BN201" t="n">
        <v>140.081</v>
      </c>
      <c r="BO201" t="n">
        <v>141.989</v>
      </c>
      <c r="BP201" t="n">
        <v>138.896</v>
      </c>
      <c r="BQ201" t="n">
        <v>147.766</v>
      </c>
      <c r="BR201" t="n">
        <v>149.838</v>
      </c>
      <c r="BS201" t="n">
        <v>161.001</v>
      </c>
      <c r="BT201" t="n">
        <v>148.889</v>
      </c>
      <c r="BU201" t="n">
        <v>136.858</v>
      </c>
      <c r="BV201" t="n">
        <v>1740.453</v>
      </c>
    </row>
    <row r="202">
      <c r="A202" t="inlineStr">
        <is>
          <t>Gerres</t>
        </is>
      </c>
      <c r="B202" t="inlineStr">
        <is>
          <t>Silver biddies</t>
        </is>
      </c>
      <c r="C202" t="inlineStr">
        <is>
          <t>Small benthopelagics (&lt;30 cm)</t>
        </is>
      </c>
      <c r="D202" t="inlineStr">
        <is>
          <t>Perch-likes</t>
        </is>
      </c>
      <c r="E202" t="n">
        <v>370.637</v>
      </c>
      <c r="F202" t="n">
        <v>367.207</v>
      </c>
      <c r="G202" t="n">
        <v>369.482</v>
      </c>
      <c r="H202" t="n">
        <v>371.714</v>
      </c>
      <c r="I202" t="n">
        <v>373.889</v>
      </c>
      <c r="J202" t="n">
        <v>376.02</v>
      </c>
      <c r="K202" t="n">
        <v>378.093</v>
      </c>
      <c r="L202" t="n">
        <v>380.102</v>
      </c>
      <c r="M202" t="n">
        <v>382.059</v>
      </c>
      <c r="N202" t="n">
        <v>383.948</v>
      </c>
      <c r="O202" t="n">
        <v>395.644</v>
      </c>
      <c r="P202" t="n">
        <v>417.494</v>
      </c>
      <c r="Q202" t="n">
        <v>416.944</v>
      </c>
      <c r="R202" t="n">
        <v>421.589</v>
      </c>
      <c r="S202" t="n">
        <v>426.194</v>
      </c>
      <c r="T202" t="n">
        <v>430.747</v>
      </c>
      <c r="U202" t="n">
        <v>434.323</v>
      </c>
      <c r="V202" t="n">
        <v>437.829</v>
      </c>
      <c r="W202" t="n">
        <v>441.246</v>
      </c>
      <c r="X202" t="n">
        <v>444.575</v>
      </c>
      <c r="Y202" t="n">
        <v>438.3</v>
      </c>
      <c r="Z202" t="n">
        <v>451.054</v>
      </c>
      <c r="AA202" t="n">
        <v>454.193</v>
      </c>
      <c r="AB202" t="n">
        <v>457.223</v>
      </c>
      <c r="AC202" t="n">
        <v>468.763</v>
      </c>
      <c r="AD202" t="n">
        <v>461.712</v>
      </c>
      <c r="AE202" t="n">
        <v>478.155</v>
      </c>
      <c r="AF202" t="n">
        <v>479.434</v>
      </c>
      <c r="AG202" t="n">
        <v>483.378</v>
      </c>
      <c r="AH202" t="n">
        <v>483.135</v>
      </c>
      <c r="AI202" t="n">
        <v>483.298</v>
      </c>
      <c r="AJ202" t="n">
        <v>482.722</v>
      </c>
      <c r="AK202" t="n">
        <v>484.746</v>
      </c>
      <c r="AL202" t="n">
        <v>483.453</v>
      </c>
      <c r="AM202" t="n">
        <v>481.936</v>
      </c>
      <c r="AN202" t="n">
        <v>495.363</v>
      </c>
      <c r="AO202" t="n">
        <v>478.29</v>
      </c>
      <c r="AP202" t="n">
        <v>476.089</v>
      </c>
      <c r="AQ202" t="n">
        <v>481.031</v>
      </c>
      <c r="AR202" t="n">
        <v>470.971</v>
      </c>
      <c r="AS202" t="n">
        <v>481.31</v>
      </c>
      <c r="AT202" t="n">
        <v>483.072</v>
      </c>
      <c r="AU202" t="n">
        <v>484.43</v>
      </c>
      <c r="AV202" t="n">
        <v>485.385</v>
      </c>
      <c r="AW202" t="n">
        <v>485.935</v>
      </c>
      <c r="AX202" t="n">
        <v>486.083</v>
      </c>
      <c r="AY202" t="n">
        <v>485.827</v>
      </c>
      <c r="AZ202" t="n">
        <v>485.167</v>
      </c>
      <c r="BA202" t="n">
        <v>484.103</v>
      </c>
      <c r="BB202" t="n">
        <v>482.636</v>
      </c>
      <c r="BC202" t="n">
        <v>480.765</v>
      </c>
      <c r="BD202" t="n">
        <v>482.866</v>
      </c>
      <c r="BE202" t="n">
        <v>484.362</v>
      </c>
      <c r="BF202" t="n">
        <v>485.25</v>
      </c>
      <c r="BG202" t="n">
        <v>485.531</v>
      </c>
      <c r="BH202" t="n">
        <v>644.6130000000001</v>
      </c>
      <c r="BI202" t="n">
        <v>653.64</v>
      </c>
      <c r="BJ202" t="n">
        <v>678.051</v>
      </c>
      <c r="BK202" t="n">
        <v>676.89</v>
      </c>
      <c r="BL202" t="n">
        <v>670.889</v>
      </c>
      <c r="BM202" t="n">
        <v>681.039</v>
      </c>
      <c r="BN202" t="n">
        <v>668.355</v>
      </c>
      <c r="BO202" t="n">
        <v>676.667</v>
      </c>
      <c r="BP202" t="n">
        <v>679.26</v>
      </c>
      <c r="BQ202" t="n">
        <v>696.093</v>
      </c>
      <c r="BR202" t="n">
        <v>703.083</v>
      </c>
      <c r="BS202" t="n">
        <v>719.022</v>
      </c>
      <c r="BT202" t="n">
        <v>705.5</v>
      </c>
      <c r="BU202" t="n">
        <v>691.231</v>
      </c>
      <c r="BV202" t="n">
        <v>698.3200000000001</v>
      </c>
    </row>
    <row r="203">
      <c r="A203" t="inlineStr">
        <is>
          <t>Perna viridis</t>
        </is>
      </c>
      <c r="B203" t="inlineStr">
        <is>
          <t>Brown mussel</t>
        </is>
      </c>
      <c r="C203" t="inlineStr">
        <is>
          <t>Other demersal invertebrates</t>
        </is>
      </c>
      <c r="D203" t="inlineStr">
        <is>
          <t>Molluscs</t>
        </is>
      </c>
      <c r="E203" t="n">
        <v>4.103</v>
      </c>
      <c r="F203" t="n">
        <v>4.219</v>
      </c>
      <c r="G203" t="n">
        <v>4.334</v>
      </c>
      <c r="H203" t="n">
        <v>4.45</v>
      </c>
      <c r="I203" t="n">
        <v>4.565</v>
      </c>
      <c r="J203" t="n">
        <v>4.681</v>
      </c>
      <c r="K203" t="n">
        <v>4.796</v>
      </c>
      <c r="L203" t="n">
        <v>4.912</v>
      </c>
      <c r="M203" t="n">
        <v>5.027</v>
      </c>
      <c r="N203" t="n">
        <v>5.143</v>
      </c>
      <c r="O203" t="n">
        <v>5.258</v>
      </c>
      <c r="P203" t="n">
        <v>5.374</v>
      </c>
      <c r="Q203" t="n">
        <v>5.489</v>
      </c>
      <c r="R203" t="n">
        <v>5.605</v>
      </c>
      <c r="S203" t="n">
        <v>5.72</v>
      </c>
      <c r="T203" t="n">
        <v>5.836</v>
      </c>
      <c r="U203" t="n">
        <v>5.952</v>
      </c>
      <c r="V203" t="n">
        <v>6.067</v>
      </c>
      <c r="W203" t="n">
        <v>6.183</v>
      </c>
      <c r="X203" t="n">
        <v>6.298</v>
      </c>
      <c r="Y203" t="n">
        <v>6.414</v>
      </c>
      <c r="Z203" t="n">
        <v>6.529</v>
      </c>
      <c r="AA203" t="n">
        <v>6.645</v>
      </c>
      <c r="AB203" t="n">
        <v>6.76</v>
      </c>
      <c r="AC203" t="n">
        <v>6.876</v>
      </c>
      <c r="AD203" t="n">
        <v>6.991</v>
      </c>
      <c r="AE203" t="n">
        <v>7.107</v>
      </c>
      <c r="AF203" t="n">
        <v>7.097</v>
      </c>
      <c r="AG203" t="n">
        <v>7.087</v>
      </c>
      <c r="AH203" t="n">
        <v>7.077</v>
      </c>
      <c r="AI203" t="n">
        <v>7269.532</v>
      </c>
      <c r="AJ203" t="n">
        <v>6439.498</v>
      </c>
      <c r="AK203" t="n">
        <v>6101.514</v>
      </c>
      <c r="AL203" t="n">
        <v>6079.635</v>
      </c>
      <c r="AM203" t="n">
        <v>5542.365</v>
      </c>
      <c r="AN203" t="n">
        <v>28.751</v>
      </c>
      <c r="AO203" t="n">
        <v>11.861</v>
      </c>
      <c r="AP203" t="n">
        <v>32.837</v>
      </c>
      <c r="AQ203" t="n">
        <v>20.855</v>
      </c>
      <c r="AR203" t="n">
        <v>13.636</v>
      </c>
      <c r="AS203" t="n">
        <v>15.956</v>
      </c>
      <c r="AT203" t="n">
        <v>0.729</v>
      </c>
      <c r="AU203" t="n">
        <v>0.5580000000000001</v>
      </c>
      <c r="AV203" t="n">
        <v>0.387</v>
      </c>
      <c r="AW203" t="n">
        <v>0.216</v>
      </c>
      <c r="AX203" t="n">
        <v>0.045</v>
      </c>
      <c r="AY203" t="n">
        <v>0.041</v>
      </c>
      <c r="AZ203" t="n">
        <v>0.103</v>
      </c>
      <c r="BA203" t="n">
        <v>0.002</v>
      </c>
      <c r="BB203" t="n">
        <v>0.024</v>
      </c>
      <c r="BC203" t="n">
        <v>0.022</v>
      </c>
      <c r="BD203" t="n">
        <v>0.027</v>
      </c>
      <c r="BE203" t="n">
        <v>0.03</v>
      </c>
      <c r="BF203" t="n">
        <v>0.032</v>
      </c>
      <c r="BG203" t="n">
        <v>0.031</v>
      </c>
      <c r="BH203" t="n">
        <v>48.737</v>
      </c>
      <c r="BI203" t="n">
        <v>50.721</v>
      </c>
      <c r="BJ203" t="n">
        <v>57.673</v>
      </c>
      <c r="BK203" t="n">
        <v>59.652</v>
      </c>
      <c r="BL203" t="n">
        <v>179.928</v>
      </c>
      <c r="BM203" t="n">
        <v>173.987</v>
      </c>
      <c r="BN203" t="n">
        <v>161.349</v>
      </c>
      <c r="BO203" t="n">
        <v>163.483</v>
      </c>
      <c r="BP203" t="n">
        <v>160.069</v>
      </c>
      <c r="BQ203" t="n">
        <v>170.416</v>
      </c>
      <c r="BR203" t="n">
        <v>172.825</v>
      </c>
      <c r="BS203" t="n">
        <v>185.738</v>
      </c>
      <c r="BT203" t="n">
        <v>171.756</v>
      </c>
      <c r="BU203" t="n">
        <v>157.851</v>
      </c>
      <c r="BV203" t="n">
        <v>164.765</v>
      </c>
    </row>
    <row r="204">
      <c r="A204" t="inlineStr">
        <is>
          <t>Solenocera crassicornis</t>
        </is>
      </c>
      <c r="B204" t="inlineStr">
        <is>
          <t>Coastal mud shrimp</t>
        </is>
      </c>
      <c r="C204" t="inlineStr">
        <is>
          <t>Shrimps</t>
        </is>
      </c>
      <c r="D204" t="inlineStr">
        <is>
          <t>Crustaceans</t>
        </is>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6158.73</v>
      </c>
      <c r="AO204" t="n">
        <v>5550.277</v>
      </c>
      <c r="AP204" t="n">
        <v>4896.314</v>
      </c>
      <c r="AQ204" t="n">
        <v>3798.131</v>
      </c>
      <c r="AR204" t="n">
        <v>4998.217</v>
      </c>
      <c r="AS204" t="n">
        <v>12.862</v>
      </c>
      <c r="AT204" t="n">
        <v>12.862</v>
      </c>
      <c r="AU204" t="n">
        <v>12.862</v>
      </c>
      <c r="AV204" t="n">
        <v>10.883</v>
      </c>
      <c r="AW204" t="n">
        <v>10.883</v>
      </c>
      <c r="AX204" t="n">
        <v>1387.075</v>
      </c>
      <c r="AY204" t="n">
        <v>1211.959</v>
      </c>
      <c r="AZ204" t="n">
        <v>1490.957</v>
      </c>
      <c r="BA204" t="n">
        <v>985.397</v>
      </c>
      <c r="BB204" t="n">
        <v>1306.937</v>
      </c>
      <c r="BC204" t="n">
        <v>7.915</v>
      </c>
      <c r="BD204" t="n">
        <v>7.915</v>
      </c>
      <c r="BE204" t="n">
        <v>6.925</v>
      </c>
      <c r="BF204" t="n">
        <v>7.915</v>
      </c>
      <c r="BG204" t="n">
        <v>7.915</v>
      </c>
      <c r="BH204" t="n">
        <v>70.244</v>
      </c>
      <c r="BI204" t="n">
        <v>73.212</v>
      </c>
      <c r="BJ204" t="n">
        <v>84.095</v>
      </c>
      <c r="BK204" t="n">
        <v>86.074</v>
      </c>
      <c r="BL204" t="n">
        <v>99.925</v>
      </c>
      <c r="BM204" t="n">
        <v>95.967</v>
      </c>
      <c r="BN204" t="n">
        <v>89.02</v>
      </c>
      <c r="BO204" t="n">
        <v>90.205</v>
      </c>
      <c r="BP204" t="n">
        <v>88.318</v>
      </c>
      <c r="BQ204" t="n">
        <v>94.023</v>
      </c>
      <c r="BR204" t="n">
        <v>95.351</v>
      </c>
      <c r="BS204" t="n">
        <v>102.475</v>
      </c>
      <c r="BT204" t="n">
        <v>94.761</v>
      </c>
      <c r="BU204" t="n">
        <v>87.087</v>
      </c>
      <c r="BV204" t="n">
        <v>90.90000000000001</v>
      </c>
    </row>
    <row r="205">
      <c r="A205" t="inlineStr">
        <is>
          <t>Platycephalus indicus</t>
        </is>
      </c>
      <c r="B205" t="inlineStr">
        <is>
          <t>Bartail flathead</t>
        </is>
      </c>
      <c r="C205" t="inlineStr">
        <is>
          <t>Medium demersals (30 - 89 cm)</t>
        </is>
      </c>
      <c r="D205" t="inlineStr">
        <is>
          <t>Scorpionfishes</t>
        </is>
      </c>
      <c r="E205" t="n">
        <v>374.967</v>
      </c>
      <c r="F205" t="n">
        <v>371.497</v>
      </c>
      <c r="G205" t="n">
        <v>373.798</v>
      </c>
      <c r="H205" t="n">
        <v>376.056</v>
      </c>
      <c r="I205" t="n">
        <v>378.257</v>
      </c>
      <c r="J205" t="n">
        <v>380.413</v>
      </c>
      <c r="K205" t="n">
        <v>382.51</v>
      </c>
      <c r="L205" t="n">
        <v>384.543</v>
      </c>
      <c r="M205" t="n">
        <v>386.522</v>
      </c>
      <c r="N205" t="n">
        <v>388.434</v>
      </c>
      <c r="O205" t="n">
        <v>400.266</v>
      </c>
      <c r="P205" t="n">
        <v>422.371</v>
      </c>
      <c r="Q205" t="n">
        <v>421.815</v>
      </c>
      <c r="R205" t="n">
        <v>426.514</v>
      </c>
      <c r="S205" t="n">
        <v>431.173</v>
      </c>
      <c r="T205" t="n">
        <v>435.78</v>
      </c>
      <c r="U205" t="n">
        <v>439.397</v>
      </c>
      <c r="V205" t="n">
        <v>442.944</v>
      </c>
      <c r="W205" t="n">
        <v>446.401</v>
      </c>
      <c r="X205" t="n">
        <v>449.769</v>
      </c>
      <c r="Y205" t="n">
        <v>443.42</v>
      </c>
      <c r="Z205" t="n">
        <v>456.324</v>
      </c>
      <c r="AA205" t="n">
        <v>459.5</v>
      </c>
      <c r="AB205" t="n">
        <v>462.565</v>
      </c>
      <c r="AC205" t="n">
        <v>474.239</v>
      </c>
      <c r="AD205" t="n">
        <v>467.106</v>
      </c>
      <c r="AE205" t="n">
        <v>483.741</v>
      </c>
      <c r="AF205" t="n">
        <v>485.035</v>
      </c>
      <c r="AG205" t="n">
        <v>489.025</v>
      </c>
      <c r="AH205" t="n">
        <v>488.779</v>
      </c>
      <c r="AI205" t="n">
        <v>488.944</v>
      </c>
      <c r="AJ205" t="n">
        <v>488.361</v>
      </c>
      <c r="AK205" t="n">
        <v>490.409</v>
      </c>
      <c r="AL205" t="n">
        <v>489.101</v>
      </c>
      <c r="AM205" t="n">
        <v>487.567</v>
      </c>
      <c r="AN205" t="n">
        <v>501.15</v>
      </c>
      <c r="AO205" t="n">
        <v>483.878</v>
      </c>
      <c r="AP205" t="n">
        <v>481.651</v>
      </c>
      <c r="AQ205" t="n">
        <v>486.651</v>
      </c>
      <c r="AR205" t="n">
        <v>476.473</v>
      </c>
      <c r="AS205" t="n">
        <v>486.933</v>
      </c>
      <c r="AT205" t="n">
        <v>488.716</v>
      </c>
      <c r="AU205" t="n">
        <v>490.09</v>
      </c>
      <c r="AV205" t="n">
        <v>491.055</v>
      </c>
      <c r="AW205" t="n">
        <v>491.613</v>
      </c>
      <c r="AX205" t="n">
        <v>491.762</v>
      </c>
      <c r="AY205" t="n">
        <v>491.502</v>
      </c>
      <c r="AZ205" t="n">
        <v>490.835</v>
      </c>
      <c r="BA205" t="n">
        <v>489.759</v>
      </c>
      <c r="BB205" t="n">
        <v>488.275</v>
      </c>
      <c r="BC205" t="n">
        <v>486.382</v>
      </c>
      <c r="BD205" t="n">
        <v>488.507</v>
      </c>
      <c r="BE205" t="n">
        <v>490.021</v>
      </c>
      <c r="BF205" t="n">
        <v>490.919</v>
      </c>
      <c r="BG205" t="n">
        <v>491.203</v>
      </c>
      <c r="BH205" t="n">
        <v>490.873</v>
      </c>
      <c r="BI205" t="n">
        <v>489.928</v>
      </c>
      <c r="BJ205" t="n">
        <v>488.369</v>
      </c>
      <c r="BK205" t="n">
        <v>486.195</v>
      </c>
      <c r="BL205" t="n">
        <v>497.239</v>
      </c>
      <c r="BM205" t="n">
        <v>508.286</v>
      </c>
      <c r="BN205" t="n">
        <v>508.182</v>
      </c>
      <c r="BO205" t="n">
        <v>514.316</v>
      </c>
      <c r="BP205" t="n">
        <v>520.61</v>
      </c>
      <c r="BQ205" t="n">
        <v>526.971</v>
      </c>
      <c r="BR205" t="n">
        <v>531.552</v>
      </c>
      <c r="BS205" t="n">
        <v>534.277</v>
      </c>
      <c r="BT205" t="n">
        <v>535.134</v>
      </c>
      <c r="BU205" t="n">
        <v>535.134</v>
      </c>
      <c r="BV205" t="n">
        <v>535.134</v>
      </c>
    </row>
    <row r="206">
      <c r="A206" t="inlineStr">
        <is>
          <t>Scombroidei</t>
        </is>
      </c>
      <c r="B206" t="inlineStr">
        <is>
          <t>Tunas, bonitos, billfishes</t>
        </is>
      </c>
      <c r="C206" t="inlineStr">
        <is>
          <t>Large pelagics (&gt;=90 cm)</t>
        </is>
      </c>
      <c r="D206" t="inlineStr">
        <is>
          <t>Tuna &amp; billfishes</t>
        </is>
      </c>
      <c r="E206" t="n">
        <v>0</v>
      </c>
      <c r="F206" t="n">
        <v>0</v>
      </c>
      <c r="G206" t="n">
        <v>0</v>
      </c>
      <c r="H206" t="n">
        <v>0</v>
      </c>
      <c r="I206" t="n">
        <v>0</v>
      </c>
      <c r="J206" t="n">
        <v>1.056</v>
      </c>
      <c r="K206" t="n">
        <v>0.985</v>
      </c>
      <c r="L206" t="n">
        <v>0.985</v>
      </c>
      <c r="M206" t="n">
        <v>0.985</v>
      </c>
      <c r="N206" t="n">
        <v>0.985</v>
      </c>
      <c r="O206" t="n">
        <v>0.985</v>
      </c>
      <c r="P206" t="n">
        <v>0.985</v>
      </c>
      <c r="Q206" t="n">
        <v>0.985</v>
      </c>
      <c r="R206" t="n">
        <v>0.985</v>
      </c>
      <c r="S206" t="n">
        <v>0.985</v>
      </c>
      <c r="T206" t="n">
        <v>0.985</v>
      </c>
      <c r="U206" t="n">
        <v>0.985</v>
      </c>
      <c r="V206" t="n">
        <v>1.068</v>
      </c>
      <c r="W206" t="n">
        <v>0.985</v>
      </c>
      <c r="X206" t="n">
        <v>0.985</v>
      </c>
      <c r="Y206" t="n">
        <v>1.834</v>
      </c>
      <c r="Z206" t="n">
        <v>1.893</v>
      </c>
      <c r="AA206" t="n">
        <v>2.04</v>
      </c>
      <c r="AB206" t="n">
        <v>2.965</v>
      </c>
      <c r="AC206" t="n">
        <v>1.166</v>
      </c>
      <c r="AD206" t="n">
        <v>2.021</v>
      </c>
      <c r="AE206" t="n">
        <v>3.063</v>
      </c>
      <c r="AF206" t="n">
        <v>6.921</v>
      </c>
      <c r="AG206" t="n">
        <v>8.353</v>
      </c>
      <c r="AH206" t="n">
        <v>9.680999999999999</v>
      </c>
      <c r="AI206" t="n">
        <v>9.253</v>
      </c>
      <c r="AJ206" t="n">
        <v>5.503</v>
      </c>
      <c r="AK206" t="n">
        <v>5.251</v>
      </c>
      <c r="AL206" t="n">
        <v>14.156</v>
      </c>
      <c r="AM206" t="n">
        <v>31.726</v>
      </c>
      <c r="AN206" t="n">
        <v>32.867</v>
      </c>
      <c r="AO206" t="n">
        <v>124.07</v>
      </c>
      <c r="AP206" t="n">
        <v>157.834</v>
      </c>
      <c r="AQ206" t="n">
        <v>197.458</v>
      </c>
      <c r="AR206" t="n">
        <v>226.507</v>
      </c>
      <c r="AS206" t="n">
        <v>287.155</v>
      </c>
      <c r="AT206" t="n">
        <v>326.116</v>
      </c>
      <c r="AU206" t="n">
        <v>518.211</v>
      </c>
      <c r="AV206" t="n">
        <v>817.748</v>
      </c>
      <c r="AW206" t="n">
        <v>1081.437</v>
      </c>
      <c r="AX206" t="n">
        <v>1016.941</v>
      </c>
      <c r="AY206" t="n">
        <v>1004.845</v>
      </c>
      <c r="AZ206" t="n">
        <v>951.157</v>
      </c>
      <c r="BA206" t="n">
        <v>4028.239</v>
      </c>
      <c r="BB206" t="n">
        <v>1177.12</v>
      </c>
      <c r="BC206" t="n">
        <v>437.617</v>
      </c>
      <c r="BD206" t="n">
        <v>424.081</v>
      </c>
      <c r="BE206" t="n">
        <v>380.969</v>
      </c>
      <c r="BF206" t="n">
        <v>339.773</v>
      </c>
      <c r="BG206" t="n">
        <v>403.007</v>
      </c>
      <c r="BH206" t="n">
        <v>387.773</v>
      </c>
      <c r="BI206" t="n">
        <v>630.898</v>
      </c>
      <c r="BJ206" t="n">
        <v>1565.099</v>
      </c>
      <c r="BK206" t="n">
        <v>870.266</v>
      </c>
      <c r="BL206" t="n">
        <v>768.942</v>
      </c>
      <c r="BM206" t="n">
        <v>368.536</v>
      </c>
      <c r="BN206" t="n">
        <v>681.015</v>
      </c>
      <c r="BO206" t="n">
        <v>251.359</v>
      </c>
      <c r="BP206" t="n">
        <v>581.425</v>
      </c>
      <c r="BQ206" t="n">
        <v>1685.995</v>
      </c>
      <c r="BR206" t="n">
        <v>1025.152</v>
      </c>
      <c r="BS206" t="n">
        <v>1884.843</v>
      </c>
      <c r="BT206" t="n">
        <v>2167.323</v>
      </c>
      <c r="BU206" t="n">
        <v>1885.681</v>
      </c>
      <c r="BV206" t="n">
        <v>2978.221</v>
      </c>
    </row>
    <row r="207">
      <c r="A207" t="inlineStr">
        <is>
          <t>Dasyatidae</t>
        </is>
      </c>
      <c r="B207" t="inlineStr">
        <is>
          <t>Whiptail stingrays</t>
        </is>
      </c>
      <c r="C207" t="inlineStr">
        <is>
          <t>Large rays (&gt;=90 cm)</t>
        </is>
      </c>
      <c r="D207" t="inlineStr">
        <is>
          <t>Sharks &amp; rays</t>
        </is>
      </c>
      <c r="E207" t="n">
        <v>8.846</v>
      </c>
      <c r="F207" t="n">
        <v>8.976000000000001</v>
      </c>
      <c r="G207" t="n">
        <v>9.122</v>
      </c>
      <c r="H207" t="n">
        <v>9.029</v>
      </c>
      <c r="I207" t="n">
        <v>9.239000000000001</v>
      </c>
      <c r="J207" t="n">
        <v>9.545999999999999</v>
      </c>
      <c r="K207" t="n">
        <v>9.606</v>
      </c>
      <c r="L207" t="n">
        <v>10.086</v>
      </c>
      <c r="M207" t="n">
        <v>9.970000000000001</v>
      </c>
      <c r="N207" t="n">
        <v>10.194</v>
      </c>
      <c r="O207" t="n">
        <v>10.647</v>
      </c>
      <c r="P207" t="n">
        <v>11.175</v>
      </c>
      <c r="Q207" t="n">
        <v>11.31</v>
      </c>
      <c r="R207" t="n">
        <v>11.374</v>
      </c>
      <c r="S207" t="n">
        <v>11.102</v>
      </c>
      <c r="T207" t="n">
        <v>10.682</v>
      </c>
      <c r="U207" t="n">
        <v>10.178</v>
      </c>
      <c r="V207" t="n">
        <v>9.074999999999999</v>
      </c>
      <c r="W207" t="n">
        <v>8.909000000000001</v>
      </c>
      <c r="X207" t="n">
        <v>8.965</v>
      </c>
      <c r="Y207" t="n">
        <v>6.342</v>
      </c>
      <c r="Z207" t="n">
        <v>6.08</v>
      </c>
      <c r="AA207" t="n">
        <v>6.007</v>
      </c>
      <c r="AB207" t="n">
        <v>10.392</v>
      </c>
      <c r="AC207" t="n">
        <v>12.311</v>
      </c>
      <c r="AD207" t="n">
        <v>20.937</v>
      </c>
      <c r="AE207" t="n">
        <v>19.396</v>
      </c>
      <c r="AF207" t="n">
        <v>20.923</v>
      </c>
      <c r="AG207" t="n">
        <v>14.836</v>
      </c>
      <c r="AH207" t="n">
        <v>16.01</v>
      </c>
      <c r="AI207" t="n">
        <v>293.583</v>
      </c>
      <c r="AJ207" t="n">
        <v>299.256</v>
      </c>
      <c r="AK207" t="n">
        <v>307.409</v>
      </c>
      <c r="AL207" t="n">
        <v>312.643</v>
      </c>
      <c r="AM207" t="n">
        <v>326.61</v>
      </c>
      <c r="AN207" t="n">
        <v>343.747</v>
      </c>
      <c r="AO207" t="n">
        <v>359.671</v>
      </c>
      <c r="AP207" t="n">
        <v>370.873</v>
      </c>
      <c r="AQ207" t="n">
        <v>400.574</v>
      </c>
      <c r="AR207" t="n">
        <v>448.5</v>
      </c>
      <c r="AS207" t="n">
        <v>498.885</v>
      </c>
      <c r="AT207" t="n">
        <v>549.687</v>
      </c>
      <c r="AU207" t="n">
        <v>590.62</v>
      </c>
      <c r="AV207" t="n">
        <v>638.0170000000001</v>
      </c>
      <c r="AW207" t="n">
        <v>682.881</v>
      </c>
      <c r="AX207" t="n">
        <v>741.376</v>
      </c>
      <c r="AY207" t="n">
        <v>802.673</v>
      </c>
      <c r="AZ207" t="n">
        <v>845.681</v>
      </c>
      <c r="BA207" t="n">
        <v>827.751</v>
      </c>
      <c r="BB207" t="n">
        <v>749.871</v>
      </c>
      <c r="BC207" t="n">
        <v>772.417</v>
      </c>
      <c r="BD207" t="n">
        <v>797.893</v>
      </c>
      <c r="BE207" t="n">
        <v>806.276</v>
      </c>
      <c r="BF207" t="n">
        <v>844.532</v>
      </c>
      <c r="BG207" t="n">
        <v>894.784</v>
      </c>
      <c r="BH207" t="n">
        <v>917.0839999999999</v>
      </c>
      <c r="BI207" t="n">
        <v>959.503</v>
      </c>
      <c r="BJ207" t="n">
        <v>995.574</v>
      </c>
      <c r="BK207" t="n">
        <v>1040.298</v>
      </c>
      <c r="BL207" t="n">
        <v>1084.033</v>
      </c>
      <c r="BM207" t="n">
        <v>1038.216</v>
      </c>
      <c r="BN207" t="n">
        <v>1062.715</v>
      </c>
      <c r="BO207" t="n">
        <v>1069.128</v>
      </c>
      <c r="BP207" t="n">
        <v>1077.657</v>
      </c>
      <c r="BQ207" t="n">
        <v>1073.885</v>
      </c>
      <c r="BR207" t="n">
        <v>1100.002</v>
      </c>
      <c r="BS207" t="n">
        <v>1108.488</v>
      </c>
      <c r="BT207" t="n">
        <v>1116.167</v>
      </c>
      <c r="BU207" t="n">
        <v>1116.516</v>
      </c>
      <c r="BV207" t="n">
        <v>1116.516</v>
      </c>
    </row>
    <row r="208">
      <c r="A208" t="inlineStr">
        <is>
          <t>Carcharhinidae</t>
        </is>
      </c>
      <c r="B208" t="inlineStr">
        <is>
          <t>Requiem sharks</t>
        </is>
      </c>
      <c r="C208" t="inlineStr">
        <is>
          <t>Large sharks (&gt;=90 cm)</t>
        </is>
      </c>
      <c r="D208" t="inlineStr">
        <is>
          <t>Sharks &amp; rays</t>
        </is>
      </c>
      <c r="E208" t="n">
        <v>94.923</v>
      </c>
      <c r="F208" t="n">
        <v>151.808</v>
      </c>
      <c r="G208" t="n">
        <v>113.864</v>
      </c>
      <c r="H208" t="n">
        <v>76.203</v>
      </c>
      <c r="I208" t="n">
        <v>141.016</v>
      </c>
      <c r="J208" t="n">
        <v>115.423</v>
      </c>
      <c r="K208" t="n">
        <v>137.618</v>
      </c>
      <c r="L208" t="n">
        <v>168.367</v>
      </c>
      <c r="M208" t="n">
        <v>185.035</v>
      </c>
      <c r="N208" t="n">
        <v>185.157</v>
      </c>
      <c r="O208" t="n">
        <v>214.383</v>
      </c>
      <c r="P208" t="n">
        <v>214.972</v>
      </c>
      <c r="Q208" t="n">
        <v>297.673</v>
      </c>
      <c r="R208" t="n">
        <v>298.031</v>
      </c>
      <c r="S208" t="n">
        <v>322.716</v>
      </c>
      <c r="T208" t="n">
        <v>287.53</v>
      </c>
      <c r="U208" t="n">
        <v>286.864</v>
      </c>
      <c r="V208" t="n">
        <v>342.232</v>
      </c>
      <c r="W208" t="n">
        <v>343.341</v>
      </c>
      <c r="X208" t="n">
        <v>379.164</v>
      </c>
      <c r="Y208" t="n">
        <v>333.276</v>
      </c>
      <c r="Z208" t="n">
        <v>262.89</v>
      </c>
      <c r="AA208" t="n">
        <v>334.925</v>
      </c>
      <c r="AB208" t="n">
        <v>457.954</v>
      </c>
      <c r="AC208" t="n">
        <v>410.149</v>
      </c>
      <c r="AD208" t="n">
        <v>340.965</v>
      </c>
      <c r="AE208" t="n">
        <v>405.141</v>
      </c>
      <c r="AF208" t="n">
        <v>297.998</v>
      </c>
      <c r="AG208" t="n">
        <v>339.095</v>
      </c>
      <c r="AH208" t="n">
        <v>338.619</v>
      </c>
      <c r="AI208" t="n">
        <v>383.497</v>
      </c>
      <c r="AJ208" t="n">
        <v>568.8390000000001</v>
      </c>
      <c r="AK208" t="n">
        <v>432.963</v>
      </c>
      <c r="AL208" t="n">
        <v>362.412</v>
      </c>
      <c r="AM208" t="n">
        <v>440.534</v>
      </c>
      <c r="AN208" t="n">
        <v>329.916</v>
      </c>
      <c r="AO208" t="n">
        <v>374.971</v>
      </c>
      <c r="AP208" t="n">
        <v>396.727</v>
      </c>
      <c r="AQ208" t="n">
        <v>458.012</v>
      </c>
      <c r="AR208" t="n">
        <v>668.1319999999999</v>
      </c>
      <c r="AS208" t="n">
        <v>415.733</v>
      </c>
      <c r="AT208" t="n">
        <v>515.549</v>
      </c>
      <c r="AU208" t="n">
        <v>457.889</v>
      </c>
      <c r="AV208" t="n">
        <v>724.672</v>
      </c>
      <c r="AW208" t="n">
        <v>747.6420000000001</v>
      </c>
      <c r="AX208" t="n">
        <v>603.086</v>
      </c>
      <c r="AY208" t="n">
        <v>601.183</v>
      </c>
      <c r="AZ208" t="n">
        <v>366.27</v>
      </c>
      <c r="BA208" t="n">
        <v>1052.579</v>
      </c>
      <c r="BB208" t="n">
        <v>449.16</v>
      </c>
      <c r="BC208" t="n">
        <v>477.224</v>
      </c>
      <c r="BD208" t="n">
        <v>534.36</v>
      </c>
      <c r="BE208" t="n">
        <v>984.729</v>
      </c>
      <c r="BF208" t="n">
        <v>587.765</v>
      </c>
      <c r="BG208" t="n">
        <v>891.461</v>
      </c>
      <c r="BH208" t="n">
        <v>639.813</v>
      </c>
      <c r="BI208" t="n">
        <v>589.147</v>
      </c>
      <c r="BJ208" t="n">
        <v>476.795</v>
      </c>
      <c r="BK208" t="n">
        <v>491.888</v>
      </c>
      <c r="BL208" t="n">
        <v>386.751</v>
      </c>
      <c r="BM208" t="n">
        <v>402.97</v>
      </c>
      <c r="BN208" t="n">
        <v>348.689</v>
      </c>
      <c r="BO208" t="n">
        <v>445.361</v>
      </c>
      <c r="BP208" t="n">
        <v>375.759</v>
      </c>
      <c r="BQ208" t="n">
        <v>452.93</v>
      </c>
      <c r="BR208" t="n">
        <v>461.003</v>
      </c>
      <c r="BS208" t="n">
        <v>569.883</v>
      </c>
      <c r="BT208" t="n">
        <v>480.709</v>
      </c>
      <c r="BU208" t="n">
        <v>278.275</v>
      </c>
      <c r="BV208" t="n">
        <v>485.841</v>
      </c>
    </row>
    <row r="209">
      <c r="A209" t="inlineStr">
        <is>
          <t>Holocentridae</t>
        </is>
      </c>
      <c r="B209" t="inlineStr">
        <is>
          <t>Squirrel-, soldierfishes</t>
        </is>
      </c>
      <c r="C209" t="inlineStr">
        <is>
          <t>Small reef assoc. fish (&lt;30 cm)</t>
        </is>
      </c>
      <c r="D209" t="inlineStr">
        <is>
          <t>Other fishes &amp; inverts</t>
        </is>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265.812</v>
      </c>
      <c r="AJ209" t="n">
        <v>272.906</v>
      </c>
      <c r="AK209" t="n">
        <v>283.599</v>
      </c>
      <c r="AL209" t="n">
        <v>293.28</v>
      </c>
      <c r="AM209" t="n">
        <v>304.163</v>
      </c>
      <c r="AN209" t="n">
        <v>316.053</v>
      </c>
      <c r="AO209" t="n">
        <v>324.765</v>
      </c>
      <c r="AP209" t="n">
        <v>336.66</v>
      </c>
      <c r="AQ209" t="n">
        <v>363.747</v>
      </c>
      <c r="AR209" t="n">
        <v>409.801</v>
      </c>
      <c r="AS209" t="n">
        <v>459.006</v>
      </c>
      <c r="AT209" t="n">
        <v>507.551</v>
      </c>
      <c r="AU209" t="n">
        <v>548.479</v>
      </c>
      <c r="AV209" t="n">
        <v>591.0119999999999</v>
      </c>
      <c r="AW209" t="n">
        <v>638.241</v>
      </c>
      <c r="AX209" t="n">
        <v>694.8049999999999</v>
      </c>
      <c r="AY209" t="n">
        <v>757.253</v>
      </c>
      <c r="AZ209" t="n">
        <v>795.701</v>
      </c>
      <c r="BA209" t="n">
        <v>777.011</v>
      </c>
      <c r="BB209" t="n">
        <v>697.463</v>
      </c>
      <c r="BC209" t="n">
        <v>720.876</v>
      </c>
      <c r="BD209" t="n">
        <v>747.4059999999999</v>
      </c>
      <c r="BE209" t="n">
        <v>755.021</v>
      </c>
      <c r="BF209" t="n">
        <v>787.186</v>
      </c>
      <c r="BG209" t="n">
        <v>837.662</v>
      </c>
      <c r="BH209" t="n">
        <v>880.287</v>
      </c>
      <c r="BI209" t="n">
        <v>913.35</v>
      </c>
      <c r="BJ209" t="n">
        <v>953.412</v>
      </c>
      <c r="BK209" t="n">
        <v>995.713</v>
      </c>
      <c r="BL209" t="n">
        <v>1013.096</v>
      </c>
      <c r="BM209" t="n">
        <v>985.25</v>
      </c>
      <c r="BN209" t="n">
        <v>1009.415</v>
      </c>
      <c r="BO209" t="n">
        <v>1015.481</v>
      </c>
      <c r="BP209" t="n">
        <v>1023.666</v>
      </c>
      <c r="BQ209" t="n">
        <v>1019.542</v>
      </c>
      <c r="BR209" t="n">
        <v>1045.326</v>
      </c>
      <c r="BS209" t="n">
        <v>1053.468</v>
      </c>
      <c r="BT209" t="n">
        <v>1060.801</v>
      </c>
      <c r="BU209" t="n">
        <v>1060.801</v>
      </c>
      <c r="BV209" t="n">
        <v>1060.801</v>
      </c>
    </row>
    <row r="210">
      <c r="A210" t="inlineStr">
        <is>
          <t>Scolopsis</t>
        </is>
      </c>
      <c r="B210" t="inlineStr">
        <is>
          <t>Monocle breams</t>
        </is>
      </c>
      <c r="C210" t="inlineStr">
        <is>
          <t>Small reef assoc. fish (&lt;30 cm)</t>
        </is>
      </c>
      <c r="D210" t="inlineStr">
        <is>
          <t>Perch-likes</t>
        </is>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233.419</v>
      </c>
      <c r="AC210" t="n">
        <v>584.5069999999999</v>
      </c>
      <c r="AD210" t="n">
        <v>422.464</v>
      </c>
      <c r="AE210" t="n">
        <v>0</v>
      </c>
      <c r="AF210" t="n">
        <v>1211.173</v>
      </c>
      <c r="AG210" t="n">
        <v>37.654</v>
      </c>
      <c r="AH210" t="n">
        <v>219.21</v>
      </c>
      <c r="AI210" t="n">
        <v>231.493</v>
      </c>
      <c r="AJ210" t="n">
        <v>214.151</v>
      </c>
      <c r="AK210" t="n">
        <v>796.904</v>
      </c>
      <c r="AL210" t="n">
        <v>309.796</v>
      </c>
      <c r="AM210" t="n">
        <v>890.997</v>
      </c>
      <c r="AN210" t="n">
        <v>761.123</v>
      </c>
      <c r="AO210" t="n">
        <v>792.399</v>
      </c>
      <c r="AP210" t="n">
        <v>1095.705</v>
      </c>
      <c r="AQ210" t="n">
        <v>557.641</v>
      </c>
      <c r="AR210" t="n">
        <v>296.847</v>
      </c>
      <c r="AS210" t="n">
        <v>49.477</v>
      </c>
      <c r="AT210" t="n">
        <v>47.497</v>
      </c>
      <c r="AU210" t="n">
        <v>55.414</v>
      </c>
      <c r="AV210" t="n">
        <v>49.706</v>
      </c>
      <c r="AW210" t="n">
        <v>46.814</v>
      </c>
      <c r="AX210" t="n">
        <v>5.254</v>
      </c>
      <c r="AY210" t="n">
        <v>5.256</v>
      </c>
      <c r="AZ210" t="n">
        <v>4.267</v>
      </c>
      <c r="BA210" t="n">
        <v>5.277</v>
      </c>
      <c r="BB210" t="n">
        <v>4.286</v>
      </c>
      <c r="BC210" t="n">
        <v>198.894</v>
      </c>
      <c r="BD210" t="n">
        <v>179.418</v>
      </c>
      <c r="BE210" t="n">
        <v>178.234</v>
      </c>
      <c r="BF210" t="n">
        <v>205.821</v>
      </c>
      <c r="BG210" t="n">
        <v>217.695</v>
      </c>
      <c r="BH210" t="n">
        <v>208.777</v>
      </c>
      <c r="BI210" t="n">
        <v>220.651</v>
      </c>
      <c r="BJ210" t="n">
        <v>253.303</v>
      </c>
      <c r="BK210" t="n">
        <v>261.549</v>
      </c>
      <c r="BL210" t="n">
        <v>118.654</v>
      </c>
      <c r="BM210" t="n">
        <v>1090.842</v>
      </c>
      <c r="BN210" t="n">
        <v>1015.924</v>
      </c>
      <c r="BO210" t="n">
        <v>1135.285</v>
      </c>
      <c r="BP210" t="n">
        <v>767.538</v>
      </c>
      <c r="BQ210" t="n">
        <v>1183.309</v>
      </c>
      <c r="BR210" t="n">
        <v>2238.166</v>
      </c>
      <c r="BS210" t="n">
        <v>2066.74</v>
      </c>
      <c r="BT210" t="n">
        <v>2664.429</v>
      </c>
      <c r="BU210" t="n">
        <v>2499.315</v>
      </c>
      <c r="BV210" t="n">
        <v>2552.865</v>
      </c>
    </row>
    <row r="211">
      <c r="A211" t="inlineStr">
        <is>
          <t>Paphia</t>
        </is>
      </c>
      <c r="B211" t="inlineStr">
        <is>
          <t>Indo-Pacific venus clams</t>
        </is>
      </c>
      <c r="C211" t="inlineStr">
        <is>
          <t>Other demersal invertebrates</t>
        </is>
      </c>
      <c r="D211" t="inlineStr">
        <is>
          <t>Molluscs</t>
        </is>
      </c>
      <c r="E211" t="n">
        <v>0</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5602.732</v>
      </c>
      <c r="BI211" t="n">
        <v>5915.433</v>
      </c>
      <c r="BJ211" t="n">
        <v>6720.091</v>
      </c>
      <c r="BK211" t="n">
        <v>7021.838</v>
      </c>
      <c r="BL211" t="n">
        <v>91.634</v>
      </c>
      <c r="BM211" t="n">
        <v>89.642</v>
      </c>
      <c r="BN211" t="n">
        <v>83.20099999999999</v>
      </c>
      <c r="BO211" t="n">
        <v>84.315</v>
      </c>
      <c r="BP211" t="n">
        <v>82.535</v>
      </c>
      <c r="BQ211" t="n">
        <v>87.855</v>
      </c>
      <c r="BR211" t="n">
        <v>89.09399999999999</v>
      </c>
      <c r="BS211" t="n">
        <v>95.746</v>
      </c>
      <c r="BT211" t="n">
        <v>88.539</v>
      </c>
      <c r="BU211" t="n">
        <v>81.374</v>
      </c>
      <c r="BV211" t="n">
        <v>84.935</v>
      </c>
    </row>
    <row r="212">
      <c r="A212" t="inlineStr">
        <is>
          <t>Mytilidae</t>
        </is>
      </c>
      <c r="B212" t="inlineStr">
        <is>
          <t>Sea mussels</t>
        </is>
      </c>
      <c r="C212" t="inlineStr">
        <is>
          <t>Other demersal invertebrates</t>
        </is>
      </c>
      <c r="D212" t="inlineStr">
        <is>
          <t>Molluscs</t>
        </is>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47.26</v>
      </c>
      <c r="AU212" t="n">
        <v>94.52</v>
      </c>
      <c r="AV212" t="n">
        <v>141.78</v>
      </c>
      <c r="AW212" t="n">
        <v>189.04</v>
      </c>
      <c r="AX212" t="n">
        <v>236.3</v>
      </c>
      <c r="AY212" t="n">
        <v>283.561</v>
      </c>
      <c r="AZ212" t="n">
        <v>283.561</v>
      </c>
      <c r="BA212" t="n">
        <v>283.561</v>
      </c>
      <c r="BB212" t="n">
        <v>283.561</v>
      </c>
      <c r="BC212" t="n">
        <v>283.561</v>
      </c>
      <c r="BD212" t="n">
        <v>313.952</v>
      </c>
      <c r="BE212" t="n">
        <v>344.344</v>
      </c>
      <c r="BF212" t="n">
        <v>374.736</v>
      </c>
      <c r="BG212" t="n">
        <v>405.128</v>
      </c>
      <c r="BH212" t="n">
        <v>435.52</v>
      </c>
      <c r="BI212" t="n">
        <v>465.912</v>
      </c>
      <c r="BJ212" t="n">
        <v>496.304</v>
      </c>
      <c r="BK212" t="n">
        <v>526.696</v>
      </c>
      <c r="BL212" t="n">
        <v>557.087</v>
      </c>
      <c r="BM212" t="n">
        <v>587.479</v>
      </c>
      <c r="BN212" t="n">
        <v>617.871</v>
      </c>
      <c r="BO212" t="n">
        <v>648.263</v>
      </c>
      <c r="BP212" t="n">
        <v>678.655</v>
      </c>
      <c r="BQ212" t="n">
        <v>3432.973</v>
      </c>
      <c r="BR212" t="n">
        <v>2333.621</v>
      </c>
      <c r="BS212" t="n">
        <v>2131.066</v>
      </c>
      <c r="BT212" t="n">
        <v>2614.272</v>
      </c>
      <c r="BU212" t="n">
        <v>3343.066</v>
      </c>
      <c r="BV212" t="n">
        <v>2851.263</v>
      </c>
    </row>
    <row r="213">
      <c r="A213" t="inlineStr">
        <is>
          <t>Gastropoda</t>
        </is>
      </c>
      <c r="B213" t="inlineStr">
        <is>
          <t>Sea snails</t>
        </is>
      </c>
      <c r="C213" t="inlineStr">
        <is>
          <t>Other demersal invertebrates</t>
        </is>
      </c>
      <c r="D213" t="inlineStr">
        <is>
          <t>Molluscs</t>
        </is>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75.166</v>
      </c>
      <c r="AO213" t="n">
        <v>155.06</v>
      </c>
      <c r="AP213" t="n">
        <v>288.598</v>
      </c>
      <c r="AQ213" t="n">
        <v>29.03</v>
      </c>
      <c r="AR213" t="n">
        <v>47.404</v>
      </c>
      <c r="AS213" t="n">
        <v>147.798</v>
      </c>
      <c r="AT213" t="n">
        <v>65.316</v>
      </c>
      <c r="AU213" t="n">
        <v>93.068</v>
      </c>
      <c r="AV213" t="n">
        <v>43.819</v>
      </c>
      <c r="AW213" t="n">
        <v>213.974</v>
      </c>
      <c r="AX213" t="n">
        <v>657.006</v>
      </c>
      <c r="AY213" t="n">
        <v>1087.418</v>
      </c>
      <c r="AZ213" t="n">
        <v>159.163</v>
      </c>
      <c r="BA213" t="n">
        <v>232.663</v>
      </c>
      <c r="BB213" t="n">
        <v>245.992</v>
      </c>
      <c r="BC213" t="n">
        <v>24.239</v>
      </c>
      <c r="BD213" t="n">
        <v>250.146</v>
      </c>
      <c r="BE213" t="n">
        <v>1013.452</v>
      </c>
      <c r="BF213" t="n">
        <v>914.003</v>
      </c>
      <c r="BG213" t="n">
        <v>865.494</v>
      </c>
      <c r="BH213" t="n">
        <v>621.704</v>
      </c>
      <c r="BI213" t="n">
        <v>1238.079</v>
      </c>
      <c r="BJ213" t="n">
        <v>836.11</v>
      </c>
      <c r="BK213" t="n">
        <v>1095.619</v>
      </c>
      <c r="BL213" t="n">
        <v>1031.754</v>
      </c>
      <c r="BM213" t="n">
        <v>1134.154</v>
      </c>
      <c r="BN213" t="n">
        <v>1335.316</v>
      </c>
      <c r="BO213" t="n">
        <v>2122.258</v>
      </c>
      <c r="BP213" t="n">
        <v>755.901</v>
      </c>
      <c r="BQ213" t="n">
        <v>1338.664</v>
      </c>
      <c r="BR213" t="n">
        <v>896.11</v>
      </c>
      <c r="BS213" t="n">
        <v>1287.194</v>
      </c>
      <c r="BT213" t="n">
        <v>1488.045</v>
      </c>
      <c r="BU213" t="n">
        <v>1218.131</v>
      </c>
      <c r="BV213" t="n">
        <v>1397.431</v>
      </c>
    </row>
    <row r="214">
      <c r="A214" t="inlineStr">
        <is>
          <t>Eleutheronema tetradactylum</t>
        </is>
      </c>
      <c r="B214" t="inlineStr">
        <is>
          <t>Fourfinger threadfin</t>
        </is>
      </c>
      <c r="C214" t="inlineStr">
        <is>
          <t>Large demersals (&gt;=90 cm)</t>
        </is>
      </c>
      <c r="D214" t="inlineStr">
        <is>
          <t>Perch-likes</t>
        </is>
      </c>
      <c r="E214" t="n">
        <v>267.857</v>
      </c>
      <c r="F214" t="n">
        <v>265.378</v>
      </c>
      <c r="G214" t="n">
        <v>267.022</v>
      </c>
      <c r="H214" t="n">
        <v>268.635</v>
      </c>
      <c r="I214" t="n">
        <v>270.207</v>
      </c>
      <c r="J214" t="n">
        <v>271.747</v>
      </c>
      <c r="K214" t="n">
        <v>273.245</v>
      </c>
      <c r="L214" t="n">
        <v>274.698</v>
      </c>
      <c r="M214" t="n">
        <v>276.111</v>
      </c>
      <c r="N214" t="n">
        <v>277.477</v>
      </c>
      <c r="O214" t="n">
        <v>285.929</v>
      </c>
      <c r="P214" t="n">
        <v>301.72</v>
      </c>
      <c r="Q214" t="n">
        <v>301.323</v>
      </c>
      <c r="R214" t="n">
        <v>304.68</v>
      </c>
      <c r="S214" t="n">
        <v>308.008</v>
      </c>
      <c r="T214" t="n">
        <v>311.298</v>
      </c>
      <c r="U214" t="n">
        <v>313.883</v>
      </c>
      <c r="V214" t="n">
        <v>316.416</v>
      </c>
      <c r="W214" t="n">
        <v>318.886</v>
      </c>
      <c r="X214" t="n">
        <v>321.292</v>
      </c>
      <c r="Y214" t="n">
        <v>316.756</v>
      </c>
      <c r="Z214" t="n">
        <v>325.974</v>
      </c>
      <c r="AA214" t="n">
        <v>328.243</v>
      </c>
      <c r="AB214" t="n">
        <v>330.432</v>
      </c>
      <c r="AC214" t="n">
        <v>338.772</v>
      </c>
      <c r="AD214" t="n">
        <v>333.676</v>
      </c>
      <c r="AE214" t="n">
        <v>345.56</v>
      </c>
      <c r="AF214" t="n">
        <v>346.484</v>
      </c>
      <c r="AG214" t="n">
        <v>349.334</v>
      </c>
      <c r="AH214" t="n">
        <v>349.159</v>
      </c>
      <c r="AI214" t="n">
        <v>349.276</v>
      </c>
      <c r="AJ214" t="n">
        <v>348.86</v>
      </c>
      <c r="AK214" t="n">
        <v>350.323</v>
      </c>
      <c r="AL214" t="n">
        <v>349.388</v>
      </c>
      <c r="AM214" t="n">
        <v>348.292</v>
      </c>
      <c r="AN214" t="n">
        <v>357.995</v>
      </c>
      <c r="AO214" t="n">
        <v>345.657</v>
      </c>
      <c r="AP214" t="n">
        <v>344.066</v>
      </c>
      <c r="AQ214" t="n">
        <v>347.638</v>
      </c>
      <c r="AR214" t="n">
        <v>340.368</v>
      </c>
      <c r="AS214" t="n">
        <v>347.839</v>
      </c>
      <c r="AT214" t="n">
        <v>349.113</v>
      </c>
      <c r="AU214" t="n">
        <v>350.095</v>
      </c>
      <c r="AV214" t="n">
        <v>350.784</v>
      </c>
      <c r="AW214" t="n">
        <v>351.182</v>
      </c>
      <c r="AX214" t="n">
        <v>351.289</v>
      </c>
      <c r="AY214" t="n">
        <v>351.104</v>
      </c>
      <c r="AZ214" t="n">
        <v>350.627</v>
      </c>
      <c r="BA214" t="n">
        <v>349.858</v>
      </c>
      <c r="BB214" t="n">
        <v>348.798</v>
      </c>
      <c r="BC214" t="n">
        <v>347.446</v>
      </c>
      <c r="BD214" t="n">
        <v>348.964</v>
      </c>
      <c r="BE214" t="n">
        <v>350.045</v>
      </c>
      <c r="BF214" t="n">
        <v>350.687</v>
      </c>
      <c r="BG214" t="n">
        <v>350.89</v>
      </c>
      <c r="BH214" t="n">
        <v>350.654</v>
      </c>
      <c r="BI214" t="n">
        <v>349.979</v>
      </c>
      <c r="BJ214" t="n">
        <v>348.865</v>
      </c>
      <c r="BK214" t="n">
        <v>347.312</v>
      </c>
      <c r="BL214" t="n">
        <v>355.202</v>
      </c>
      <c r="BM214" t="n">
        <v>363.093</v>
      </c>
      <c r="BN214" t="n">
        <v>363.019</v>
      </c>
      <c r="BO214" t="n">
        <v>367.401</v>
      </c>
      <c r="BP214" t="n">
        <v>371.897</v>
      </c>
      <c r="BQ214" t="n">
        <v>376.441</v>
      </c>
      <c r="BR214" t="n">
        <v>379.713</v>
      </c>
      <c r="BS214" t="n">
        <v>381.659</v>
      </c>
      <c r="BT214" t="n">
        <v>382.272</v>
      </c>
      <c r="BU214" t="n">
        <v>382.272</v>
      </c>
      <c r="BV214" t="n">
        <v>382.272</v>
      </c>
    </row>
    <row r="215">
      <c r="A215" t="inlineStr">
        <is>
          <t>Sphyrna</t>
        </is>
      </c>
      <c r="B215" t="inlineStr">
        <is>
          <t>Hammerhead sharks</t>
        </is>
      </c>
      <c r="C215" t="inlineStr">
        <is>
          <t>Large sharks (&gt;=90 cm)</t>
        </is>
      </c>
      <c r="D215" t="inlineStr">
        <is>
          <t>Sharks &amp; rays</t>
        </is>
      </c>
      <c r="E215" t="n">
        <v>102.99</v>
      </c>
      <c r="F215" t="n">
        <v>168.446</v>
      </c>
      <c r="G215" t="n">
        <v>124.825</v>
      </c>
      <c r="H215" t="n">
        <v>81.255</v>
      </c>
      <c r="I215" t="n">
        <v>155.968</v>
      </c>
      <c r="J215" t="n">
        <v>125.781</v>
      </c>
      <c r="K215" t="n">
        <v>150.937</v>
      </c>
      <c r="L215" t="n">
        <v>186.876</v>
      </c>
      <c r="M215" t="n">
        <v>206.043</v>
      </c>
      <c r="N215" t="n">
        <v>206.043</v>
      </c>
      <c r="O215" t="n">
        <v>239.584</v>
      </c>
      <c r="P215" t="n">
        <v>239.584</v>
      </c>
      <c r="Q215" t="n">
        <v>339.763</v>
      </c>
      <c r="R215" t="n">
        <v>339.763</v>
      </c>
      <c r="S215" t="n">
        <v>371.132</v>
      </c>
      <c r="T215" t="n">
        <v>329.895</v>
      </c>
      <c r="U215" t="n">
        <v>329.895</v>
      </c>
      <c r="V215" t="n">
        <v>395.874</v>
      </c>
      <c r="W215" t="n">
        <v>397.359</v>
      </c>
      <c r="X215" t="n">
        <v>439.833</v>
      </c>
      <c r="Y215" t="n">
        <v>387.627</v>
      </c>
      <c r="Z215" t="n">
        <v>305.153</v>
      </c>
      <c r="AA215" t="n">
        <v>390.06</v>
      </c>
      <c r="AB215" t="n">
        <v>535.789</v>
      </c>
      <c r="AC215" t="n">
        <v>471.814</v>
      </c>
      <c r="AD215" t="n">
        <v>391.845</v>
      </c>
      <c r="AE215" t="n">
        <v>467.815</v>
      </c>
      <c r="AF215" t="n">
        <v>339.866</v>
      </c>
      <c r="AG215" t="n">
        <v>375.852</v>
      </c>
      <c r="AH215" t="n">
        <v>383.849</v>
      </c>
      <c r="AI215" t="n">
        <v>423.833</v>
      </c>
      <c r="AJ215" t="n">
        <v>643.1130000000001</v>
      </c>
      <c r="AK215" t="n">
        <v>483.156</v>
      </c>
      <c r="AL215" t="n">
        <v>406.146</v>
      </c>
      <c r="AM215" t="n">
        <v>490.715</v>
      </c>
      <c r="AN215" t="n">
        <v>360.736</v>
      </c>
      <c r="AO215" t="n">
        <v>403.613</v>
      </c>
      <c r="AP215" t="n">
        <v>416.982</v>
      </c>
      <c r="AQ215" t="n">
        <v>465.696</v>
      </c>
      <c r="AR215" t="n">
        <v>698.544</v>
      </c>
      <c r="AS215" t="n">
        <v>394.963</v>
      </c>
      <c r="AT215" t="n">
        <v>465.213</v>
      </c>
      <c r="AU215" t="n">
        <v>398.038</v>
      </c>
      <c r="AV215" t="n">
        <v>652.019</v>
      </c>
      <c r="AW215" t="n">
        <v>623.857</v>
      </c>
      <c r="AX215" t="n">
        <v>422.466</v>
      </c>
      <c r="AY215" t="n">
        <v>456.449</v>
      </c>
      <c r="AZ215" t="n">
        <v>163.784</v>
      </c>
      <c r="BA215" t="n">
        <v>340.376</v>
      </c>
      <c r="BB215" t="n">
        <v>158.157</v>
      </c>
      <c r="BC215" t="n">
        <v>144.039</v>
      </c>
      <c r="BD215" t="n">
        <v>182.897</v>
      </c>
      <c r="BE215" t="n">
        <v>732.051</v>
      </c>
      <c r="BF215" t="n">
        <v>283.168</v>
      </c>
      <c r="BG215" t="n">
        <v>532.735</v>
      </c>
      <c r="BH215" t="n">
        <v>198.561</v>
      </c>
      <c r="BI215" t="n">
        <v>235.784</v>
      </c>
      <c r="BJ215" t="n">
        <v>108.193</v>
      </c>
      <c r="BK215" t="n">
        <v>122.771</v>
      </c>
      <c r="BL215" t="n">
        <v>147.238</v>
      </c>
      <c r="BM215" t="n">
        <v>134.272</v>
      </c>
      <c r="BN215" t="n">
        <v>125.268</v>
      </c>
      <c r="BO215" t="n">
        <v>206.215</v>
      </c>
      <c r="BP215" t="n">
        <v>224.094</v>
      </c>
      <c r="BQ215" t="n">
        <v>285.598</v>
      </c>
      <c r="BR215" t="n">
        <v>256.142</v>
      </c>
      <c r="BS215" t="n">
        <v>375.122</v>
      </c>
      <c r="BT215" t="n">
        <v>255.1</v>
      </c>
      <c r="BU215" t="n">
        <v>0.579</v>
      </c>
      <c r="BV215" t="n">
        <v>231.889</v>
      </c>
    </row>
    <row r="216">
      <c r="A216" t="inlineStr">
        <is>
          <t>Thunnus alalunga</t>
        </is>
      </c>
      <c r="B216" t="inlineStr">
        <is>
          <t>Albacore</t>
        </is>
      </c>
      <c r="C216" t="inlineStr">
        <is>
          <t>Large pelagics (&gt;=90 cm)</t>
        </is>
      </c>
      <c r="D216" t="inlineStr">
        <is>
          <t>Tuna &amp; billfishes</t>
        </is>
      </c>
      <c r="E216" t="n">
        <v>0</v>
      </c>
      <c r="F216" t="n">
        <v>0</v>
      </c>
      <c r="G216" t="n">
        <v>0</v>
      </c>
      <c r="H216" t="n">
        <v>0</v>
      </c>
      <c r="I216" t="n">
        <v>8.282999999999999</v>
      </c>
      <c r="J216" t="n">
        <v>36.43</v>
      </c>
      <c r="K216" t="n">
        <v>38.157</v>
      </c>
      <c r="L216" t="n">
        <v>10.748</v>
      </c>
      <c r="M216" t="n">
        <v>312.759</v>
      </c>
      <c r="N216" t="n">
        <v>414.583</v>
      </c>
      <c r="O216" t="n">
        <v>97.824</v>
      </c>
      <c r="P216" t="n">
        <v>144.032</v>
      </c>
      <c r="Q216" t="n">
        <v>22.444</v>
      </c>
      <c r="R216" t="n">
        <v>624.802</v>
      </c>
      <c r="S216" t="n">
        <v>979.169</v>
      </c>
      <c r="T216" t="n">
        <v>15.27</v>
      </c>
      <c r="U216" t="n">
        <v>827.67</v>
      </c>
      <c r="V216" t="n">
        <v>41.154</v>
      </c>
      <c r="W216" t="n">
        <v>1694.72</v>
      </c>
      <c r="X216" t="n">
        <v>832.489</v>
      </c>
      <c r="Y216" t="n">
        <v>27.006</v>
      </c>
      <c r="Z216" t="n">
        <v>77.935</v>
      </c>
      <c r="AA216" t="n">
        <v>10.307</v>
      </c>
      <c r="AB216" t="n">
        <v>4.208</v>
      </c>
      <c r="AC216" t="n">
        <v>132.594</v>
      </c>
      <c r="AD216" t="n">
        <v>16.553</v>
      </c>
      <c r="AE216" t="n">
        <v>16.619</v>
      </c>
      <c r="AF216" t="n">
        <v>2.548</v>
      </c>
      <c r="AG216" t="n">
        <v>6.117</v>
      </c>
      <c r="AH216" t="n">
        <v>64.751</v>
      </c>
      <c r="AI216" t="n">
        <v>25.153</v>
      </c>
      <c r="AJ216" t="n">
        <v>280.451</v>
      </c>
      <c r="AK216" t="n">
        <v>281.985</v>
      </c>
      <c r="AL216" t="n">
        <v>102.346</v>
      </c>
      <c r="AM216" t="n">
        <v>198.361</v>
      </c>
      <c r="AN216" t="n">
        <v>284.759</v>
      </c>
      <c r="AO216" t="n">
        <v>172.362</v>
      </c>
      <c r="AP216" t="n">
        <v>176.755</v>
      </c>
      <c r="AQ216" t="n">
        <v>186.04</v>
      </c>
      <c r="AR216" t="n">
        <v>141.794</v>
      </c>
      <c r="AS216" t="n">
        <v>116.739</v>
      </c>
      <c r="AT216" t="n">
        <v>122.726</v>
      </c>
      <c r="AU216" t="n">
        <v>213.48</v>
      </c>
      <c r="AV216" t="n">
        <v>191.215</v>
      </c>
      <c r="AW216" t="n">
        <v>152.07</v>
      </c>
      <c r="AX216" t="n">
        <v>1.786</v>
      </c>
      <c r="AY216" t="n">
        <v>3.436</v>
      </c>
      <c r="AZ216" t="n">
        <v>6.597</v>
      </c>
      <c r="BA216" t="n">
        <v>12.733</v>
      </c>
      <c r="BB216" t="n">
        <v>113.359</v>
      </c>
      <c r="BC216" t="n">
        <v>123.281</v>
      </c>
      <c r="BD216" t="n">
        <v>87.19199999999999</v>
      </c>
      <c r="BE216" t="n">
        <v>60.517</v>
      </c>
      <c r="BF216" t="n">
        <v>44.867</v>
      </c>
      <c r="BG216" t="n">
        <v>244.451</v>
      </c>
      <c r="BH216" t="n">
        <v>327.014</v>
      </c>
      <c r="BI216" t="n">
        <v>358.157</v>
      </c>
      <c r="BJ216" t="n">
        <v>747.022</v>
      </c>
      <c r="BK216" t="n">
        <v>589.424</v>
      </c>
      <c r="BL216" t="n">
        <v>1095.244</v>
      </c>
      <c r="BM216" t="n">
        <v>1156.658</v>
      </c>
      <c r="BN216" t="n">
        <v>889.792</v>
      </c>
      <c r="BO216" t="n">
        <v>539.359</v>
      </c>
      <c r="BP216" t="n">
        <v>305.861</v>
      </c>
      <c r="BQ216" t="n">
        <v>190.661</v>
      </c>
      <c r="BR216" t="n">
        <v>408.699</v>
      </c>
      <c r="BS216" t="n">
        <v>2013.092</v>
      </c>
      <c r="BT216" t="n">
        <v>2047.882</v>
      </c>
      <c r="BU216" t="n">
        <v>1254.806</v>
      </c>
      <c r="BV216" t="n">
        <v>774.754</v>
      </c>
    </row>
    <row r="217">
      <c r="A217" t="inlineStr">
        <is>
          <t>Caesio</t>
        </is>
      </c>
      <c r="B217" t="inlineStr">
        <is>
          <t>Caesios</t>
        </is>
      </c>
      <c r="C217" t="inlineStr">
        <is>
          <t>Medium reef assoc. fish (30 - 89 cm)</t>
        </is>
      </c>
      <c r="D217" t="inlineStr">
        <is>
          <t>Perch-likes</t>
        </is>
      </c>
      <c r="E217" t="n">
        <v>51.447</v>
      </c>
      <c r="F217" t="n">
        <v>51.447</v>
      </c>
      <c r="G217" t="n">
        <v>50.458</v>
      </c>
      <c r="H217" t="n">
        <v>49.468</v>
      </c>
      <c r="I217" t="n">
        <v>49.468</v>
      </c>
      <c r="J217" t="n">
        <v>53.426</v>
      </c>
      <c r="K217" t="n">
        <v>50.458</v>
      </c>
      <c r="L217" t="n">
        <v>51.447</v>
      </c>
      <c r="M217" t="n">
        <v>57.383</v>
      </c>
      <c r="N217" t="n">
        <v>61.341</v>
      </c>
      <c r="O217" t="n">
        <v>68.26600000000001</v>
      </c>
      <c r="P217" t="n">
        <v>73.21299999999999</v>
      </c>
      <c r="Q217" t="n">
        <v>86.075</v>
      </c>
      <c r="R217" t="n">
        <v>94.979</v>
      </c>
      <c r="S217" t="n">
        <v>111.799</v>
      </c>
      <c r="T217" t="n">
        <v>119.714</v>
      </c>
      <c r="U217" t="n">
        <v>125.651</v>
      </c>
      <c r="V217" t="n">
        <v>147.416</v>
      </c>
      <c r="W217" t="n">
        <v>162.257</v>
      </c>
      <c r="X217" t="n">
        <v>151.374</v>
      </c>
      <c r="Y217" t="n">
        <v>147.416</v>
      </c>
      <c r="Z217" t="n">
        <v>165.228</v>
      </c>
      <c r="AA217" t="n">
        <v>160.282</v>
      </c>
      <c r="AB217" t="n">
        <v>179.081</v>
      </c>
      <c r="AC217" t="n">
        <v>178.092</v>
      </c>
      <c r="AD217" t="n">
        <v>173.146</v>
      </c>
      <c r="AE217" t="n">
        <v>63.323</v>
      </c>
      <c r="AF217" t="n">
        <v>69.089</v>
      </c>
      <c r="AG217" t="n">
        <v>82.121</v>
      </c>
      <c r="AH217" t="n">
        <v>87.068</v>
      </c>
      <c r="AI217" t="n">
        <v>138.515</v>
      </c>
      <c r="AJ217" t="n">
        <v>123.675</v>
      </c>
      <c r="AK217" t="n">
        <v>120.707</v>
      </c>
      <c r="AL217" t="n">
        <v>118.469</v>
      </c>
      <c r="AM217" t="n">
        <v>110.813</v>
      </c>
      <c r="AN217" t="n">
        <v>628.25</v>
      </c>
      <c r="AO217" t="n">
        <v>566.909</v>
      </c>
      <c r="AP217" t="n">
        <v>503.59</v>
      </c>
      <c r="AQ217" t="n">
        <v>394.759</v>
      </c>
      <c r="AR217" t="n">
        <v>510.515</v>
      </c>
      <c r="AS217" t="n">
        <v>17.811</v>
      </c>
      <c r="AT217" t="n">
        <v>17.811</v>
      </c>
      <c r="AU217" t="n">
        <v>20.779</v>
      </c>
      <c r="AV217" t="n">
        <v>17.811</v>
      </c>
      <c r="AW217" t="n">
        <v>17.811</v>
      </c>
      <c r="AX217" t="n">
        <v>57.384</v>
      </c>
      <c r="AY217" t="n">
        <v>50.458</v>
      </c>
      <c r="AZ217" t="n">
        <v>61.341</v>
      </c>
      <c r="BA217" t="n">
        <v>42.543</v>
      </c>
      <c r="BB217" t="n">
        <v>53.426</v>
      </c>
      <c r="BC217" t="n">
        <v>42.548</v>
      </c>
      <c r="BD217" t="n">
        <v>37.6</v>
      </c>
      <c r="BE217" t="n">
        <v>37.6</v>
      </c>
      <c r="BF217" t="n">
        <v>42.548</v>
      </c>
      <c r="BG217" t="n">
        <v>45.516</v>
      </c>
      <c r="BH217" t="n">
        <v>24.734</v>
      </c>
      <c r="BI217" t="n">
        <v>24.734</v>
      </c>
      <c r="BJ217" t="n">
        <v>28.692</v>
      </c>
      <c r="BK217" t="n">
        <v>30.671</v>
      </c>
      <c r="BL217" t="n">
        <v>45.511</v>
      </c>
      <c r="BM217" t="n">
        <v>43.532</v>
      </c>
      <c r="BN217" t="n">
        <v>1334.32</v>
      </c>
      <c r="BO217" t="n">
        <v>1364.256</v>
      </c>
      <c r="BP217" t="n">
        <v>1356.989</v>
      </c>
      <c r="BQ217" t="n">
        <v>1421.57</v>
      </c>
      <c r="BR217" t="n">
        <v>1659.972</v>
      </c>
      <c r="BS217" t="n">
        <v>1610.796</v>
      </c>
      <c r="BT217" t="n">
        <v>2027.499</v>
      </c>
      <c r="BU217" t="n">
        <v>1670.428</v>
      </c>
      <c r="BV217" t="n">
        <v>2977.205</v>
      </c>
    </row>
    <row r="218">
      <c r="A218" t="inlineStr">
        <is>
          <t>Plectorhinchus</t>
        </is>
      </c>
      <c r="B218" t="inlineStr">
        <is>
          <t>Sweetlips</t>
        </is>
      </c>
      <c r="C218" t="inlineStr">
        <is>
          <t>Medium reef assoc. fish (30 - 89 cm)</t>
        </is>
      </c>
      <c r="D218" t="inlineStr">
        <is>
          <t>Perch-likes</t>
        </is>
      </c>
      <c r="E218" t="n">
        <v>115.304</v>
      </c>
      <c r="F218" t="n">
        <v>114.31</v>
      </c>
      <c r="G218" t="n">
        <v>113.316</v>
      </c>
      <c r="H218" t="n">
        <v>110.334</v>
      </c>
      <c r="I218" t="n">
        <v>110.334</v>
      </c>
      <c r="J218" t="n">
        <v>120.275</v>
      </c>
      <c r="K218" t="n">
        <v>111.328</v>
      </c>
      <c r="L218" t="n">
        <v>115.304</v>
      </c>
      <c r="M218" t="n">
        <v>130.215</v>
      </c>
      <c r="N218" t="n">
        <v>135.185</v>
      </c>
      <c r="O218" t="n">
        <v>152.083</v>
      </c>
      <c r="P218" t="n">
        <v>162.023</v>
      </c>
      <c r="Q218" t="n">
        <v>190.849</v>
      </c>
      <c r="R218" t="n">
        <v>211.723</v>
      </c>
      <c r="S218" t="n">
        <v>237.598</v>
      </c>
      <c r="T218" t="n">
        <v>256.488</v>
      </c>
      <c r="U218" t="n">
        <v>268.418</v>
      </c>
      <c r="V218" t="n">
        <v>321.096</v>
      </c>
      <c r="W218" t="n">
        <v>350.914</v>
      </c>
      <c r="X218" t="n">
        <v>328.046</v>
      </c>
      <c r="Y218" t="n">
        <v>320.102</v>
      </c>
      <c r="Z218" t="n">
        <v>337.06</v>
      </c>
      <c r="AA218" t="n">
        <v>319.192</v>
      </c>
      <c r="AB218" t="n">
        <v>355.005</v>
      </c>
      <c r="AC218" t="n">
        <v>348.071</v>
      </c>
      <c r="AD218" t="n">
        <v>332.173</v>
      </c>
      <c r="AE218" t="n">
        <v>1659.484</v>
      </c>
      <c r="AF218" t="n">
        <v>2117.148</v>
      </c>
      <c r="AG218" t="n">
        <v>2525.274</v>
      </c>
      <c r="AH218" t="n">
        <v>2570.141</v>
      </c>
      <c r="AI218" t="n">
        <v>572.678</v>
      </c>
      <c r="AJ218" t="n">
        <v>537.856</v>
      </c>
      <c r="AK218" t="n">
        <v>534.899</v>
      </c>
      <c r="AL218" t="n">
        <v>510.966</v>
      </c>
      <c r="AM218" t="n">
        <v>497.063</v>
      </c>
      <c r="AN218" t="n">
        <v>595.252</v>
      </c>
      <c r="AO218" t="n">
        <v>542.509</v>
      </c>
      <c r="AP218" t="n">
        <v>508.716</v>
      </c>
      <c r="AQ218" t="n">
        <v>422.148</v>
      </c>
      <c r="AR218" t="n">
        <v>487.759</v>
      </c>
      <c r="AS218" t="n">
        <v>149.51</v>
      </c>
      <c r="AT218" t="n">
        <v>143.533</v>
      </c>
      <c r="AU218" t="n">
        <v>166.459</v>
      </c>
      <c r="AV218" t="n">
        <v>143.539</v>
      </c>
      <c r="AW218" t="n">
        <v>140.545</v>
      </c>
      <c r="AX218" t="n">
        <v>55.744</v>
      </c>
      <c r="AY218" t="n">
        <v>51.765</v>
      </c>
      <c r="AZ218" t="n">
        <v>56.732</v>
      </c>
      <c r="BA218" t="n">
        <v>45.801</v>
      </c>
      <c r="BB218" t="n">
        <v>52.756</v>
      </c>
      <c r="BC218" t="n">
        <v>93.68600000000001</v>
      </c>
      <c r="BD218" t="n">
        <v>85.708</v>
      </c>
      <c r="BE218" t="n">
        <v>84.714</v>
      </c>
      <c r="BF218" t="n">
        <v>96.67700000000001</v>
      </c>
      <c r="BG218" t="n">
        <v>103.651</v>
      </c>
      <c r="BH218" t="n">
        <v>47.802</v>
      </c>
      <c r="BI218" t="n">
        <v>50.79</v>
      </c>
      <c r="BJ218" t="n">
        <v>57.764</v>
      </c>
      <c r="BK218" t="n">
        <v>57.761</v>
      </c>
      <c r="BL218" t="n">
        <v>63.738</v>
      </c>
      <c r="BM218" t="n">
        <v>62.747</v>
      </c>
      <c r="BN218" t="n">
        <v>58.317</v>
      </c>
      <c r="BO218" t="n">
        <v>59.106</v>
      </c>
      <c r="BP218" t="n">
        <v>57.835</v>
      </c>
      <c r="BQ218" t="n">
        <v>61.541</v>
      </c>
      <c r="BR218" t="n">
        <v>62.406</v>
      </c>
      <c r="BS218" t="n">
        <v>67.06</v>
      </c>
      <c r="BT218" t="n">
        <v>62.012</v>
      </c>
      <c r="BU218" t="n">
        <v>56.997</v>
      </c>
      <c r="BV218" t="n">
        <v>59.487</v>
      </c>
    </row>
    <row r="219">
      <c r="A219" t="inlineStr">
        <is>
          <t>Dussumieria elopsoides</t>
        </is>
      </c>
      <c r="B219" t="inlineStr">
        <is>
          <t>Slender rainbow sardine</t>
        </is>
      </c>
      <c r="C219" t="inlineStr">
        <is>
          <t>Small pelagics (&lt;30 cm)</t>
        </is>
      </c>
      <c r="D219" t="inlineStr">
        <is>
          <t>Herring-likes</t>
        </is>
      </c>
      <c r="E219" t="n">
        <v>44.746</v>
      </c>
      <c r="F219" t="n">
        <v>44.746</v>
      </c>
      <c r="G219" t="n">
        <v>59.662</v>
      </c>
      <c r="H219" t="n">
        <v>52.701</v>
      </c>
      <c r="I219" t="n">
        <v>44.746</v>
      </c>
      <c r="J219" t="n">
        <v>44.746</v>
      </c>
      <c r="K219" t="n">
        <v>44.746</v>
      </c>
      <c r="L219" t="n">
        <v>43.752</v>
      </c>
      <c r="M219" t="n">
        <v>46.735</v>
      </c>
      <c r="N219" t="n">
        <v>44.746</v>
      </c>
      <c r="O219" t="n">
        <v>59.662</v>
      </c>
      <c r="P219" t="n">
        <v>76.566</v>
      </c>
      <c r="Q219" t="n">
        <v>77.56</v>
      </c>
      <c r="R219" t="n">
        <v>134.238</v>
      </c>
      <c r="S219" t="n">
        <v>124.295</v>
      </c>
      <c r="T219" t="n">
        <v>132.279</v>
      </c>
      <c r="U219" t="n">
        <v>165.119</v>
      </c>
      <c r="V219" t="n">
        <v>205.929</v>
      </c>
      <c r="W219" t="n">
        <v>211.931</v>
      </c>
      <c r="X219" t="n">
        <v>194.049</v>
      </c>
      <c r="Y219" t="n">
        <v>169.199</v>
      </c>
      <c r="Z219" t="n">
        <v>198.11</v>
      </c>
      <c r="AA219" t="n">
        <v>188.202</v>
      </c>
      <c r="AB219" t="n">
        <v>215.14</v>
      </c>
      <c r="AC219" t="n">
        <v>279.951</v>
      </c>
      <c r="AD219" t="n">
        <v>273.046</v>
      </c>
      <c r="AE219" t="n">
        <v>290.99</v>
      </c>
      <c r="AF219" t="n">
        <v>357.474</v>
      </c>
      <c r="AG219" t="n">
        <v>327.829</v>
      </c>
      <c r="AH219" t="n">
        <v>287.025</v>
      </c>
      <c r="AI219" t="n">
        <v>290.925</v>
      </c>
      <c r="AJ219" t="n">
        <v>306.867</v>
      </c>
      <c r="AK219" t="n">
        <v>314.861</v>
      </c>
      <c r="AL219" t="n">
        <v>328.85</v>
      </c>
      <c r="AM219" t="n">
        <v>287.051</v>
      </c>
      <c r="AN219" t="n">
        <v>316.927</v>
      </c>
      <c r="AO219" t="n">
        <v>373.757</v>
      </c>
      <c r="AP219" t="n">
        <v>455.592</v>
      </c>
      <c r="AQ219" t="n">
        <v>356.912</v>
      </c>
      <c r="AR219" t="n">
        <v>434.63</v>
      </c>
      <c r="AS219" t="n">
        <v>472.58</v>
      </c>
      <c r="AT219" t="n">
        <v>352.941</v>
      </c>
      <c r="AU219" t="n">
        <v>365.88</v>
      </c>
      <c r="AV219" t="n">
        <v>376.825</v>
      </c>
      <c r="AW219" t="n">
        <v>370.833</v>
      </c>
      <c r="AX219" t="n">
        <v>395.74</v>
      </c>
      <c r="AY219" t="n">
        <v>403.721</v>
      </c>
      <c r="AZ219" t="n">
        <v>395.743</v>
      </c>
      <c r="BA219" t="n">
        <v>467.563</v>
      </c>
      <c r="BB219" t="n">
        <v>413.745</v>
      </c>
      <c r="BC219" t="n">
        <v>463.57</v>
      </c>
      <c r="BD219" t="n">
        <v>444.619</v>
      </c>
      <c r="BE219" t="n">
        <v>477.572</v>
      </c>
      <c r="BF219" t="n">
        <v>482.527</v>
      </c>
      <c r="BG219" t="n">
        <v>502.453</v>
      </c>
      <c r="BH219" t="n">
        <v>443.666</v>
      </c>
      <c r="BI219" t="n">
        <v>528.423</v>
      </c>
      <c r="BJ219" t="n">
        <v>523.4349999999999</v>
      </c>
      <c r="BK219" t="n">
        <v>519.432</v>
      </c>
      <c r="BL219" t="n">
        <v>470.546</v>
      </c>
      <c r="BM219" t="n">
        <v>500.458</v>
      </c>
      <c r="BN219" t="n">
        <v>471.27</v>
      </c>
      <c r="BO219" t="n">
        <v>478.317</v>
      </c>
      <c r="BP219" t="n">
        <v>466.07</v>
      </c>
      <c r="BQ219" t="n">
        <v>494.284</v>
      </c>
      <c r="BR219" t="n">
        <v>500.986</v>
      </c>
      <c r="BS219" t="n">
        <v>537.837</v>
      </c>
      <c r="BT219" t="n">
        <v>497.387</v>
      </c>
      <c r="BU219" t="n">
        <v>456.409</v>
      </c>
      <c r="BV219" t="n">
        <v>475.847</v>
      </c>
    </row>
    <row r="220">
      <c r="A220" t="inlineStr">
        <is>
          <t>Panulirus longipes</t>
        </is>
      </c>
      <c r="B220" t="inlineStr">
        <is>
          <t>Longlegged spiny lobster</t>
        </is>
      </c>
      <c r="C220" t="inlineStr">
        <is>
          <t>Lobsters, crabs</t>
        </is>
      </c>
      <c r="D220" t="inlineStr">
        <is>
          <t>Crustaceans</t>
        </is>
      </c>
      <c r="E220" t="n">
        <v>15.971</v>
      </c>
      <c r="F220" t="n">
        <v>15.971</v>
      </c>
      <c r="G220" t="n">
        <v>19.165</v>
      </c>
      <c r="H220" t="n">
        <v>22.359</v>
      </c>
      <c r="I220" t="n">
        <v>38.33</v>
      </c>
      <c r="J220" t="n">
        <v>31.942</v>
      </c>
      <c r="K220" t="n">
        <v>47.913</v>
      </c>
      <c r="L220" t="n">
        <v>41.525</v>
      </c>
      <c r="M220" t="n">
        <v>67.078</v>
      </c>
      <c r="N220" t="n">
        <v>60.69</v>
      </c>
      <c r="O220" t="n">
        <v>63.884</v>
      </c>
      <c r="P220" t="n">
        <v>57.496</v>
      </c>
      <c r="Q220" t="n">
        <v>95.82599999999999</v>
      </c>
      <c r="R220" t="n">
        <v>76.661</v>
      </c>
      <c r="S220" t="n">
        <v>156.516</v>
      </c>
      <c r="T220" t="n">
        <v>86.24299999999999</v>
      </c>
      <c r="U220" t="n">
        <v>102.214</v>
      </c>
      <c r="V220" t="n">
        <v>111.797</v>
      </c>
      <c r="W220" t="n">
        <v>83.04900000000001</v>
      </c>
      <c r="X220" t="n">
        <v>127.768</v>
      </c>
      <c r="Y220" t="n">
        <v>111.797</v>
      </c>
      <c r="Z220" t="n">
        <v>102.214</v>
      </c>
      <c r="AA220" t="n">
        <v>118.185</v>
      </c>
      <c r="AB220" t="n">
        <v>105.409</v>
      </c>
      <c r="AC220" t="n">
        <v>169.293</v>
      </c>
      <c r="AD220" t="n">
        <v>197.785</v>
      </c>
      <c r="AE220" t="n">
        <v>228.354</v>
      </c>
      <c r="AF220" t="n">
        <v>194.527</v>
      </c>
      <c r="AG220" t="n">
        <v>232.187</v>
      </c>
      <c r="AH220" t="n">
        <v>175.234</v>
      </c>
      <c r="AI220" t="n">
        <v>167.082</v>
      </c>
      <c r="AJ220" t="n">
        <v>237.316</v>
      </c>
      <c r="AK220" t="n">
        <v>328.038</v>
      </c>
      <c r="AL220" t="n">
        <v>253.351</v>
      </c>
      <c r="AM220" t="n">
        <v>247.353</v>
      </c>
      <c r="AN220" t="n">
        <v>989.751</v>
      </c>
      <c r="AO220" t="n">
        <v>935.208</v>
      </c>
      <c r="AP220" t="n">
        <v>942.665</v>
      </c>
      <c r="AQ220" t="n">
        <v>859.2430000000001</v>
      </c>
      <c r="AR220" t="n">
        <v>866.722</v>
      </c>
      <c r="AS220" t="n">
        <v>244.639</v>
      </c>
      <c r="AT220" t="n">
        <v>269.34</v>
      </c>
      <c r="AU220" t="n">
        <v>339.381</v>
      </c>
      <c r="AV220" t="n">
        <v>322.531</v>
      </c>
      <c r="AW220" t="n">
        <v>187.703</v>
      </c>
      <c r="AX220" t="n">
        <v>283.898</v>
      </c>
      <c r="AY220" t="n">
        <v>249.159</v>
      </c>
      <c r="AZ220" t="n">
        <v>247.366</v>
      </c>
      <c r="BA220" t="n">
        <v>293.061</v>
      </c>
      <c r="BB220" t="n">
        <v>207.151</v>
      </c>
      <c r="BC220" t="n">
        <v>425.888</v>
      </c>
      <c r="BD220" t="n">
        <v>463.18</v>
      </c>
      <c r="BE220" t="n">
        <v>348.304</v>
      </c>
      <c r="BF220" t="n">
        <v>847.028</v>
      </c>
      <c r="BG220" t="n">
        <v>574.002</v>
      </c>
      <c r="BH220" t="n">
        <v>68.57899999999999</v>
      </c>
      <c r="BI220" t="n">
        <v>150.521</v>
      </c>
      <c r="BJ220" t="n">
        <v>227.193</v>
      </c>
      <c r="BK220" t="n">
        <v>310.005</v>
      </c>
      <c r="BL220" t="n">
        <v>345.798</v>
      </c>
      <c r="BM220" t="n">
        <v>408.237</v>
      </c>
      <c r="BN220" t="n">
        <v>318.699</v>
      </c>
      <c r="BO220" t="n">
        <v>378.131</v>
      </c>
      <c r="BP220" t="n">
        <v>466.891</v>
      </c>
      <c r="BQ220" t="n">
        <v>777.259</v>
      </c>
      <c r="BR220" t="n">
        <v>743.65</v>
      </c>
      <c r="BS220" t="n">
        <v>905.442</v>
      </c>
      <c r="BT220" t="n">
        <v>726.754</v>
      </c>
      <c r="BU220" t="n">
        <v>739.576</v>
      </c>
      <c r="BV220" t="n">
        <v>755.789</v>
      </c>
    </row>
    <row r="221">
      <c r="A221" t="inlineStr">
        <is>
          <t>Pteriomorphia</t>
        </is>
      </c>
      <c r="B221" t="inlineStr">
        <is>
          <t>Clams, cockles, arkshells</t>
        </is>
      </c>
      <c r="C221" t="inlineStr">
        <is>
          <t>Other demersal invertebrates</t>
        </is>
      </c>
      <c r="D221" t="inlineStr">
        <is>
          <t>Molluscs</t>
        </is>
      </c>
      <c r="E221" t="n">
        <v>131.411</v>
      </c>
      <c r="F221" t="n">
        <v>134.317</v>
      </c>
      <c r="G221" t="n">
        <v>137.224</v>
      </c>
      <c r="H221" t="n">
        <v>140.131</v>
      </c>
      <c r="I221" t="n">
        <v>143.038</v>
      </c>
      <c r="J221" t="n">
        <v>145.945</v>
      </c>
      <c r="K221" t="n">
        <v>148.852</v>
      </c>
      <c r="L221" t="n">
        <v>151.759</v>
      </c>
      <c r="M221" t="n">
        <v>154.666</v>
      </c>
      <c r="N221" t="n">
        <v>157.573</v>
      </c>
      <c r="O221" t="n">
        <v>160.48</v>
      </c>
      <c r="P221" t="n">
        <v>163.386</v>
      </c>
      <c r="Q221" t="n">
        <v>136.953</v>
      </c>
      <c r="R221" t="n">
        <v>139.882</v>
      </c>
      <c r="S221" t="n">
        <v>142.811</v>
      </c>
      <c r="T221" t="n">
        <v>145.741</v>
      </c>
      <c r="U221" t="n">
        <v>148.67</v>
      </c>
      <c r="V221" t="n">
        <v>151.599</v>
      </c>
      <c r="W221" t="n">
        <v>144.277</v>
      </c>
      <c r="X221" t="n">
        <v>151.067</v>
      </c>
      <c r="Y221" t="n">
        <v>157.856</v>
      </c>
      <c r="Z221" t="n">
        <v>164.646</v>
      </c>
      <c r="AA221" t="n">
        <v>171.435</v>
      </c>
      <c r="AB221" t="n">
        <v>178.225</v>
      </c>
      <c r="AC221" t="n">
        <v>185.014</v>
      </c>
      <c r="AD221" t="n">
        <v>191.804</v>
      </c>
      <c r="AE221" t="n">
        <v>198.594</v>
      </c>
      <c r="AF221" t="n">
        <v>205.383</v>
      </c>
      <c r="AG221" t="n">
        <v>212.173</v>
      </c>
      <c r="AH221" t="n">
        <v>218.962</v>
      </c>
      <c r="AI221" t="n">
        <v>225.752</v>
      </c>
      <c r="AJ221" t="n">
        <v>232.541</v>
      </c>
      <c r="AK221" t="n">
        <v>239.331</v>
      </c>
      <c r="AL221" t="n">
        <v>246.12</v>
      </c>
      <c r="AM221" t="n">
        <v>252.91</v>
      </c>
      <c r="AN221" t="n">
        <v>259.699</v>
      </c>
      <c r="AO221" t="n">
        <v>308.491</v>
      </c>
      <c r="AP221" t="n">
        <v>357.283</v>
      </c>
      <c r="AQ221" t="n">
        <v>406.075</v>
      </c>
      <c r="AR221" t="n">
        <v>454.867</v>
      </c>
      <c r="AS221" t="n">
        <v>503.659</v>
      </c>
      <c r="AT221" t="n">
        <v>552.451</v>
      </c>
      <c r="AU221" t="n">
        <v>601.2430000000001</v>
      </c>
      <c r="AV221" t="n">
        <v>650.035</v>
      </c>
      <c r="AW221" t="n">
        <v>698.827</v>
      </c>
      <c r="AX221" t="n">
        <v>747.619</v>
      </c>
      <c r="AY221" t="n">
        <v>796.4109999999999</v>
      </c>
      <c r="AZ221" t="n">
        <v>796.4109999999999</v>
      </c>
      <c r="BA221" t="n">
        <v>796.4109999999999</v>
      </c>
      <c r="BB221" t="n">
        <v>796.4109999999999</v>
      </c>
      <c r="BC221" t="n">
        <v>796.4109999999999</v>
      </c>
      <c r="BD221" t="n">
        <v>740.535</v>
      </c>
      <c r="BE221" t="n">
        <v>684.659</v>
      </c>
      <c r="BF221" t="n">
        <v>628.783</v>
      </c>
      <c r="BG221" t="n">
        <v>572.907</v>
      </c>
      <c r="BH221" t="n">
        <v>517.032</v>
      </c>
      <c r="BI221" t="n">
        <v>461.156</v>
      </c>
      <c r="BJ221" t="n">
        <v>405.28</v>
      </c>
      <c r="BK221" t="n">
        <v>349.404</v>
      </c>
      <c r="BL221" t="n">
        <v>293.528</v>
      </c>
      <c r="BM221" t="n">
        <v>237.652</v>
      </c>
      <c r="BN221" t="n">
        <v>181.776</v>
      </c>
      <c r="BO221" t="n">
        <v>125.9</v>
      </c>
      <c r="BP221" t="n">
        <v>70.024</v>
      </c>
      <c r="BQ221" t="n">
        <v>77.494</v>
      </c>
      <c r="BR221" t="n">
        <v>52.678</v>
      </c>
      <c r="BS221" t="n">
        <v>48.105</v>
      </c>
      <c r="BT221" t="n">
        <v>59.013</v>
      </c>
      <c r="BU221" t="n">
        <v>75.464</v>
      </c>
      <c r="BV221" t="n">
        <v>64.363</v>
      </c>
    </row>
    <row r="222">
      <c r="A222" t="inlineStr">
        <is>
          <t>Lutjanus quinquelineatus</t>
        </is>
      </c>
      <c r="B222" t="inlineStr">
        <is>
          <t>Five-lined snapper</t>
        </is>
      </c>
      <c r="C222" t="inlineStr">
        <is>
          <t>Medium reef assoc. fish (30 - 89 cm)</t>
        </is>
      </c>
      <c r="D222" t="inlineStr">
        <is>
          <t>Perch-likes</t>
        </is>
      </c>
      <c r="E222" t="n">
        <v>0</v>
      </c>
      <c r="F222" t="n">
        <v>0</v>
      </c>
      <c r="G222" t="n">
        <v>0</v>
      </c>
      <c r="H222" t="n">
        <v>0</v>
      </c>
      <c r="I222" t="n">
        <v>0</v>
      </c>
      <c r="J222" t="n">
        <v>0</v>
      </c>
      <c r="K222" t="n">
        <v>0</v>
      </c>
      <c r="L222" t="n">
        <v>0</v>
      </c>
      <c r="M222" t="n">
        <v>0</v>
      </c>
      <c r="N222" t="n">
        <v>0</v>
      </c>
      <c r="O222" t="n">
        <v>0</v>
      </c>
      <c r="P222" t="n">
        <v>0</v>
      </c>
      <c r="Q222" t="n">
        <v>0</v>
      </c>
      <c r="R222" t="n">
        <v>0</v>
      </c>
      <c r="S222" t="n">
        <v>11.874</v>
      </c>
      <c r="T222" t="n">
        <v>13.853</v>
      </c>
      <c r="U222" t="n">
        <v>13.853</v>
      </c>
      <c r="V222" t="n">
        <v>11.874</v>
      </c>
      <c r="W222" t="n">
        <v>11.874</v>
      </c>
      <c r="X222" t="n">
        <v>9.895</v>
      </c>
      <c r="Y222" t="n">
        <v>12.863</v>
      </c>
      <c r="Z222" t="n">
        <v>34.632</v>
      </c>
      <c r="AA222" t="n">
        <v>44.527</v>
      </c>
      <c r="AB222" t="n">
        <v>54.422</v>
      </c>
      <c r="AC222" t="n">
        <v>63.327</v>
      </c>
      <c r="AD222" t="n">
        <v>66.29600000000001</v>
      </c>
      <c r="AE222" t="n">
        <v>298.825</v>
      </c>
      <c r="AF222" t="n">
        <v>243.333</v>
      </c>
      <c r="AG222" t="n">
        <v>300.804</v>
      </c>
      <c r="AH222" t="n">
        <v>327.52</v>
      </c>
      <c r="AI222" t="n">
        <v>689.671</v>
      </c>
      <c r="AJ222" t="n">
        <v>668.8920000000001</v>
      </c>
      <c r="AK222" t="n">
        <v>683.734</v>
      </c>
      <c r="AL222" t="n">
        <v>637.229</v>
      </c>
      <c r="AM222" t="n">
        <v>646.134</v>
      </c>
      <c r="AN222" t="n">
        <v>407.668</v>
      </c>
      <c r="AO222" t="n">
        <v>378.973</v>
      </c>
      <c r="AP222" t="n">
        <v>379.962</v>
      </c>
      <c r="AQ222" t="n">
        <v>336.425</v>
      </c>
      <c r="AR222" t="n">
        <v>338.404</v>
      </c>
      <c r="AS222" t="n">
        <v>1299.194</v>
      </c>
      <c r="AT222" t="n">
        <v>1257.636</v>
      </c>
      <c r="AU222" t="n">
        <v>1450.586</v>
      </c>
      <c r="AV222" t="n">
        <v>1278.415</v>
      </c>
      <c r="AW222" t="n">
        <v>1237.846</v>
      </c>
      <c r="AX222" t="n">
        <v>302.783</v>
      </c>
      <c r="AY222" t="n">
        <v>282.993</v>
      </c>
      <c r="AZ222" t="n">
        <v>276.066</v>
      </c>
      <c r="BA222" t="n">
        <v>281.014</v>
      </c>
      <c r="BB222" t="n">
        <v>269.14</v>
      </c>
      <c r="BC222" t="n">
        <v>544.217</v>
      </c>
      <c r="BD222" t="n">
        <v>487.816</v>
      </c>
      <c r="BE222" t="n">
        <v>483.858</v>
      </c>
      <c r="BF222" t="n">
        <v>565.986</v>
      </c>
      <c r="BG222" t="n">
        <v>595.67</v>
      </c>
      <c r="BH222" t="n">
        <v>183.055</v>
      </c>
      <c r="BI222" t="n">
        <v>192.95</v>
      </c>
      <c r="BJ222" t="n">
        <v>225.603</v>
      </c>
      <c r="BK222" t="n">
        <v>223.624</v>
      </c>
      <c r="BL222" t="n">
        <v>265.182</v>
      </c>
      <c r="BM222" t="n">
        <v>264.193</v>
      </c>
      <c r="BN222" t="n">
        <v>245.778</v>
      </c>
      <c r="BO222" t="n">
        <v>249.127</v>
      </c>
      <c r="BP222" t="n">
        <v>243.696</v>
      </c>
      <c r="BQ222" t="n">
        <v>259.254</v>
      </c>
      <c r="BR222" t="n">
        <v>262.89</v>
      </c>
      <c r="BS222" t="n">
        <v>282.474</v>
      </c>
      <c r="BT222" t="n">
        <v>261.214</v>
      </c>
      <c r="BU222" t="n">
        <v>240.112</v>
      </c>
      <c r="BV222" t="n">
        <v>250.59</v>
      </c>
    </row>
    <row r="223">
      <c r="A223" t="inlineStr">
        <is>
          <t>Arcidae</t>
        </is>
      </c>
      <c r="B223" t="inlineStr">
        <is>
          <t>Ark clams</t>
        </is>
      </c>
      <c r="C223" t="inlineStr">
        <is>
          <t>Other demersal invertebrates</t>
        </is>
      </c>
      <c r="D223" t="inlineStr">
        <is>
          <t>Molluscs</t>
        </is>
      </c>
      <c r="E223" t="n">
        <v>2.363</v>
      </c>
      <c r="F223" t="n">
        <v>2.091</v>
      </c>
      <c r="G223" t="n">
        <v>1.885</v>
      </c>
      <c r="H223" t="n">
        <v>1.87</v>
      </c>
      <c r="I223" t="n">
        <v>2.715</v>
      </c>
      <c r="J223" t="n">
        <v>2.662</v>
      </c>
      <c r="K223" t="n">
        <v>2.68</v>
      </c>
      <c r="L223" t="n">
        <v>2.816</v>
      </c>
      <c r="M223" t="n">
        <v>2.779</v>
      </c>
      <c r="N223" t="n">
        <v>2.996</v>
      </c>
      <c r="O223" t="n">
        <v>2.987</v>
      </c>
      <c r="P223" t="n">
        <v>2.404</v>
      </c>
      <c r="Q223" t="n">
        <v>2.485</v>
      </c>
      <c r="R223" t="n">
        <v>3.446</v>
      </c>
      <c r="S223" t="n">
        <v>3.556</v>
      </c>
      <c r="T223" t="n">
        <v>3.502</v>
      </c>
      <c r="U223" t="n">
        <v>4.787</v>
      </c>
      <c r="V223" t="n">
        <v>4.912</v>
      </c>
      <c r="W223" t="n">
        <v>6.215</v>
      </c>
      <c r="X223" t="n">
        <v>6.207</v>
      </c>
      <c r="Y223" t="n">
        <v>6.053</v>
      </c>
      <c r="Z223" t="n">
        <v>6.693</v>
      </c>
      <c r="AA223" t="n">
        <v>8.851000000000001</v>
      </c>
      <c r="AB223" t="n">
        <v>16.338</v>
      </c>
      <c r="AC223" t="n">
        <v>6.267</v>
      </c>
      <c r="AD223" t="n">
        <v>6.028</v>
      </c>
      <c r="AE223" t="n">
        <v>303.106</v>
      </c>
      <c r="AF223" t="n">
        <v>381.35</v>
      </c>
      <c r="AG223" t="n">
        <v>499.2</v>
      </c>
      <c r="AH223" t="n">
        <v>454.009</v>
      </c>
      <c r="AI223" t="n">
        <v>369.365</v>
      </c>
      <c r="AJ223" t="n">
        <v>430.201</v>
      </c>
      <c r="AK223" t="n">
        <v>502.654</v>
      </c>
      <c r="AL223" t="n">
        <v>666.454</v>
      </c>
      <c r="AM223" t="n">
        <v>672.376</v>
      </c>
      <c r="AN223" t="n">
        <v>500.636</v>
      </c>
      <c r="AO223" t="n">
        <v>517.356</v>
      </c>
      <c r="AP223" t="n">
        <v>561.091</v>
      </c>
      <c r="AQ223" t="n">
        <v>526.838</v>
      </c>
      <c r="AR223" t="n">
        <v>561.343</v>
      </c>
      <c r="AS223" t="n">
        <v>607.85</v>
      </c>
      <c r="AT223" t="n">
        <v>638.115</v>
      </c>
      <c r="AU223" t="n">
        <v>701.073</v>
      </c>
      <c r="AV223" t="n">
        <v>577.436</v>
      </c>
      <c r="AW223" t="n">
        <v>648.774</v>
      </c>
      <c r="AX223" t="n">
        <v>466.598</v>
      </c>
      <c r="AY223" t="n">
        <v>520.795</v>
      </c>
      <c r="AZ223" t="n">
        <v>568.311</v>
      </c>
      <c r="BA223" t="n">
        <v>408.004</v>
      </c>
      <c r="BB223" t="n">
        <v>334.34</v>
      </c>
      <c r="BC223" t="n">
        <v>317.06</v>
      </c>
      <c r="BD223" t="n">
        <v>417.858</v>
      </c>
      <c r="BE223" t="n">
        <v>464.81</v>
      </c>
      <c r="BF223" t="n">
        <v>310.95</v>
      </c>
      <c r="BG223" t="n">
        <v>493.312</v>
      </c>
      <c r="BH223" t="n">
        <v>503.484</v>
      </c>
      <c r="BI223" t="n">
        <v>500.929</v>
      </c>
      <c r="BJ223" t="n">
        <v>583.38</v>
      </c>
      <c r="BK223" t="n">
        <v>591.318</v>
      </c>
      <c r="BL223" t="n">
        <v>285.162</v>
      </c>
      <c r="BM223" t="n">
        <v>317.158</v>
      </c>
      <c r="BN223" t="n">
        <v>319.227</v>
      </c>
      <c r="BO223" t="n">
        <v>321.296</v>
      </c>
      <c r="BP223" t="n">
        <v>323.365</v>
      </c>
      <c r="BQ223" t="n">
        <v>325.434</v>
      </c>
      <c r="BR223" t="n">
        <v>327.503</v>
      </c>
      <c r="BS223" t="n">
        <v>329.572</v>
      </c>
      <c r="BT223" t="n">
        <v>331.641</v>
      </c>
      <c r="BU223" t="n">
        <v>333.71</v>
      </c>
      <c r="BV223" t="n">
        <v>333.71</v>
      </c>
    </row>
    <row r="224">
      <c r="A224" t="inlineStr">
        <is>
          <t>Rachycentron canadum</t>
        </is>
      </c>
      <c r="B224" t="inlineStr">
        <is>
          <t>Cobia</t>
        </is>
      </c>
      <c r="C224" t="inlineStr">
        <is>
          <t>Large pelagics (&gt;=90 cm)</t>
        </is>
      </c>
      <c r="D224" t="inlineStr">
        <is>
          <t>Perch-likes</t>
        </is>
      </c>
      <c r="E224" t="n">
        <v>35.783</v>
      </c>
      <c r="F224" t="n">
        <v>35.783</v>
      </c>
      <c r="G224" t="n">
        <v>34.789</v>
      </c>
      <c r="H224" t="n">
        <v>34.789</v>
      </c>
      <c r="I224" t="n">
        <v>33.795</v>
      </c>
      <c r="J224" t="n">
        <v>36.777</v>
      </c>
      <c r="K224" t="n">
        <v>34.789</v>
      </c>
      <c r="L224" t="n">
        <v>34.789</v>
      </c>
      <c r="M224" t="n">
        <v>39.759</v>
      </c>
      <c r="N224" t="n">
        <v>42.741</v>
      </c>
      <c r="O224" t="n">
        <v>47.711</v>
      </c>
      <c r="P224" t="n">
        <v>50.693</v>
      </c>
      <c r="Q224" t="n">
        <v>58.645</v>
      </c>
      <c r="R224" t="n">
        <v>66.59699999999999</v>
      </c>
      <c r="S224" t="n">
        <v>89.52200000000001</v>
      </c>
      <c r="T224" t="n">
        <v>96.48699999999999</v>
      </c>
      <c r="U224" t="n">
        <v>103.451</v>
      </c>
      <c r="V224" t="n">
        <v>116.36</v>
      </c>
      <c r="W224" t="n">
        <v>126.3</v>
      </c>
      <c r="X224" t="n">
        <v>117.344</v>
      </c>
      <c r="Y224" t="n">
        <v>115.369</v>
      </c>
      <c r="Z224" t="n">
        <v>150.276</v>
      </c>
      <c r="AA224" t="n">
        <v>158.282</v>
      </c>
      <c r="AB224" t="n">
        <v>184.183</v>
      </c>
      <c r="AC224" t="n">
        <v>193.177</v>
      </c>
      <c r="AD224" t="n">
        <v>192.199</v>
      </c>
      <c r="AE224" t="n">
        <v>359.8</v>
      </c>
      <c r="AF224" t="n">
        <v>329.859</v>
      </c>
      <c r="AG224" t="n">
        <v>404.539</v>
      </c>
      <c r="AH224" t="n">
        <v>430.465</v>
      </c>
      <c r="AI224" t="n">
        <v>854.2430000000001</v>
      </c>
      <c r="AJ224" t="n">
        <v>793.566</v>
      </c>
      <c r="AK224" t="n">
        <v>782.664</v>
      </c>
      <c r="AL224" t="n">
        <v>752.749</v>
      </c>
      <c r="AM224" t="n">
        <v>724.936</v>
      </c>
      <c r="AN224" t="n">
        <v>611.953</v>
      </c>
      <c r="AO224" t="n">
        <v>556.242</v>
      </c>
      <c r="AP224" t="n">
        <v>514.498</v>
      </c>
      <c r="AQ224" t="n">
        <v>419.006</v>
      </c>
      <c r="AR224" t="n">
        <v>500.515</v>
      </c>
      <c r="AS224" t="n">
        <v>335.948</v>
      </c>
      <c r="AT224" t="n">
        <v>324.985</v>
      </c>
      <c r="AU224" t="n">
        <v>372.049</v>
      </c>
      <c r="AV224" t="n">
        <v>328.977</v>
      </c>
      <c r="AW224" t="n">
        <v>318.011</v>
      </c>
      <c r="AX224" t="n">
        <v>151.513</v>
      </c>
      <c r="AY224" t="n">
        <v>139.556</v>
      </c>
      <c r="AZ224" t="n">
        <v>140.882</v>
      </c>
      <c r="BA224" t="n">
        <v>135.577</v>
      </c>
      <c r="BB224" t="n">
        <v>135.749</v>
      </c>
      <c r="BC224" t="n">
        <v>329.022</v>
      </c>
      <c r="BD224" t="n">
        <v>295.638</v>
      </c>
      <c r="BE224" t="n">
        <v>293.356</v>
      </c>
      <c r="BF224" t="n">
        <v>340.146</v>
      </c>
      <c r="BG224" t="n">
        <v>359.931</v>
      </c>
      <c r="BH224" t="n">
        <v>202.949</v>
      </c>
      <c r="BI224" t="n">
        <v>215.955</v>
      </c>
      <c r="BJ224" t="n">
        <v>253.34</v>
      </c>
      <c r="BK224" t="n">
        <v>246.406</v>
      </c>
      <c r="BL224" t="n">
        <v>387.638</v>
      </c>
      <c r="BM224" t="n">
        <v>385.822</v>
      </c>
      <c r="BN224" t="n">
        <v>358.868</v>
      </c>
      <c r="BO224" t="n">
        <v>363.75</v>
      </c>
      <c r="BP224" t="n">
        <v>355.839</v>
      </c>
      <c r="BQ224" t="n">
        <v>378.574</v>
      </c>
      <c r="BR224" t="n">
        <v>383.885</v>
      </c>
      <c r="BS224" t="n">
        <v>412.488</v>
      </c>
      <c r="BT224" t="n">
        <v>381.442</v>
      </c>
      <c r="BU224" t="n">
        <v>350.621</v>
      </c>
      <c r="BV224" t="n">
        <v>365.925</v>
      </c>
    </row>
    <row r="225">
      <c r="A225" t="inlineStr">
        <is>
          <t>Istiompax indica</t>
        </is>
      </c>
      <c r="B225" t="inlineStr">
        <is>
          <t>Black marlin</t>
        </is>
      </c>
      <c r="C225" t="inlineStr">
        <is>
          <t>Large pelagics (&gt;=90 cm)</t>
        </is>
      </c>
      <c r="D225" t="inlineStr">
        <is>
          <t>Tuna &amp; billfishes</t>
        </is>
      </c>
      <c r="E225" t="n">
        <v>0.08500000000000001</v>
      </c>
      <c r="F225" t="n">
        <v>0.067</v>
      </c>
      <c r="G225" t="n">
        <v>0.01</v>
      </c>
      <c r="H225" t="n">
        <v>0.01</v>
      </c>
      <c r="I225" t="n">
        <v>24.57</v>
      </c>
      <c r="J225" t="n">
        <v>121.269</v>
      </c>
      <c r="K225" t="n">
        <v>172.638</v>
      </c>
      <c r="L225" t="n">
        <v>196.745</v>
      </c>
      <c r="M225" t="n">
        <v>227.591</v>
      </c>
      <c r="N225" t="n">
        <v>233.426</v>
      </c>
      <c r="O225" t="n">
        <v>198.009</v>
      </c>
      <c r="P225" t="n">
        <v>291.778</v>
      </c>
      <c r="Q225" t="n">
        <v>325.969</v>
      </c>
      <c r="R225" t="n">
        <v>172.343</v>
      </c>
      <c r="S225" t="n">
        <v>291.988</v>
      </c>
      <c r="T225" t="n">
        <v>242.578</v>
      </c>
      <c r="U225" t="n">
        <v>262.213</v>
      </c>
      <c r="V225" t="n">
        <v>383.788</v>
      </c>
      <c r="W225" t="n">
        <v>380.925</v>
      </c>
      <c r="X225" t="n">
        <v>441.107</v>
      </c>
      <c r="Y225" t="n">
        <v>259.296</v>
      </c>
      <c r="Z225" t="n">
        <v>173.144</v>
      </c>
      <c r="AA225" t="n">
        <v>119.149</v>
      </c>
      <c r="AB225" t="n">
        <v>41.266</v>
      </c>
      <c r="AC225" t="n">
        <v>123.217</v>
      </c>
      <c r="AD225" t="n">
        <v>94.14700000000001</v>
      </c>
      <c r="AE225" t="n">
        <v>18.7</v>
      </c>
      <c r="AF225" t="n">
        <v>47.598</v>
      </c>
      <c r="AG225" t="n">
        <v>133.739</v>
      </c>
      <c r="AH225" t="n">
        <v>52.246</v>
      </c>
      <c r="AI225" t="n">
        <v>41.103</v>
      </c>
      <c r="AJ225" t="n">
        <v>120.468</v>
      </c>
      <c r="AK225" t="n">
        <v>114.026</v>
      </c>
      <c r="AL225" t="n">
        <v>266.242</v>
      </c>
      <c r="AM225" t="n">
        <v>138.463</v>
      </c>
      <c r="AN225" t="n">
        <v>172.341</v>
      </c>
      <c r="AO225" t="n">
        <v>311.796</v>
      </c>
      <c r="AP225" t="n">
        <v>390.401</v>
      </c>
      <c r="AQ225" t="n">
        <v>331.783</v>
      </c>
      <c r="AR225" t="n">
        <v>286.84</v>
      </c>
      <c r="AS225" t="n">
        <v>140.649</v>
      </c>
      <c r="AT225" t="n">
        <v>169.353</v>
      </c>
      <c r="AU225" t="n">
        <v>316.717</v>
      </c>
      <c r="AV225" t="n">
        <v>226.781</v>
      </c>
      <c r="AW225" t="n">
        <v>195.284</v>
      </c>
      <c r="AX225" t="n">
        <v>382.001</v>
      </c>
      <c r="AY225" t="n">
        <v>80.18000000000001</v>
      </c>
      <c r="AZ225" t="n">
        <v>176.059</v>
      </c>
      <c r="BA225" t="n">
        <v>516.595</v>
      </c>
      <c r="BB225" t="n">
        <v>319.85</v>
      </c>
      <c r="BC225" t="n">
        <v>418.174</v>
      </c>
      <c r="BD225" t="n">
        <v>193.93</v>
      </c>
      <c r="BE225" t="n">
        <v>255.65</v>
      </c>
      <c r="BF225" t="n">
        <v>238.321</v>
      </c>
      <c r="BG225" t="n">
        <v>221.475</v>
      </c>
      <c r="BH225" t="n">
        <v>320.724</v>
      </c>
      <c r="BI225" t="n">
        <v>295.51</v>
      </c>
      <c r="BJ225" t="n">
        <v>329.434</v>
      </c>
      <c r="BK225" t="n">
        <v>451.011</v>
      </c>
      <c r="BL225" t="n">
        <v>233.078</v>
      </c>
      <c r="BM225" t="n">
        <v>309.949</v>
      </c>
      <c r="BN225" t="n">
        <v>203.798</v>
      </c>
      <c r="BO225" t="n">
        <v>225.452</v>
      </c>
      <c r="BP225" t="n">
        <v>158.238</v>
      </c>
      <c r="BQ225" t="n">
        <v>613.976</v>
      </c>
      <c r="BR225" t="n">
        <v>1018.901</v>
      </c>
      <c r="BS225" t="n">
        <v>531.157</v>
      </c>
      <c r="BT225" t="n">
        <v>799.496</v>
      </c>
      <c r="BU225" t="n">
        <v>608.415</v>
      </c>
      <c r="BV225" t="n">
        <v>795.125</v>
      </c>
    </row>
    <row r="226">
      <c r="A226" t="inlineStr">
        <is>
          <t>Auxis rochei</t>
        </is>
      </c>
      <c r="B226" t="inlineStr">
        <is>
          <t>Bullet tuna</t>
        </is>
      </c>
      <c r="C226" t="inlineStr">
        <is>
          <t>Medium pelagics (30 - 89 cm)</t>
        </is>
      </c>
      <c r="D226" t="inlineStr">
        <is>
          <t>Tuna &amp; billfishes</t>
        </is>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21.651</v>
      </c>
      <c r="AH226" t="n">
        <v>48.632</v>
      </c>
      <c r="AI226" t="n">
        <v>35.56</v>
      </c>
      <c r="AJ226" t="n">
        <v>69.94</v>
      </c>
      <c r="AK226" t="n">
        <v>97.26600000000001</v>
      </c>
      <c r="AL226" t="n">
        <v>92.55500000000001</v>
      </c>
      <c r="AM226" t="n">
        <v>97.14700000000001</v>
      </c>
      <c r="AN226" t="n">
        <v>118.172</v>
      </c>
      <c r="AO226" t="n">
        <v>338.941</v>
      </c>
      <c r="AP226" t="n">
        <v>231.068</v>
      </c>
      <c r="AQ226" t="n">
        <v>295.812</v>
      </c>
      <c r="AR226" t="n">
        <v>388.949</v>
      </c>
      <c r="AS226" t="n">
        <v>341.927</v>
      </c>
      <c r="AT226" t="n">
        <v>284.816</v>
      </c>
      <c r="AU226" t="n">
        <v>331.162</v>
      </c>
      <c r="AV226" t="n">
        <v>345.008</v>
      </c>
      <c r="AW226" t="n">
        <v>421.528</v>
      </c>
      <c r="AX226" t="n">
        <v>361.596</v>
      </c>
      <c r="AY226" t="n">
        <v>471.982</v>
      </c>
      <c r="AZ226" t="n">
        <v>381.594</v>
      </c>
      <c r="BA226" t="n">
        <v>346.698</v>
      </c>
      <c r="BB226" t="n">
        <v>273.441</v>
      </c>
      <c r="BC226" t="n">
        <v>251.849</v>
      </c>
      <c r="BD226" t="n">
        <v>251.228</v>
      </c>
      <c r="BE226" t="n">
        <v>259.982</v>
      </c>
      <c r="BF226" t="n">
        <v>332.822</v>
      </c>
      <c r="BG226" t="n">
        <v>300.3</v>
      </c>
      <c r="BH226" t="n">
        <v>310.289</v>
      </c>
      <c r="BI226" t="n">
        <v>355.874</v>
      </c>
      <c r="BJ226" t="n">
        <v>252.159</v>
      </c>
      <c r="BK226" t="n">
        <v>572.638</v>
      </c>
      <c r="BL226" t="n">
        <v>698.647</v>
      </c>
      <c r="BM226" t="n">
        <v>982.066</v>
      </c>
      <c r="BN226" t="n">
        <v>274.818</v>
      </c>
      <c r="BO226" t="n">
        <v>211.065</v>
      </c>
      <c r="BP226" t="n">
        <v>149.362</v>
      </c>
      <c r="BQ226" t="n">
        <v>195.528</v>
      </c>
      <c r="BR226" t="n">
        <v>962.567</v>
      </c>
      <c r="BS226" t="n">
        <v>1235.31</v>
      </c>
      <c r="BT226" t="n">
        <v>2014.547</v>
      </c>
      <c r="BU226" t="n">
        <v>1477.92</v>
      </c>
      <c r="BV226" t="n">
        <v>818.048</v>
      </c>
    </row>
    <row r="227">
      <c r="A227" t="inlineStr">
        <is>
          <t>Acanthocybium solandri</t>
        </is>
      </c>
      <c r="B227" t="inlineStr">
        <is>
          <t>Wahoo</t>
        </is>
      </c>
      <c r="C227" t="inlineStr">
        <is>
          <t>Large pelagics (&gt;=90 cm)</t>
        </is>
      </c>
      <c r="D227" t="inlineStr">
        <is>
          <t>Perch-likes</t>
        </is>
      </c>
      <c r="E227" t="n">
        <v>83.108</v>
      </c>
      <c r="F227" t="n">
        <v>123.416</v>
      </c>
      <c r="G227" t="n">
        <v>99.997</v>
      </c>
      <c r="H227" t="n">
        <v>76.61199999999999</v>
      </c>
      <c r="I227" t="n">
        <v>66.559</v>
      </c>
      <c r="J227" t="n">
        <v>61.557</v>
      </c>
      <c r="K227" t="n">
        <v>65.31</v>
      </c>
      <c r="L227" t="n">
        <v>62.687</v>
      </c>
      <c r="M227" t="n">
        <v>75.633</v>
      </c>
      <c r="N227" t="n">
        <v>89.58499999999999</v>
      </c>
      <c r="O227" t="n">
        <v>92.218</v>
      </c>
      <c r="P227" t="n">
        <v>92.741</v>
      </c>
      <c r="Q227" t="n">
        <v>145.685</v>
      </c>
      <c r="R227" t="n">
        <v>200.062</v>
      </c>
      <c r="S227" t="n">
        <v>178.953</v>
      </c>
      <c r="T227" t="n">
        <v>143.392</v>
      </c>
      <c r="U227" t="n">
        <v>256.785</v>
      </c>
      <c r="V227" t="n">
        <v>355.624</v>
      </c>
      <c r="W227" t="n">
        <v>358.272</v>
      </c>
      <c r="X227" t="n">
        <v>364.846</v>
      </c>
      <c r="Y227" t="n">
        <v>251.654</v>
      </c>
      <c r="Z227" t="n">
        <v>186.572</v>
      </c>
      <c r="AA227" t="n">
        <v>185.309</v>
      </c>
      <c r="AB227" t="n">
        <v>204.05</v>
      </c>
      <c r="AC227" t="n">
        <v>202.26</v>
      </c>
      <c r="AD227" t="n">
        <v>195.585</v>
      </c>
      <c r="AE227" t="n">
        <v>235.507</v>
      </c>
      <c r="AF227" t="n">
        <v>233.947</v>
      </c>
      <c r="AG227" t="n">
        <v>237.905</v>
      </c>
      <c r="AH227" t="n">
        <v>290.696</v>
      </c>
      <c r="AI227" t="n">
        <v>394.449</v>
      </c>
      <c r="AJ227" t="n">
        <v>304.574</v>
      </c>
      <c r="AK227" t="n">
        <v>195.465</v>
      </c>
      <c r="AL227" t="n">
        <v>204.459</v>
      </c>
      <c r="AM227" t="n">
        <v>179.629</v>
      </c>
      <c r="AN227" t="n">
        <v>134.515</v>
      </c>
      <c r="AO227" t="n">
        <v>137.719</v>
      </c>
      <c r="AP227" t="n">
        <v>139.672</v>
      </c>
      <c r="AQ227" t="n">
        <v>142.985</v>
      </c>
      <c r="AR227" t="n">
        <v>186.416</v>
      </c>
      <c r="AS227" t="n">
        <v>170.045</v>
      </c>
      <c r="AT227" t="n">
        <v>271.763</v>
      </c>
      <c r="AU227" t="n">
        <v>205.41</v>
      </c>
      <c r="AV227" t="n">
        <v>299.924</v>
      </c>
      <c r="AW227" t="n">
        <v>272.008</v>
      </c>
      <c r="AX227" t="n">
        <v>218.685</v>
      </c>
      <c r="AY227" t="n">
        <v>168.449</v>
      </c>
      <c r="AZ227" t="n">
        <v>154.594</v>
      </c>
      <c r="BA227" t="n">
        <v>197.038</v>
      </c>
      <c r="BB227" t="n">
        <v>207.966</v>
      </c>
      <c r="BC227" t="n">
        <v>249.14</v>
      </c>
      <c r="BD227" t="n">
        <v>215.221</v>
      </c>
      <c r="BE227" t="n">
        <v>295.318</v>
      </c>
      <c r="BF227" t="n">
        <v>271.023</v>
      </c>
      <c r="BG227" t="n">
        <v>205.485</v>
      </c>
      <c r="BH227" t="n">
        <v>255.117</v>
      </c>
      <c r="BI227" t="n">
        <v>380.522</v>
      </c>
      <c r="BJ227" t="n">
        <v>229.832</v>
      </c>
      <c r="BK227" t="n">
        <v>206.928</v>
      </c>
      <c r="BL227" t="n">
        <v>282.545</v>
      </c>
      <c r="BM227" t="n">
        <v>439.447</v>
      </c>
      <c r="BN227" t="n">
        <v>177.229</v>
      </c>
      <c r="BO227" t="n">
        <v>868.1900000000001</v>
      </c>
      <c r="BP227" t="n">
        <v>501.881</v>
      </c>
      <c r="BQ227" t="n">
        <v>1056.917</v>
      </c>
      <c r="BR227" t="n">
        <v>722.72</v>
      </c>
      <c r="BS227" t="n">
        <v>330.878</v>
      </c>
      <c r="BT227" t="n">
        <v>370.12</v>
      </c>
      <c r="BU227" t="n">
        <v>365.616</v>
      </c>
      <c r="BV227" t="n">
        <v>459.059</v>
      </c>
    </row>
    <row r="228">
      <c r="A228" t="inlineStr">
        <is>
          <t>Sarda orientalis</t>
        </is>
      </c>
      <c r="B228" t="inlineStr">
        <is>
          <t>Striped bonito</t>
        </is>
      </c>
      <c r="C228" t="inlineStr">
        <is>
          <t>Large pelagics (&gt;=90 cm)</t>
        </is>
      </c>
      <c r="D228" t="inlineStr">
        <is>
          <t>Tuna &amp; billfishes</t>
        </is>
      </c>
      <c r="E228" t="n">
        <v>49.703</v>
      </c>
      <c r="F228" t="n">
        <v>73.56100000000001</v>
      </c>
      <c r="G228" t="n">
        <v>57.656</v>
      </c>
      <c r="H228" t="n">
        <v>41.751</v>
      </c>
      <c r="I228" t="n">
        <v>39.763</v>
      </c>
      <c r="J228" t="n">
        <v>35.786</v>
      </c>
      <c r="K228" t="n">
        <v>47.715</v>
      </c>
      <c r="L228" t="n">
        <v>47.715</v>
      </c>
      <c r="M228" t="n">
        <v>53.68</v>
      </c>
      <c r="N228" t="n">
        <v>57.656</v>
      </c>
      <c r="O228" t="n">
        <v>73.56100000000001</v>
      </c>
      <c r="P228" t="n">
        <v>91.45399999999999</v>
      </c>
      <c r="Q228" t="n">
        <v>137.181</v>
      </c>
      <c r="R228" t="n">
        <v>182.908</v>
      </c>
      <c r="S228" t="n">
        <v>176.944</v>
      </c>
      <c r="T228" t="n">
        <v>170.98</v>
      </c>
      <c r="U228" t="n">
        <v>111.336</v>
      </c>
      <c r="V228" t="n">
        <v>123.264</v>
      </c>
      <c r="W228" t="n">
        <v>139.17</v>
      </c>
      <c r="X228" t="n">
        <v>155.075</v>
      </c>
      <c r="Y228" t="n">
        <v>121.276</v>
      </c>
      <c r="Z228" t="n">
        <v>89.46599999999999</v>
      </c>
      <c r="AA228" t="n">
        <v>147.122</v>
      </c>
      <c r="AB228" t="n">
        <v>178.932</v>
      </c>
      <c r="AC228" t="n">
        <v>157.063</v>
      </c>
      <c r="AD228" t="n">
        <v>123.264</v>
      </c>
      <c r="AE228" t="n">
        <v>226.647</v>
      </c>
      <c r="AF228" t="n">
        <v>218.695</v>
      </c>
      <c r="AG228" t="n">
        <v>245.226</v>
      </c>
      <c r="AH228" t="n">
        <v>221.453</v>
      </c>
      <c r="AI228" t="n">
        <v>261.109</v>
      </c>
      <c r="AJ228" t="n">
        <v>305.268</v>
      </c>
      <c r="AK228" t="n">
        <v>273.676</v>
      </c>
      <c r="AL228" t="n">
        <v>251.829</v>
      </c>
      <c r="AM228" t="n">
        <v>196.302</v>
      </c>
      <c r="AN228" t="n">
        <v>213.515</v>
      </c>
      <c r="AO228" t="n">
        <v>197.304</v>
      </c>
      <c r="AP228" t="n">
        <v>202.98</v>
      </c>
      <c r="AQ228" t="n">
        <v>210.743</v>
      </c>
      <c r="AR228" t="n">
        <v>217.349</v>
      </c>
      <c r="AS228" t="n">
        <v>239.272</v>
      </c>
      <c r="AT228" t="n">
        <v>267.058</v>
      </c>
      <c r="AU228" t="n">
        <v>292.042</v>
      </c>
      <c r="AV228" t="n">
        <v>323.364</v>
      </c>
      <c r="AW228" t="n">
        <v>349.461</v>
      </c>
      <c r="AX228" t="n">
        <v>391.302</v>
      </c>
      <c r="AY228" t="n">
        <v>398.887</v>
      </c>
      <c r="AZ228" t="n">
        <v>483.809</v>
      </c>
      <c r="BA228" t="n">
        <v>479.089</v>
      </c>
      <c r="BB228" t="n">
        <v>474.776</v>
      </c>
      <c r="BC228" t="n">
        <v>435.144</v>
      </c>
      <c r="BD228" t="n">
        <v>369.17</v>
      </c>
      <c r="BE228" t="n">
        <v>416.623</v>
      </c>
      <c r="BF228" t="n">
        <v>551.2380000000001</v>
      </c>
      <c r="BG228" t="n">
        <v>553.1</v>
      </c>
      <c r="BH228" t="n">
        <v>432.051</v>
      </c>
      <c r="BI228" t="n">
        <v>428.327</v>
      </c>
      <c r="BJ228" t="n">
        <v>392.943</v>
      </c>
      <c r="BK228" t="n">
        <v>422.74</v>
      </c>
      <c r="BL228" t="n">
        <v>379.734</v>
      </c>
      <c r="BM228" t="n">
        <v>475.164</v>
      </c>
      <c r="BN228" t="n">
        <v>343.947</v>
      </c>
      <c r="BO228" t="n">
        <v>274.363</v>
      </c>
      <c r="BP228" t="n">
        <v>246.529</v>
      </c>
      <c r="BQ228" t="n">
        <v>269.392</v>
      </c>
      <c r="BR228" t="n">
        <v>220.683</v>
      </c>
      <c r="BS228" t="n">
        <v>220.683</v>
      </c>
      <c r="BT228" t="n">
        <v>198.814</v>
      </c>
      <c r="BU228" t="n">
        <v>198.814</v>
      </c>
      <c r="BV228" t="n">
        <v>184.525</v>
      </c>
    </row>
    <row r="229">
      <c r="A229" t="inlineStr">
        <is>
          <t>Sardinella fimbriata</t>
        </is>
      </c>
      <c r="B229" t="inlineStr">
        <is>
          <t>Fringescale sardinella</t>
        </is>
      </c>
      <c r="C229" t="inlineStr">
        <is>
          <t>Small pelagics (&lt;30 cm)</t>
        </is>
      </c>
      <c r="D229" t="inlineStr">
        <is>
          <t>Herring-likes</t>
        </is>
      </c>
      <c r="E229" t="n">
        <v>33.8</v>
      </c>
      <c r="F229" t="n">
        <v>33.8</v>
      </c>
      <c r="G229" t="n">
        <v>44.735</v>
      </c>
      <c r="H229" t="n">
        <v>38.77</v>
      </c>
      <c r="I229" t="n">
        <v>33.8</v>
      </c>
      <c r="J229" t="n">
        <v>33.8</v>
      </c>
      <c r="K229" t="n">
        <v>33.8</v>
      </c>
      <c r="L229" t="n">
        <v>32.806</v>
      </c>
      <c r="M229" t="n">
        <v>34.794</v>
      </c>
      <c r="N229" t="n">
        <v>33.8</v>
      </c>
      <c r="O229" t="n">
        <v>44.735</v>
      </c>
      <c r="P229" t="n">
        <v>57.658</v>
      </c>
      <c r="Q229" t="n">
        <v>58.652</v>
      </c>
      <c r="R229" t="n">
        <v>100.405</v>
      </c>
      <c r="S229" t="n">
        <v>92.452</v>
      </c>
      <c r="T229" t="n">
        <v>99.434</v>
      </c>
      <c r="U229" t="n">
        <v>124.306</v>
      </c>
      <c r="V229" t="n">
        <v>155.156</v>
      </c>
      <c r="W229" t="n">
        <v>159.159</v>
      </c>
      <c r="X229" t="n">
        <v>145.255</v>
      </c>
      <c r="Y229" t="n">
        <v>126.37</v>
      </c>
      <c r="Z229" t="n">
        <v>149.297</v>
      </c>
      <c r="AA229" t="n">
        <v>140.373</v>
      </c>
      <c r="AB229" t="n">
        <v>161.321</v>
      </c>
      <c r="AC229" t="n">
        <v>210.167</v>
      </c>
      <c r="AD229" t="n">
        <v>205.239</v>
      </c>
      <c r="AE229" t="n">
        <v>218.195</v>
      </c>
      <c r="AF229" t="n">
        <v>267.05</v>
      </c>
      <c r="AG229" t="n">
        <v>245.072</v>
      </c>
      <c r="AH229" t="n">
        <v>216.217</v>
      </c>
      <c r="AI229" t="n">
        <v>218.146</v>
      </c>
      <c r="AJ229" t="n">
        <v>230.098</v>
      </c>
      <c r="AK229" t="n">
        <v>237.09</v>
      </c>
      <c r="AL229" t="n">
        <v>246.083</v>
      </c>
      <c r="AM229" t="n">
        <v>215.243</v>
      </c>
      <c r="AN229" t="n">
        <v>237.146</v>
      </c>
      <c r="AO229" t="n">
        <v>280.007</v>
      </c>
      <c r="AP229" t="n">
        <v>340.874</v>
      </c>
      <c r="AQ229" t="n">
        <v>267.13</v>
      </c>
      <c r="AR229" t="n">
        <v>325.9</v>
      </c>
      <c r="AS229" t="n">
        <v>353.863</v>
      </c>
      <c r="AT229" t="n">
        <v>266.142</v>
      </c>
      <c r="AU229" t="n">
        <v>275.099</v>
      </c>
      <c r="AV229" t="n">
        <v>283.055</v>
      </c>
      <c r="AW229" t="n">
        <v>278.065</v>
      </c>
      <c r="AX229" t="n">
        <v>296.989</v>
      </c>
      <c r="AY229" t="n">
        <v>301.979</v>
      </c>
      <c r="AZ229" t="n">
        <v>296.993</v>
      </c>
      <c r="BA229" t="n">
        <v>350.848</v>
      </c>
      <c r="BB229" t="n">
        <v>310.989</v>
      </c>
      <c r="BC229" t="n">
        <v>348.847</v>
      </c>
      <c r="BD229" t="n">
        <v>333.889</v>
      </c>
      <c r="BE229" t="n">
        <v>356.859</v>
      </c>
      <c r="BF229" t="n">
        <v>361.82</v>
      </c>
      <c r="BG229" t="n">
        <v>376.761</v>
      </c>
      <c r="BH229" t="n">
        <v>333.926</v>
      </c>
      <c r="BI229" t="n">
        <v>397.729</v>
      </c>
      <c r="BJ229" t="n">
        <v>391.748</v>
      </c>
      <c r="BK229" t="n">
        <v>389.74</v>
      </c>
      <c r="BL229" t="n">
        <v>352.833</v>
      </c>
      <c r="BM229" t="n">
        <v>376.757</v>
      </c>
      <c r="BN229" t="n">
        <v>354.79</v>
      </c>
      <c r="BO229" t="n">
        <v>360.098</v>
      </c>
      <c r="BP229" t="n">
        <v>350.871</v>
      </c>
      <c r="BQ229" t="n">
        <v>372.105</v>
      </c>
      <c r="BR229" t="n">
        <v>377.149</v>
      </c>
      <c r="BS229" t="n">
        <v>404.89</v>
      </c>
      <c r="BT229" t="n">
        <v>374.438</v>
      </c>
      <c r="BU229" t="n">
        <v>343.587</v>
      </c>
      <c r="BV229" t="n">
        <v>358.218</v>
      </c>
    </row>
    <row r="230">
      <c r="A230" t="inlineStr">
        <is>
          <t>Gazza minuta</t>
        </is>
      </c>
      <c r="B230" t="inlineStr">
        <is>
          <t>Toothpony</t>
        </is>
      </c>
      <c r="C230" t="inlineStr">
        <is>
          <t>Small demersals (&lt;30 cm)</t>
        </is>
      </c>
      <c r="D230" t="inlineStr">
        <is>
          <t>Perch-likes</t>
        </is>
      </c>
      <c r="E230" t="n">
        <v>33.8</v>
      </c>
      <c r="F230" t="n">
        <v>33.8</v>
      </c>
      <c r="G230" t="n">
        <v>44.736</v>
      </c>
      <c r="H230" t="n">
        <v>38.771</v>
      </c>
      <c r="I230" t="n">
        <v>33.8</v>
      </c>
      <c r="J230" t="n">
        <v>33.8</v>
      </c>
      <c r="K230" t="n">
        <v>33.8</v>
      </c>
      <c r="L230" t="n">
        <v>32.806</v>
      </c>
      <c r="M230" t="n">
        <v>34.795</v>
      </c>
      <c r="N230" t="n">
        <v>33.8</v>
      </c>
      <c r="O230" t="n">
        <v>44.736</v>
      </c>
      <c r="P230" t="n">
        <v>57.66</v>
      </c>
      <c r="Q230" t="n">
        <v>58.654</v>
      </c>
      <c r="R230" t="n">
        <v>100.407</v>
      </c>
      <c r="S230" t="n">
        <v>92.45399999999999</v>
      </c>
      <c r="T230" t="n">
        <v>99.429</v>
      </c>
      <c r="U230" t="n">
        <v>124.295</v>
      </c>
      <c r="V230" t="n">
        <v>155.136</v>
      </c>
      <c r="W230" t="n">
        <v>159.13</v>
      </c>
      <c r="X230" t="n">
        <v>145.221</v>
      </c>
      <c r="Y230" t="n">
        <v>126.335</v>
      </c>
      <c r="Z230" t="n">
        <v>149.243</v>
      </c>
      <c r="AA230" t="n">
        <v>140.311</v>
      </c>
      <c r="AB230" t="n">
        <v>161.237</v>
      </c>
      <c r="AC230" t="n">
        <v>210.041</v>
      </c>
      <c r="AD230" t="n">
        <v>205.099</v>
      </c>
      <c r="AE230" t="n">
        <v>218.045</v>
      </c>
      <c r="AF230" t="n">
        <v>266.871</v>
      </c>
      <c r="AG230" t="n">
        <v>244.911</v>
      </c>
      <c r="AH230" t="n">
        <v>216.064</v>
      </c>
      <c r="AI230" t="n">
        <v>218.012</v>
      </c>
      <c r="AJ230" t="n">
        <v>229.957</v>
      </c>
      <c r="AK230" t="n">
        <v>236.938</v>
      </c>
      <c r="AL230" t="n">
        <v>245.917</v>
      </c>
      <c r="AM230" t="n">
        <v>215.083</v>
      </c>
      <c r="AN230" t="n">
        <v>236.976</v>
      </c>
      <c r="AO230" t="n">
        <v>279.802</v>
      </c>
      <c r="AP230" t="n">
        <v>340.803</v>
      </c>
      <c r="AQ230" t="n">
        <v>267.073</v>
      </c>
      <c r="AR230" t="n">
        <v>325.834</v>
      </c>
      <c r="AS230" t="n">
        <v>353.787</v>
      </c>
      <c r="AT230" t="n">
        <v>266.085</v>
      </c>
      <c r="AU230" t="n">
        <v>275.041</v>
      </c>
      <c r="AV230" t="n">
        <v>282.997</v>
      </c>
      <c r="AW230" t="n">
        <v>278.009</v>
      </c>
      <c r="AX230" t="n">
        <v>296.93</v>
      </c>
      <c r="AY230" t="n">
        <v>301.919</v>
      </c>
      <c r="AZ230" t="n">
        <v>296.933</v>
      </c>
      <c r="BA230" t="n">
        <v>350.774</v>
      </c>
      <c r="BB230" t="n">
        <v>310.923</v>
      </c>
      <c r="BC230" t="n">
        <v>348.774</v>
      </c>
      <c r="BD230" t="n">
        <v>333.82</v>
      </c>
      <c r="BE230" t="n">
        <v>356.859</v>
      </c>
      <c r="BF230" t="n">
        <v>361.82</v>
      </c>
      <c r="BG230" t="n">
        <v>376.761</v>
      </c>
      <c r="BH230" t="n">
        <v>333.925</v>
      </c>
      <c r="BI230" t="n">
        <v>397.735</v>
      </c>
      <c r="BJ230" t="n">
        <v>391.754</v>
      </c>
      <c r="BK230" t="n">
        <v>389.746</v>
      </c>
      <c r="BL230" t="n">
        <v>352.839</v>
      </c>
      <c r="BM230" t="n">
        <v>376.763</v>
      </c>
      <c r="BN230" t="n">
        <v>354.796</v>
      </c>
      <c r="BO230" t="n">
        <v>360.104</v>
      </c>
      <c r="BP230" t="n">
        <v>350.877</v>
      </c>
      <c r="BQ230" t="n">
        <v>372.111</v>
      </c>
      <c r="BR230" t="n">
        <v>377.155</v>
      </c>
      <c r="BS230" t="n">
        <v>404.896</v>
      </c>
      <c r="BT230" t="n">
        <v>374.444</v>
      </c>
      <c r="BU230" t="n">
        <v>343.592</v>
      </c>
      <c r="BV230" t="n">
        <v>358.224</v>
      </c>
    </row>
    <row r="231">
      <c r="A231" t="inlineStr">
        <is>
          <t>Panulirus homarus</t>
        </is>
      </c>
      <c r="B231" t="inlineStr">
        <is>
          <t>Scalloped spiny lobster</t>
        </is>
      </c>
      <c r="C231" t="inlineStr">
        <is>
          <t>Lobsters, crabs</t>
        </is>
      </c>
      <c r="D231" t="inlineStr">
        <is>
          <t>Crustaceans</t>
        </is>
      </c>
      <c r="E231" t="n">
        <v>15.971</v>
      </c>
      <c r="F231" t="n">
        <v>15.971</v>
      </c>
      <c r="G231" t="n">
        <v>19.165</v>
      </c>
      <c r="H231" t="n">
        <v>22.359</v>
      </c>
      <c r="I231" t="n">
        <v>38.33</v>
      </c>
      <c r="J231" t="n">
        <v>31.942</v>
      </c>
      <c r="K231" t="n">
        <v>47.913</v>
      </c>
      <c r="L231" t="n">
        <v>41.525</v>
      </c>
      <c r="M231" t="n">
        <v>67.078</v>
      </c>
      <c r="N231" t="n">
        <v>60.69</v>
      </c>
      <c r="O231" t="n">
        <v>63.884</v>
      </c>
      <c r="P231" t="n">
        <v>57.496</v>
      </c>
      <c r="Q231" t="n">
        <v>95.82599999999999</v>
      </c>
      <c r="R231" t="n">
        <v>76.661</v>
      </c>
      <c r="S231" t="n">
        <v>156.516</v>
      </c>
      <c r="T231" t="n">
        <v>86.24299999999999</v>
      </c>
      <c r="U231" t="n">
        <v>102.214</v>
      </c>
      <c r="V231" t="n">
        <v>111.797</v>
      </c>
      <c r="W231" t="n">
        <v>83.04900000000001</v>
      </c>
      <c r="X231" t="n">
        <v>127.768</v>
      </c>
      <c r="Y231" t="n">
        <v>111.797</v>
      </c>
      <c r="Z231" t="n">
        <v>102.214</v>
      </c>
      <c r="AA231" t="n">
        <v>118.185</v>
      </c>
      <c r="AB231" t="n">
        <v>105.409</v>
      </c>
      <c r="AC231" t="n">
        <v>169.293</v>
      </c>
      <c r="AD231" t="n">
        <v>197.785</v>
      </c>
      <c r="AE231" t="n">
        <v>228.354</v>
      </c>
      <c r="AF231" t="n">
        <v>194.527</v>
      </c>
      <c r="AG231" t="n">
        <v>232.187</v>
      </c>
      <c r="AH231" t="n">
        <v>175.234</v>
      </c>
      <c r="AI231" t="n">
        <v>158.113</v>
      </c>
      <c r="AJ231" t="n">
        <v>229.344</v>
      </c>
      <c r="AK231" t="n">
        <v>319.069</v>
      </c>
      <c r="AL231" t="n">
        <v>245.379</v>
      </c>
      <c r="AM231" t="n">
        <v>238.383</v>
      </c>
      <c r="AN231" t="n">
        <v>152.811</v>
      </c>
      <c r="AO231" t="n">
        <v>157.123</v>
      </c>
      <c r="AP231" t="n">
        <v>162.585</v>
      </c>
      <c r="AQ231" t="n">
        <v>168.941</v>
      </c>
      <c r="AR231" t="n">
        <v>171.433</v>
      </c>
      <c r="AS231" t="n">
        <v>162.84</v>
      </c>
      <c r="AT231" t="n">
        <v>190.534</v>
      </c>
      <c r="AU231" t="n">
        <v>248.605</v>
      </c>
      <c r="AV231" t="n">
        <v>242.727</v>
      </c>
      <c r="AW231" t="n">
        <v>110.892</v>
      </c>
      <c r="AX231" t="n">
        <v>236.016</v>
      </c>
      <c r="AY231" t="n">
        <v>204.269</v>
      </c>
      <c r="AZ231" t="n">
        <v>202.477</v>
      </c>
      <c r="BA231" t="n">
        <v>248.172</v>
      </c>
      <c r="BB231" t="n">
        <v>163.259</v>
      </c>
      <c r="BC231" t="n">
        <v>331.121</v>
      </c>
      <c r="BD231" t="n">
        <v>374.578</v>
      </c>
      <c r="BE231" t="n">
        <v>263.513</v>
      </c>
      <c r="BF231" t="n">
        <v>748.271</v>
      </c>
      <c r="BG231" t="n">
        <v>470.258</v>
      </c>
      <c r="BH231" t="n">
        <v>37.655</v>
      </c>
      <c r="BI231" t="n">
        <v>118.599</v>
      </c>
      <c r="BJ231" t="n">
        <v>189.286</v>
      </c>
      <c r="BK231" t="n">
        <v>272.099</v>
      </c>
      <c r="BL231" t="n">
        <v>304.898</v>
      </c>
      <c r="BM231" t="n">
        <v>366.34</v>
      </c>
      <c r="BN231" t="n">
        <v>279.721</v>
      </c>
      <c r="BO231" t="n">
        <v>338.622</v>
      </c>
      <c r="BP231" t="n">
        <v>428.244</v>
      </c>
      <c r="BQ231" t="n">
        <v>736.145</v>
      </c>
      <c r="BR231" t="n">
        <v>701.9589999999999</v>
      </c>
      <c r="BS231" t="n">
        <v>860.645</v>
      </c>
      <c r="BT231" t="n">
        <v>685.328</v>
      </c>
      <c r="BU231" t="n">
        <v>701.497</v>
      </c>
      <c r="BV231" t="n">
        <v>716.049</v>
      </c>
    </row>
    <row r="232">
      <c r="A232" t="inlineStr">
        <is>
          <t>Crassostrea</t>
        </is>
      </c>
      <c r="B232" t="inlineStr">
        <is>
          <t>Cupped oysters</t>
        </is>
      </c>
      <c r="C232" t="inlineStr">
        <is>
          <t>Other demersal invertebrates</t>
        </is>
      </c>
      <c r="D232" t="inlineStr">
        <is>
          <t>Molluscs</t>
        </is>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525.5069999999999</v>
      </c>
      <c r="AG232" t="n">
        <v>296.791</v>
      </c>
      <c r="AH232" t="n">
        <v>735.1799999999999</v>
      </c>
      <c r="AI232" t="n">
        <v>827.104</v>
      </c>
      <c r="AJ232" t="n">
        <v>751.251</v>
      </c>
      <c r="AK232" t="n">
        <v>2663.75</v>
      </c>
      <c r="AL232" t="n">
        <v>2192.555</v>
      </c>
      <c r="AM232" t="n">
        <v>966.079</v>
      </c>
      <c r="AN232" t="n">
        <v>2073.99</v>
      </c>
      <c r="AO232" t="n">
        <v>821.987</v>
      </c>
      <c r="AP232" t="n">
        <v>1154.271</v>
      </c>
      <c r="AQ232" t="n">
        <v>707.829</v>
      </c>
      <c r="AR232" t="n">
        <v>1465.282</v>
      </c>
      <c r="AS232" t="n">
        <v>498.788</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row>
    <row r="233">
      <c r="A233" t="inlineStr">
        <is>
          <t>Drepane</t>
        </is>
      </c>
      <c r="B233" t="inlineStr">
        <is>
          <t>Sicklefishes</t>
        </is>
      </c>
      <c r="C233" t="inlineStr">
        <is>
          <t>Medium benthopelagics (30 - 89 cm)</t>
        </is>
      </c>
      <c r="D233" t="inlineStr">
        <is>
          <t>Perch-likes</t>
        </is>
      </c>
      <c r="E233" t="n">
        <v>0</v>
      </c>
      <c r="F233" t="n">
        <v>0</v>
      </c>
      <c r="G233" t="n">
        <v>0</v>
      </c>
      <c r="H233" t="n">
        <v>0</v>
      </c>
      <c r="I233" t="n">
        <v>0</v>
      </c>
      <c r="J233" t="n">
        <v>0</v>
      </c>
      <c r="K233" t="n">
        <v>0</v>
      </c>
      <c r="L233" t="n">
        <v>0</v>
      </c>
      <c r="M233" t="n">
        <v>0</v>
      </c>
      <c r="N233" t="n">
        <v>0</v>
      </c>
      <c r="O233" t="n">
        <v>0</v>
      </c>
      <c r="P233" t="n">
        <v>0</v>
      </c>
      <c r="Q233" t="n">
        <v>0</v>
      </c>
      <c r="R233" t="n">
        <v>0</v>
      </c>
      <c r="S233" t="n">
        <v>99.90900000000001</v>
      </c>
      <c r="T233" t="n">
        <v>112.769</v>
      </c>
      <c r="U233" t="n">
        <v>119.693</v>
      </c>
      <c r="V233" t="n">
        <v>103.866</v>
      </c>
      <c r="W233" t="n">
        <v>100.898</v>
      </c>
      <c r="X233" t="n">
        <v>81.114</v>
      </c>
      <c r="Y233" t="n">
        <v>106.833</v>
      </c>
      <c r="Z233" t="n">
        <v>292.803</v>
      </c>
      <c r="AA233" t="n">
        <v>376.885</v>
      </c>
      <c r="AB233" t="n">
        <v>461.956</v>
      </c>
      <c r="AC233" t="n">
        <v>538.124</v>
      </c>
      <c r="AD233" t="n">
        <v>565.822</v>
      </c>
      <c r="AE233" t="n">
        <v>286.36</v>
      </c>
      <c r="AF233" t="n">
        <v>246.595</v>
      </c>
      <c r="AG233" t="n">
        <v>304.667</v>
      </c>
      <c r="AH233" t="n">
        <v>326.429</v>
      </c>
      <c r="AI233" t="n">
        <v>181.023</v>
      </c>
      <c r="AJ233" t="n">
        <v>175.088</v>
      </c>
      <c r="AK233" t="n">
        <v>178.056</v>
      </c>
      <c r="AL233" t="n">
        <v>166.185</v>
      </c>
      <c r="AM233" t="n">
        <v>170.303</v>
      </c>
      <c r="AN233" t="n">
        <v>247.295</v>
      </c>
      <c r="AO233" t="n">
        <v>235.23</v>
      </c>
      <c r="AP233" t="n">
        <v>228.265</v>
      </c>
      <c r="AQ233" t="n">
        <v>200.612</v>
      </c>
      <c r="AR233" t="n">
        <v>203.771</v>
      </c>
      <c r="AS233" t="n">
        <v>448.101</v>
      </c>
      <c r="AT233" t="n">
        <v>428.318</v>
      </c>
      <c r="AU233" t="n">
        <v>492.615</v>
      </c>
      <c r="AV233" t="n">
        <v>435.242</v>
      </c>
      <c r="AW233" t="n">
        <v>420.405</v>
      </c>
      <c r="AX233" t="n">
        <v>108.802</v>
      </c>
      <c r="AY233" t="n">
        <v>98.911</v>
      </c>
      <c r="AZ233" t="n">
        <v>112.758</v>
      </c>
      <c r="BA233" t="n">
        <v>87.042</v>
      </c>
      <c r="BB233" t="n">
        <v>101.878</v>
      </c>
      <c r="BC233" t="n">
        <v>172.11</v>
      </c>
      <c r="BD233" t="n">
        <v>159.251</v>
      </c>
      <c r="BE233" t="n">
        <v>155.295</v>
      </c>
      <c r="BF233" t="n">
        <v>178.855</v>
      </c>
      <c r="BG233" t="n">
        <v>190.707</v>
      </c>
      <c r="BH233" t="n">
        <v>237.363</v>
      </c>
      <c r="BI233" t="n">
        <v>251.082</v>
      </c>
      <c r="BJ233" t="n">
        <v>286.323</v>
      </c>
      <c r="BK233" t="n">
        <v>294.557</v>
      </c>
      <c r="BL233" t="n">
        <v>430.573</v>
      </c>
      <c r="BM233" t="n">
        <v>421.231</v>
      </c>
      <c r="BN233" t="n">
        <v>391.082</v>
      </c>
      <c r="BO233" t="n">
        <v>396.327</v>
      </c>
      <c r="BP233" t="n">
        <v>387.927</v>
      </c>
      <c r="BQ233" t="n">
        <v>412.898</v>
      </c>
      <c r="BR233" t="n">
        <v>418.718</v>
      </c>
      <c r="BS233" t="n">
        <v>449.972</v>
      </c>
      <c r="BT233" t="n">
        <v>416.102</v>
      </c>
      <c r="BU233" t="n">
        <v>382.431</v>
      </c>
      <c r="BV233" t="n">
        <v>399.159</v>
      </c>
    </row>
    <row r="234">
      <c r="A234" t="inlineStr">
        <is>
          <t>Coryphaena hippurus</t>
        </is>
      </c>
      <c r="B234" t="inlineStr">
        <is>
          <t>Common dolphinfish</t>
        </is>
      </c>
      <c r="C234" t="inlineStr">
        <is>
          <t>Large pelagics (&gt;=90 cm)</t>
        </is>
      </c>
      <c r="D234" t="inlineStr">
        <is>
          <t>Perch-likes</t>
        </is>
      </c>
      <c r="E234" t="n">
        <v>0.051</v>
      </c>
      <c r="F234" t="n">
        <v>0.04</v>
      </c>
      <c r="G234" t="n">
        <v>0.006</v>
      </c>
      <c r="H234" t="n">
        <v>0.006</v>
      </c>
      <c r="I234" t="n">
        <v>3.119</v>
      </c>
      <c r="J234" t="n">
        <v>19.671</v>
      </c>
      <c r="K234" t="n">
        <v>20.804</v>
      </c>
      <c r="L234" t="n">
        <v>8.065</v>
      </c>
      <c r="M234" t="n">
        <v>7.982</v>
      </c>
      <c r="N234" t="n">
        <v>16.655</v>
      </c>
      <c r="O234" t="n">
        <v>19.043</v>
      </c>
      <c r="P234" t="n">
        <v>24.21</v>
      </c>
      <c r="Q234" t="n">
        <v>16.912</v>
      </c>
      <c r="R234" t="n">
        <v>9.587999999999999</v>
      </c>
      <c r="S234" t="n">
        <v>24.969</v>
      </c>
      <c r="T234" t="n">
        <v>13.668</v>
      </c>
      <c r="U234" t="n">
        <v>23.245</v>
      </c>
      <c r="V234" t="n">
        <v>17.581</v>
      </c>
      <c r="W234" t="n">
        <v>26.945</v>
      </c>
      <c r="X234" t="n">
        <v>61.433</v>
      </c>
      <c r="Y234" t="n">
        <v>5.659</v>
      </c>
      <c r="Z234" t="n">
        <v>47.218</v>
      </c>
      <c r="AA234" t="n">
        <v>4.086</v>
      </c>
      <c r="AB234" t="n">
        <v>0.039</v>
      </c>
      <c r="AC234" t="n">
        <v>3.553</v>
      </c>
      <c r="AD234" t="n">
        <v>0.788</v>
      </c>
      <c r="AE234" t="n">
        <v>0.044</v>
      </c>
      <c r="AF234" t="n">
        <v>0.097</v>
      </c>
      <c r="AG234" t="n">
        <v>0.83</v>
      </c>
      <c r="AH234" t="n">
        <v>0.399</v>
      </c>
      <c r="AI234" t="n">
        <v>0.542</v>
      </c>
      <c r="AJ234" t="n">
        <v>0.382</v>
      </c>
      <c r="AK234" t="n">
        <v>0.461</v>
      </c>
      <c r="AL234" t="n">
        <v>9.287000000000001</v>
      </c>
      <c r="AM234" t="n">
        <v>0.089</v>
      </c>
      <c r="AN234" t="n">
        <v>0.379</v>
      </c>
      <c r="AO234" t="n">
        <v>0.829</v>
      </c>
      <c r="AP234" t="n">
        <v>1.984</v>
      </c>
      <c r="AQ234" t="n">
        <v>3.557</v>
      </c>
      <c r="AR234" t="n">
        <v>4.126</v>
      </c>
      <c r="AS234" t="n">
        <v>5.08</v>
      </c>
      <c r="AT234" t="n">
        <v>8.454000000000001</v>
      </c>
      <c r="AU234" t="n">
        <v>8.303000000000001</v>
      </c>
      <c r="AV234" t="n">
        <v>25.666</v>
      </c>
      <c r="AW234" t="n">
        <v>16.917</v>
      </c>
      <c r="AX234" t="n">
        <v>19.255</v>
      </c>
      <c r="AY234" t="n">
        <v>15.995</v>
      </c>
      <c r="AZ234" t="n">
        <v>17.783</v>
      </c>
      <c r="BA234" t="n">
        <v>64.369</v>
      </c>
      <c r="BB234" t="n">
        <v>25.463</v>
      </c>
      <c r="BC234" t="n">
        <v>28.718</v>
      </c>
      <c r="BD234" t="n">
        <v>32.342</v>
      </c>
      <c r="BE234" t="n">
        <v>30.646</v>
      </c>
      <c r="BF234" t="n">
        <v>33.487</v>
      </c>
      <c r="BG234" t="n">
        <v>40.51</v>
      </c>
      <c r="BH234" t="n">
        <v>46.784</v>
      </c>
      <c r="BI234" t="n">
        <v>43.733</v>
      </c>
      <c r="BJ234" t="n">
        <v>38.497</v>
      </c>
      <c r="BK234" t="n">
        <v>48.837</v>
      </c>
      <c r="BL234" t="n">
        <v>29.111</v>
      </c>
      <c r="BM234" t="n">
        <v>33.621</v>
      </c>
      <c r="BN234" t="n">
        <v>26.991</v>
      </c>
      <c r="BO234" t="n">
        <v>30.023</v>
      </c>
      <c r="BP234" t="n">
        <v>2355.14</v>
      </c>
      <c r="BQ234" t="n">
        <v>3400.003</v>
      </c>
      <c r="BR234" t="n">
        <v>2162.323</v>
      </c>
      <c r="BS234" t="n">
        <v>1614.016</v>
      </c>
      <c r="BT234" t="n">
        <v>1035.926</v>
      </c>
      <c r="BU234" t="n">
        <v>817.768</v>
      </c>
      <c r="BV234" t="n">
        <v>2441.655</v>
      </c>
    </row>
    <row r="235">
      <c r="A235" t="inlineStr">
        <is>
          <t>Latidae</t>
        </is>
      </c>
      <c r="B235" t="inlineStr">
        <is>
          <t>Lates perches</t>
        </is>
      </c>
      <c r="C235" t="inlineStr">
        <is>
          <t>Large demersals (&gt;=90 cm)</t>
        </is>
      </c>
      <c r="D235" t="inlineStr">
        <is>
          <t>Perch-likes</t>
        </is>
      </c>
      <c r="E235" t="n">
        <v>63.176</v>
      </c>
      <c r="F235" t="n">
        <v>63.117</v>
      </c>
      <c r="G235" t="n">
        <v>65.852</v>
      </c>
      <c r="H235" t="n">
        <v>69.42</v>
      </c>
      <c r="I235" t="n">
        <v>72.964</v>
      </c>
      <c r="J235" t="n">
        <v>76.148</v>
      </c>
      <c r="K235" t="n">
        <v>79.604</v>
      </c>
      <c r="L235" t="n">
        <v>83.396</v>
      </c>
      <c r="M235" t="n">
        <v>86.205</v>
      </c>
      <c r="N235" t="n">
        <v>89.51900000000001</v>
      </c>
      <c r="O235" t="n">
        <v>93.117</v>
      </c>
      <c r="P235" t="n">
        <v>96.94499999999999</v>
      </c>
      <c r="Q235" t="n">
        <v>101.275</v>
      </c>
      <c r="R235" t="n">
        <v>104.757</v>
      </c>
      <c r="S235" t="n">
        <v>107.941</v>
      </c>
      <c r="T235" t="n">
        <v>110.42</v>
      </c>
      <c r="U235" t="n">
        <v>110.974</v>
      </c>
      <c r="V235" t="n">
        <v>109.285</v>
      </c>
      <c r="W235" t="n">
        <v>113.113</v>
      </c>
      <c r="X235" t="n">
        <v>116.776</v>
      </c>
      <c r="Y235" t="n">
        <v>110.539</v>
      </c>
      <c r="Z235" t="n">
        <v>113.785</v>
      </c>
      <c r="AA235" t="n">
        <v>122.94</v>
      </c>
      <c r="AB235" t="n">
        <v>144.245</v>
      </c>
      <c r="AC235" t="n">
        <v>142.051</v>
      </c>
      <c r="AD235" t="n">
        <v>146.727</v>
      </c>
      <c r="AE235" t="n">
        <v>122.069</v>
      </c>
      <c r="AF235" t="n">
        <v>127.15</v>
      </c>
      <c r="AG235" t="n">
        <v>129.98</v>
      </c>
      <c r="AH235" t="n">
        <v>135.441</v>
      </c>
      <c r="AI235" t="n">
        <v>158.366</v>
      </c>
      <c r="AJ235" t="n">
        <v>148.35</v>
      </c>
      <c r="AK235" t="n">
        <v>139.324</v>
      </c>
      <c r="AL235" t="n">
        <v>152.572</v>
      </c>
      <c r="AM235" t="n">
        <v>168.528</v>
      </c>
      <c r="AN235" t="n">
        <v>174.424</v>
      </c>
      <c r="AO235" t="n">
        <v>189.204</v>
      </c>
      <c r="AP235" t="n">
        <v>195.155</v>
      </c>
      <c r="AQ235" t="n">
        <v>204.819</v>
      </c>
      <c r="AR235" t="n">
        <v>226.353</v>
      </c>
      <c r="AS235" t="n">
        <v>242.038</v>
      </c>
      <c r="AT235" t="n">
        <v>240.69</v>
      </c>
      <c r="AU235" t="n">
        <v>264.658</v>
      </c>
      <c r="AV235" t="n">
        <v>296.093</v>
      </c>
      <c r="AW235" t="n">
        <v>306.415</v>
      </c>
      <c r="AX235" t="n">
        <v>331.732</v>
      </c>
      <c r="AY235" t="n">
        <v>342.153</v>
      </c>
      <c r="AZ235" t="n">
        <v>336.003</v>
      </c>
      <c r="BA235" t="n">
        <v>330.779</v>
      </c>
      <c r="BB235" t="n">
        <v>313.496</v>
      </c>
      <c r="BC235" t="n">
        <v>305.486</v>
      </c>
      <c r="BD235" t="n">
        <v>291.736</v>
      </c>
      <c r="BE235" t="n">
        <v>287.079</v>
      </c>
      <c r="BF235" t="n">
        <v>273.186</v>
      </c>
      <c r="BG235" t="n">
        <v>251.96</v>
      </c>
      <c r="BH235" t="n">
        <v>241.725</v>
      </c>
      <c r="BI235" t="n">
        <v>253.911</v>
      </c>
      <c r="BJ235" t="n">
        <v>279.891</v>
      </c>
      <c r="BK235" t="n">
        <v>260.252</v>
      </c>
      <c r="BL235" t="n">
        <v>279.794</v>
      </c>
      <c r="BM235" t="n">
        <v>269.532</v>
      </c>
      <c r="BN235" t="n">
        <v>270.584</v>
      </c>
      <c r="BO235" t="n">
        <v>272.28</v>
      </c>
      <c r="BP235" t="n">
        <v>273.977</v>
      </c>
      <c r="BQ235" t="n">
        <v>275.674</v>
      </c>
      <c r="BR235" t="n">
        <v>278.258</v>
      </c>
      <c r="BS235" t="n">
        <v>283.258</v>
      </c>
      <c r="BT235" t="n">
        <v>285.798</v>
      </c>
      <c r="BU235" t="n">
        <v>286.216</v>
      </c>
      <c r="BV235" t="n">
        <v>286.216</v>
      </c>
    </row>
    <row r="236">
      <c r="A236" t="inlineStr">
        <is>
          <t>Carcharhinus longimanus</t>
        </is>
      </c>
      <c r="B236" t="inlineStr">
        <is>
          <t>Oceanic whitetip shark</t>
        </is>
      </c>
      <c r="C236" t="inlineStr">
        <is>
          <t>Large sharks (&gt;=90 cm)</t>
        </is>
      </c>
      <c r="D236" t="inlineStr">
        <is>
          <t>Sharks &amp; rays</t>
        </is>
      </c>
      <c r="E236" t="n">
        <v>7.152</v>
      </c>
      <c r="F236" t="n">
        <v>11.452</v>
      </c>
      <c r="G236" t="n">
        <v>8.35</v>
      </c>
      <c r="H236" t="n">
        <v>5.447</v>
      </c>
      <c r="I236" t="n">
        <v>12.991</v>
      </c>
      <c r="J236" t="n">
        <v>24.797</v>
      </c>
      <c r="K236" t="n">
        <v>27.504</v>
      </c>
      <c r="L236" t="n">
        <v>18.225</v>
      </c>
      <c r="M236" t="n">
        <v>19.419</v>
      </c>
      <c r="N236" t="n">
        <v>26.164</v>
      </c>
      <c r="O236" t="n">
        <v>30.937</v>
      </c>
      <c r="P236" t="n">
        <v>37.25</v>
      </c>
      <c r="Q236" t="n">
        <v>37.657</v>
      </c>
      <c r="R236" t="n">
        <v>32.741</v>
      </c>
      <c r="S236" t="n">
        <v>46.931</v>
      </c>
      <c r="T236" t="n">
        <v>35.93</v>
      </c>
      <c r="U236" t="n">
        <v>40.176</v>
      </c>
      <c r="V236" t="n">
        <v>44.362</v>
      </c>
      <c r="W236" t="n">
        <v>46.272</v>
      </c>
      <c r="X236" t="n">
        <v>76.718</v>
      </c>
      <c r="Y236" t="n">
        <v>36.619</v>
      </c>
      <c r="Z236" t="n">
        <v>67.02200000000001</v>
      </c>
      <c r="AA236" t="n">
        <v>34.091</v>
      </c>
      <c r="AB236" t="n">
        <v>45.146</v>
      </c>
      <c r="AC236" t="n">
        <v>43.009</v>
      </c>
      <c r="AD236" t="n">
        <v>33.454</v>
      </c>
      <c r="AE236" t="n">
        <v>39.497</v>
      </c>
      <c r="AF236" t="n">
        <v>29.064</v>
      </c>
      <c r="AG236" t="n">
        <v>36.287</v>
      </c>
      <c r="AH236" t="n">
        <v>34.488</v>
      </c>
      <c r="AI236" t="n">
        <v>38.372</v>
      </c>
      <c r="AJ236" t="n">
        <v>55.243</v>
      </c>
      <c r="AK236" t="n">
        <v>41.296</v>
      </c>
      <c r="AL236" t="n">
        <v>41.989</v>
      </c>
      <c r="AM236" t="n">
        <v>38.932</v>
      </c>
      <c r="AN236" t="n">
        <v>28.542</v>
      </c>
      <c r="AO236" t="n">
        <v>34.766</v>
      </c>
      <c r="AP236" t="n">
        <v>41.752</v>
      </c>
      <c r="AQ236" t="n">
        <v>54.045</v>
      </c>
      <c r="AR236" t="n">
        <v>74.76300000000001</v>
      </c>
      <c r="AS236" t="n">
        <v>158.596</v>
      </c>
      <c r="AT236" t="n">
        <v>213.734</v>
      </c>
      <c r="AU236" t="n">
        <v>262.888</v>
      </c>
      <c r="AV236" t="n">
        <v>396.693</v>
      </c>
      <c r="AW236" t="n">
        <v>566.335</v>
      </c>
      <c r="AX236" t="n">
        <v>588.619</v>
      </c>
      <c r="AY236" t="n">
        <v>530.6130000000001</v>
      </c>
      <c r="AZ236" t="n">
        <v>759.355</v>
      </c>
      <c r="BA236" t="n">
        <v>954.9589999999999</v>
      </c>
      <c r="BB236" t="n">
        <v>997.218</v>
      </c>
      <c r="BC236" t="n">
        <v>885.5119999999999</v>
      </c>
      <c r="BD236" t="n">
        <v>459.012</v>
      </c>
      <c r="BE236" t="n">
        <v>491.328</v>
      </c>
      <c r="BF236" t="n">
        <v>610.731</v>
      </c>
      <c r="BG236" t="n">
        <v>473.359</v>
      </c>
      <c r="BH236" t="n">
        <v>342.038</v>
      </c>
      <c r="BI236" t="n">
        <v>287.464</v>
      </c>
      <c r="BJ236" t="n">
        <v>248.999</v>
      </c>
      <c r="BK236" t="n">
        <v>252.467</v>
      </c>
      <c r="BL236" t="n">
        <v>195.892</v>
      </c>
      <c r="BM236" t="n">
        <v>320.313</v>
      </c>
      <c r="BN236" t="n">
        <v>276.137</v>
      </c>
      <c r="BO236" t="n">
        <v>287.965</v>
      </c>
      <c r="BP236" t="n">
        <v>143.159</v>
      </c>
      <c r="BQ236" t="n">
        <v>197.194</v>
      </c>
      <c r="BR236" t="n">
        <v>222.967</v>
      </c>
      <c r="BS236" t="n">
        <v>146.723</v>
      </c>
      <c r="BT236" t="n">
        <v>143.469</v>
      </c>
      <c r="BU236" t="n">
        <v>136.832</v>
      </c>
      <c r="BV236" t="n">
        <v>155.72</v>
      </c>
    </row>
    <row r="237">
      <c r="A237" t="inlineStr">
        <is>
          <t>Thenus orientalis</t>
        </is>
      </c>
      <c r="B237" t="inlineStr">
        <is>
          <t>Flathead lobster</t>
        </is>
      </c>
      <c r="C237" t="inlineStr">
        <is>
          <t>Lobsters, crabs</t>
        </is>
      </c>
      <c r="D237" t="inlineStr">
        <is>
          <t>Crustaceans</t>
        </is>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247.604</v>
      </c>
      <c r="AC237" t="n">
        <v>183.432</v>
      </c>
      <c r="AD237" t="n">
        <v>57.103</v>
      </c>
      <c r="AE237" t="n">
        <v>70.64700000000001</v>
      </c>
      <c r="AF237" t="n">
        <v>234.159</v>
      </c>
      <c r="AG237" t="n">
        <v>245.992</v>
      </c>
      <c r="AH237" t="n">
        <v>227.623</v>
      </c>
      <c r="AI237" t="n">
        <v>108.119</v>
      </c>
      <c r="AJ237" t="n">
        <v>199.232</v>
      </c>
      <c r="AK237" t="n">
        <v>137.799</v>
      </c>
      <c r="AL237" t="n">
        <v>64.54600000000001</v>
      </c>
      <c r="AM237" t="n">
        <v>140.127</v>
      </c>
      <c r="AN237" t="n">
        <v>147.586</v>
      </c>
      <c r="AO237" t="n">
        <v>169.569</v>
      </c>
      <c r="AP237" t="n">
        <v>117.534</v>
      </c>
      <c r="AQ237" t="n">
        <v>39.586</v>
      </c>
      <c r="AR237" t="n">
        <v>114.091</v>
      </c>
      <c r="AS237" t="n">
        <v>174.779</v>
      </c>
      <c r="AT237" t="n">
        <v>96.09699999999999</v>
      </c>
      <c r="AU237" t="n">
        <v>159.296</v>
      </c>
      <c r="AV237" t="n">
        <v>233.724</v>
      </c>
      <c r="AW237" t="n">
        <v>266.372</v>
      </c>
      <c r="AX237" t="n">
        <v>388.826</v>
      </c>
      <c r="AY237" t="n">
        <v>338.962</v>
      </c>
      <c r="AZ237" t="n">
        <v>199.73</v>
      </c>
      <c r="BA237" t="n">
        <v>621.484</v>
      </c>
      <c r="BB237" t="n">
        <v>45.078</v>
      </c>
      <c r="BC237" t="n">
        <v>29.357</v>
      </c>
      <c r="BD237" t="n">
        <v>71.137</v>
      </c>
      <c r="BE237" t="n">
        <v>337.066</v>
      </c>
      <c r="BF237" t="n">
        <v>766.8869999999999</v>
      </c>
      <c r="BG237" t="n">
        <v>686.974</v>
      </c>
      <c r="BH237" t="n">
        <v>615.66</v>
      </c>
      <c r="BI237" t="n">
        <v>804.913</v>
      </c>
      <c r="BJ237" t="n">
        <v>508.599</v>
      </c>
      <c r="BK237" t="n">
        <v>136.662</v>
      </c>
      <c r="BL237" t="n">
        <v>194.954</v>
      </c>
      <c r="BM237" t="n">
        <v>323.153</v>
      </c>
      <c r="BN237" t="n">
        <v>116.051</v>
      </c>
      <c r="BO237" t="n">
        <v>152.983</v>
      </c>
      <c r="BP237" t="n">
        <v>1305.216</v>
      </c>
      <c r="BQ237" t="n">
        <v>476.644</v>
      </c>
      <c r="BR237" t="n">
        <v>62.984</v>
      </c>
      <c r="BS237" t="n">
        <v>56.217</v>
      </c>
      <c r="BT237" t="n">
        <v>138.254</v>
      </c>
      <c r="BU237" t="n">
        <v>73.369</v>
      </c>
      <c r="BV237" t="n">
        <v>74.297</v>
      </c>
    </row>
    <row r="238">
      <c r="A238" t="inlineStr">
        <is>
          <t>Istiophorus platypterus</t>
        </is>
      </c>
      <c r="B238" t="inlineStr">
        <is>
          <t>Indo-Pacific sailfish</t>
        </is>
      </c>
      <c r="C238" t="inlineStr">
        <is>
          <t>Large pelagics (&gt;=90 cm)</t>
        </is>
      </c>
      <c r="D238" t="inlineStr">
        <is>
          <t>Tuna &amp; billfishes</t>
        </is>
      </c>
      <c r="E238" t="n">
        <v>0.423</v>
      </c>
      <c r="F238" t="n">
        <v>0.334</v>
      </c>
      <c r="G238" t="n">
        <v>0.05</v>
      </c>
      <c r="H238" t="n">
        <v>0.049</v>
      </c>
      <c r="I238" t="n">
        <v>2.177</v>
      </c>
      <c r="J238" t="n">
        <v>106.127</v>
      </c>
      <c r="K238" t="n">
        <v>15.217</v>
      </c>
      <c r="L238" t="n">
        <v>9.335000000000001</v>
      </c>
      <c r="M238" t="n">
        <v>9.548999999999999</v>
      </c>
      <c r="N238" t="n">
        <v>18.792</v>
      </c>
      <c r="O238" t="n">
        <v>27.06</v>
      </c>
      <c r="P238" t="n">
        <v>27.156</v>
      </c>
      <c r="Q238" t="n">
        <v>274.292</v>
      </c>
      <c r="R238" t="n">
        <v>235.582</v>
      </c>
      <c r="S238" t="n">
        <v>338.818</v>
      </c>
      <c r="T238" t="n">
        <v>217.991</v>
      </c>
      <c r="U238" t="n">
        <v>296.931</v>
      </c>
      <c r="V238" t="n">
        <v>329.72</v>
      </c>
      <c r="W238" t="n">
        <v>289.513</v>
      </c>
      <c r="X238" t="n">
        <v>407.707</v>
      </c>
      <c r="Y238" t="n">
        <v>113.316</v>
      </c>
      <c r="Z238" t="n">
        <v>248.819</v>
      </c>
      <c r="AA238" t="n">
        <v>103.295</v>
      </c>
      <c r="AB238" t="n">
        <v>28.738</v>
      </c>
      <c r="AC238" t="n">
        <v>51.169</v>
      </c>
      <c r="AD238" t="n">
        <v>101.526</v>
      </c>
      <c r="AE238" t="n">
        <v>50.101</v>
      </c>
      <c r="AF238" t="n">
        <v>12.198</v>
      </c>
      <c r="AG238" t="n">
        <v>39.613</v>
      </c>
      <c r="AH238" t="n">
        <v>10.255</v>
      </c>
      <c r="AI238" t="n">
        <v>18.751</v>
      </c>
      <c r="AJ238" t="n">
        <v>25.395</v>
      </c>
      <c r="AK238" t="n">
        <v>34.05</v>
      </c>
      <c r="AL238" t="n">
        <v>42.164</v>
      </c>
      <c r="AM238" t="n">
        <v>36.66</v>
      </c>
      <c r="AN238" t="n">
        <v>50.419</v>
      </c>
      <c r="AO238" t="n">
        <v>57.625</v>
      </c>
      <c r="AP238" t="n">
        <v>48.263</v>
      </c>
      <c r="AQ238" t="n">
        <v>60.029</v>
      </c>
      <c r="AR238" t="n">
        <v>64.67100000000001</v>
      </c>
      <c r="AS238" t="n">
        <v>69.236</v>
      </c>
      <c r="AT238" t="n">
        <v>98.613</v>
      </c>
      <c r="AU238" t="n">
        <v>95.239</v>
      </c>
      <c r="AV238" t="n">
        <v>145.071</v>
      </c>
      <c r="AW238" t="n">
        <v>178.547</v>
      </c>
      <c r="AX238" t="n">
        <v>180.171</v>
      </c>
      <c r="AY238" t="n">
        <v>139.88</v>
      </c>
      <c r="AZ238" t="n">
        <v>162.026</v>
      </c>
      <c r="BA238" t="n">
        <v>589.525</v>
      </c>
      <c r="BB238" t="n">
        <v>278.099</v>
      </c>
      <c r="BC238" t="n">
        <v>260.703</v>
      </c>
      <c r="BD238" t="n">
        <v>273.779</v>
      </c>
      <c r="BE238" t="n">
        <v>243.662</v>
      </c>
      <c r="BF238" t="n">
        <v>231.062</v>
      </c>
      <c r="BG238" t="n">
        <v>269.035</v>
      </c>
      <c r="BH238" t="n">
        <v>342.417</v>
      </c>
      <c r="BI238" t="n">
        <v>262.45</v>
      </c>
      <c r="BJ238" t="n">
        <v>242.933</v>
      </c>
      <c r="BK238" t="n">
        <v>205.191</v>
      </c>
      <c r="BL238" t="n">
        <v>125.511</v>
      </c>
      <c r="BM238" t="n">
        <v>143.737</v>
      </c>
      <c r="BN238" t="n">
        <v>117.487</v>
      </c>
      <c r="BO238" t="n">
        <v>127.991</v>
      </c>
      <c r="BP238" t="n">
        <v>83.392</v>
      </c>
      <c r="BQ238" t="n">
        <v>353.327</v>
      </c>
      <c r="BR238" t="n">
        <v>294.322</v>
      </c>
      <c r="BS238" t="n">
        <v>302.465</v>
      </c>
      <c r="BT238" t="n">
        <v>391.085</v>
      </c>
      <c r="BU238" t="n">
        <v>700.6609999999999</v>
      </c>
      <c r="BV238" t="n">
        <v>832.761</v>
      </c>
    </row>
    <row r="239">
      <c r="A239" t="inlineStr">
        <is>
          <t>Trochus niloticus</t>
        </is>
      </c>
      <c r="B239" t="inlineStr">
        <is>
          <t>Commercial top</t>
        </is>
      </c>
      <c r="C239" t="inlineStr">
        <is>
          <t>Other demersal invertebrates</t>
        </is>
      </c>
      <c r="D239" t="inlineStr">
        <is>
          <t>Molluscs</t>
        </is>
      </c>
      <c r="E239" t="n">
        <v>200.44</v>
      </c>
      <c r="F239" t="n">
        <v>206.084</v>
      </c>
      <c r="G239" t="n">
        <v>211.727</v>
      </c>
      <c r="H239" t="n">
        <v>217.371</v>
      </c>
      <c r="I239" t="n">
        <v>223.015</v>
      </c>
      <c r="J239" t="n">
        <v>228.658</v>
      </c>
      <c r="K239" t="n">
        <v>234.302</v>
      </c>
      <c r="L239" t="n">
        <v>239.946</v>
      </c>
      <c r="M239" t="n">
        <v>245.59</v>
      </c>
      <c r="N239" t="n">
        <v>251.233</v>
      </c>
      <c r="O239" t="n">
        <v>256.877</v>
      </c>
      <c r="P239" t="n">
        <v>262.521</v>
      </c>
      <c r="Q239" t="n">
        <v>268.164</v>
      </c>
      <c r="R239" t="n">
        <v>273.808</v>
      </c>
      <c r="S239" t="n">
        <v>279.452</v>
      </c>
      <c r="T239" t="n">
        <v>285.096</v>
      </c>
      <c r="U239" t="n">
        <v>290.739</v>
      </c>
      <c r="V239" t="n">
        <v>296.383</v>
      </c>
      <c r="W239" t="n">
        <v>302.027</v>
      </c>
      <c r="X239" t="n">
        <v>307.67</v>
      </c>
      <c r="Y239" t="n">
        <v>313.314</v>
      </c>
      <c r="Z239" t="n">
        <v>318.958</v>
      </c>
      <c r="AA239" t="n">
        <v>324.602</v>
      </c>
      <c r="AB239" t="n">
        <v>330.245</v>
      </c>
      <c r="AC239" t="n">
        <v>335.889</v>
      </c>
      <c r="AD239" t="n">
        <v>341.533</v>
      </c>
      <c r="AE239" t="n">
        <v>347.176</v>
      </c>
      <c r="AF239" t="n">
        <v>346.685</v>
      </c>
      <c r="AG239" t="n">
        <v>346.194</v>
      </c>
      <c r="AH239" t="n">
        <v>345.703</v>
      </c>
      <c r="AI239" t="n">
        <v>345.212</v>
      </c>
      <c r="AJ239" t="n">
        <v>344.721</v>
      </c>
      <c r="AK239" t="n">
        <v>344.23</v>
      </c>
      <c r="AL239" t="n">
        <v>343.739</v>
      </c>
      <c r="AM239" t="n">
        <v>85.67400000000001</v>
      </c>
      <c r="AN239" t="n">
        <v>85.67400000000001</v>
      </c>
      <c r="AO239" t="n">
        <v>77.32599999999999</v>
      </c>
      <c r="AP239" t="n">
        <v>68.979</v>
      </c>
      <c r="AQ239" t="n">
        <v>60.632</v>
      </c>
      <c r="AR239" t="n">
        <v>52.285</v>
      </c>
      <c r="AS239" t="n">
        <v>43.938</v>
      </c>
      <c r="AT239" t="n">
        <v>35.591</v>
      </c>
      <c r="AU239" t="n">
        <v>27.243</v>
      </c>
      <c r="AV239" t="n">
        <v>18.896</v>
      </c>
      <c r="AW239" t="n">
        <v>10.549</v>
      </c>
      <c r="AX239" t="n">
        <v>2.202</v>
      </c>
      <c r="AY239" t="n">
        <v>1.986</v>
      </c>
      <c r="AZ239" t="n">
        <v>5.044</v>
      </c>
      <c r="BA239" t="n">
        <v>0.089</v>
      </c>
      <c r="BB239" t="n">
        <v>1.193</v>
      </c>
      <c r="BC239" t="n">
        <v>1.073</v>
      </c>
      <c r="BD239" t="n">
        <v>0.913</v>
      </c>
      <c r="BE239" t="n">
        <v>0.763</v>
      </c>
      <c r="BF239" t="n">
        <v>0.623</v>
      </c>
      <c r="BG239" t="n">
        <v>0.494</v>
      </c>
      <c r="BH239" t="n">
        <v>0.375</v>
      </c>
      <c r="BI239" t="n">
        <v>0.266</v>
      </c>
      <c r="BJ239" t="n">
        <v>0.167</v>
      </c>
      <c r="BK239" t="n">
        <v>0.078</v>
      </c>
      <c r="BL239" t="n">
        <v>0.046</v>
      </c>
      <c r="BM239" t="n">
        <v>0.168</v>
      </c>
      <c r="BN239" t="n">
        <v>0.08599999999999999</v>
      </c>
      <c r="BO239" t="n">
        <v>0.017</v>
      </c>
      <c r="BP239" t="n">
        <v>0.007</v>
      </c>
      <c r="BQ239" t="n">
        <v>0</v>
      </c>
      <c r="BR239" t="n">
        <v>0.003</v>
      </c>
      <c r="BS239" t="n">
        <v>0.003</v>
      </c>
      <c r="BT239" t="n">
        <v>0</v>
      </c>
      <c r="BU239" t="n">
        <v>0</v>
      </c>
      <c r="BV239" t="n">
        <v>0</v>
      </c>
    </row>
    <row r="240">
      <c r="A240" t="inlineStr">
        <is>
          <t>Sillago sihama</t>
        </is>
      </c>
      <c r="B240" t="inlineStr">
        <is>
          <t>Silver sillago</t>
        </is>
      </c>
      <c r="C240" t="inlineStr">
        <is>
          <t>Medium demersals (30 - 89 cm)</t>
        </is>
      </c>
      <c r="D240" t="inlineStr">
        <is>
          <t>Perch-likes</t>
        </is>
      </c>
      <c r="E240" t="n">
        <v>115.995</v>
      </c>
      <c r="F240" t="n">
        <v>114.922</v>
      </c>
      <c r="G240" t="n">
        <v>115.633</v>
      </c>
      <c r="H240" t="n">
        <v>116.332</v>
      </c>
      <c r="I240" t="n">
        <v>117.013</v>
      </c>
      <c r="J240" t="n">
        <v>117.68</v>
      </c>
      <c r="K240" t="n">
        <v>118.328</v>
      </c>
      <c r="L240" t="n">
        <v>118.957</v>
      </c>
      <c r="M240" t="n">
        <v>119.569</v>
      </c>
      <c r="N240" t="n">
        <v>120.161</v>
      </c>
      <c r="O240" t="n">
        <v>123.821</v>
      </c>
      <c r="P240" t="n">
        <v>130.659</v>
      </c>
      <c r="Q240" t="n">
        <v>130.487</v>
      </c>
      <c r="R240" t="n">
        <v>131.941</v>
      </c>
      <c r="S240" t="n">
        <v>133.382</v>
      </c>
      <c r="T240" t="n">
        <v>134.807</v>
      </c>
      <c r="U240" t="n">
        <v>135.926</v>
      </c>
      <c r="V240" t="n">
        <v>137.023</v>
      </c>
      <c r="W240" t="n">
        <v>138.093</v>
      </c>
      <c r="X240" t="n">
        <v>139.135</v>
      </c>
      <c r="Y240" t="n">
        <v>137.171</v>
      </c>
      <c r="Z240" t="n">
        <v>141.162</v>
      </c>
      <c r="AA240" t="n">
        <v>142.145</v>
      </c>
      <c r="AB240" t="n">
        <v>143.093</v>
      </c>
      <c r="AC240" t="n">
        <v>146.704</v>
      </c>
      <c r="AD240" t="n">
        <v>144.498</v>
      </c>
      <c r="AE240" t="n">
        <v>149.644</v>
      </c>
      <c r="AF240" t="n">
        <v>150.044</v>
      </c>
      <c r="AG240" t="n">
        <v>151.278</v>
      </c>
      <c r="AH240" t="n">
        <v>151.202</v>
      </c>
      <c r="AI240" t="n">
        <v>151.253</v>
      </c>
      <c r="AJ240" t="n">
        <v>151.073</v>
      </c>
      <c r="AK240" t="n">
        <v>151.706</v>
      </c>
      <c r="AL240" t="n">
        <v>151.302</v>
      </c>
      <c r="AM240" t="n">
        <v>150.827</v>
      </c>
      <c r="AN240" t="n">
        <v>155.029</v>
      </c>
      <c r="AO240" t="n">
        <v>149.686</v>
      </c>
      <c r="AP240" t="n">
        <v>148.997</v>
      </c>
      <c r="AQ240" t="n">
        <v>150.544</v>
      </c>
      <c r="AR240" t="n">
        <v>147.395</v>
      </c>
      <c r="AS240" t="n">
        <v>150.631</v>
      </c>
      <c r="AT240" t="n">
        <v>151.183</v>
      </c>
      <c r="AU240" t="n">
        <v>151.608</v>
      </c>
      <c r="AV240" t="n">
        <v>151.906</v>
      </c>
      <c r="AW240" t="n">
        <v>152.079</v>
      </c>
      <c r="AX240" t="n">
        <v>152.125</v>
      </c>
      <c r="AY240" t="n">
        <v>152.045</v>
      </c>
      <c r="AZ240" t="n">
        <v>151.838</v>
      </c>
      <c r="BA240" t="n">
        <v>151.505</v>
      </c>
      <c r="BB240" t="n">
        <v>151.046</v>
      </c>
      <c r="BC240" t="n">
        <v>150.461</v>
      </c>
      <c r="BD240" t="n">
        <v>151.118</v>
      </c>
      <c r="BE240" t="n">
        <v>151.586</v>
      </c>
      <c r="BF240" t="n">
        <v>151.864</v>
      </c>
      <c r="BG240" t="n">
        <v>151.952</v>
      </c>
      <c r="BH240" t="n">
        <v>151.85</v>
      </c>
      <c r="BI240" t="n">
        <v>151.558</v>
      </c>
      <c r="BJ240" t="n">
        <v>151.075</v>
      </c>
      <c r="BK240" t="n">
        <v>150.403</v>
      </c>
      <c r="BL240" t="n">
        <v>153.819</v>
      </c>
      <c r="BM240" t="n">
        <v>157.237</v>
      </c>
      <c r="BN240" t="n">
        <v>157.204</v>
      </c>
      <c r="BO240" t="n">
        <v>159.102</v>
      </c>
      <c r="BP240" t="n">
        <v>161.049</v>
      </c>
      <c r="BQ240" t="n">
        <v>163.017</v>
      </c>
      <c r="BR240" t="n">
        <v>164.434</v>
      </c>
      <c r="BS240" t="n">
        <v>165.277</v>
      </c>
      <c r="BT240" t="n">
        <v>165.542</v>
      </c>
      <c r="BU240" t="n">
        <v>165.542</v>
      </c>
      <c r="BV240" t="n">
        <v>165.542</v>
      </c>
    </row>
    <row r="241">
      <c r="A241" t="inlineStr">
        <is>
          <t>Isurus oxyrinchus</t>
        </is>
      </c>
      <c r="B241" t="inlineStr">
        <is>
          <t>Shortfin mako</t>
        </is>
      </c>
      <c r="C241" t="inlineStr">
        <is>
          <t>Large sharks (&gt;=90 cm)</t>
        </is>
      </c>
      <c r="D241" t="inlineStr">
        <is>
          <t>Sharks &amp; rays</t>
        </is>
      </c>
      <c r="E241" t="n">
        <v>0.257</v>
      </c>
      <c r="F241" t="n">
        <v>0.203</v>
      </c>
      <c r="G241" t="n">
        <v>0.03</v>
      </c>
      <c r="H241" t="n">
        <v>0.03</v>
      </c>
      <c r="I241" t="n">
        <v>0.006</v>
      </c>
      <c r="J241" t="n">
        <v>0.246</v>
      </c>
      <c r="K241" t="n">
        <v>0.333</v>
      </c>
      <c r="L241" t="n">
        <v>0.319</v>
      </c>
      <c r="M241" t="n">
        <v>0.329</v>
      </c>
      <c r="N241" t="n">
        <v>0.313</v>
      </c>
      <c r="O241" t="n">
        <v>0.357</v>
      </c>
      <c r="P241" t="n">
        <v>0.501</v>
      </c>
      <c r="Q241" t="n">
        <v>0.166</v>
      </c>
      <c r="R241" t="n">
        <v>0.3</v>
      </c>
      <c r="S241" t="n">
        <v>0.239</v>
      </c>
      <c r="T241" t="n">
        <v>0.187</v>
      </c>
      <c r="U241" t="n">
        <v>0.047</v>
      </c>
      <c r="V241" t="n">
        <v>1.584</v>
      </c>
      <c r="W241" t="n">
        <v>4.204</v>
      </c>
      <c r="X241" t="n">
        <v>3.064</v>
      </c>
      <c r="Y241" t="n">
        <v>1.344</v>
      </c>
      <c r="Z241" t="n">
        <v>1.31</v>
      </c>
      <c r="AA241" t="n">
        <v>1.408</v>
      </c>
      <c r="AB241" t="n">
        <v>0.702</v>
      </c>
      <c r="AC241" t="n">
        <v>1.007</v>
      </c>
      <c r="AD241" t="n">
        <v>0.908</v>
      </c>
      <c r="AE241" t="n">
        <v>0.453</v>
      </c>
      <c r="AF241" t="n">
        <v>0.662</v>
      </c>
      <c r="AG241" t="n">
        <v>4.559</v>
      </c>
      <c r="AH241" t="n">
        <v>2.286</v>
      </c>
      <c r="AI241" t="n">
        <v>2.836</v>
      </c>
      <c r="AJ241" t="n">
        <v>2.249</v>
      </c>
      <c r="AK241" t="n">
        <v>2.097</v>
      </c>
      <c r="AL241" t="n">
        <v>0.61</v>
      </c>
      <c r="AM241" t="n">
        <v>0.9370000000000001</v>
      </c>
      <c r="AN241" t="n">
        <v>1.147</v>
      </c>
      <c r="AO241" t="n">
        <v>4.172</v>
      </c>
      <c r="AP241" t="n">
        <v>9.722</v>
      </c>
      <c r="AQ241" t="n">
        <v>18.351</v>
      </c>
      <c r="AR241" t="n">
        <v>21.248</v>
      </c>
      <c r="AS241" t="n">
        <v>109.16</v>
      </c>
      <c r="AT241" t="n">
        <v>150.132</v>
      </c>
      <c r="AU241" t="n">
        <v>195.208</v>
      </c>
      <c r="AV241" t="n">
        <v>287.262</v>
      </c>
      <c r="AW241" t="n">
        <v>453.668</v>
      </c>
      <c r="AX241" t="n">
        <v>469.238</v>
      </c>
      <c r="AY241" t="n">
        <v>433.766</v>
      </c>
      <c r="AZ241" t="n">
        <v>623.638</v>
      </c>
      <c r="BA241" t="n">
        <v>803.373</v>
      </c>
      <c r="BB241" t="n">
        <v>818.965</v>
      </c>
      <c r="BC241" t="n">
        <v>723.902</v>
      </c>
      <c r="BD241" t="n">
        <v>324.683</v>
      </c>
      <c r="BE241" t="n">
        <v>380.083</v>
      </c>
      <c r="BF241" t="n">
        <v>508.003</v>
      </c>
      <c r="BG241" t="n">
        <v>395.916</v>
      </c>
      <c r="BH241" t="n">
        <v>302.575</v>
      </c>
      <c r="BI241" t="n">
        <v>263.985</v>
      </c>
      <c r="BJ241" t="n">
        <v>231.63</v>
      </c>
      <c r="BK241" t="n">
        <v>246.999</v>
      </c>
      <c r="BL241" t="n">
        <v>186.316</v>
      </c>
      <c r="BM241" t="n">
        <v>312.537</v>
      </c>
      <c r="BN241" t="n">
        <v>272.245</v>
      </c>
      <c r="BO241" t="n">
        <v>241.255</v>
      </c>
      <c r="BP241" t="n">
        <v>149.397</v>
      </c>
      <c r="BQ241" t="n">
        <v>142.238</v>
      </c>
      <c r="BR241" t="n">
        <v>176.12</v>
      </c>
      <c r="BS241" t="n">
        <v>176.894</v>
      </c>
      <c r="BT241" t="n">
        <v>204.534</v>
      </c>
      <c r="BU241" t="n">
        <v>153.793</v>
      </c>
      <c r="BV241" t="n">
        <v>160.62</v>
      </c>
    </row>
    <row r="242">
      <c r="A242" t="inlineStr">
        <is>
          <t>Scatophagus</t>
        </is>
      </c>
      <c r="B242" t="inlineStr">
        <is>
          <t>Scats</t>
        </is>
      </c>
      <c r="C242" t="inlineStr">
        <is>
          <t>Medium demersals (30 - 89 cm)</t>
        </is>
      </c>
      <c r="D242" t="inlineStr">
        <is>
          <t>Perch-likes</t>
        </is>
      </c>
      <c r="E242" t="n">
        <v>84.53400000000001</v>
      </c>
      <c r="F242" t="n">
        <v>83.751</v>
      </c>
      <c r="G242" t="n">
        <v>84.27</v>
      </c>
      <c r="H242" t="n">
        <v>84.779</v>
      </c>
      <c r="I242" t="n">
        <v>85.27500000000001</v>
      </c>
      <c r="J242" t="n">
        <v>85.761</v>
      </c>
      <c r="K242" t="n">
        <v>86.23399999999999</v>
      </c>
      <c r="L242" t="n">
        <v>86.69199999999999</v>
      </c>
      <c r="M242" t="n">
        <v>87.139</v>
      </c>
      <c r="N242" t="n">
        <v>87.569</v>
      </c>
      <c r="O242" t="n">
        <v>90.23699999999999</v>
      </c>
      <c r="P242" t="n">
        <v>95.22</v>
      </c>
      <c r="Q242" t="n">
        <v>95.095</v>
      </c>
      <c r="R242" t="n">
        <v>96.154</v>
      </c>
      <c r="S242" t="n">
        <v>97.205</v>
      </c>
      <c r="T242" t="n">
        <v>98.24299999999999</v>
      </c>
      <c r="U242" t="n">
        <v>99.059</v>
      </c>
      <c r="V242" t="n">
        <v>99.858</v>
      </c>
      <c r="W242" t="n">
        <v>100.638</v>
      </c>
      <c r="X242" t="n">
        <v>101.397</v>
      </c>
      <c r="Y242" t="n">
        <v>99.96599999999999</v>
      </c>
      <c r="Z242" t="n">
        <v>102.875</v>
      </c>
      <c r="AA242" t="n">
        <v>103.591</v>
      </c>
      <c r="AB242" t="n">
        <v>104.282</v>
      </c>
      <c r="AC242" t="n">
        <v>106.914</v>
      </c>
      <c r="AD242" t="n">
        <v>105.305</v>
      </c>
      <c r="AE242" t="n">
        <v>109.056</v>
      </c>
      <c r="AF242" t="n">
        <v>109.347</v>
      </c>
      <c r="AG242" t="n">
        <v>110.247</v>
      </c>
      <c r="AH242" t="n">
        <v>110.192</v>
      </c>
      <c r="AI242" t="n">
        <v>110.229</v>
      </c>
      <c r="AJ242" t="n">
        <v>110.097</v>
      </c>
      <c r="AK242" t="n">
        <v>110.559</v>
      </c>
      <c r="AL242" t="n">
        <v>110.264</v>
      </c>
      <c r="AM242" t="n">
        <v>109.918</v>
      </c>
      <c r="AN242" t="n">
        <v>112.98</v>
      </c>
      <c r="AO242" t="n">
        <v>109.087</v>
      </c>
      <c r="AP242" t="n">
        <v>108.585</v>
      </c>
      <c r="AQ242" t="n">
        <v>109.712</v>
      </c>
      <c r="AR242" t="n">
        <v>107.417</v>
      </c>
      <c r="AS242" t="n">
        <v>109.775</v>
      </c>
      <c r="AT242" t="n">
        <v>110.177</v>
      </c>
      <c r="AU242" t="n">
        <v>110.487</v>
      </c>
      <c r="AV242" t="n">
        <v>110.705</v>
      </c>
      <c r="AW242" t="n">
        <v>110.83</v>
      </c>
      <c r="AX242" t="n">
        <v>110.864</v>
      </c>
      <c r="AY242" t="n">
        <v>110.806</v>
      </c>
      <c r="AZ242" t="n">
        <v>110.655</v>
      </c>
      <c r="BA242" t="n">
        <v>110.412</v>
      </c>
      <c r="BB242" t="n">
        <v>110.078</v>
      </c>
      <c r="BC242" t="n">
        <v>109.651</v>
      </c>
      <c r="BD242" t="n">
        <v>110.13</v>
      </c>
      <c r="BE242" t="n">
        <v>110.471</v>
      </c>
      <c r="BF242" t="n">
        <v>110.674</v>
      </c>
      <c r="BG242" t="n">
        <v>110.738</v>
      </c>
      <c r="BH242" t="n">
        <v>240.276</v>
      </c>
      <c r="BI242" t="n">
        <v>247.979</v>
      </c>
      <c r="BJ242" t="n">
        <v>270.384</v>
      </c>
      <c r="BK242" t="n">
        <v>268.904</v>
      </c>
      <c r="BL242" t="n">
        <v>247.648</v>
      </c>
      <c r="BM242" t="n">
        <v>251.128</v>
      </c>
      <c r="BN242" t="n">
        <v>241.58</v>
      </c>
      <c r="BO242" t="n">
        <v>244.692</v>
      </c>
      <c r="BP242" t="n">
        <v>243.307</v>
      </c>
      <c r="BQ242" t="n">
        <v>252.784</v>
      </c>
      <c r="BR242" t="n">
        <v>255.695</v>
      </c>
      <c r="BS242" t="n">
        <v>266.431</v>
      </c>
      <c r="BT242" t="n">
        <v>255.637</v>
      </c>
      <c r="BU242" t="n">
        <v>244.733</v>
      </c>
      <c r="BV242" t="n">
        <v>250.149</v>
      </c>
    </row>
    <row r="243">
      <c r="A243" t="inlineStr">
        <is>
          <t>Scyris indica</t>
        </is>
      </c>
      <c r="B243" t="inlineStr">
        <is>
          <t>Indian threadfish</t>
        </is>
      </c>
      <c r="C243" t="inlineStr">
        <is>
          <t>Large reef assoc. fish (&gt;=90 cm)</t>
        </is>
      </c>
      <c r="D243" t="inlineStr">
        <is>
          <t>Perch-likes</t>
        </is>
      </c>
      <c r="E243" t="n">
        <v>63.663</v>
      </c>
      <c r="F243" t="n">
        <v>63.663</v>
      </c>
      <c r="G243" t="n">
        <v>61.674</v>
      </c>
      <c r="H243" t="n">
        <v>58.69</v>
      </c>
      <c r="I243" t="n">
        <v>59.684</v>
      </c>
      <c r="J243" t="n">
        <v>65.65300000000001</v>
      </c>
      <c r="K243" t="n">
        <v>60.679</v>
      </c>
      <c r="L243" t="n">
        <v>62.669</v>
      </c>
      <c r="M243" t="n">
        <v>70.627</v>
      </c>
      <c r="N243" t="n">
        <v>74.60599999999999</v>
      </c>
      <c r="O243" t="n">
        <v>83.55800000000001</v>
      </c>
      <c r="P243" t="n">
        <v>89.527</v>
      </c>
      <c r="Q243" t="n">
        <v>104.448</v>
      </c>
      <c r="R243" t="n">
        <v>115.39</v>
      </c>
      <c r="S243" t="n">
        <v>121.358</v>
      </c>
      <c r="T243" t="n">
        <v>130.311</v>
      </c>
      <c r="U243" t="n">
        <v>137.274</v>
      </c>
      <c r="V243" t="n">
        <v>166.122</v>
      </c>
      <c r="W243" t="n">
        <v>183.032</v>
      </c>
      <c r="X243" t="n">
        <v>172.09</v>
      </c>
      <c r="Y243" t="n">
        <v>165.127</v>
      </c>
      <c r="Z243" t="n">
        <v>161.148</v>
      </c>
      <c r="AA243" t="n">
        <v>145.232</v>
      </c>
      <c r="AB243" t="n">
        <v>157.169</v>
      </c>
      <c r="AC243" t="n">
        <v>147.222</v>
      </c>
      <c r="AD243" t="n">
        <v>137.274</v>
      </c>
      <c r="AE243" t="n">
        <v>402.87</v>
      </c>
      <c r="AF243" t="n">
        <v>587.208</v>
      </c>
      <c r="AG243" t="n">
        <v>694.33</v>
      </c>
      <c r="AH243" t="n">
        <v>696.319</v>
      </c>
      <c r="AI243" t="n">
        <v>14.921</v>
      </c>
      <c r="AJ243" t="n">
        <v>14.921</v>
      </c>
      <c r="AK243" t="n">
        <v>13.926</v>
      </c>
      <c r="AL243" t="n">
        <v>13.926</v>
      </c>
      <c r="AM243" t="n">
        <v>11.937</v>
      </c>
      <c r="AN243" t="n">
        <v>220.833</v>
      </c>
      <c r="AO243" t="n">
        <v>198.948</v>
      </c>
      <c r="AP243" t="n">
        <v>174.08</v>
      </c>
      <c r="AQ243" t="n">
        <v>135.285</v>
      </c>
      <c r="AR243" t="n">
        <v>179.053</v>
      </c>
      <c r="AS243" t="n">
        <v>213.869</v>
      </c>
      <c r="AT243" t="n">
        <v>185.022</v>
      </c>
      <c r="AU243" t="n">
        <v>210.885</v>
      </c>
      <c r="AV243" t="n">
        <v>182.038</v>
      </c>
      <c r="AW243" t="n">
        <v>177.064</v>
      </c>
      <c r="AX243" t="n">
        <v>93.506</v>
      </c>
      <c r="AY243" t="n">
        <v>81.569</v>
      </c>
      <c r="AZ243" t="n">
        <v>100.469</v>
      </c>
      <c r="BA243" t="n">
        <v>66.648</v>
      </c>
      <c r="BB243" t="n">
        <v>86.54300000000001</v>
      </c>
      <c r="BC243" t="n">
        <v>67.642</v>
      </c>
      <c r="BD243" t="n">
        <v>65.65300000000001</v>
      </c>
      <c r="BE243" t="n">
        <v>61.674</v>
      </c>
      <c r="BF243" t="n">
        <v>67.642</v>
      </c>
      <c r="BG243" t="n">
        <v>74.60599999999999</v>
      </c>
      <c r="BH243" t="n">
        <v>85.548</v>
      </c>
      <c r="BI243" t="n">
        <v>91.51600000000001</v>
      </c>
      <c r="BJ243" t="n">
        <v>104.448</v>
      </c>
      <c r="BK243" t="n">
        <v>107.432</v>
      </c>
      <c r="BL243" t="n">
        <v>102.458</v>
      </c>
      <c r="BM243" t="n">
        <v>100.469</v>
      </c>
      <c r="BN243" t="n">
        <v>43.557</v>
      </c>
      <c r="BO243" t="n">
        <v>44.06</v>
      </c>
      <c r="BP243" t="n">
        <v>43.362</v>
      </c>
      <c r="BQ243" t="n">
        <v>46.353</v>
      </c>
      <c r="BR243" t="n">
        <v>47.035</v>
      </c>
      <c r="BS243" t="n">
        <v>50.607</v>
      </c>
      <c r="BT243" t="n">
        <v>46.794</v>
      </c>
      <c r="BU243" t="n">
        <v>43.074</v>
      </c>
      <c r="BV243" t="n">
        <v>45.015</v>
      </c>
    </row>
    <row r="244">
      <c r="A244" t="inlineStr">
        <is>
          <t>Pellona ditchela</t>
        </is>
      </c>
      <c r="B244" t="inlineStr">
        <is>
          <t>Indian pellona</t>
        </is>
      </c>
      <c r="C244" t="inlineStr">
        <is>
          <t>Small pelagics (&lt;30 cm)</t>
        </is>
      </c>
      <c r="D244" t="inlineStr">
        <is>
          <t>Herring-likes</t>
        </is>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2.915</v>
      </c>
      <c r="Z244" t="n">
        <v>2.52</v>
      </c>
      <c r="AA244" t="n">
        <v>0</v>
      </c>
      <c r="AB244" t="n">
        <v>3.903</v>
      </c>
      <c r="AC244" t="n">
        <v>4.2</v>
      </c>
      <c r="AD244" t="n">
        <v>3.074</v>
      </c>
      <c r="AE244" t="n">
        <v>6.061</v>
      </c>
      <c r="AF244" t="n">
        <v>1.278</v>
      </c>
      <c r="AG244" t="n">
        <v>2.345</v>
      </c>
      <c r="AH244" t="n">
        <v>3.847</v>
      </c>
      <c r="AI244" t="n">
        <v>6.515</v>
      </c>
      <c r="AJ244" t="n">
        <v>1.979</v>
      </c>
      <c r="AK244" t="n">
        <v>8.188000000000001</v>
      </c>
      <c r="AL244" t="n">
        <v>13.306</v>
      </c>
      <c r="AM244" t="n">
        <v>20.602</v>
      </c>
      <c r="AN244" t="n">
        <v>101.903</v>
      </c>
      <c r="AO244" t="n">
        <v>74.8</v>
      </c>
      <c r="AP244" t="n">
        <v>42.442</v>
      </c>
      <c r="AQ244" t="n">
        <v>64.63</v>
      </c>
      <c r="AR244" t="n">
        <v>53.552</v>
      </c>
      <c r="AS244" t="n">
        <v>146.902</v>
      </c>
      <c r="AT244" t="n">
        <v>211.65</v>
      </c>
      <c r="AU244" t="n">
        <v>166.914</v>
      </c>
      <c r="AV244" t="n">
        <v>186.596</v>
      </c>
      <c r="AW244" t="n">
        <v>75.59099999999999</v>
      </c>
      <c r="AX244" t="n">
        <v>309.479</v>
      </c>
      <c r="AY244" t="n">
        <v>455.793</v>
      </c>
      <c r="AZ244" t="n">
        <v>344.555</v>
      </c>
      <c r="BA244" t="n">
        <v>146.113</v>
      </c>
      <c r="BB244" t="n">
        <v>118.786</v>
      </c>
      <c r="BC244" t="n">
        <v>238.856</v>
      </c>
      <c r="BD244" t="n">
        <v>229.741</v>
      </c>
      <c r="BE244" t="n">
        <v>274.527</v>
      </c>
      <c r="BF244" t="n">
        <v>106.648</v>
      </c>
      <c r="BG244" t="n">
        <v>86.95399999999999</v>
      </c>
      <c r="BH244" t="n">
        <v>431.205</v>
      </c>
      <c r="BI244" t="n">
        <v>544.903</v>
      </c>
      <c r="BJ244" t="n">
        <v>761.503</v>
      </c>
      <c r="BK244" t="n">
        <v>362.926</v>
      </c>
      <c r="BL244" t="n">
        <v>251.773</v>
      </c>
      <c r="BM244" t="n">
        <v>272.467</v>
      </c>
      <c r="BN244" t="n">
        <v>256.52</v>
      </c>
      <c r="BO244" t="n">
        <v>260.334</v>
      </c>
      <c r="BP244" t="n">
        <v>253.733</v>
      </c>
      <c r="BQ244" t="n">
        <v>269.146</v>
      </c>
      <c r="BR244" t="n">
        <v>272.805</v>
      </c>
      <c r="BS244" t="n">
        <v>292.889</v>
      </c>
      <c r="BT244" t="n">
        <v>270.86</v>
      </c>
      <c r="BU244" t="n">
        <v>248.574</v>
      </c>
      <c r="BV244" t="n">
        <v>259.178</v>
      </c>
    </row>
    <row r="245">
      <c r="A245" t="inlineStr">
        <is>
          <t>Panulirus</t>
        </is>
      </c>
      <c r="B245" t="inlineStr">
        <is>
          <t>Spiny lobsters</t>
        </is>
      </c>
      <c r="C245" t="inlineStr">
        <is>
          <t>Lobsters, crabs</t>
        </is>
      </c>
      <c r="D245" t="inlineStr">
        <is>
          <t>Crustaceans</t>
        </is>
      </c>
      <c r="E245" t="n">
        <v>8.521000000000001</v>
      </c>
      <c r="F245" t="n">
        <v>8.521000000000001</v>
      </c>
      <c r="G245" t="n">
        <v>10.225</v>
      </c>
      <c r="H245" t="n">
        <v>11.929</v>
      </c>
      <c r="I245" t="n">
        <v>20.45</v>
      </c>
      <c r="J245" t="n">
        <v>17.041</v>
      </c>
      <c r="K245" t="n">
        <v>25.562</v>
      </c>
      <c r="L245" t="n">
        <v>22.154</v>
      </c>
      <c r="M245" t="n">
        <v>35.787</v>
      </c>
      <c r="N245" t="n">
        <v>32.379</v>
      </c>
      <c r="O245" t="n">
        <v>34.083</v>
      </c>
      <c r="P245" t="n">
        <v>30.675</v>
      </c>
      <c r="Q245" t="n">
        <v>51.124</v>
      </c>
      <c r="R245" t="n">
        <v>40.899</v>
      </c>
      <c r="S245" t="n">
        <v>83.503</v>
      </c>
      <c r="T245" t="n">
        <v>46.012</v>
      </c>
      <c r="U245" t="n">
        <v>54.533</v>
      </c>
      <c r="V245" t="n">
        <v>59.645</v>
      </c>
      <c r="W245" t="n">
        <v>44.308</v>
      </c>
      <c r="X245" t="n">
        <v>68.166</v>
      </c>
      <c r="Y245" t="n">
        <v>59.645</v>
      </c>
      <c r="Z245" t="n">
        <v>54.533</v>
      </c>
      <c r="AA245" t="n">
        <v>63.053</v>
      </c>
      <c r="AB245" t="n">
        <v>56.237</v>
      </c>
      <c r="AC245" t="n">
        <v>90.31999999999999</v>
      </c>
      <c r="AD245" t="n">
        <v>105.521</v>
      </c>
      <c r="AE245" t="n">
        <v>121.829</v>
      </c>
      <c r="AF245" t="n">
        <v>103.782</v>
      </c>
      <c r="AG245" t="n">
        <v>123.874</v>
      </c>
      <c r="AH245" t="n">
        <v>93.489</v>
      </c>
      <c r="AI245" t="n">
        <v>84.355</v>
      </c>
      <c r="AJ245" t="n">
        <v>122.358</v>
      </c>
      <c r="AK245" t="n">
        <v>170.227</v>
      </c>
      <c r="AL245" t="n">
        <v>130.912</v>
      </c>
      <c r="AM245" t="n">
        <v>127.18</v>
      </c>
      <c r="AN245" t="n">
        <v>81.526</v>
      </c>
      <c r="AO245" t="n">
        <v>83.827</v>
      </c>
      <c r="AP245" t="n">
        <v>86.741</v>
      </c>
      <c r="AQ245" t="n">
        <v>90.13200000000001</v>
      </c>
      <c r="AR245" t="n">
        <v>91.461</v>
      </c>
      <c r="AS245" t="n">
        <v>86.877</v>
      </c>
      <c r="AT245" t="n">
        <v>101.652</v>
      </c>
      <c r="AU245" t="n">
        <v>132.634</v>
      </c>
      <c r="AV245" t="n">
        <v>129.498</v>
      </c>
      <c r="AW245" t="n">
        <v>59.162</v>
      </c>
      <c r="AX245" t="n">
        <v>125.917</v>
      </c>
      <c r="AY245" t="n">
        <v>108.98</v>
      </c>
      <c r="AZ245" t="n">
        <v>108.024</v>
      </c>
      <c r="BA245" t="n">
        <v>132.403</v>
      </c>
      <c r="BB245" t="n">
        <v>87.101</v>
      </c>
      <c r="BC245" t="n">
        <v>176.657</v>
      </c>
      <c r="BD245" t="n">
        <v>199.842</v>
      </c>
      <c r="BE245" t="n">
        <v>140.587</v>
      </c>
      <c r="BF245" t="n">
        <v>399.212</v>
      </c>
      <c r="BG245" t="n">
        <v>250.888</v>
      </c>
      <c r="BH245" t="n">
        <v>20.09</v>
      </c>
      <c r="BI245" t="n">
        <v>63.274</v>
      </c>
      <c r="BJ245" t="n">
        <v>100.986</v>
      </c>
      <c r="BK245" t="n">
        <v>145.168</v>
      </c>
      <c r="BL245" t="n">
        <v>162.667</v>
      </c>
      <c r="BM245" t="n">
        <v>195.447</v>
      </c>
      <c r="BN245" t="n">
        <v>149.235</v>
      </c>
      <c r="BO245" t="n">
        <v>180.659</v>
      </c>
      <c r="BP245" t="n">
        <v>228.473</v>
      </c>
      <c r="BQ245" t="n">
        <v>392.742</v>
      </c>
      <c r="BR245" t="n">
        <v>374.503</v>
      </c>
      <c r="BS245" t="n">
        <v>459.164</v>
      </c>
      <c r="BT245" t="n">
        <v>365.631</v>
      </c>
      <c r="BU245" t="n">
        <v>374.257</v>
      </c>
      <c r="BV245" t="n">
        <v>382.021</v>
      </c>
    </row>
    <row r="246">
      <c r="A246" t="inlineStr">
        <is>
          <t>Lamniformes</t>
        </is>
      </c>
      <c r="B246" t="inlineStr">
        <is>
          <t>Mackerel sharks</t>
        </is>
      </c>
      <c r="C246" t="inlineStr">
        <is>
          <t>Large sharks (&gt;=90 cm)</t>
        </is>
      </c>
      <c r="D246" t="inlineStr">
        <is>
          <t>Sharks &amp; rays</t>
        </is>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121.86</v>
      </c>
      <c r="AT246" t="n">
        <v>158.926</v>
      </c>
      <c r="AU246" t="n">
        <v>231.892</v>
      </c>
      <c r="AV246" t="n">
        <v>329.463</v>
      </c>
      <c r="AW246" t="n">
        <v>460.567</v>
      </c>
      <c r="AX246" t="n">
        <v>485.329</v>
      </c>
      <c r="AY246" t="n">
        <v>437.456</v>
      </c>
      <c r="AZ246" t="n">
        <v>654.436</v>
      </c>
      <c r="BA246" t="n">
        <v>569.1420000000001</v>
      </c>
      <c r="BB246" t="n">
        <v>838.047</v>
      </c>
      <c r="BC246" t="n">
        <v>703.745</v>
      </c>
      <c r="BD246" t="n">
        <v>410.582</v>
      </c>
      <c r="BE246" t="n">
        <v>264</v>
      </c>
      <c r="BF246" t="n">
        <v>411.349</v>
      </c>
      <c r="BG246" t="n">
        <v>217.954</v>
      </c>
      <c r="BH246" t="n">
        <v>90.55800000000001</v>
      </c>
      <c r="BI246" t="n">
        <v>72.148</v>
      </c>
      <c r="BJ246" t="n">
        <v>52.954</v>
      </c>
      <c r="BK246" t="n">
        <v>49.116</v>
      </c>
      <c r="BL246" t="n">
        <v>54.488</v>
      </c>
      <c r="BM246" t="n">
        <v>151.186</v>
      </c>
      <c r="BN246" t="n">
        <v>137.372</v>
      </c>
      <c r="BO246" t="n">
        <v>608.582</v>
      </c>
      <c r="BP246" t="n">
        <v>0</v>
      </c>
      <c r="BQ246" t="n">
        <v>0</v>
      </c>
      <c r="BR246" t="n">
        <v>0</v>
      </c>
      <c r="BS246" t="n">
        <v>0</v>
      </c>
      <c r="BT246" t="n">
        <v>0</v>
      </c>
      <c r="BU246" t="n">
        <v>0</v>
      </c>
      <c r="BV246" t="n">
        <v>0</v>
      </c>
    </row>
    <row r="247">
      <c r="A247" t="inlineStr">
        <is>
          <t>Siganidae</t>
        </is>
      </c>
      <c r="B247" t="inlineStr">
        <is>
          <t>Rabbitfishes</t>
        </is>
      </c>
      <c r="C247" t="inlineStr">
        <is>
          <t>Medium reef assoc. fish (30 - 89 cm)</t>
        </is>
      </c>
      <c r="D247" t="inlineStr">
        <is>
          <t>Perch-likes</t>
        </is>
      </c>
      <c r="E247" t="n">
        <v>17.549</v>
      </c>
      <c r="F247" t="n">
        <v>21.233</v>
      </c>
      <c r="G247" t="n">
        <v>19.156</v>
      </c>
      <c r="H247" t="n">
        <v>40.045</v>
      </c>
      <c r="I247" t="n">
        <v>43.133</v>
      </c>
      <c r="J247" t="n">
        <v>44.826</v>
      </c>
      <c r="K247" t="n">
        <v>26.448</v>
      </c>
      <c r="L247" t="n">
        <v>28.272</v>
      </c>
      <c r="M247" t="n">
        <v>30.095</v>
      </c>
      <c r="N247" t="n">
        <v>31.918</v>
      </c>
      <c r="O247" t="n">
        <v>33.741</v>
      </c>
      <c r="P247" t="n">
        <v>35.564</v>
      </c>
      <c r="Q247" t="n">
        <v>38.451</v>
      </c>
      <c r="R247" t="n">
        <v>41.338</v>
      </c>
      <c r="S247" t="n">
        <v>44.225</v>
      </c>
      <c r="T247" t="n">
        <v>47.112</v>
      </c>
      <c r="U247" t="n">
        <v>49.999</v>
      </c>
      <c r="V247" t="n">
        <v>52.886</v>
      </c>
      <c r="W247" t="n">
        <v>55.773</v>
      </c>
      <c r="X247" t="n">
        <v>58.66</v>
      </c>
      <c r="Y247" t="n">
        <v>61.546</v>
      </c>
      <c r="Z247" t="n">
        <v>64.43300000000001</v>
      </c>
      <c r="AA247" t="n">
        <v>67.217</v>
      </c>
      <c r="AB247" t="n">
        <v>70</v>
      </c>
      <c r="AC247" t="n">
        <v>72.783</v>
      </c>
      <c r="AD247" t="n">
        <v>75.56699999999999</v>
      </c>
      <c r="AE247" t="n">
        <v>78.34999999999999</v>
      </c>
      <c r="AF247" t="n">
        <v>81.133</v>
      </c>
      <c r="AG247" t="n">
        <v>83.917</v>
      </c>
      <c r="AH247" t="n">
        <v>86.7</v>
      </c>
      <c r="AI247" t="n">
        <v>89.483</v>
      </c>
      <c r="AJ247" t="n">
        <v>91.98699999999999</v>
      </c>
      <c r="AK247" t="n">
        <v>95.258</v>
      </c>
      <c r="AL247" t="n">
        <v>98.529</v>
      </c>
      <c r="AM247" t="n">
        <v>101.801</v>
      </c>
      <c r="AN247" t="n">
        <v>105.072</v>
      </c>
      <c r="AO247" t="n">
        <v>108.343</v>
      </c>
      <c r="AP247" t="n">
        <v>111.614</v>
      </c>
      <c r="AQ247" t="n">
        <v>114.885</v>
      </c>
      <c r="AR247" t="n">
        <v>118.157</v>
      </c>
      <c r="AS247" t="n">
        <v>121.428</v>
      </c>
      <c r="AT247" t="n">
        <v>124.699</v>
      </c>
      <c r="AU247" t="n">
        <v>127.214</v>
      </c>
      <c r="AV247" t="n">
        <v>129.728</v>
      </c>
      <c r="AW247" t="n">
        <v>132.243</v>
      </c>
      <c r="AX247" t="n">
        <v>134.758</v>
      </c>
      <c r="AY247" t="n">
        <v>137.272</v>
      </c>
      <c r="AZ247" t="n">
        <v>139.787</v>
      </c>
      <c r="BA247" t="n">
        <v>142.301</v>
      </c>
      <c r="BB247" t="n">
        <v>144.816</v>
      </c>
      <c r="BC247" t="n">
        <v>147.331</v>
      </c>
      <c r="BD247" t="n">
        <v>149.845</v>
      </c>
      <c r="BE247" t="n">
        <v>150.321</v>
      </c>
      <c r="BF247" t="n">
        <v>150.797</v>
      </c>
      <c r="BG247" t="n">
        <v>151.272</v>
      </c>
      <c r="BH247" t="n">
        <v>151.748</v>
      </c>
      <c r="BI247" t="n">
        <v>152.224</v>
      </c>
      <c r="BJ247" t="n">
        <v>152.699</v>
      </c>
      <c r="BK247" t="n">
        <v>153.175</v>
      </c>
      <c r="BL247" t="n">
        <v>153.651</v>
      </c>
      <c r="BM247" t="n">
        <v>154.127</v>
      </c>
      <c r="BN247" t="n">
        <v>154.602</v>
      </c>
      <c r="BO247" t="n">
        <v>155.562</v>
      </c>
      <c r="BP247" t="n">
        <v>156.521</v>
      </c>
      <c r="BQ247" t="n">
        <v>157.48</v>
      </c>
      <c r="BR247" t="n">
        <v>159.105</v>
      </c>
      <c r="BS247" t="n">
        <v>162.542</v>
      </c>
      <c r="BT247" t="n">
        <v>164.134</v>
      </c>
      <c r="BU247" t="n">
        <v>164.134</v>
      </c>
      <c r="BV247" t="n">
        <v>164.134</v>
      </c>
    </row>
    <row r="248">
      <c r="A248" t="inlineStr">
        <is>
          <t>Holothuriidae</t>
        </is>
      </c>
      <c r="B248" t="inlineStr">
        <is>
          <t>Fleshy sea cucumbers</t>
        </is>
      </c>
      <c r="C248" t="inlineStr">
        <is>
          <t>Other demersal invertebrates</t>
        </is>
      </c>
      <c r="D248" t="inlineStr">
        <is>
          <t>Other fishes &amp; inverts</t>
        </is>
      </c>
      <c r="E248" t="n">
        <v>17.54</v>
      </c>
      <c r="F248" t="n">
        <v>17.383</v>
      </c>
      <c r="G248" t="n">
        <v>19.211</v>
      </c>
      <c r="H248" t="n">
        <v>21.04</v>
      </c>
      <c r="I248" t="n">
        <v>22.868</v>
      </c>
      <c r="J248" t="n">
        <v>24.697</v>
      </c>
      <c r="K248" t="n">
        <v>26.525</v>
      </c>
      <c r="L248" t="n">
        <v>28.354</v>
      </c>
      <c r="M248" t="n">
        <v>30.182</v>
      </c>
      <c r="N248" t="n">
        <v>32.011</v>
      </c>
      <c r="O248" t="n">
        <v>33.839</v>
      </c>
      <c r="P248" t="n">
        <v>35.667</v>
      </c>
      <c r="Q248" t="n">
        <v>38.563</v>
      </c>
      <c r="R248" t="n">
        <v>41.458</v>
      </c>
      <c r="S248" t="n">
        <v>44.353</v>
      </c>
      <c r="T248" t="n">
        <v>47.249</v>
      </c>
      <c r="U248" t="n">
        <v>50.144</v>
      </c>
      <c r="V248" t="n">
        <v>53.039</v>
      </c>
      <c r="W248" t="n">
        <v>55.935</v>
      </c>
      <c r="X248" t="n">
        <v>58.83</v>
      </c>
      <c r="Y248" t="n">
        <v>61.725</v>
      </c>
      <c r="Z248" t="n">
        <v>64.62</v>
      </c>
      <c r="AA248" t="n">
        <v>67.41200000000001</v>
      </c>
      <c r="AB248" t="n">
        <v>70.203</v>
      </c>
      <c r="AC248" t="n">
        <v>72.995</v>
      </c>
      <c r="AD248" t="n">
        <v>75.786</v>
      </c>
      <c r="AE248" t="n">
        <v>78.578</v>
      </c>
      <c r="AF248" t="n">
        <v>81.369</v>
      </c>
      <c r="AG248" t="n">
        <v>84.16</v>
      </c>
      <c r="AH248" t="n">
        <v>86.952</v>
      </c>
      <c r="AI248" t="n">
        <v>89.74299999999999</v>
      </c>
      <c r="AJ248" t="n">
        <v>92.254</v>
      </c>
      <c r="AK248" t="n">
        <v>95.535</v>
      </c>
      <c r="AL248" t="n">
        <v>98.816</v>
      </c>
      <c r="AM248" t="n">
        <v>102.096</v>
      </c>
      <c r="AN248" t="n">
        <v>105.377</v>
      </c>
      <c r="AO248" t="n">
        <v>108.658</v>
      </c>
      <c r="AP248" t="n">
        <v>111.938</v>
      </c>
      <c r="AQ248" t="n">
        <v>115.219</v>
      </c>
      <c r="AR248" t="n">
        <v>118.5</v>
      </c>
      <c r="AS248" t="n">
        <v>121.781</v>
      </c>
      <c r="AT248" t="n">
        <v>125.061</v>
      </c>
      <c r="AU248" t="n">
        <v>127.583</v>
      </c>
      <c r="AV248" t="n">
        <v>130.105</v>
      </c>
      <c r="AW248" t="n">
        <v>132.627</v>
      </c>
      <c r="AX248" t="n">
        <v>135.149</v>
      </c>
      <c r="AY248" t="n">
        <v>137.671</v>
      </c>
      <c r="AZ248" t="n">
        <v>140.193</v>
      </c>
      <c r="BA248" t="n">
        <v>142.715</v>
      </c>
      <c r="BB248" t="n">
        <v>145.236</v>
      </c>
      <c r="BC248" t="n">
        <v>147.758</v>
      </c>
      <c r="BD248" t="n">
        <v>150.28</v>
      </c>
      <c r="BE248" t="n">
        <v>150.757</v>
      </c>
      <c r="BF248" t="n">
        <v>151.234</v>
      </c>
      <c r="BG248" t="n">
        <v>151.712</v>
      </c>
      <c r="BH248" t="n">
        <v>152.189</v>
      </c>
      <c r="BI248" t="n">
        <v>152.666</v>
      </c>
      <c r="BJ248" t="n">
        <v>153.143</v>
      </c>
      <c r="BK248" t="n">
        <v>153.62</v>
      </c>
      <c r="BL248" t="n">
        <v>154.097</v>
      </c>
      <c r="BM248" t="n">
        <v>154.574</v>
      </c>
      <c r="BN248" t="n">
        <v>155.051</v>
      </c>
      <c r="BO248" t="n">
        <v>156.013</v>
      </c>
      <c r="BP248" t="n">
        <v>156.975</v>
      </c>
      <c r="BQ248" t="n">
        <v>157.937</v>
      </c>
      <c r="BR248" t="n">
        <v>159.567</v>
      </c>
      <c r="BS248" t="n">
        <v>163.014</v>
      </c>
      <c r="BT248" t="n">
        <v>164.61</v>
      </c>
      <c r="BU248" t="n">
        <v>164.61</v>
      </c>
      <c r="BV248" t="n">
        <v>164.61</v>
      </c>
    </row>
    <row r="249">
      <c r="A249" t="inlineStr">
        <is>
          <t>Holothuria leucospilota</t>
        </is>
      </c>
      <c r="B249" t="inlineStr">
        <is>
          <t>White threads fish</t>
        </is>
      </c>
      <c r="C249" t="inlineStr">
        <is>
          <t>Other demersal invertebrates</t>
        </is>
      </c>
      <c r="D249" t="inlineStr">
        <is>
          <t>Other fishes &amp; inverts</t>
        </is>
      </c>
      <c r="E249" t="n">
        <v>17.49</v>
      </c>
      <c r="F249" t="n">
        <v>17.334</v>
      </c>
      <c r="G249" t="n">
        <v>19.157</v>
      </c>
      <c r="H249" t="n">
        <v>20.98</v>
      </c>
      <c r="I249" t="n">
        <v>22.803</v>
      </c>
      <c r="J249" t="n">
        <v>24.627</v>
      </c>
      <c r="K249" t="n">
        <v>26.45</v>
      </c>
      <c r="L249" t="n">
        <v>28.273</v>
      </c>
      <c r="M249" t="n">
        <v>30.096</v>
      </c>
      <c r="N249" t="n">
        <v>31.919</v>
      </c>
      <c r="O249" t="n">
        <v>33.743</v>
      </c>
      <c r="P249" t="n">
        <v>35.566</v>
      </c>
      <c r="Q249" t="n">
        <v>38.453</v>
      </c>
      <c r="R249" t="n">
        <v>41.34</v>
      </c>
      <c r="S249" t="n">
        <v>44.227</v>
      </c>
      <c r="T249" t="n">
        <v>47.114</v>
      </c>
      <c r="U249" t="n">
        <v>50.001</v>
      </c>
      <c r="V249" t="n">
        <v>52.888</v>
      </c>
      <c r="W249" t="n">
        <v>55.775</v>
      </c>
      <c r="X249" t="n">
        <v>58.662</v>
      </c>
      <c r="Y249" t="n">
        <v>61.549</v>
      </c>
      <c r="Z249" t="n">
        <v>64.437</v>
      </c>
      <c r="AA249" t="n">
        <v>67.22</v>
      </c>
      <c r="AB249" t="n">
        <v>70.003</v>
      </c>
      <c r="AC249" t="n">
        <v>72.78700000000001</v>
      </c>
      <c r="AD249" t="n">
        <v>75.56999999999999</v>
      </c>
      <c r="AE249" t="n">
        <v>78.354</v>
      </c>
      <c r="AF249" t="n">
        <v>81.137</v>
      </c>
      <c r="AG249" t="n">
        <v>83.92100000000001</v>
      </c>
      <c r="AH249" t="n">
        <v>86.70399999999999</v>
      </c>
      <c r="AI249" t="n">
        <v>89.488</v>
      </c>
      <c r="AJ249" t="n">
        <v>91.992</v>
      </c>
      <c r="AK249" t="n">
        <v>95.26300000000001</v>
      </c>
      <c r="AL249" t="n">
        <v>98.53400000000001</v>
      </c>
      <c r="AM249" t="n">
        <v>101.806</v>
      </c>
      <c r="AN249" t="n">
        <v>105.077</v>
      </c>
      <c r="AO249" t="n">
        <v>108.348</v>
      </c>
      <c r="AP249" t="n">
        <v>111.62</v>
      </c>
      <c r="AQ249" t="n">
        <v>114.891</v>
      </c>
      <c r="AR249" t="n">
        <v>118.162</v>
      </c>
      <c r="AS249" t="n">
        <v>121.434</v>
      </c>
      <c r="AT249" t="n">
        <v>124.705</v>
      </c>
      <c r="AU249" t="n">
        <v>127.22</v>
      </c>
      <c r="AV249" t="n">
        <v>129.735</v>
      </c>
      <c r="AW249" t="n">
        <v>132.249</v>
      </c>
      <c r="AX249" t="n">
        <v>134.764</v>
      </c>
      <c r="AY249" t="n">
        <v>137.279</v>
      </c>
      <c r="AZ249" t="n">
        <v>139.794</v>
      </c>
      <c r="BA249" t="n">
        <v>142.308</v>
      </c>
      <c r="BB249" t="n">
        <v>144.823</v>
      </c>
      <c r="BC249" t="n">
        <v>147.338</v>
      </c>
      <c r="BD249" t="n">
        <v>149.852</v>
      </c>
      <c r="BE249" t="n">
        <v>150.328</v>
      </c>
      <c r="BF249" t="n">
        <v>150.804</v>
      </c>
      <c r="BG249" t="n">
        <v>151.28</v>
      </c>
      <c r="BH249" t="n">
        <v>151.755</v>
      </c>
      <c r="BI249" t="n">
        <v>152.231</v>
      </c>
      <c r="BJ249" t="n">
        <v>152.707</v>
      </c>
      <c r="BK249" t="n">
        <v>153.183</v>
      </c>
      <c r="BL249" t="n">
        <v>153.658</v>
      </c>
      <c r="BM249" t="n">
        <v>154.134</v>
      </c>
      <c r="BN249" t="n">
        <v>154.61</v>
      </c>
      <c r="BO249" t="n">
        <v>155.569</v>
      </c>
      <c r="BP249" t="n">
        <v>156.528</v>
      </c>
      <c r="BQ249" t="n">
        <v>157.488</v>
      </c>
      <c r="BR249" t="n">
        <v>159.113</v>
      </c>
      <c r="BS249" t="n">
        <v>162.55</v>
      </c>
      <c r="BT249" t="n">
        <v>164.142</v>
      </c>
      <c r="BU249" t="n">
        <v>164.142</v>
      </c>
      <c r="BV249" t="n">
        <v>164.142</v>
      </c>
    </row>
    <row r="250">
      <c r="A250" t="inlineStr">
        <is>
          <t>Caesionidae</t>
        </is>
      </c>
      <c r="B250" t="inlineStr">
        <is>
          <t>Fusiliers</t>
        </is>
      </c>
      <c r="C250" t="inlineStr">
        <is>
          <t>Medium reef assoc. fish (30 - 89 cm)</t>
        </is>
      </c>
      <c r="D250" t="inlineStr">
        <is>
          <t>Perch-likes</t>
        </is>
      </c>
      <c r="E250" t="n">
        <v>15.26</v>
      </c>
      <c r="F250" t="n">
        <v>20.566</v>
      </c>
      <c r="G250" t="n">
        <v>37.424</v>
      </c>
      <c r="H250" t="n">
        <v>41.824</v>
      </c>
      <c r="I250" t="n">
        <v>43.875</v>
      </c>
      <c r="J250" t="n">
        <v>43.801</v>
      </c>
      <c r="K250" t="n">
        <v>28.715</v>
      </c>
      <c r="L250" t="n">
        <v>47.642</v>
      </c>
      <c r="M250" t="n">
        <v>54.984</v>
      </c>
      <c r="N250" t="n">
        <v>51.634</v>
      </c>
      <c r="O250" t="n">
        <v>80.947</v>
      </c>
      <c r="P250" t="n">
        <v>74.715</v>
      </c>
      <c r="Q250" t="n">
        <v>101.787</v>
      </c>
      <c r="R250" t="n">
        <v>114.671</v>
      </c>
      <c r="S250" t="n">
        <v>114.731</v>
      </c>
      <c r="T250" t="n">
        <v>179.565</v>
      </c>
      <c r="U250" t="n">
        <v>329.45</v>
      </c>
      <c r="V250" t="n">
        <v>329.023</v>
      </c>
      <c r="W250" t="n">
        <v>283.272</v>
      </c>
      <c r="X250" t="n">
        <v>313.517</v>
      </c>
      <c r="Y250" t="n">
        <v>16.367</v>
      </c>
      <c r="Z250" t="n">
        <v>16.182</v>
      </c>
      <c r="AA250" t="n">
        <v>31.086</v>
      </c>
      <c r="AB250" t="n">
        <v>26.285</v>
      </c>
      <c r="AC250" t="n">
        <v>60.521</v>
      </c>
      <c r="AD250" t="n">
        <v>53.926</v>
      </c>
      <c r="AE250" t="n">
        <v>60.622</v>
      </c>
      <c r="AF250" t="n">
        <v>70.71299999999999</v>
      </c>
      <c r="AG250" t="n">
        <v>40.198</v>
      </c>
      <c r="AH250" t="n">
        <v>45.735</v>
      </c>
      <c r="AI250" t="n">
        <v>44.331</v>
      </c>
      <c r="AJ250" t="n">
        <v>38.827</v>
      </c>
      <c r="AK250" t="n">
        <v>33.452</v>
      </c>
      <c r="AL250" t="n">
        <v>44.996</v>
      </c>
      <c r="AM250" t="n">
        <v>35.52</v>
      </c>
      <c r="AN250" t="n">
        <v>52.683</v>
      </c>
      <c r="AO250" t="n">
        <v>48.056</v>
      </c>
      <c r="AP250" t="n">
        <v>69.343</v>
      </c>
      <c r="AQ250" t="n">
        <v>61.192</v>
      </c>
      <c r="AR250" t="n">
        <v>76.804</v>
      </c>
      <c r="AS250" t="n">
        <v>85.84</v>
      </c>
      <c r="AT250" t="n">
        <v>99.559</v>
      </c>
      <c r="AU250" t="n">
        <v>120.119</v>
      </c>
      <c r="AV250" t="n">
        <v>131.149</v>
      </c>
      <c r="AW250" t="n">
        <v>156.956</v>
      </c>
      <c r="AX250" t="n">
        <v>209.066</v>
      </c>
      <c r="AY250" t="n">
        <v>173.64</v>
      </c>
      <c r="AZ250" t="n">
        <v>184.909</v>
      </c>
      <c r="BA250" t="n">
        <v>160.268</v>
      </c>
      <c r="BB250" t="n">
        <v>130.356</v>
      </c>
      <c r="BC250" t="n">
        <v>105.619</v>
      </c>
      <c r="BD250" t="n">
        <v>117.779</v>
      </c>
      <c r="BE250" t="n">
        <v>96.376</v>
      </c>
      <c r="BF250" t="n">
        <v>93.45</v>
      </c>
      <c r="BG250" t="n">
        <v>109.78</v>
      </c>
      <c r="BH250" t="n">
        <v>146.511</v>
      </c>
      <c r="BI250" t="n">
        <v>74.968</v>
      </c>
      <c r="BJ250" t="n">
        <v>128.196</v>
      </c>
      <c r="BK250" t="n">
        <v>68.80200000000001</v>
      </c>
      <c r="BL250" t="n">
        <v>158.464</v>
      </c>
      <c r="BM250" t="n">
        <v>107.673</v>
      </c>
      <c r="BN250" t="n">
        <v>108.375</v>
      </c>
      <c r="BO250" t="n">
        <v>109.077</v>
      </c>
      <c r="BP250" t="n">
        <v>109.78</v>
      </c>
      <c r="BQ250" t="n">
        <v>110.482</v>
      </c>
      <c r="BR250" t="n">
        <v>111.184</v>
      </c>
      <c r="BS250" t="n">
        <v>111.887</v>
      </c>
      <c r="BT250" t="n">
        <v>112.589</v>
      </c>
      <c r="BU250" t="n">
        <v>113.292</v>
      </c>
      <c r="BV250" t="n">
        <v>113.292</v>
      </c>
    </row>
    <row r="251">
      <c r="A251" t="inlineStr">
        <is>
          <t>Scomberomorus lineolatus</t>
        </is>
      </c>
      <c r="B251" t="inlineStr">
        <is>
          <t>Streaked seerfish</t>
        </is>
      </c>
      <c r="C251" t="inlineStr">
        <is>
          <t>Large pelagics (&gt;=90 cm)</t>
        </is>
      </c>
      <c r="D251" t="inlineStr">
        <is>
          <t>Perch-likes</t>
        </is>
      </c>
      <c r="E251" t="n">
        <v>14.788</v>
      </c>
      <c r="F251" t="n">
        <v>22.675</v>
      </c>
      <c r="G251" t="n">
        <v>17.745</v>
      </c>
      <c r="H251" t="n">
        <v>13.802</v>
      </c>
      <c r="I251" t="n">
        <v>11.83</v>
      </c>
      <c r="J251" t="n">
        <v>9.859</v>
      </c>
      <c r="K251" t="n">
        <v>9.859</v>
      </c>
      <c r="L251" t="n">
        <v>10.844</v>
      </c>
      <c r="M251" t="n">
        <v>12.816</v>
      </c>
      <c r="N251" t="n">
        <v>14.788</v>
      </c>
      <c r="O251" t="n">
        <v>14.788</v>
      </c>
      <c r="P251" t="n">
        <v>14.788</v>
      </c>
      <c r="Q251" t="n">
        <v>24.646</v>
      </c>
      <c r="R251" t="n">
        <v>34.505</v>
      </c>
      <c r="S251" t="n">
        <v>29.576</v>
      </c>
      <c r="T251" t="n">
        <v>24.646</v>
      </c>
      <c r="U251" t="n">
        <v>44.363</v>
      </c>
      <c r="V251" t="n">
        <v>63.095</v>
      </c>
      <c r="W251" t="n">
        <v>61.123</v>
      </c>
      <c r="X251" t="n">
        <v>60.137</v>
      </c>
      <c r="Y251" t="n">
        <v>44.363</v>
      </c>
      <c r="Z251" t="n">
        <v>29.576</v>
      </c>
      <c r="AA251" t="n">
        <v>32.533</v>
      </c>
      <c r="AB251" t="n">
        <v>36.477</v>
      </c>
      <c r="AC251" t="n">
        <v>35.491</v>
      </c>
      <c r="AD251" t="n">
        <v>35.491</v>
      </c>
      <c r="AE251" t="n">
        <v>42.392</v>
      </c>
      <c r="AF251" t="n">
        <v>42.392</v>
      </c>
      <c r="AG251" t="n">
        <v>42.392</v>
      </c>
      <c r="AH251" t="n">
        <v>52.25</v>
      </c>
      <c r="AI251" t="n">
        <v>109.526</v>
      </c>
      <c r="AJ251" t="n">
        <v>150.892</v>
      </c>
      <c r="AK251" t="n">
        <v>175.35</v>
      </c>
      <c r="AL251" t="n">
        <v>232.486</v>
      </c>
      <c r="AM251" t="n">
        <v>251.655</v>
      </c>
      <c r="AN251" t="n">
        <v>73.012</v>
      </c>
      <c r="AO251" t="n">
        <v>172.002</v>
      </c>
      <c r="AP251" t="n">
        <v>100.599</v>
      </c>
      <c r="AQ251" t="n">
        <v>499.395</v>
      </c>
      <c r="AR251" t="n">
        <v>94.39700000000001</v>
      </c>
      <c r="AS251" t="n">
        <v>45.07</v>
      </c>
      <c r="AT251" t="n">
        <v>79.59999999999999</v>
      </c>
      <c r="AU251" t="n">
        <v>975.255</v>
      </c>
      <c r="AV251" t="n">
        <v>89.955</v>
      </c>
      <c r="AW251" t="n">
        <v>78.279</v>
      </c>
      <c r="AX251" t="n">
        <v>125.173</v>
      </c>
      <c r="AY251" t="n">
        <v>102.608</v>
      </c>
      <c r="AZ251" t="n">
        <v>935.245</v>
      </c>
      <c r="BA251" t="n">
        <v>133.733</v>
      </c>
      <c r="BB251" t="n">
        <v>150.932</v>
      </c>
      <c r="BC251" t="n">
        <v>80.712</v>
      </c>
      <c r="BD251" t="n">
        <v>61.054</v>
      </c>
      <c r="BE251" t="n">
        <v>23.947</v>
      </c>
      <c r="BF251" t="n">
        <v>28.59</v>
      </c>
      <c r="BG251" t="n">
        <v>30.168</v>
      </c>
      <c r="BH251" t="n">
        <v>22.675</v>
      </c>
      <c r="BI251" t="n">
        <v>29.148</v>
      </c>
      <c r="BJ251" t="n">
        <v>226.109</v>
      </c>
      <c r="BK251" t="n">
        <v>34.692</v>
      </c>
      <c r="BL251" t="n">
        <v>34.244</v>
      </c>
      <c r="BM251" t="n">
        <v>38.322</v>
      </c>
      <c r="BN251" t="n">
        <v>29.217</v>
      </c>
      <c r="BO251" t="n">
        <v>16.76</v>
      </c>
      <c r="BP251" t="n">
        <v>14.788</v>
      </c>
      <c r="BQ251" t="n">
        <v>26.528</v>
      </c>
      <c r="BR251" t="n">
        <v>12.816</v>
      </c>
      <c r="BS251" t="n">
        <v>14.608</v>
      </c>
      <c r="BT251" t="n">
        <v>76.252</v>
      </c>
      <c r="BU251" t="n">
        <v>0</v>
      </c>
      <c r="BV251" t="n">
        <v>27.577</v>
      </c>
    </row>
    <row r="252">
      <c r="A252" t="inlineStr">
        <is>
          <t>Stichopus</t>
        </is>
      </c>
      <c r="B252" t="inlineStr">
        <is>
          <t>Boxed sea cucumbers</t>
        </is>
      </c>
      <c r="C252" t="inlineStr">
        <is>
          <t>Other demersal invertebrates</t>
        </is>
      </c>
      <c r="D252" t="inlineStr">
        <is>
          <t>Other fishes &amp; inverts</t>
        </is>
      </c>
      <c r="E252" t="n">
        <v>0.001</v>
      </c>
      <c r="F252" t="n">
        <v>0.515</v>
      </c>
      <c r="G252" t="n">
        <v>1.028</v>
      </c>
      <c r="H252" t="n">
        <v>1.028</v>
      </c>
      <c r="I252" t="n">
        <v>1.028</v>
      </c>
      <c r="J252" t="n">
        <v>1.028</v>
      </c>
      <c r="K252" t="n">
        <v>1.028</v>
      </c>
      <c r="L252" t="n">
        <v>1.028</v>
      </c>
      <c r="M252" t="n">
        <v>1.028</v>
      </c>
      <c r="N252" t="n">
        <v>1.028</v>
      </c>
      <c r="O252" t="n">
        <v>1.028</v>
      </c>
      <c r="P252" t="n">
        <v>1.767</v>
      </c>
      <c r="Q252" t="n">
        <v>2.839</v>
      </c>
      <c r="R252" t="n">
        <v>4.277</v>
      </c>
      <c r="S252" t="n">
        <v>5.915</v>
      </c>
      <c r="T252" t="n">
        <v>8.683999999999999</v>
      </c>
      <c r="U252" t="n">
        <v>11.593</v>
      </c>
      <c r="V252" t="n">
        <v>12.288</v>
      </c>
      <c r="W252" t="n">
        <v>13.991</v>
      </c>
      <c r="X252" t="n">
        <v>15.859</v>
      </c>
      <c r="Y252" t="n">
        <v>18.242</v>
      </c>
      <c r="Z252" t="n">
        <v>19.848</v>
      </c>
      <c r="AA252" t="n">
        <v>18.832</v>
      </c>
      <c r="AB252" t="n">
        <v>22.544</v>
      </c>
      <c r="AC252" t="n">
        <v>22.152</v>
      </c>
      <c r="AD252" t="n">
        <v>19.741</v>
      </c>
      <c r="AE252" t="n">
        <v>33.713</v>
      </c>
      <c r="AF252" t="n">
        <v>28.157</v>
      </c>
      <c r="AG252" t="n">
        <v>24.205</v>
      </c>
      <c r="AH252" t="n">
        <v>24.09</v>
      </c>
      <c r="AI252" t="n">
        <v>18.465</v>
      </c>
      <c r="AJ252" t="n">
        <v>20.955</v>
      </c>
      <c r="AK252" t="n">
        <v>23.408</v>
      </c>
      <c r="AL252" t="n">
        <v>26.757</v>
      </c>
      <c r="AM252" t="n">
        <v>26.242</v>
      </c>
      <c r="AN252" t="n">
        <v>33.006</v>
      </c>
      <c r="AO252" t="n">
        <v>33.591</v>
      </c>
      <c r="AP252" t="n">
        <v>33.92</v>
      </c>
      <c r="AQ252" t="n">
        <v>57.362</v>
      </c>
      <c r="AR252" t="n">
        <v>65.423</v>
      </c>
      <c r="AS252" t="n">
        <v>74.977</v>
      </c>
      <c r="AT252" t="n">
        <v>67.735</v>
      </c>
      <c r="AU252" t="n">
        <v>63.508</v>
      </c>
      <c r="AV252" t="n">
        <v>75.755</v>
      </c>
      <c r="AW252" t="n">
        <v>87.211</v>
      </c>
      <c r="AX252" t="n">
        <v>118.257</v>
      </c>
      <c r="AY252" t="n">
        <v>94.453</v>
      </c>
      <c r="AZ252" t="n">
        <v>106.033</v>
      </c>
      <c r="BA252" t="n">
        <v>76.7</v>
      </c>
      <c r="BB252" t="n">
        <v>79.598</v>
      </c>
      <c r="BC252" t="n">
        <v>79.75</v>
      </c>
      <c r="BD252" t="n">
        <v>97.03</v>
      </c>
      <c r="BE252" t="n">
        <v>91.54000000000001</v>
      </c>
      <c r="BF252" t="n">
        <v>90.851</v>
      </c>
      <c r="BG252" t="n">
        <v>348.693</v>
      </c>
      <c r="BH252" t="n">
        <v>85.54000000000001</v>
      </c>
      <c r="BI252" t="n">
        <v>81.816</v>
      </c>
      <c r="BJ252" t="n">
        <v>229.56</v>
      </c>
      <c r="BK252" t="n">
        <v>136.684</v>
      </c>
      <c r="BL252" t="n">
        <v>241.164</v>
      </c>
      <c r="BM252" t="n">
        <v>211.617</v>
      </c>
      <c r="BN252" t="n">
        <v>229.648</v>
      </c>
      <c r="BO252" t="n">
        <v>234.865</v>
      </c>
      <c r="BP252" t="n">
        <v>233.729</v>
      </c>
      <c r="BQ252" t="n">
        <v>244.732</v>
      </c>
      <c r="BR252" t="n">
        <v>286.919</v>
      </c>
      <c r="BS252" t="n">
        <v>277.618</v>
      </c>
      <c r="BT252" t="n">
        <v>352.128</v>
      </c>
      <c r="BU252" t="n">
        <v>289.387</v>
      </c>
      <c r="BV252" t="n">
        <v>334.94</v>
      </c>
    </row>
    <row r="253">
      <c r="A253" t="inlineStr">
        <is>
          <t>Sphyrnidae</t>
        </is>
      </c>
      <c r="B253" t="inlineStr">
        <is>
          <t>Hammer, bonnet, scoophead sharks</t>
        </is>
      </c>
      <c r="C253" t="inlineStr">
        <is>
          <t>Large sharks (&gt;=90 cm)</t>
        </is>
      </c>
      <c r="D253" t="inlineStr">
        <is>
          <t>Sharks &amp; rays</t>
        </is>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71.17400000000001</v>
      </c>
      <c r="AT253" t="n">
        <v>93.001</v>
      </c>
      <c r="AU253" t="n">
        <v>131.325</v>
      </c>
      <c r="AV253" t="n">
        <v>192.781</v>
      </c>
      <c r="AW253" t="n">
        <v>304.84</v>
      </c>
      <c r="AX253" t="n">
        <v>317.62</v>
      </c>
      <c r="AY253" t="n">
        <v>286.282</v>
      </c>
      <c r="AZ253" t="n">
        <v>454.389</v>
      </c>
      <c r="BA253" t="n">
        <v>396.195</v>
      </c>
      <c r="BB253" t="n">
        <v>589.189</v>
      </c>
      <c r="BC253" t="n">
        <v>495.138</v>
      </c>
      <c r="BD253" t="n">
        <v>132.593</v>
      </c>
      <c r="BE253" t="n">
        <v>195.451</v>
      </c>
      <c r="BF253" t="n">
        <v>302.095</v>
      </c>
      <c r="BG253" t="n">
        <v>159.729</v>
      </c>
      <c r="BH253" t="n">
        <v>67.566</v>
      </c>
      <c r="BI253" t="n">
        <v>52.887</v>
      </c>
      <c r="BJ253" t="n">
        <v>39.064</v>
      </c>
      <c r="BK253" t="n">
        <v>36.362</v>
      </c>
      <c r="BL253" t="n">
        <v>41.154</v>
      </c>
      <c r="BM253" t="n">
        <v>113.337</v>
      </c>
      <c r="BN253" t="n">
        <v>106.374</v>
      </c>
      <c r="BO253" t="n">
        <v>68.455</v>
      </c>
      <c r="BP253" t="n">
        <v>183.736</v>
      </c>
      <c r="BQ253" t="n">
        <v>228.211</v>
      </c>
      <c r="BR253" t="n">
        <v>84.13200000000001</v>
      </c>
      <c r="BS253" t="n">
        <v>87.033</v>
      </c>
      <c r="BT253" t="n">
        <v>124.376</v>
      </c>
      <c r="BU253" t="n">
        <v>17.355</v>
      </c>
      <c r="BV253" t="n">
        <v>202.582</v>
      </c>
    </row>
    <row r="254">
      <c r="A254" t="inlineStr">
        <is>
          <t>Platycaranx malabaricus</t>
        </is>
      </c>
      <c r="B254" t="inlineStr">
        <is>
          <t>Malabar trevally</t>
        </is>
      </c>
      <c r="C254" t="inlineStr">
        <is>
          <t>Medium reef assoc. fish (30 - 89 cm)</t>
        </is>
      </c>
      <c r="D254" t="inlineStr">
        <is>
          <t>Perch-likes</t>
        </is>
      </c>
      <c r="E254" t="n">
        <v>10.936</v>
      </c>
      <c r="F254" t="n">
        <v>10.936</v>
      </c>
      <c r="G254" t="n">
        <v>14.913</v>
      </c>
      <c r="H254" t="n">
        <v>12.925</v>
      </c>
      <c r="I254" t="n">
        <v>10.936</v>
      </c>
      <c r="J254" t="n">
        <v>10.936</v>
      </c>
      <c r="K254" t="n">
        <v>10.936</v>
      </c>
      <c r="L254" t="n">
        <v>10.936</v>
      </c>
      <c r="M254" t="n">
        <v>11.93</v>
      </c>
      <c r="N254" t="n">
        <v>10.936</v>
      </c>
      <c r="O254" t="n">
        <v>14.913</v>
      </c>
      <c r="P254" t="n">
        <v>18.89</v>
      </c>
      <c r="Q254" t="n">
        <v>19.884</v>
      </c>
      <c r="R254" t="n">
        <v>32.808</v>
      </c>
      <c r="S254" t="n">
        <v>30.82</v>
      </c>
      <c r="T254" t="n">
        <v>32.813</v>
      </c>
      <c r="U254" t="n">
        <v>40.771</v>
      </c>
      <c r="V254" t="n">
        <v>52.711</v>
      </c>
      <c r="W254" t="n">
        <v>52.716</v>
      </c>
      <c r="X254" t="n">
        <v>48.743</v>
      </c>
      <c r="Y254" t="n">
        <v>41.784</v>
      </c>
      <c r="Z254" t="n">
        <v>50.748</v>
      </c>
      <c r="AA254" t="n">
        <v>46.773</v>
      </c>
      <c r="AB254" t="n">
        <v>53.751</v>
      </c>
      <c r="AC254" t="n">
        <v>69.691</v>
      </c>
      <c r="AD254" t="n">
        <v>68.706</v>
      </c>
      <c r="AE254" t="n">
        <v>72.69199999999999</v>
      </c>
      <c r="AF254" t="n">
        <v>89.29900000000001</v>
      </c>
      <c r="AG254" t="n">
        <v>81.64700000000001</v>
      </c>
      <c r="AH254" t="n">
        <v>72.694</v>
      </c>
      <c r="AI254" t="n">
        <v>72.68000000000001</v>
      </c>
      <c r="AJ254" t="n">
        <v>75.66500000000001</v>
      </c>
      <c r="AK254" t="n">
        <v>78.657</v>
      </c>
      <c r="AL254" t="n">
        <v>81.651</v>
      </c>
      <c r="AM254" t="n">
        <v>71.705</v>
      </c>
      <c r="AN254" t="n">
        <v>78.669</v>
      </c>
      <c r="AO254" t="n">
        <v>93.61199999999999</v>
      </c>
      <c r="AP254" t="n">
        <v>113.612</v>
      </c>
      <c r="AQ254" t="n">
        <v>89.697</v>
      </c>
      <c r="AR254" t="n">
        <v>108.623</v>
      </c>
      <c r="AS254" t="n">
        <v>118.604</v>
      </c>
      <c r="AT254" t="n">
        <v>88.702</v>
      </c>
      <c r="AU254" t="n">
        <v>92.685</v>
      </c>
      <c r="AV254" t="n">
        <v>94.67400000000001</v>
      </c>
      <c r="AW254" t="n">
        <v>92.679</v>
      </c>
      <c r="AX254" t="n">
        <v>98.654</v>
      </c>
      <c r="AY254" t="n">
        <v>100.648</v>
      </c>
      <c r="AZ254" t="n">
        <v>99.651</v>
      </c>
      <c r="BA254" t="n">
        <v>117.601</v>
      </c>
      <c r="BB254" t="n">
        <v>103.652</v>
      </c>
      <c r="BC254" t="n">
        <v>116.601</v>
      </c>
      <c r="BD254" t="n">
        <v>111.618</v>
      </c>
      <c r="BE254" t="n">
        <v>118.632</v>
      </c>
      <c r="BF254" t="n">
        <v>120.617</v>
      </c>
      <c r="BG254" t="n">
        <v>126.595</v>
      </c>
      <c r="BH254" t="n">
        <v>111.649</v>
      </c>
      <c r="BI254" t="n">
        <v>133.586</v>
      </c>
      <c r="BJ254" t="n">
        <v>130.597</v>
      </c>
      <c r="BK254" t="n">
        <v>130.59</v>
      </c>
      <c r="BL254" t="n">
        <v>117.623</v>
      </c>
      <c r="BM254" t="n">
        <v>125.6</v>
      </c>
      <c r="BN254" t="n">
        <v>118.274</v>
      </c>
      <c r="BO254" t="n">
        <v>120.043</v>
      </c>
      <c r="BP254" t="n">
        <v>116.969</v>
      </c>
      <c r="BQ254" t="n">
        <v>124.05</v>
      </c>
      <c r="BR254" t="n">
        <v>125.732</v>
      </c>
      <c r="BS254" t="n">
        <v>134.981</v>
      </c>
      <c r="BT254" t="n">
        <v>124.829</v>
      </c>
      <c r="BU254" t="n">
        <v>114.545</v>
      </c>
      <c r="BV254" t="n">
        <v>119.423</v>
      </c>
    </row>
    <row r="255">
      <c r="A255" t="inlineStr">
        <is>
          <t>Priacanthidae</t>
        </is>
      </c>
      <c r="B255" t="inlineStr">
        <is>
          <t>Bigeyes, catalufas</t>
        </is>
      </c>
      <c r="C255" t="inlineStr">
        <is>
          <t>Medium reef assoc. fish (30 - 89 cm)</t>
        </is>
      </c>
      <c r="D255" t="inlineStr">
        <is>
          <t>Perch-likes</t>
        </is>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106.672</v>
      </c>
      <c r="AO255" t="n">
        <v>213.343</v>
      </c>
      <c r="AP255" t="n">
        <v>320.015</v>
      </c>
      <c r="AQ255" t="n">
        <v>426.686</v>
      </c>
      <c r="AR255" t="n">
        <v>533.3579999999999</v>
      </c>
      <c r="AS255" t="n">
        <v>544.174</v>
      </c>
      <c r="AT255" t="n">
        <v>634.173</v>
      </c>
      <c r="AU255" t="n">
        <v>446.89</v>
      </c>
      <c r="AV255" t="n">
        <v>341.964</v>
      </c>
      <c r="AW255" t="n">
        <v>537.165</v>
      </c>
      <c r="AX255" t="n">
        <v>890.718</v>
      </c>
      <c r="AY255" t="n">
        <v>344.849</v>
      </c>
      <c r="AZ255" t="n">
        <v>38.064</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row>
    <row r="256">
      <c r="A256" t="inlineStr">
        <is>
          <t>Alopias vulpinus</t>
        </is>
      </c>
      <c r="B256" t="inlineStr">
        <is>
          <t>Thresher</t>
        </is>
      </c>
      <c r="C256" t="inlineStr">
        <is>
          <t>Large sharks (&gt;=90 cm)</t>
        </is>
      </c>
      <c r="D256" t="inlineStr">
        <is>
          <t>Sharks &amp; rays</t>
        </is>
      </c>
      <c r="E256" t="n">
        <v>0.428</v>
      </c>
      <c r="F256" t="n">
        <v>0.338</v>
      </c>
      <c r="G256" t="n">
        <v>0.05</v>
      </c>
      <c r="H256" t="n">
        <v>0.05</v>
      </c>
      <c r="I256" t="n">
        <v>0.011</v>
      </c>
      <c r="J256" t="n">
        <v>0.41</v>
      </c>
      <c r="K256" t="n">
        <v>0.555</v>
      </c>
      <c r="L256" t="n">
        <v>0.532</v>
      </c>
      <c r="M256" t="n">
        <v>0.548</v>
      </c>
      <c r="N256" t="n">
        <v>0.522</v>
      </c>
      <c r="O256" t="n">
        <v>0.594</v>
      </c>
      <c r="P256" t="n">
        <v>0.835</v>
      </c>
      <c r="Q256" t="n">
        <v>0.276</v>
      </c>
      <c r="R256" t="n">
        <v>0.5</v>
      </c>
      <c r="S256" t="n">
        <v>0.398</v>
      </c>
      <c r="T256" t="n">
        <v>0.311</v>
      </c>
      <c r="U256" t="n">
        <v>0.078</v>
      </c>
      <c r="V256" t="n">
        <v>0.093</v>
      </c>
      <c r="W256" t="n">
        <v>0.105</v>
      </c>
      <c r="X256" t="n">
        <v>0.146</v>
      </c>
      <c r="Y256" t="n">
        <v>0.161</v>
      </c>
      <c r="Z256" t="n">
        <v>0.245</v>
      </c>
      <c r="AA256" t="n">
        <v>0.188</v>
      </c>
      <c r="AB256" t="n">
        <v>0.292</v>
      </c>
      <c r="AC256" t="n">
        <v>0.22</v>
      </c>
      <c r="AD256" t="n">
        <v>0.289</v>
      </c>
      <c r="AE256" t="n">
        <v>0.374</v>
      </c>
      <c r="AF256" t="n">
        <v>0.8149999999999999</v>
      </c>
      <c r="AG256" t="n">
        <v>6.998</v>
      </c>
      <c r="AH256" t="n">
        <v>3.366</v>
      </c>
      <c r="AI256" t="n">
        <v>4.109</v>
      </c>
      <c r="AJ256" t="n">
        <v>3.223</v>
      </c>
      <c r="AK256" t="n">
        <v>3.07</v>
      </c>
      <c r="AL256" t="n">
        <v>0.34</v>
      </c>
      <c r="AM256" t="n">
        <v>0.748</v>
      </c>
      <c r="AN256" t="n">
        <v>0.971</v>
      </c>
      <c r="AO256" t="n">
        <v>6.148</v>
      </c>
      <c r="AP256" t="n">
        <v>15.698</v>
      </c>
      <c r="AQ256" t="n">
        <v>29.322</v>
      </c>
      <c r="AR256" t="n">
        <v>34.794</v>
      </c>
      <c r="AS256" t="n">
        <v>42.844</v>
      </c>
      <c r="AT256" t="n">
        <v>71.298</v>
      </c>
      <c r="AU256" t="n">
        <v>70.02500000000001</v>
      </c>
      <c r="AV256" t="n">
        <v>105.173</v>
      </c>
      <c r="AW256" t="n">
        <v>138.592</v>
      </c>
      <c r="AX256" t="n">
        <v>158.428</v>
      </c>
      <c r="AY256" t="n">
        <v>134.888</v>
      </c>
      <c r="AZ256" t="n">
        <v>149.967</v>
      </c>
      <c r="BA256" t="n">
        <v>542.84</v>
      </c>
      <c r="BB256" t="n">
        <v>214.732</v>
      </c>
      <c r="BC256" t="n">
        <v>242.187</v>
      </c>
      <c r="BD256" t="n">
        <v>258.148</v>
      </c>
      <c r="BE256" t="n">
        <v>231.338</v>
      </c>
      <c r="BF256" t="n">
        <v>219.868</v>
      </c>
      <c r="BG256" t="n">
        <v>272.747</v>
      </c>
      <c r="BH256" t="n">
        <v>289.194</v>
      </c>
      <c r="BI256" t="n">
        <v>227.273</v>
      </c>
      <c r="BJ256" t="n">
        <v>213.155</v>
      </c>
      <c r="BK256" t="n">
        <v>211.61</v>
      </c>
      <c r="BL256" t="n">
        <v>133.556</v>
      </c>
      <c r="BM256" t="n">
        <v>140.649</v>
      </c>
      <c r="BN256" t="n">
        <v>116.84</v>
      </c>
      <c r="BO256" t="n">
        <v>130.144</v>
      </c>
      <c r="BP256" t="n">
        <v>88.937</v>
      </c>
      <c r="BQ256" t="n">
        <v>99.83199999999999</v>
      </c>
      <c r="BR256" t="n">
        <v>116.739</v>
      </c>
      <c r="BS256" t="n">
        <v>119.564</v>
      </c>
      <c r="BT256" t="n">
        <v>126.59</v>
      </c>
      <c r="BU256" t="n">
        <v>135.684</v>
      </c>
      <c r="BV256" t="n">
        <v>139.454</v>
      </c>
    </row>
    <row r="257">
      <c r="A257" t="inlineStr">
        <is>
          <t>Alopias pelagicus</t>
        </is>
      </c>
      <c r="B257" t="inlineStr">
        <is>
          <t>Pelagic thresher</t>
        </is>
      </c>
      <c r="C257" t="inlineStr">
        <is>
          <t>Large sharks (&gt;=90 cm)</t>
        </is>
      </c>
      <c r="D257" t="inlineStr">
        <is>
          <t>Sharks &amp; rays</t>
        </is>
      </c>
      <c r="E257" t="n">
        <v>0.428</v>
      </c>
      <c r="F257" t="n">
        <v>0.338</v>
      </c>
      <c r="G257" t="n">
        <v>0.05</v>
      </c>
      <c r="H257" t="n">
        <v>0.05</v>
      </c>
      <c r="I257" t="n">
        <v>0.011</v>
      </c>
      <c r="J257" t="n">
        <v>0.41</v>
      </c>
      <c r="K257" t="n">
        <v>0.555</v>
      </c>
      <c r="L257" t="n">
        <v>0.532</v>
      </c>
      <c r="M257" t="n">
        <v>0.548</v>
      </c>
      <c r="N257" t="n">
        <v>0.522</v>
      </c>
      <c r="O257" t="n">
        <v>0.594</v>
      </c>
      <c r="P257" t="n">
        <v>0.835</v>
      </c>
      <c r="Q257" t="n">
        <v>0.276</v>
      </c>
      <c r="R257" t="n">
        <v>0.5</v>
      </c>
      <c r="S257" t="n">
        <v>0.398</v>
      </c>
      <c r="T257" t="n">
        <v>0.311</v>
      </c>
      <c r="U257" t="n">
        <v>0.078</v>
      </c>
      <c r="V257" t="n">
        <v>0.093</v>
      </c>
      <c r="W257" t="n">
        <v>0.105</v>
      </c>
      <c r="X257" t="n">
        <v>0.146</v>
      </c>
      <c r="Y257" t="n">
        <v>0.161</v>
      </c>
      <c r="Z257" t="n">
        <v>0.245</v>
      </c>
      <c r="AA257" t="n">
        <v>0.188</v>
      </c>
      <c r="AB257" t="n">
        <v>0.292</v>
      </c>
      <c r="AC257" t="n">
        <v>0.22</v>
      </c>
      <c r="AD257" t="n">
        <v>0.289</v>
      </c>
      <c r="AE257" t="n">
        <v>0.374</v>
      </c>
      <c r="AF257" t="n">
        <v>0.8149999999999999</v>
      </c>
      <c r="AG257" t="n">
        <v>6.999</v>
      </c>
      <c r="AH257" t="n">
        <v>3.366</v>
      </c>
      <c r="AI257" t="n">
        <v>4.109</v>
      </c>
      <c r="AJ257" t="n">
        <v>3.223</v>
      </c>
      <c r="AK257" t="n">
        <v>3.071</v>
      </c>
      <c r="AL257" t="n">
        <v>0.34</v>
      </c>
      <c r="AM257" t="n">
        <v>0.748</v>
      </c>
      <c r="AN257" t="n">
        <v>0.971</v>
      </c>
      <c r="AO257" t="n">
        <v>6.148</v>
      </c>
      <c r="AP257" t="n">
        <v>15.699</v>
      </c>
      <c r="AQ257" t="n">
        <v>29.323</v>
      </c>
      <c r="AR257" t="n">
        <v>34.795</v>
      </c>
      <c r="AS257" t="n">
        <v>42.845</v>
      </c>
      <c r="AT257" t="n">
        <v>71.3</v>
      </c>
      <c r="AU257" t="n">
        <v>70.027</v>
      </c>
      <c r="AV257" t="n">
        <v>105.176</v>
      </c>
      <c r="AW257" t="n">
        <v>138.596</v>
      </c>
      <c r="AX257" t="n">
        <v>158.433</v>
      </c>
      <c r="AY257" t="n">
        <v>134.892</v>
      </c>
      <c r="AZ257" t="n">
        <v>149.971</v>
      </c>
      <c r="BA257" t="n">
        <v>542.855</v>
      </c>
      <c r="BB257" t="n">
        <v>214.739</v>
      </c>
      <c r="BC257" t="n">
        <v>242.194</v>
      </c>
      <c r="BD257" t="n">
        <v>258.155</v>
      </c>
      <c r="BE257" t="n">
        <v>231.345</v>
      </c>
      <c r="BF257" t="n">
        <v>219.874</v>
      </c>
      <c r="BG257" t="n">
        <v>272.755</v>
      </c>
      <c r="BH257" t="n">
        <v>289.203</v>
      </c>
      <c r="BI257" t="n">
        <v>227.28</v>
      </c>
      <c r="BJ257" t="n">
        <v>213.161</v>
      </c>
      <c r="BK257" t="n">
        <v>211.616</v>
      </c>
      <c r="BL257" t="n">
        <v>133.584</v>
      </c>
      <c r="BM257" t="n">
        <v>140.68</v>
      </c>
      <c r="BN257" t="n">
        <v>116.427</v>
      </c>
      <c r="BO257" t="n">
        <v>130.148</v>
      </c>
      <c r="BP257" t="n">
        <v>88.93899999999999</v>
      </c>
      <c r="BQ257" t="n">
        <v>99.83499999999999</v>
      </c>
      <c r="BR257" t="n">
        <v>116.742</v>
      </c>
      <c r="BS257" t="n">
        <v>119.568</v>
      </c>
      <c r="BT257" t="n">
        <v>126.521</v>
      </c>
      <c r="BU257" t="n">
        <v>135.695</v>
      </c>
      <c r="BV257" t="n">
        <v>139.458</v>
      </c>
    </row>
    <row r="258">
      <c r="A258" t="inlineStr">
        <is>
          <t>Alopias superciliosus</t>
        </is>
      </c>
      <c r="B258" t="inlineStr">
        <is>
          <t>Bigeye thresher</t>
        </is>
      </c>
      <c r="C258" t="inlineStr">
        <is>
          <t>Large sharks (&gt;=90 cm)</t>
        </is>
      </c>
      <c r="D258" t="inlineStr">
        <is>
          <t>Sharks &amp; rays</t>
        </is>
      </c>
      <c r="E258" t="n">
        <v>0.428</v>
      </c>
      <c r="F258" t="n">
        <v>0.338</v>
      </c>
      <c r="G258" t="n">
        <v>0.05</v>
      </c>
      <c r="H258" t="n">
        <v>0.05</v>
      </c>
      <c r="I258" t="n">
        <v>0.011</v>
      </c>
      <c r="J258" t="n">
        <v>0.41</v>
      </c>
      <c r="K258" t="n">
        <v>0.555</v>
      </c>
      <c r="L258" t="n">
        <v>0.532</v>
      </c>
      <c r="M258" t="n">
        <v>0.548</v>
      </c>
      <c r="N258" t="n">
        <v>0.522</v>
      </c>
      <c r="O258" t="n">
        <v>0.594</v>
      </c>
      <c r="P258" t="n">
        <v>0.835</v>
      </c>
      <c r="Q258" t="n">
        <v>0.276</v>
      </c>
      <c r="R258" t="n">
        <v>0.5</v>
      </c>
      <c r="S258" t="n">
        <v>0.398</v>
      </c>
      <c r="T258" t="n">
        <v>0.311</v>
      </c>
      <c r="U258" t="n">
        <v>0.078</v>
      </c>
      <c r="V258" t="n">
        <v>0.093</v>
      </c>
      <c r="W258" t="n">
        <v>0.105</v>
      </c>
      <c r="X258" t="n">
        <v>0.146</v>
      </c>
      <c r="Y258" t="n">
        <v>0.161</v>
      </c>
      <c r="Z258" t="n">
        <v>0.245</v>
      </c>
      <c r="AA258" t="n">
        <v>0.188</v>
      </c>
      <c r="AB258" t="n">
        <v>0.292</v>
      </c>
      <c r="AC258" t="n">
        <v>0.22</v>
      </c>
      <c r="AD258" t="n">
        <v>0.289</v>
      </c>
      <c r="AE258" t="n">
        <v>0.374</v>
      </c>
      <c r="AF258" t="n">
        <v>0.8149999999999999</v>
      </c>
      <c r="AG258" t="n">
        <v>6.998</v>
      </c>
      <c r="AH258" t="n">
        <v>3.366</v>
      </c>
      <c r="AI258" t="n">
        <v>4.109</v>
      </c>
      <c r="AJ258" t="n">
        <v>3.223</v>
      </c>
      <c r="AK258" t="n">
        <v>3.07</v>
      </c>
      <c r="AL258" t="n">
        <v>0.34</v>
      </c>
      <c r="AM258" t="n">
        <v>0.748</v>
      </c>
      <c r="AN258" t="n">
        <v>0.971</v>
      </c>
      <c r="AO258" t="n">
        <v>6.148</v>
      </c>
      <c r="AP258" t="n">
        <v>15.698</v>
      </c>
      <c r="AQ258" t="n">
        <v>29.322</v>
      </c>
      <c r="AR258" t="n">
        <v>34.794</v>
      </c>
      <c r="AS258" t="n">
        <v>42.844</v>
      </c>
      <c r="AT258" t="n">
        <v>71.298</v>
      </c>
      <c r="AU258" t="n">
        <v>70.02500000000001</v>
      </c>
      <c r="AV258" t="n">
        <v>105.173</v>
      </c>
      <c r="AW258" t="n">
        <v>138.592</v>
      </c>
      <c r="AX258" t="n">
        <v>158.428</v>
      </c>
      <c r="AY258" t="n">
        <v>134.888</v>
      </c>
      <c r="AZ258" t="n">
        <v>149.967</v>
      </c>
      <c r="BA258" t="n">
        <v>542.84</v>
      </c>
      <c r="BB258" t="n">
        <v>214.732</v>
      </c>
      <c r="BC258" t="n">
        <v>242.187</v>
      </c>
      <c r="BD258" t="n">
        <v>258.148</v>
      </c>
      <c r="BE258" t="n">
        <v>231.338</v>
      </c>
      <c r="BF258" t="n">
        <v>219.868</v>
      </c>
      <c r="BG258" t="n">
        <v>272.747</v>
      </c>
      <c r="BH258" t="n">
        <v>289.194</v>
      </c>
      <c r="BI258" t="n">
        <v>227.273</v>
      </c>
      <c r="BJ258" t="n">
        <v>213.155</v>
      </c>
      <c r="BK258" t="n">
        <v>211.61</v>
      </c>
      <c r="BL258" t="n">
        <v>133.532</v>
      </c>
      <c r="BM258" t="n">
        <v>140.649</v>
      </c>
      <c r="BN258" t="n">
        <v>116.423</v>
      </c>
      <c r="BO258" t="n">
        <v>130.144</v>
      </c>
      <c r="BP258" t="n">
        <v>88.937</v>
      </c>
      <c r="BQ258" t="n">
        <v>99.83199999999999</v>
      </c>
      <c r="BR258" t="n">
        <v>116.739</v>
      </c>
      <c r="BS258" t="n">
        <v>119.564</v>
      </c>
      <c r="BT258" t="n">
        <v>126.518</v>
      </c>
      <c r="BU258" t="n">
        <v>135.684</v>
      </c>
      <c r="BV258" t="n">
        <v>139.454</v>
      </c>
    </row>
    <row r="259">
      <c r="A259" t="inlineStr">
        <is>
          <t>Tridacna</t>
        </is>
      </c>
      <c r="B259" t="inlineStr">
        <is>
          <t>Tridacnid clams</t>
        </is>
      </c>
      <c r="C259" t="inlineStr">
        <is>
          <t>Other demersal invertebrates</t>
        </is>
      </c>
      <c r="D259" t="inlineStr">
        <is>
          <t>Molluscs</t>
        </is>
      </c>
      <c r="E259" t="n">
        <v>15.755</v>
      </c>
      <c r="F259" t="n">
        <v>15.766</v>
      </c>
      <c r="G259" t="n">
        <v>17.097</v>
      </c>
      <c r="H259" t="n">
        <v>18.429</v>
      </c>
      <c r="I259" t="n">
        <v>19.76</v>
      </c>
      <c r="J259" t="n">
        <v>21.091</v>
      </c>
      <c r="K259" t="n">
        <v>22.422</v>
      </c>
      <c r="L259" t="n">
        <v>23.753</v>
      </c>
      <c r="M259" t="n">
        <v>25.084</v>
      </c>
      <c r="N259" t="n">
        <v>26.416</v>
      </c>
      <c r="O259" t="n">
        <v>27.747</v>
      </c>
      <c r="P259" t="n">
        <v>29.078</v>
      </c>
      <c r="Q259" t="n">
        <v>31.119</v>
      </c>
      <c r="R259" t="n">
        <v>33.159</v>
      </c>
      <c r="S259" t="n">
        <v>35.2</v>
      </c>
      <c r="T259" t="n">
        <v>37.241</v>
      </c>
      <c r="U259" t="n">
        <v>39.281</v>
      </c>
      <c r="V259" t="n">
        <v>41.322</v>
      </c>
      <c r="W259" t="n">
        <v>43.363</v>
      </c>
      <c r="X259" t="n">
        <v>45.403</v>
      </c>
      <c r="Y259" t="n">
        <v>47.444</v>
      </c>
      <c r="Z259" t="n">
        <v>49.485</v>
      </c>
      <c r="AA259" t="n">
        <v>51.456</v>
      </c>
      <c r="AB259" t="n">
        <v>53.428</v>
      </c>
      <c r="AC259" t="n">
        <v>55.4</v>
      </c>
      <c r="AD259" t="n">
        <v>57.371</v>
      </c>
      <c r="AE259" t="n">
        <v>59.343</v>
      </c>
      <c r="AF259" t="n">
        <v>61.189</v>
      </c>
      <c r="AG259" t="n">
        <v>63.035</v>
      </c>
      <c r="AH259" t="n">
        <v>64.88200000000001</v>
      </c>
      <c r="AI259" t="n">
        <v>66.72799999999999</v>
      </c>
      <c r="AJ259" t="n">
        <v>68.38800000000001</v>
      </c>
      <c r="AK259" t="n">
        <v>70.56</v>
      </c>
      <c r="AL259" t="n">
        <v>72.732</v>
      </c>
      <c r="AM259" t="n">
        <v>69.64700000000001</v>
      </c>
      <c r="AN259" t="n">
        <v>71.82899999999999</v>
      </c>
      <c r="AO259" t="n">
        <v>73.84</v>
      </c>
      <c r="AP259" t="n">
        <v>75.852</v>
      </c>
      <c r="AQ259" t="n">
        <v>77.863</v>
      </c>
      <c r="AR259" t="n">
        <v>79.875</v>
      </c>
      <c r="AS259" t="n">
        <v>81.886</v>
      </c>
      <c r="AT259" t="n">
        <v>83.898</v>
      </c>
      <c r="AU259" t="n">
        <v>85.404</v>
      </c>
      <c r="AV259" t="n">
        <v>86.911</v>
      </c>
      <c r="AW259" t="n">
        <v>88.41800000000001</v>
      </c>
      <c r="AX259" t="n">
        <v>89.925</v>
      </c>
      <c r="AY259" t="n">
        <v>91.598</v>
      </c>
      <c r="AZ259" t="n">
        <v>93.337</v>
      </c>
      <c r="BA259" t="n">
        <v>94.913</v>
      </c>
      <c r="BB259" t="n">
        <v>96.613</v>
      </c>
      <c r="BC259" t="n">
        <v>98.288</v>
      </c>
      <c r="BD259" t="n">
        <v>99.97199999999999</v>
      </c>
      <c r="BE259" t="n">
        <v>100.293</v>
      </c>
      <c r="BF259" t="n">
        <v>100.612</v>
      </c>
      <c r="BG259" t="n">
        <v>100.93</v>
      </c>
      <c r="BH259" t="n">
        <v>101.244</v>
      </c>
      <c r="BI259" t="n">
        <v>101.557</v>
      </c>
      <c r="BJ259" t="n">
        <v>101.867</v>
      </c>
      <c r="BK259" t="n">
        <v>102.176</v>
      </c>
      <c r="BL259" t="n">
        <v>102.489</v>
      </c>
      <c r="BM259" t="n">
        <v>102.832</v>
      </c>
      <c r="BN259" t="n">
        <v>103.133</v>
      </c>
      <c r="BO259" t="n">
        <v>103.759</v>
      </c>
      <c r="BP259" t="n">
        <v>104.397</v>
      </c>
      <c r="BQ259" t="n">
        <v>105.035</v>
      </c>
      <c r="BR259" t="n">
        <v>106.12</v>
      </c>
      <c r="BS259" t="n">
        <v>108.412</v>
      </c>
      <c r="BT259" t="n">
        <v>109.473</v>
      </c>
      <c r="BU259" t="n">
        <v>109.473</v>
      </c>
      <c r="BV259" t="n">
        <v>109.473</v>
      </c>
    </row>
    <row r="260">
      <c r="A260" t="inlineStr">
        <is>
          <t>Chanos chanos</t>
        </is>
      </c>
      <c r="B260" t="inlineStr">
        <is>
          <t>Milkfish</t>
        </is>
      </c>
      <c r="C260" t="inlineStr">
        <is>
          <t>Large benthopelagics (&gt;=90 cm)</t>
        </is>
      </c>
      <c r="D260" t="inlineStr">
        <is>
          <t>Other fishes &amp; inverts</t>
        </is>
      </c>
      <c r="E260" t="n">
        <v>11.695</v>
      </c>
      <c r="F260" t="n">
        <v>11.59</v>
      </c>
      <c r="G260" t="n">
        <v>12.809</v>
      </c>
      <c r="H260" t="n">
        <v>14.028</v>
      </c>
      <c r="I260" t="n">
        <v>15.247</v>
      </c>
      <c r="J260" t="n">
        <v>16.466</v>
      </c>
      <c r="K260" t="n">
        <v>17.685</v>
      </c>
      <c r="L260" t="n">
        <v>18.904</v>
      </c>
      <c r="M260" t="n">
        <v>20.124</v>
      </c>
      <c r="N260" t="n">
        <v>21.343</v>
      </c>
      <c r="O260" t="n">
        <v>22.562</v>
      </c>
      <c r="P260" t="n">
        <v>23.781</v>
      </c>
      <c r="Q260" t="n">
        <v>25.711</v>
      </c>
      <c r="R260" t="n">
        <v>27.642</v>
      </c>
      <c r="S260" t="n">
        <v>29.572</v>
      </c>
      <c r="T260" t="n">
        <v>31.502</v>
      </c>
      <c r="U260" t="n">
        <v>33.433</v>
      </c>
      <c r="V260" t="n">
        <v>35.363</v>
      </c>
      <c r="W260" t="n">
        <v>37.294</v>
      </c>
      <c r="X260" t="n">
        <v>39.224</v>
      </c>
      <c r="Y260" t="n">
        <v>41.155</v>
      </c>
      <c r="Z260" t="n">
        <v>43.085</v>
      </c>
      <c r="AA260" t="n">
        <v>44.946</v>
      </c>
      <c r="AB260" t="n">
        <v>46.807</v>
      </c>
      <c r="AC260" t="n">
        <v>48.668</v>
      </c>
      <c r="AD260" t="n">
        <v>50.529</v>
      </c>
      <c r="AE260" t="n">
        <v>52.391</v>
      </c>
      <c r="AF260" t="n">
        <v>54.252</v>
      </c>
      <c r="AG260" t="n">
        <v>56.113</v>
      </c>
      <c r="AH260" t="n">
        <v>57.974</v>
      </c>
      <c r="AI260" t="n">
        <v>59.835</v>
      </c>
      <c r="AJ260" t="n">
        <v>61.509</v>
      </c>
      <c r="AK260" t="n">
        <v>63.697</v>
      </c>
      <c r="AL260" t="n">
        <v>65.884</v>
      </c>
      <c r="AM260" t="n">
        <v>68.071</v>
      </c>
      <c r="AN260" t="n">
        <v>70.259</v>
      </c>
      <c r="AO260" t="n">
        <v>72.446</v>
      </c>
      <c r="AP260" t="n">
        <v>74.634</v>
      </c>
      <c r="AQ260" t="n">
        <v>76.821</v>
      </c>
      <c r="AR260" t="n">
        <v>79.008</v>
      </c>
      <c r="AS260" t="n">
        <v>81.196</v>
      </c>
      <c r="AT260" t="n">
        <v>83.383</v>
      </c>
      <c r="AU260" t="n">
        <v>85.06399999999999</v>
      </c>
      <c r="AV260" t="n">
        <v>86.746</v>
      </c>
      <c r="AW260" t="n">
        <v>88.42700000000001</v>
      </c>
      <c r="AX260" t="n">
        <v>90.10899999999999</v>
      </c>
      <c r="AY260" t="n">
        <v>91.79000000000001</v>
      </c>
      <c r="AZ260" t="n">
        <v>93.47199999999999</v>
      </c>
      <c r="BA260" t="n">
        <v>95.15300000000001</v>
      </c>
      <c r="BB260" t="n">
        <v>96.83499999999999</v>
      </c>
      <c r="BC260" t="n">
        <v>98.51600000000001</v>
      </c>
      <c r="BD260" t="n">
        <v>100.198</v>
      </c>
      <c r="BE260" t="n">
        <v>100.516</v>
      </c>
      <c r="BF260" t="n">
        <v>100.834</v>
      </c>
      <c r="BG260" t="n">
        <v>101.152</v>
      </c>
      <c r="BH260" t="n">
        <v>101.47</v>
      </c>
      <c r="BI260" t="n">
        <v>101.788</v>
      </c>
      <c r="BJ260" t="n">
        <v>102.106</v>
      </c>
      <c r="BK260" t="n">
        <v>102.424</v>
      </c>
      <c r="BL260" t="n">
        <v>102.742</v>
      </c>
      <c r="BM260" t="n">
        <v>103.06</v>
      </c>
      <c r="BN260" t="n">
        <v>103.379</v>
      </c>
      <c r="BO260" t="n">
        <v>104.02</v>
      </c>
      <c r="BP260" t="n">
        <v>104.661</v>
      </c>
      <c r="BQ260" t="n">
        <v>105.303</v>
      </c>
      <c r="BR260" t="n">
        <v>106.39</v>
      </c>
      <c r="BS260" t="n">
        <v>108.687</v>
      </c>
      <c r="BT260" t="n">
        <v>109.752</v>
      </c>
      <c r="BU260" t="n">
        <v>109.752</v>
      </c>
      <c r="BV260" t="n">
        <v>109.752</v>
      </c>
    </row>
    <row r="261">
      <c r="A261" t="inlineStr">
        <is>
          <t>Muraenesocidae</t>
        </is>
      </c>
      <c r="B261" t="inlineStr">
        <is>
          <t>Pike congers</t>
        </is>
      </c>
      <c r="C261" t="inlineStr">
        <is>
          <t>Large demersals (&gt;=90 cm)</t>
        </is>
      </c>
      <c r="D261" t="inlineStr">
        <is>
          <t>Other fishes &amp; inverts</t>
        </is>
      </c>
      <c r="E261" t="n">
        <v>11.656</v>
      </c>
      <c r="F261" t="n">
        <v>11.552</v>
      </c>
      <c r="G261" t="n">
        <v>12.767</v>
      </c>
      <c r="H261" t="n">
        <v>13.982</v>
      </c>
      <c r="I261" t="n">
        <v>15.197</v>
      </c>
      <c r="J261" t="n">
        <v>16.412</v>
      </c>
      <c r="K261" t="n">
        <v>17.658</v>
      </c>
      <c r="L261" t="n">
        <v>18.868</v>
      </c>
      <c r="M261" t="n">
        <v>20.085</v>
      </c>
      <c r="N261" t="n">
        <v>21.294</v>
      </c>
      <c r="O261" t="n">
        <v>22.509</v>
      </c>
      <c r="P261" t="n">
        <v>23.724</v>
      </c>
      <c r="Q261" t="n">
        <v>25.646</v>
      </c>
      <c r="R261" t="n">
        <v>27.57</v>
      </c>
      <c r="S261" t="n">
        <v>29.495</v>
      </c>
      <c r="T261" t="n">
        <v>31.415</v>
      </c>
      <c r="U261" t="n">
        <v>33.336</v>
      </c>
      <c r="V261" t="n">
        <v>35.26</v>
      </c>
      <c r="W261" t="n">
        <v>37.184</v>
      </c>
      <c r="X261" t="n">
        <v>39.107</v>
      </c>
      <c r="Y261" t="n">
        <v>41.034</v>
      </c>
      <c r="Z261" t="n">
        <v>42.957</v>
      </c>
      <c r="AA261" t="n">
        <v>44.811</v>
      </c>
      <c r="AB261" t="n">
        <v>46.666</v>
      </c>
      <c r="AC261" t="n">
        <v>48.522</v>
      </c>
      <c r="AD261" t="n">
        <v>50.375</v>
      </c>
      <c r="AE261" t="n">
        <v>52.229</v>
      </c>
      <c r="AF261" t="n">
        <v>54.084</v>
      </c>
      <c r="AG261" t="n">
        <v>55.937</v>
      </c>
      <c r="AH261" t="n">
        <v>57.794</v>
      </c>
      <c r="AI261" t="n">
        <v>59.649</v>
      </c>
      <c r="AJ261" t="n">
        <v>61.318</v>
      </c>
      <c r="AK261" t="n">
        <v>63.496</v>
      </c>
      <c r="AL261" t="n">
        <v>65.678</v>
      </c>
      <c r="AM261" t="n">
        <v>67.857</v>
      </c>
      <c r="AN261" t="n">
        <v>70.03700000000001</v>
      </c>
      <c r="AO261" t="n">
        <v>72.217</v>
      </c>
      <c r="AP261" t="n">
        <v>74.39700000000001</v>
      </c>
      <c r="AQ261" t="n">
        <v>76.577</v>
      </c>
      <c r="AR261" t="n">
        <v>78.75700000000001</v>
      </c>
      <c r="AS261" t="n">
        <v>80.937</v>
      </c>
      <c r="AT261" t="n">
        <v>83.11799999999999</v>
      </c>
      <c r="AU261" t="n">
        <v>84.794</v>
      </c>
      <c r="AV261" t="n">
        <v>86.47</v>
      </c>
      <c r="AW261" t="n">
        <v>88.14700000000001</v>
      </c>
      <c r="AX261" t="n">
        <v>89.82299999999999</v>
      </c>
      <c r="AY261" t="n">
        <v>91.498</v>
      </c>
      <c r="AZ261" t="n">
        <v>93.17400000000001</v>
      </c>
      <c r="BA261" t="n">
        <v>94.85299999999999</v>
      </c>
      <c r="BB261" t="n">
        <v>96.526</v>
      </c>
      <c r="BC261" t="n">
        <v>98.20099999999999</v>
      </c>
      <c r="BD261" t="n">
        <v>99.875</v>
      </c>
      <c r="BE261" t="n">
        <v>100.192</v>
      </c>
      <c r="BF261" t="n">
        <v>100.509</v>
      </c>
      <c r="BG261" t="n">
        <v>100.822</v>
      </c>
      <c r="BH261" t="n">
        <v>101.143</v>
      </c>
      <c r="BI261" t="n">
        <v>101.461</v>
      </c>
      <c r="BJ261" t="n">
        <v>101.777</v>
      </c>
      <c r="BK261" t="n">
        <v>102.095</v>
      </c>
      <c r="BL261" t="n">
        <v>102.412</v>
      </c>
      <c r="BM261" t="n">
        <v>102.729</v>
      </c>
      <c r="BN261" t="n">
        <v>103.046</v>
      </c>
      <c r="BO261" t="n">
        <v>103.686</v>
      </c>
      <c r="BP261" t="n">
        <v>104.325</v>
      </c>
      <c r="BQ261" t="n">
        <v>104.964</v>
      </c>
      <c r="BR261" t="n">
        <v>106.048</v>
      </c>
      <c r="BS261" t="n">
        <v>108.338</v>
      </c>
      <c r="BT261" t="n">
        <v>109.399</v>
      </c>
      <c r="BU261" t="n">
        <v>109.399</v>
      </c>
      <c r="BV261" t="n">
        <v>109.399</v>
      </c>
    </row>
    <row r="262">
      <c r="A262" t="inlineStr">
        <is>
          <t>Aluterus</t>
        </is>
      </c>
      <c r="B262" t="inlineStr">
        <is>
          <t>Aluterid filefishes</t>
        </is>
      </c>
      <c r="C262" t="inlineStr">
        <is>
          <t>Large reef assoc. fish (&gt;=90 cm)</t>
        </is>
      </c>
      <c r="D262" t="inlineStr">
        <is>
          <t>Other fishes &amp; inverts</t>
        </is>
      </c>
      <c r="E262" t="n">
        <v>8.946</v>
      </c>
      <c r="F262" t="n">
        <v>8.946</v>
      </c>
      <c r="G262" t="n">
        <v>11.928</v>
      </c>
      <c r="H262" t="n">
        <v>10.934</v>
      </c>
      <c r="I262" t="n">
        <v>8.946</v>
      </c>
      <c r="J262" t="n">
        <v>8.946</v>
      </c>
      <c r="K262" t="n">
        <v>8.946</v>
      </c>
      <c r="L262" t="n">
        <v>8.946</v>
      </c>
      <c r="M262" t="n">
        <v>8.946</v>
      </c>
      <c r="N262" t="n">
        <v>8.946</v>
      </c>
      <c r="O262" t="n">
        <v>11.928</v>
      </c>
      <c r="P262" t="n">
        <v>14.911</v>
      </c>
      <c r="Q262" t="n">
        <v>15.905</v>
      </c>
      <c r="R262" t="n">
        <v>26.839</v>
      </c>
      <c r="S262" t="n">
        <v>24.851</v>
      </c>
      <c r="T262" t="n">
        <v>26.843</v>
      </c>
      <c r="U262" t="n">
        <v>33.806</v>
      </c>
      <c r="V262" t="n">
        <v>41.763</v>
      </c>
      <c r="W262" t="n">
        <v>42.761</v>
      </c>
      <c r="X262" t="n">
        <v>39.783</v>
      </c>
      <c r="Y262" t="n">
        <v>33.819</v>
      </c>
      <c r="Z262" t="n">
        <v>39.792</v>
      </c>
      <c r="AA262" t="n">
        <v>38.805</v>
      </c>
      <c r="AB262" t="n">
        <v>42.792</v>
      </c>
      <c r="AC262" t="n">
        <v>56.735</v>
      </c>
      <c r="AD262" t="n">
        <v>54.753</v>
      </c>
      <c r="AE262" t="n">
        <v>57.74</v>
      </c>
      <c r="AF262" t="n">
        <v>71.42400000000001</v>
      </c>
      <c r="AG262" t="n">
        <v>65.70099999999999</v>
      </c>
      <c r="AH262" t="n">
        <v>56.748</v>
      </c>
      <c r="AI262" t="n">
        <v>57.731</v>
      </c>
      <c r="AJ262" t="n">
        <v>62.708</v>
      </c>
      <c r="AK262" t="n">
        <v>63.706</v>
      </c>
      <c r="AL262" t="n">
        <v>65.703</v>
      </c>
      <c r="AM262" t="n">
        <v>57.746</v>
      </c>
      <c r="AN262" t="n">
        <v>63.717</v>
      </c>
      <c r="AO262" t="n">
        <v>74.67100000000001</v>
      </c>
      <c r="AP262" t="n">
        <v>91.66500000000001</v>
      </c>
      <c r="AQ262" t="n">
        <v>70.744</v>
      </c>
      <c r="AR262" t="n">
        <v>87.675</v>
      </c>
      <c r="AS262" t="n">
        <v>94.65900000000001</v>
      </c>
      <c r="AT262" t="n">
        <v>69.753</v>
      </c>
      <c r="AU262" t="n">
        <v>72.738</v>
      </c>
      <c r="AV262" t="n">
        <v>74.726</v>
      </c>
      <c r="AW262" t="n">
        <v>74.723</v>
      </c>
      <c r="AX262" t="n">
        <v>79.702</v>
      </c>
      <c r="AY262" t="n">
        <v>80.699</v>
      </c>
      <c r="AZ262" t="n">
        <v>79.702</v>
      </c>
      <c r="BA262" t="n">
        <v>93.65900000000001</v>
      </c>
      <c r="BB262" t="n">
        <v>81.708</v>
      </c>
      <c r="BC262" t="n">
        <v>92.66200000000001</v>
      </c>
      <c r="BD262" t="n">
        <v>89.672</v>
      </c>
      <c r="BE262" t="n">
        <v>95.65900000000001</v>
      </c>
      <c r="BF262" t="n">
        <v>96.65000000000001</v>
      </c>
      <c r="BG262" t="n">
        <v>100.632</v>
      </c>
      <c r="BH262" t="n">
        <v>88.68300000000001</v>
      </c>
      <c r="BI262" t="n">
        <v>104.647</v>
      </c>
      <c r="BJ262" t="n">
        <v>104.644</v>
      </c>
      <c r="BK262" t="n">
        <v>103.643</v>
      </c>
      <c r="BL262" t="n">
        <v>94.669</v>
      </c>
      <c r="BM262" t="n">
        <v>100.649</v>
      </c>
      <c r="BN262" t="n">
        <v>94.78400000000001</v>
      </c>
      <c r="BO262" t="n">
        <v>96.203</v>
      </c>
      <c r="BP262" t="n">
        <v>93.73399999999999</v>
      </c>
      <c r="BQ262" t="n">
        <v>99.404</v>
      </c>
      <c r="BR262" t="n">
        <v>100.75</v>
      </c>
      <c r="BS262" t="n">
        <v>108.16</v>
      </c>
      <c r="BT262" t="n">
        <v>100.025</v>
      </c>
      <c r="BU262" t="n">
        <v>91.782</v>
      </c>
      <c r="BV262" t="n">
        <v>95.68899999999999</v>
      </c>
    </row>
    <row r="263">
      <c r="A263" t="inlineStr">
        <is>
          <t>Panulirus penicillatus</t>
        </is>
      </c>
      <c r="B263" t="inlineStr">
        <is>
          <t>Pronghorn spiny lobster</t>
        </is>
      </c>
      <c r="C263" t="inlineStr">
        <is>
          <t>Lobsters, crabs</t>
        </is>
      </c>
      <c r="D263" t="inlineStr">
        <is>
          <t>Crustaceans</t>
        </is>
      </c>
      <c r="E263" t="n">
        <v>4.278</v>
      </c>
      <c r="F263" t="n">
        <v>4.278</v>
      </c>
      <c r="G263" t="n">
        <v>5.134</v>
      </c>
      <c r="H263" t="n">
        <v>5.989</v>
      </c>
      <c r="I263" t="n">
        <v>10.267</v>
      </c>
      <c r="J263" t="n">
        <v>8.555999999999999</v>
      </c>
      <c r="K263" t="n">
        <v>12.834</v>
      </c>
      <c r="L263" t="n">
        <v>11.123</v>
      </c>
      <c r="M263" t="n">
        <v>17.967</v>
      </c>
      <c r="N263" t="n">
        <v>16.256</v>
      </c>
      <c r="O263" t="n">
        <v>17.112</v>
      </c>
      <c r="P263" t="n">
        <v>15.401</v>
      </c>
      <c r="Q263" t="n">
        <v>25.668</v>
      </c>
      <c r="R263" t="n">
        <v>20.534</v>
      </c>
      <c r="S263" t="n">
        <v>41.924</v>
      </c>
      <c r="T263" t="n">
        <v>23.101</v>
      </c>
      <c r="U263" t="n">
        <v>27.379</v>
      </c>
      <c r="V263" t="n">
        <v>29.946</v>
      </c>
      <c r="W263" t="n">
        <v>22.245</v>
      </c>
      <c r="X263" t="n">
        <v>34.224</v>
      </c>
      <c r="Y263" t="n">
        <v>29.946</v>
      </c>
      <c r="Z263" t="n">
        <v>27.379</v>
      </c>
      <c r="AA263" t="n">
        <v>31.657</v>
      </c>
      <c r="AB263" t="n">
        <v>28.234</v>
      </c>
      <c r="AC263" t="n">
        <v>45.346</v>
      </c>
      <c r="AD263" t="n">
        <v>52.978</v>
      </c>
      <c r="AE263" t="n">
        <v>61.166</v>
      </c>
      <c r="AF263" t="n">
        <v>52.105</v>
      </c>
      <c r="AG263" t="n">
        <v>62.193</v>
      </c>
      <c r="AH263" t="n">
        <v>46.938</v>
      </c>
      <c r="AI263" t="n">
        <v>42.352</v>
      </c>
      <c r="AJ263" t="n">
        <v>61.431</v>
      </c>
      <c r="AK263" t="n">
        <v>85.465</v>
      </c>
      <c r="AL263" t="n">
        <v>65.726</v>
      </c>
      <c r="AM263" t="n">
        <v>63.853</v>
      </c>
      <c r="AN263" t="n">
        <v>40.931</v>
      </c>
      <c r="AO263" t="n">
        <v>42.086</v>
      </c>
      <c r="AP263" t="n">
        <v>43.55</v>
      </c>
      <c r="AQ263" t="n">
        <v>45.252</v>
      </c>
      <c r="AR263" t="n">
        <v>45.92</v>
      </c>
      <c r="AS263" t="n">
        <v>43.618</v>
      </c>
      <c r="AT263" t="n">
        <v>51.036</v>
      </c>
      <c r="AU263" t="n">
        <v>66.59099999999999</v>
      </c>
      <c r="AV263" t="n">
        <v>65.01600000000001</v>
      </c>
      <c r="AW263" t="n">
        <v>29.703</v>
      </c>
      <c r="AX263" t="n">
        <v>63.219</v>
      </c>
      <c r="AY263" t="n">
        <v>54.715</v>
      </c>
      <c r="AZ263" t="n">
        <v>54.235</v>
      </c>
      <c r="BA263" t="n">
        <v>66.47499999999999</v>
      </c>
      <c r="BB263" t="n">
        <v>43.73</v>
      </c>
      <c r="BC263" t="n">
        <v>88.693</v>
      </c>
      <c r="BD263" t="n">
        <v>100.333</v>
      </c>
      <c r="BE263" t="n">
        <v>70.584</v>
      </c>
      <c r="BF263" t="n">
        <v>200.43</v>
      </c>
      <c r="BG263" t="n">
        <v>125.962</v>
      </c>
      <c r="BH263" t="n">
        <v>10.086</v>
      </c>
      <c r="BI263" t="n">
        <v>31.768</v>
      </c>
      <c r="BJ263" t="n">
        <v>50.702</v>
      </c>
      <c r="BK263" t="n">
        <v>72.884</v>
      </c>
      <c r="BL263" t="n">
        <v>81.669</v>
      </c>
      <c r="BM263" t="n">
        <v>98.127</v>
      </c>
      <c r="BN263" t="n">
        <v>74.925</v>
      </c>
      <c r="BO263" t="n">
        <v>90.702</v>
      </c>
      <c r="BP263" t="n">
        <v>114.708</v>
      </c>
      <c r="BQ263" t="n">
        <v>197.182</v>
      </c>
      <c r="BR263" t="n">
        <v>188.025</v>
      </c>
      <c r="BS263" t="n">
        <v>230.53</v>
      </c>
      <c r="BT263" t="n">
        <v>183.57</v>
      </c>
      <c r="BU263" t="n">
        <v>187.901</v>
      </c>
      <c r="BV263" t="n">
        <v>191.799</v>
      </c>
    </row>
    <row r="264">
      <c r="A264" t="inlineStr">
        <is>
          <t>Panulirus versicolor</t>
        </is>
      </c>
      <c r="B264" t="inlineStr">
        <is>
          <t>Painted spiny lobster</t>
        </is>
      </c>
      <c r="C264" t="inlineStr">
        <is>
          <t>Lobsters, crabs</t>
        </is>
      </c>
      <c r="D264" t="inlineStr">
        <is>
          <t>Crustaceans</t>
        </is>
      </c>
      <c r="E264" t="n">
        <v>4.252</v>
      </c>
      <c r="F264" t="n">
        <v>4.252</v>
      </c>
      <c r="G264" t="n">
        <v>5.103</v>
      </c>
      <c r="H264" t="n">
        <v>5.953</v>
      </c>
      <c r="I264" t="n">
        <v>10.205</v>
      </c>
      <c r="J264" t="n">
        <v>8.504</v>
      </c>
      <c r="K264" t="n">
        <v>12.756</v>
      </c>
      <c r="L264" t="n">
        <v>11.056</v>
      </c>
      <c r="M264" t="n">
        <v>17.859</v>
      </c>
      <c r="N264" t="n">
        <v>16.158</v>
      </c>
      <c r="O264" t="n">
        <v>17.009</v>
      </c>
      <c r="P264" t="n">
        <v>15.308</v>
      </c>
      <c r="Q264" t="n">
        <v>25.513</v>
      </c>
      <c r="R264" t="n">
        <v>20.41</v>
      </c>
      <c r="S264" t="n">
        <v>41.671</v>
      </c>
      <c r="T264" t="n">
        <v>22.962</v>
      </c>
      <c r="U264" t="n">
        <v>27.214</v>
      </c>
      <c r="V264" t="n">
        <v>29.765</v>
      </c>
      <c r="W264" t="n">
        <v>22.111</v>
      </c>
      <c r="X264" t="n">
        <v>34.017</v>
      </c>
      <c r="Y264" t="n">
        <v>29.765</v>
      </c>
      <c r="Z264" t="n">
        <v>27.214</v>
      </c>
      <c r="AA264" t="n">
        <v>31.466</v>
      </c>
      <c r="AB264" t="n">
        <v>28.064</v>
      </c>
      <c r="AC264" t="n">
        <v>45.073</v>
      </c>
      <c r="AD264" t="n">
        <v>52.658</v>
      </c>
      <c r="AE264" t="n">
        <v>60.797</v>
      </c>
      <c r="AF264" t="n">
        <v>51.791</v>
      </c>
      <c r="AG264" t="n">
        <v>61.818</v>
      </c>
      <c r="AH264" t="n">
        <v>46.654</v>
      </c>
      <c r="AI264" t="n">
        <v>42.096</v>
      </c>
      <c r="AJ264" t="n">
        <v>61.061</v>
      </c>
      <c r="AK264" t="n">
        <v>84.949</v>
      </c>
      <c r="AL264" t="n">
        <v>65.33</v>
      </c>
      <c r="AM264" t="n">
        <v>63.467</v>
      </c>
      <c r="AN264" t="n">
        <v>40.684</v>
      </c>
      <c r="AO264" t="n">
        <v>41.833</v>
      </c>
      <c r="AP264" t="n">
        <v>43.287</v>
      </c>
      <c r="AQ264" t="n">
        <v>44.979</v>
      </c>
      <c r="AR264" t="n">
        <v>45.642</v>
      </c>
      <c r="AS264" t="n">
        <v>43.355</v>
      </c>
      <c r="AT264" t="n">
        <v>50.728</v>
      </c>
      <c r="AU264" t="n">
        <v>66.18899999999999</v>
      </c>
      <c r="AV264" t="n">
        <v>64.624</v>
      </c>
      <c r="AW264" t="n">
        <v>29.524</v>
      </c>
      <c r="AX264" t="n">
        <v>62.837</v>
      </c>
      <c r="AY264" t="n">
        <v>54.385</v>
      </c>
      <c r="AZ264" t="n">
        <v>53.908</v>
      </c>
      <c r="BA264" t="n">
        <v>66.07299999999999</v>
      </c>
      <c r="BB264" t="n">
        <v>43.466</v>
      </c>
      <c r="BC264" t="n">
        <v>88.158</v>
      </c>
      <c r="BD264" t="n">
        <v>99.72799999999999</v>
      </c>
      <c r="BE264" t="n">
        <v>70.158</v>
      </c>
      <c r="BF264" t="n">
        <v>199.22</v>
      </c>
      <c r="BG264" t="n">
        <v>125.202</v>
      </c>
      <c r="BH264" t="n">
        <v>10.025</v>
      </c>
      <c r="BI264" t="n">
        <v>31.576</v>
      </c>
      <c r="BJ264" t="n">
        <v>50.396</v>
      </c>
      <c r="BK264" t="n">
        <v>72.444</v>
      </c>
      <c r="BL264" t="n">
        <v>81.176</v>
      </c>
      <c r="BM264" t="n">
        <v>97.535</v>
      </c>
      <c r="BN264" t="n">
        <v>74.473</v>
      </c>
      <c r="BO264" t="n">
        <v>90.155</v>
      </c>
      <c r="BP264" t="n">
        <v>114.016</v>
      </c>
      <c r="BQ264" t="n">
        <v>195.992</v>
      </c>
      <c r="BR264" t="n">
        <v>186.89</v>
      </c>
      <c r="BS264" t="n">
        <v>229.139</v>
      </c>
      <c r="BT264" t="n">
        <v>182.462</v>
      </c>
      <c r="BU264" t="n">
        <v>186.767</v>
      </c>
      <c r="BV264" t="n">
        <v>190.642</v>
      </c>
    </row>
    <row r="265">
      <c r="A265" t="inlineStr">
        <is>
          <t>Carcharhinus sorrah</t>
        </is>
      </c>
      <c r="B265" t="inlineStr">
        <is>
          <t>Spottail shark</t>
        </is>
      </c>
      <c r="C265" t="inlineStr">
        <is>
          <t>Large sharks (&gt;=90 cm)</t>
        </is>
      </c>
      <c r="D265" t="inlineStr">
        <is>
          <t>Sharks &amp; rays</t>
        </is>
      </c>
      <c r="E265" t="n">
        <v>0.287</v>
      </c>
      <c r="F265" t="n">
        <v>0.227</v>
      </c>
      <c r="G265" t="n">
        <v>0.034</v>
      </c>
      <c r="H265" t="n">
        <v>0.033</v>
      </c>
      <c r="I265" t="n">
        <v>0.007</v>
      </c>
      <c r="J265" t="n">
        <v>0.275</v>
      </c>
      <c r="K265" t="n">
        <v>0.373</v>
      </c>
      <c r="L265" t="n">
        <v>0.357</v>
      </c>
      <c r="M265" t="n">
        <v>0.368</v>
      </c>
      <c r="N265" t="n">
        <v>0.351</v>
      </c>
      <c r="O265" t="n">
        <v>0.399</v>
      </c>
      <c r="P265" t="n">
        <v>0.5610000000000001</v>
      </c>
      <c r="Q265" t="n">
        <v>0.185</v>
      </c>
      <c r="R265" t="n">
        <v>0.336</v>
      </c>
      <c r="S265" t="n">
        <v>0.267</v>
      </c>
      <c r="T265" t="n">
        <v>0.209</v>
      </c>
      <c r="U265" t="n">
        <v>0.052</v>
      </c>
      <c r="V265" t="n">
        <v>0.062</v>
      </c>
      <c r="W265" t="n">
        <v>0.07000000000000001</v>
      </c>
      <c r="X265" t="n">
        <v>0.098</v>
      </c>
      <c r="Y265" t="n">
        <v>0.108</v>
      </c>
      <c r="Z265" t="n">
        <v>0.165</v>
      </c>
      <c r="AA265" t="n">
        <v>0.126</v>
      </c>
      <c r="AB265" t="n">
        <v>0.196</v>
      </c>
      <c r="AC265" t="n">
        <v>0.148</v>
      </c>
      <c r="AD265" t="n">
        <v>0.194</v>
      </c>
      <c r="AE265" t="n">
        <v>0.251</v>
      </c>
      <c r="AF265" t="n">
        <v>0.547</v>
      </c>
      <c r="AG265" t="n">
        <v>4.701</v>
      </c>
      <c r="AH265" t="n">
        <v>2.261</v>
      </c>
      <c r="AI265" t="n">
        <v>2.76</v>
      </c>
      <c r="AJ265" t="n">
        <v>2.165</v>
      </c>
      <c r="AK265" t="n">
        <v>2.063</v>
      </c>
      <c r="AL265" t="n">
        <v>0.228</v>
      </c>
      <c r="AM265" t="n">
        <v>0.503</v>
      </c>
      <c r="AN265" t="n">
        <v>0.652</v>
      </c>
      <c r="AO265" t="n">
        <v>4.13</v>
      </c>
      <c r="AP265" t="n">
        <v>10.545</v>
      </c>
      <c r="AQ265" t="n">
        <v>19.697</v>
      </c>
      <c r="AR265" t="n">
        <v>23.373</v>
      </c>
      <c r="AS265" t="n">
        <v>28.78</v>
      </c>
      <c r="AT265" t="n">
        <v>47.895</v>
      </c>
      <c r="AU265" t="n">
        <v>47.039</v>
      </c>
      <c r="AV265" t="n">
        <v>70.65000000000001</v>
      </c>
      <c r="AW265" t="n">
        <v>93.099</v>
      </c>
      <c r="AX265" t="n">
        <v>106.424</v>
      </c>
      <c r="AY265" t="n">
        <v>90.611</v>
      </c>
      <c r="AZ265" t="n">
        <v>100.74</v>
      </c>
      <c r="BA265" t="n">
        <v>364.653</v>
      </c>
      <c r="BB265" t="n">
        <v>144.247</v>
      </c>
      <c r="BC265" t="n">
        <v>162.689</v>
      </c>
      <c r="BD265" t="n">
        <v>179.02</v>
      </c>
      <c r="BE265" t="n">
        <v>165.816</v>
      </c>
      <c r="BF265" t="n">
        <v>163.098</v>
      </c>
      <c r="BG265" t="n">
        <v>209.68</v>
      </c>
      <c r="BH265" t="n">
        <v>230.754</v>
      </c>
      <c r="BI265" t="n">
        <v>188.528</v>
      </c>
      <c r="BJ265" t="n">
        <v>184.143</v>
      </c>
      <c r="BK265" t="n">
        <v>190.751</v>
      </c>
      <c r="BL265" t="n">
        <v>125.863</v>
      </c>
      <c r="BM265" t="n">
        <v>138.942</v>
      </c>
      <c r="BN265" t="n">
        <v>115.011</v>
      </c>
      <c r="BO265" t="n">
        <v>128.565</v>
      </c>
      <c r="BP265" t="n">
        <v>105.434</v>
      </c>
      <c r="BQ265" t="n">
        <v>107.872</v>
      </c>
      <c r="BR265" t="n">
        <v>115.323</v>
      </c>
      <c r="BS265" t="n">
        <v>118.114</v>
      </c>
      <c r="BT265" t="n">
        <v>126.833</v>
      </c>
      <c r="BU265" t="n">
        <v>134.038</v>
      </c>
      <c r="BV265" t="n">
        <v>137.762</v>
      </c>
    </row>
    <row r="266">
      <c r="A266" t="inlineStr">
        <is>
          <t>Carcharhinus limbatus</t>
        </is>
      </c>
      <c r="B266" t="inlineStr">
        <is>
          <t>Blacktip shark</t>
        </is>
      </c>
      <c r="C266" t="inlineStr">
        <is>
          <t>Large sharks (&gt;=90 cm)</t>
        </is>
      </c>
      <c r="D266" t="inlineStr">
        <is>
          <t>Sharks &amp; rays</t>
        </is>
      </c>
      <c r="E266" t="n">
        <v>0.287</v>
      </c>
      <c r="F266" t="n">
        <v>0.226</v>
      </c>
      <c r="G266" t="n">
        <v>0.034</v>
      </c>
      <c r="H266" t="n">
        <v>0.033</v>
      </c>
      <c r="I266" t="n">
        <v>0.007</v>
      </c>
      <c r="J266" t="n">
        <v>0.274</v>
      </c>
      <c r="K266" t="n">
        <v>0.371</v>
      </c>
      <c r="L266" t="n">
        <v>0.356</v>
      </c>
      <c r="M266" t="n">
        <v>0.367</v>
      </c>
      <c r="N266" t="n">
        <v>0.35</v>
      </c>
      <c r="O266" t="n">
        <v>0.398</v>
      </c>
      <c r="P266" t="n">
        <v>0.5590000000000001</v>
      </c>
      <c r="Q266" t="n">
        <v>0.185</v>
      </c>
      <c r="R266" t="n">
        <v>0.335</v>
      </c>
      <c r="S266" t="n">
        <v>0.267</v>
      </c>
      <c r="T266" t="n">
        <v>0.208</v>
      </c>
      <c r="U266" t="n">
        <v>0.052</v>
      </c>
      <c r="V266" t="n">
        <v>0.062</v>
      </c>
      <c r="W266" t="n">
        <v>0.07000000000000001</v>
      </c>
      <c r="X266" t="n">
        <v>0.098</v>
      </c>
      <c r="Y266" t="n">
        <v>0.108</v>
      </c>
      <c r="Z266" t="n">
        <v>0.164</v>
      </c>
      <c r="AA266" t="n">
        <v>0.126</v>
      </c>
      <c r="AB266" t="n">
        <v>0.196</v>
      </c>
      <c r="AC266" t="n">
        <v>0.147</v>
      </c>
      <c r="AD266" t="n">
        <v>0.193</v>
      </c>
      <c r="AE266" t="n">
        <v>0.25</v>
      </c>
      <c r="AF266" t="n">
        <v>0.545</v>
      </c>
      <c r="AG266" t="n">
        <v>4.686</v>
      </c>
      <c r="AH266" t="n">
        <v>2.254</v>
      </c>
      <c r="AI266" t="n">
        <v>2.751</v>
      </c>
      <c r="AJ266" t="n">
        <v>2.158</v>
      </c>
      <c r="AK266" t="n">
        <v>2.056</v>
      </c>
      <c r="AL266" t="n">
        <v>0.228</v>
      </c>
      <c r="AM266" t="n">
        <v>0.501</v>
      </c>
      <c r="AN266" t="n">
        <v>0.65</v>
      </c>
      <c r="AO266" t="n">
        <v>4.116</v>
      </c>
      <c r="AP266" t="n">
        <v>10.511</v>
      </c>
      <c r="AQ266" t="n">
        <v>19.632</v>
      </c>
      <c r="AR266" t="n">
        <v>23.296</v>
      </c>
      <c r="AS266" t="n">
        <v>28.686</v>
      </c>
      <c r="AT266" t="n">
        <v>47.738</v>
      </c>
      <c r="AU266" t="n">
        <v>46.886</v>
      </c>
      <c r="AV266" t="n">
        <v>70.419</v>
      </c>
      <c r="AW266" t="n">
        <v>92.795</v>
      </c>
      <c r="AX266" t="n">
        <v>106.077</v>
      </c>
      <c r="AY266" t="n">
        <v>90.315</v>
      </c>
      <c r="AZ266" t="n">
        <v>100.411</v>
      </c>
      <c r="BA266" t="n">
        <v>363.461</v>
      </c>
      <c r="BB266" t="n">
        <v>143.775</v>
      </c>
      <c r="BC266" t="n">
        <v>162.158</v>
      </c>
      <c r="BD266" t="n">
        <v>178.435</v>
      </c>
      <c r="BE266" t="n">
        <v>165.274</v>
      </c>
      <c r="BF266" t="n">
        <v>162.565</v>
      </c>
      <c r="BG266" t="n">
        <v>208.995</v>
      </c>
      <c r="BH266" t="n">
        <v>230</v>
      </c>
      <c r="BI266" t="n">
        <v>187.912</v>
      </c>
      <c r="BJ266" t="n">
        <v>183.542</v>
      </c>
      <c r="BK266" t="n">
        <v>190.127</v>
      </c>
      <c r="BL266" t="n">
        <v>125.452</v>
      </c>
      <c r="BM266" t="n">
        <v>138.538</v>
      </c>
      <c r="BN266" t="n">
        <v>115.355</v>
      </c>
      <c r="BO266" t="n">
        <v>128.232</v>
      </c>
      <c r="BP266" t="n">
        <v>87.571</v>
      </c>
      <c r="BQ266" t="n">
        <v>98.29900000000001</v>
      </c>
      <c r="BR266" t="n">
        <v>114.946</v>
      </c>
      <c r="BS266" t="n">
        <v>117.728</v>
      </c>
      <c r="BT266" t="n">
        <v>124.574</v>
      </c>
      <c r="BU266" t="n">
        <v>133.85</v>
      </c>
      <c r="BV266" t="n">
        <v>137.312</v>
      </c>
    </row>
    <row r="267">
      <c r="A267" t="inlineStr">
        <is>
          <t>Carcharhinus albimarginatus</t>
        </is>
      </c>
      <c r="B267" t="inlineStr">
        <is>
          <t>Silvertip shark</t>
        </is>
      </c>
      <c r="C267" t="inlineStr">
        <is>
          <t>Large sharks (&gt;=90 cm)</t>
        </is>
      </c>
      <c r="D267" t="inlineStr">
        <is>
          <t>Sharks &amp; rays</t>
        </is>
      </c>
      <c r="E267" t="n">
        <v>0.286</v>
      </c>
      <c r="F267" t="n">
        <v>0.226</v>
      </c>
      <c r="G267" t="n">
        <v>0.034</v>
      </c>
      <c r="H267" t="n">
        <v>0.033</v>
      </c>
      <c r="I267" t="n">
        <v>0.007</v>
      </c>
      <c r="J267" t="n">
        <v>0.274</v>
      </c>
      <c r="K267" t="n">
        <v>0.371</v>
      </c>
      <c r="L267" t="n">
        <v>0.356</v>
      </c>
      <c r="M267" t="n">
        <v>0.367</v>
      </c>
      <c r="N267" t="n">
        <v>0.35</v>
      </c>
      <c r="O267" t="n">
        <v>0.398</v>
      </c>
      <c r="P267" t="n">
        <v>0.5590000000000001</v>
      </c>
      <c r="Q267" t="n">
        <v>0.185</v>
      </c>
      <c r="R267" t="n">
        <v>0.335</v>
      </c>
      <c r="S267" t="n">
        <v>0.267</v>
      </c>
      <c r="T267" t="n">
        <v>0.208</v>
      </c>
      <c r="U267" t="n">
        <v>0.052</v>
      </c>
      <c r="V267" t="n">
        <v>0.062</v>
      </c>
      <c r="W267" t="n">
        <v>0.07000000000000001</v>
      </c>
      <c r="X267" t="n">
        <v>0.098</v>
      </c>
      <c r="Y267" t="n">
        <v>0.107</v>
      </c>
      <c r="Z267" t="n">
        <v>0.164</v>
      </c>
      <c r="AA267" t="n">
        <v>0.126</v>
      </c>
      <c r="AB267" t="n">
        <v>0.196</v>
      </c>
      <c r="AC267" t="n">
        <v>0.147</v>
      </c>
      <c r="AD267" t="n">
        <v>0.193</v>
      </c>
      <c r="AE267" t="n">
        <v>0.25</v>
      </c>
      <c r="AF267" t="n">
        <v>0.545</v>
      </c>
      <c r="AG267" t="n">
        <v>4.685</v>
      </c>
      <c r="AH267" t="n">
        <v>2.253</v>
      </c>
      <c r="AI267" t="n">
        <v>2.751</v>
      </c>
      <c r="AJ267" t="n">
        <v>2.157</v>
      </c>
      <c r="AK267" t="n">
        <v>2.056</v>
      </c>
      <c r="AL267" t="n">
        <v>0.228</v>
      </c>
      <c r="AM267" t="n">
        <v>0.501</v>
      </c>
      <c r="AN267" t="n">
        <v>0.65</v>
      </c>
      <c r="AO267" t="n">
        <v>4.116</v>
      </c>
      <c r="AP267" t="n">
        <v>10.509</v>
      </c>
      <c r="AQ267" t="n">
        <v>19.63</v>
      </c>
      <c r="AR267" t="n">
        <v>23.293</v>
      </c>
      <c r="AS267" t="n">
        <v>28.682</v>
      </c>
      <c r="AT267" t="n">
        <v>47.732</v>
      </c>
      <c r="AU267" t="n">
        <v>46.879</v>
      </c>
      <c r="AV267" t="n">
        <v>70.41</v>
      </c>
      <c r="AW267" t="n">
        <v>92.782</v>
      </c>
      <c r="AX267" t="n">
        <v>106.062</v>
      </c>
      <c r="AY267" t="n">
        <v>90.303</v>
      </c>
      <c r="AZ267" t="n">
        <v>100.397</v>
      </c>
      <c r="BA267" t="n">
        <v>363.411</v>
      </c>
      <c r="BB267" t="n">
        <v>143.756</v>
      </c>
      <c r="BC267" t="n">
        <v>162.136</v>
      </c>
      <c r="BD267" t="n">
        <v>178.41</v>
      </c>
      <c r="BE267" t="n">
        <v>165.252</v>
      </c>
      <c r="BF267" t="n">
        <v>162.543</v>
      </c>
      <c r="BG267" t="n">
        <v>208.966</v>
      </c>
      <c r="BH267" t="n">
        <v>229.969</v>
      </c>
      <c r="BI267" t="n">
        <v>187.886</v>
      </c>
      <c r="BJ267" t="n">
        <v>183.517</v>
      </c>
      <c r="BK267" t="n">
        <v>190.101</v>
      </c>
      <c r="BL267" t="n">
        <v>125.447</v>
      </c>
      <c r="BM267" t="n">
        <v>138.47</v>
      </c>
      <c r="BN267" t="n">
        <v>115</v>
      </c>
      <c r="BO267" t="n">
        <v>128.128</v>
      </c>
      <c r="BP267" t="n">
        <v>87.559</v>
      </c>
      <c r="BQ267" t="n">
        <v>98.285</v>
      </c>
      <c r="BR267" t="n">
        <v>114.93</v>
      </c>
      <c r="BS267" t="n">
        <v>117.712</v>
      </c>
      <c r="BT267" t="n">
        <v>124.557</v>
      </c>
      <c r="BU267" t="n">
        <v>133.582</v>
      </c>
      <c r="BV267" t="n">
        <v>137.294</v>
      </c>
    </row>
    <row r="268">
      <c r="A268" t="inlineStr">
        <is>
          <t>Carcharhinus melanopterus</t>
        </is>
      </c>
      <c r="B268" t="inlineStr">
        <is>
          <t>Blacktip reef shark</t>
        </is>
      </c>
      <c r="C268" t="inlineStr">
        <is>
          <t>Large sharks (&gt;=90 cm)</t>
        </is>
      </c>
      <c r="D268" t="inlineStr">
        <is>
          <t>Sharks &amp; rays</t>
        </is>
      </c>
      <c r="E268" t="n">
        <v>0.286</v>
      </c>
      <c r="F268" t="n">
        <v>0.226</v>
      </c>
      <c r="G268" t="n">
        <v>0.034</v>
      </c>
      <c r="H268" t="n">
        <v>0.033</v>
      </c>
      <c r="I268" t="n">
        <v>0.007</v>
      </c>
      <c r="J268" t="n">
        <v>0.274</v>
      </c>
      <c r="K268" t="n">
        <v>0.371</v>
      </c>
      <c r="L268" t="n">
        <v>0.356</v>
      </c>
      <c r="M268" t="n">
        <v>0.367</v>
      </c>
      <c r="N268" t="n">
        <v>0.35</v>
      </c>
      <c r="O268" t="n">
        <v>0.398</v>
      </c>
      <c r="P268" t="n">
        <v>0.5590000000000001</v>
      </c>
      <c r="Q268" t="n">
        <v>0.185</v>
      </c>
      <c r="R268" t="n">
        <v>0.335</v>
      </c>
      <c r="S268" t="n">
        <v>0.267</v>
      </c>
      <c r="T268" t="n">
        <v>0.208</v>
      </c>
      <c r="U268" t="n">
        <v>0.052</v>
      </c>
      <c r="V268" t="n">
        <v>0.062</v>
      </c>
      <c r="W268" t="n">
        <v>0.07000000000000001</v>
      </c>
      <c r="X268" t="n">
        <v>0.098</v>
      </c>
      <c r="Y268" t="n">
        <v>0.108</v>
      </c>
      <c r="Z268" t="n">
        <v>0.164</v>
      </c>
      <c r="AA268" t="n">
        <v>0.126</v>
      </c>
      <c r="AB268" t="n">
        <v>0.196</v>
      </c>
      <c r="AC268" t="n">
        <v>0.147</v>
      </c>
      <c r="AD268" t="n">
        <v>0.193</v>
      </c>
      <c r="AE268" t="n">
        <v>0.25</v>
      </c>
      <c r="AF268" t="n">
        <v>0.545</v>
      </c>
      <c r="AG268" t="n">
        <v>4.686</v>
      </c>
      <c r="AH268" t="n">
        <v>2.254</v>
      </c>
      <c r="AI268" t="n">
        <v>2.751</v>
      </c>
      <c r="AJ268" t="n">
        <v>2.158</v>
      </c>
      <c r="AK268" t="n">
        <v>2.056</v>
      </c>
      <c r="AL268" t="n">
        <v>0.228</v>
      </c>
      <c r="AM268" t="n">
        <v>0.501</v>
      </c>
      <c r="AN268" t="n">
        <v>0.65</v>
      </c>
      <c r="AO268" t="n">
        <v>4.116</v>
      </c>
      <c r="AP268" t="n">
        <v>10.51</v>
      </c>
      <c r="AQ268" t="n">
        <v>19.632</v>
      </c>
      <c r="AR268" t="n">
        <v>23.295</v>
      </c>
      <c r="AS268" t="n">
        <v>28.685</v>
      </c>
      <c r="AT268" t="n">
        <v>47.736</v>
      </c>
      <c r="AU268" t="n">
        <v>46.883</v>
      </c>
      <c r="AV268" t="n">
        <v>70.416</v>
      </c>
      <c r="AW268" t="n">
        <v>92.79000000000001</v>
      </c>
      <c r="AX268" t="n">
        <v>106.072</v>
      </c>
      <c r="AY268" t="n">
        <v>90.31100000000001</v>
      </c>
      <c r="AZ268" t="n">
        <v>100.406</v>
      </c>
      <c r="BA268" t="n">
        <v>363.444</v>
      </c>
      <c r="BB268" t="n">
        <v>143.768</v>
      </c>
      <c r="BC268" t="n">
        <v>162.15</v>
      </c>
      <c r="BD268" t="n">
        <v>178.426</v>
      </c>
      <c r="BE268" t="n">
        <v>165.266</v>
      </c>
      <c r="BF268" t="n">
        <v>162.557</v>
      </c>
      <c r="BG268" t="n">
        <v>208.985</v>
      </c>
      <c r="BH268" t="n">
        <v>229.989</v>
      </c>
      <c r="BI268" t="n">
        <v>187.903</v>
      </c>
      <c r="BJ268" t="n">
        <v>183.533</v>
      </c>
      <c r="BK268" t="n">
        <v>190.118</v>
      </c>
      <c r="BL268" t="n">
        <v>125.446</v>
      </c>
      <c r="BM268" t="n">
        <v>138.482</v>
      </c>
      <c r="BN268" t="n">
        <v>114.63</v>
      </c>
      <c r="BO268" t="n">
        <v>128.139</v>
      </c>
      <c r="BP268" t="n">
        <v>87.56699999999999</v>
      </c>
      <c r="BQ268" t="n">
        <v>98.294</v>
      </c>
      <c r="BR268" t="n">
        <v>114.94</v>
      </c>
      <c r="BS268" t="n">
        <v>117.722</v>
      </c>
      <c r="BT268" t="n">
        <v>124.568</v>
      </c>
      <c r="BU268" t="n">
        <v>133.594</v>
      </c>
      <c r="BV268" t="n">
        <v>137.306</v>
      </c>
    </row>
    <row r="269">
      <c r="A269" t="inlineStr">
        <is>
          <t>Carcharhinus amblyrhynchos</t>
        </is>
      </c>
      <c r="B269" t="inlineStr">
        <is>
          <t>Blacktail reef shark</t>
        </is>
      </c>
      <c r="C269" t="inlineStr">
        <is>
          <t>Large sharks (&gt;=90 cm)</t>
        </is>
      </c>
      <c r="D269" t="inlineStr">
        <is>
          <t>Sharks &amp; rays</t>
        </is>
      </c>
      <c r="E269" t="n">
        <v>0.286</v>
      </c>
      <c r="F269" t="n">
        <v>0.226</v>
      </c>
      <c r="G269" t="n">
        <v>0.034</v>
      </c>
      <c r="H269" t="n">
        <v>0.033</v>
      </c>
      <c r="I269" t="n">
        <v>0.007</v>
      </c>
      <c r="J269" t="n">
        <v>0.274</v>
      </c>
      <c r="K269" t="n">
        <v>0.371</v>
      </c>
      <c r="L269" t="n">
        <v>0.356</v>
      </c>
      <c r="M269" t="n">
        <v>0.367</v>
      </c>
      <c r="N269" t="n">
        <v>0.35</v>
      </c>
      <c r="O269" t="n">
        <v>0.398</v>
      </c>
      <c r="P269" t="n">
        <v>0.5590000000000001</v>
      </c>
      <c r="Q269" t="n">
        <v>0.185</v>
      </c>
      <c r="R269" t="n">
        <v>0.335</v>
      </c>
      <c r="S269" t="n">
        <v>0.267</v>
      </c>
      <c r="T269" t="n">
        <v>0.208</v>
      </c>
      <c r="U269" t="n">
        <v>0.052</v>
      </c>
      <c r="V269" t="n">
        <v>0.062</v>
      </c>
      <c r="W269" t="n">
        <v>0.07000000000000001</v>
      </c>
      <c r="X269" t="n">
        <v>0.098</v>
      </c>
      <c r="Y269" t="n">
        <v>0.107</v>
      </c>
      <c r="Z269" t="n">
        <v>0.164</v>
      </c>
      <c r="AA269" t="n">
        <v>0.126</v>
      </c>
      <c r="AB269" t="n">
        <v>0.196</v>
      </c>
      <c r="AC269" t="n">
        <v>0.147</v>
      </c>
      <c r="AD269" t="n">
        <v>0.193</v>
      </c>
      <c r="AE269" t="n">
        <v>0.25</v>
      </c>
      <c r="AF269" t="n">
        <v>0.545</v>
      </c>
      <c r="AG269" t="n">
        <v>4.685</v>
      </c>
      <c r="AH269" t="n">
        <v>2.253</v>
      </c>
      <c r="AI269" t="n">
        <v>2.751</v>
      </c>
      <c r="AJ269" t="n">
        <v>2.157</v>
      </c>
      <c r="AK269" t="n">
        <v>2.056</v>
      </c>
      <c r="AL269" t="n">
        <v>0.228</v>
      </c>
      <c r="AM269" t="n">
        <v>0.501</v>
      </c>
      <c r="AN269" t="n">
        <v>0.65</v>
      </c>
      <c r="AO269" t="n">
        <v>4.116</v>
      </c>
      <c r="AP269" t="n">
        <v>10.51</v>
      </c>
      <c r="AQ269" t="n">
        <v>19.63</v>
      </c>
      <c r="AR269" t="n">
        <v>23.293</v>
      </c>
      <c r="AS269" t="n">
        <v>28.683</v>
      </c>
      <c r="AT269" t="n">
        <v>47.732</v>
      </c>
      <c r="AU269" t="n">
        <v>46.88</v>
      </c>
      <c r="AV269" t="n">
        <v>70.41</v>
      </c>
      <c r="AW269" t="n">
        <v>92.783</v>
      </c>
      <c r="AX269" t="n">
        <v>106.063</v>
      </c>
      <c r="AY269" t="n">
        <v>90.304</v>
      </c>
      <c r="AZ269" t="n">
        <v>100.399</v>
      </c>
      <c r="BA269" t="n">
        <v>363.416</v>
      </c>
      <c r="BB269" t="n">
        <v>143.757</v>
      </c>
      <c r="BC269" t="n">
        <v>162.138</v>
      </c>
      <c r="BD269" t="n">
        <v>178.413</v>
      </c>
      <c r="BE269" t="n">
        <v>165.254</v>
      </c>
      <c r="BF269" t="n">
        <v>162.545</v>
      </c>
      <c r="BG269" t="n">
        <v>208.969</v>
      </c>
      <c r="BH269" t="n">
        <v>229.972</v>
      </c>
      <c r="BI269" t="n">
        <v>187.889</v>
      </c>
      <c r="BJ269" t="n">
        <v>183.519</v>
      </c>
      <c r="BK269" t="n">
        <v>190.104</v>
      </c>
      <c r="BL269" t="n">
        <v>125.436</v>
      </c>
      <c r="BM269" t="n">
        <v>138.471</v>
      </c>
      <c r="BN269" t="n">
        <v>114.621</v>
      </c>
      <c r="BO269" t="n">
        <v>128.129</v>
      </c>
      <c r="BP269" t="n">
        <v>87.56</v>
      </c>
      <c r="BQ269" t="n">
        <v>98.28700000000001</v>
      </c>
      <c r="BR269" t="n">
        <v>114.932</v>
      </c>
      <c r="BS269" t="n">
        <v>117.713</v>
      </c>
      <c r="BT269" t="n">
        <v>124.559</v>
      </c>
      <c r="BU269" t="n">
        <v>133.583</v>
      </c>
      <c r="BV269" t="n">
        <v>137.295</v>
      </c>
    </row>
    <row r="270">
      <c r="A270" t="inlineStr">
        <is>
          <t>Galeocerdo cuvier</t>
        </is>
      </c>
      <c r="B270" t="inlineStr">
        <is>
          <t>Tiger shark</t>
        </is>
      </c>
      <c r="C270" t="inlineStr">
        <is>
          <t>Large sharks (&gt;=90 cm)</t>
        </is>
      </c>
      <c r="D270" t="inlineStr">
        <is>
          <t>Sharks &amp; rays</t>
        </is>
      </c>
      <c r="E270" t="n">
        <v>0.287</v>
      </c>
      <c r="F270" t="n">
        <v>0.226</v>
      </c>
      <c r="G270" t="n">
        <v>0.034</v>
      </c>
      <c r="H270" t="n">
        <v>0.033</v>
      </c>
      <c r="I270" t="n">
        <v>0.007</v>
      </c>
      <c r="J270" t="n">
        <v>0.274</v>
      </c>
      <c r="K270" t="n">
        <v>0.371</v>
      </c>
      <c r="L270" t="n">
        <v>0.356</v>
      </c>
      <c r="M270" t="n">
        <v>0.367</v>
      </c>
      <c r="N270" t="n">
        <v>0.35</v>
      </c>
      <c r="O270" t="n">
        <v>0.398</v>
      </c>
      <c r="P270" t="n">
        <v>0.5590000000000001</v>
      </c>
      <c r="Q270" t="n">
        <v>0.185</v>
      </c>
      <c r="R270" t="n">
        <v>0.335</v>
      </c>
      <c r="S270" t="n">
        <v>0.267</v>
      </c>
      <c r="T270" t="n">
        <v>0.208</v>
      </c>
      <c r="U270" t="n">
        <v>0.052</v>
      </c>
      <c r="V270" t="n">
        <v>0.062</v>
      </c>
      <c r="W270" t="n">
        <v>0.07000000000000001</v>
      </c>
      <c r="X270" t="n">
        <v>0.098</v>
      </c>
      <c r="Y270" t="n">
        <v>0.108</v>
      </c>
      <c r="Z270" t="n">
        <v>0.164</v>
      </c>
      <c r="AA270" t="n">
        <v>0.126</v>
      </c>
      <c r="AB270" t="n">
        <v>0.196</v>
      </c>
      <c r="AC270" t="n">
        <v>0.147</v>
      </c>
      <c r="AD270" t="n">
        <v>0.193</v>
      </c>
      <c r="AE270" t="n">
        <v>0.25</v>
      </c>
      <c r="AF270" t="n">
        <v>0.545</v>
      </c>
      <c r="AG270" t="n">
        <v>4.686</v>
      </c>
      <c r="AH270" t="n">
        <v>2.254</v>
      </c>
      <c r="AI270" t="n">
        <v>2.751</v>
      </c>
      <c r="AJ270" t="n">
        <v>2.158</v>
      </c>
      <c r="AK270" t="n">
        <v>2.056</v>
      </c>
      <c r="AL270" t="n">
        <v>0.228</v>
      </c>
      <c r="AM270" t="n">
        <v>0.501</v>
      </c>
      <c r="AN270" t="n">
        <v>0.65</v>
      </c>
      <c r="AO270" t="n">
        <v>4.116</v>
      </c>
      <c r="AP270" t="n">
        <v>10.511</v>
      </c>
      <c r="AQ270" t="n">
        <v>19.632</v>
      </c>
      <c r="AR270" t="n">
        <v>23.296</v>
      </c>
      <c r="AS270" t="n">
        <v>28.686</v>
      </c>
      <c r="AT270" t="n">
        <v>47.738</v>
      </c>
      <c r="AU270" t="n">
        <v>46.886</v>
      </c>
      <c r="AV270" t="n">
        <v>70.419</v>
      </c>
      <c r="AW270" t="n">
        <v>92.795</v>
      </c>
      <c r="AX270" t="n">
        <v>106.077</v>
      </c>
      <c r="AY270" t="n">
        <v>90.315</v>
      </c>
      <c r="AZ270" t="n">
        <v>100.411</v>
      </c>
      <c r="BA270" t="n">
        <v>363.461</v>
      </c>
      <c r="BB270" t="n">
        <v>143.775</v>
      </c>
      <c r="BC270" t="n">
        <v>162.158</v>
      </c>
      <c r="BD270" t="n">
        <v>177.889</v>
      </c>
      <c r="BE270" t="n">
        <v>164.26</v>
      </c>
      <c r="BF270" t="n">
        <v>161.066</v>
      </c>
      <c r="BG270" t="n">
        <v>206.419</v>
      </c>
      <c r="BH270" t="n">
        <v>226.449</v>
      </c>
      <c r="BI270" t="n">
        <v>184.422</v>
      </c>
      <c r="BJ270" t="n">
        <v>179.555</v>
      </c>
      <c r="BK270" t="n">
        <v>185.397</v>
      </c>
      <c r="BL270" t="n">
        <v>121.932</v>
      </c>
      <c r="BM270" t="n">
        <v>134.161</v>
      </c>
      <c r="BN270" t="n">
        <v>111.128</v>
      </c>
      <c r="BO270" t="n">
        <v>124.146</v>
      </c>
      <c r="BP270" t="n">
        <v>84.834</v>
      </c>
      <c r="BQ270" t="n">
        <v>95.227</v>
      </c>
      <c r="BR270" t="n">
        <v>111.354</v>
      </c>
      <c r="BS270" t="n">
        <v>114.049</v>
      </c>
      <c r="BT270" t="n">
        <v>120.681</v>
      </c>
      <c r="BU270" t="n">
        <v>129.425</v>
      </c>
      <c r="BV270" t="n">
        <v>133.021</v>
      </c>
    </row>
    <row r="271">
      <c r="A271" t="inlineStr">
        <is>
          <t>Istiophorus</t>
        </is>
      </c>
      <c r="B271" t="inlineStr">
        <is>
          <t>Sailfishes</t>
        </is>
      </c>
      <c r="C271" t="inlineStr">
        <is>
          <t>Large pelagics (&gt;=90 cm)</t>
        </is>
      </c>
      <c r="D271" t="inlineStr">
        <is>
          <t>Tuna &amp; billfishes</t>
        </is>
      </c>
      <c r="E271" t="n">
        <v>19.934</v>
      </c>
      <c r="F271" t="n">
        <v>18.937</v>
      </c>
      <c r="G271" t="n">
        <v>19.934</v>
      </c>
      <c r="H271" t="n">
        <v>17.941</v>
      </c>
      <c r="I271" t="n">
        <v>18.937</v>
      </c>
      <c r="J271" t="n">
        <v>20.931</v>
      </c>
      <c r="K271" t="n">
        <v>18.937</v>
      </c>
      <c r="L271" t="n">
        <v>20.931</v>
      </c>
      <c r="M271" t="n">
        <v>21.928</v>
      </c>
      <c r="N271" t="n">
        <v>23.921</v>
      </c>
      <c r="O271" t="n">
        <v>26.911</v>
      </c>
      <c r="P271" t="n">
        <v>27.908</v>
      </c>
      <c r="Q271" t="n">
        <v>32.891</v>
      </c>
      <c r="R271" t="n">
        <v>36.878</v>
      </c>
      <c r="S271" t="n">
        <v>38.871</v>
      </c>
      <c r="T271" t="n">
        <v>41.862</v>
      </c>
      <c r="U271" t="n">
        <v>42.858</v>
      </c>
      <c r="V271" t="n">
        <v>52.825</v>
      </c>
      <c r="W271" t="n">
        <v>57.809</v>
      </c>
      <c r="X271" t="n">
        <v>54.819</v>
      </c>
      <c r="Y271" t="n">
        <v>52.825</v>
      </c>
      <c r="Z271" t="n">
        <v>50.832</v>
      </c>
      <c r="AA271" t="n">
        <v>45.848</v>
      </c>
      <c r="AB271" t="n">
        <v>49.835</v>
      </c>
      <c r="AC271" t="n">
        <v>46.845</v>
      </c>
      <c r="AD271" t="n">
        <v>42.858</v>
      </c>
      <c r="AE271" t="n">
        <v>0</v>
      </c>
      <c r="AF271" t="n">
        <v>0</v>
      </c>
      <c r="AG271" t="n">
        <v>0</v>
      </c>
      <c r="AH271" t="n">
        <v>0</v>
      </c>
      <c r="AI271" t="n">
        <v>0</v>
      </c>
      <c r="AJ271" t="n">
        <v>0</v>
      </c>
      <c r="AK271" t="n">
        <v>0</v>
      </c>
      <c r="AL271" t="n">
        <v>0</v>
      </c>
      <c r="AM271" t="n">
        <v>0</v>
      </c>
      <c r="AN271" t="n">
        <v>278.081</v>
      </c>
      <c r="AO271" t="n">
        <v>250.173</v>
      </c>
      <c r="AP271" t="n">
        <v>221.268</v>
      </c>
      <c r="AQ271" t="n">
        <v>170.437</v>
      </c>
      <c r="AR271" t="n">
        <v>226.252</v>
      </c>
      <c r="AS271" t="n">
        <v>0</v>
      </c>
      <c r="AT271" t="n">
        <v>0</v>
      </c>
      <c r="AU271" t="n">
        <v>0</v>
      </c>
      <c r="AV271" t="n">
        <v>0</v>
      </c>
      <c r="AW271" t="n">
        <v>0</v>
      </c>
      <c r="AX271" t="n">
        <v>1.993</v>
      </c>
      <c r="AY271" t="n">
        <v>1.993</v>
      </c>
      <c r="AZ271" t="n">
        <v>1.993</v>
      </c>
      <c r="BA271" t="n">
        <v>0.997</v>
      </c>
      <c r="BB271" t="n">
        <v>1.993</v>
      </c>
      <c r="BC271" t="n">
        <v>0</v>
      </c>
      <c r="BD271" t="n">
        <v>0</v>
      </c>
      <c r="BE271" t="n">
        <v>0</v>
      </c>
      <c r="BF271" t="n">
        <v>0</v>
      </c>
      <c r="BG271" t="n">
        <v>0</v>
      </c>
      <c r="BH271" t="n">
        <v>190.371</v>
      </c>
      <c r="BI271" t="n">
        <v>199.341</v>
      </c>
      <c r="BJ271" t="n">
        <v>227.249</v>
      </c>
      <c r="BK271" t="n">
        <v>238.212</v>
      </c>
      <c r="BL271" t="n">
        <v>59.802</v>
      </c>
      <c r="BM271" t="n">
        <v>57.809</v>
      </c>
      <c r="BN271" t="n">
        <v>53.609</v>
      </c>
      <c r="BO271" t="n">
        <v>54.322</v>
      </c>
      <c r="BP271" t="n">
        <v>53.189</v>
      </c>
      <c r="BQ271" t="n">
        <v>56.629</v>
      </c>
      <c r="BR271" t="n">
        <v>57.43</v>
      </c>
      <c r="BS271" t="n">
        <v>61.721</v>
      </c>
      <c r="BT271" t="n">
        <v>57.075</v>
      </c>
      <c r="BU271" t="n">
        <v>52.455</v>
      </c>
      <c r="BV271" t="n">
        <v>54.753</v>
      </c>
    </row>
    <row r="272">
      <c r="A272" t="inlineStr">
        <is>
          <t>Hyporhamphus</t>
        </is>
      </c>
      <c r="B272" t="inlineStr">
        <is>
          <t>Sea garfishes</t>
        </is>
      </c>
      <c r="C272" t="inlineStr">
        <is>
          <t>Small reef assoc. fish (&lt;30 cm)</t>
        </is>
      </c>
      <c r="D272" t="inlineStr">
        <is>
          <t>Other fishes &amp; inverts</t>
        </is>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239.431</v>
      </c>
      <c r="BI272" t="n">
        <v>253.282</v>
      </c>
      <c r="BJ272" t="n">
        <v>287.911</v>
      </c>
      <c r="BK272" t="n">
        <v>299.783</v>
      </c>
      <c r="BL272" t="n">
        <v>234.483</v>
      </c>
      <c r="BM272" t="n">
        <v>227.557</v>
      </c>
      <c r="BN272" t="n">
        <v>211.085</v>
      </c>
      <c r="BO272" t="n">
        <v>213.897</v>
      </c>
      <c r="BP272" t="n">
        <v>209.42</v>
      </c>
      <c r="BQ272" t="n">
        <v>222.948</v>
      </c>
      <c r="BR272" t="n">
        <v>226.097</v>
      </c>
      <c r="BS272" t="n">
        <v>242.989</v>
      </c>
      <c r="BT272" t="n">
        <v>224.697</v>
      </c>
      <c r="BU272" t="n">
        <v>206.504</v>
      </c>
      <c r="BV272" t="n">
        <v>215.546</v>
      </c>
    </row>
    <row r="273">
      <c r="A273" t="inlineStr">
        <is>
          <t>Lethrinus</t>
        </is>
      </c>
      <c r="B273" t="inlineStr">
        <is>
          <t>Emperors</t>
        </is>
      </c>
      <c r="C273" t="inlineStr">
        <is>
          <t>Medium reef assoc. fish (30 - 89 cm)</t>
        </is>
      </c>
      <c r="D273" t="inlineStr">
        <is>
          <t>Perch-likes</t>
        </is>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116.539</v>
      </c>
      <c r="BI273" t="n">
        <v>123.511</v>
      </c>
      <c r="BJ273" t="n">
        <v>145.424</v>
      </c>
      <c r="BK273" t="n">
        <v>144.426</v>
      </c>
      <c r="BL273" t="n">
        <v>270.135</v>
      </c>
      <c r="BM273" t="n">
        <v>269.184</v>
      </c>
      <c r="BN273" t="n">
        <v>250.368</v>
      </c>
      <c r="BO273" t="n">
        <v>253.774</v>
      </c>
      <c r="BP273" t="n">
        <v>248.258</v>
      </c>
      <c r="BQ273" t="n">
        <v>264.121</v>
      </c>
      <c r="BR273" t="n">
        <v>267.827</v>
      </c>
      <c r="BS273" t="n">
        <v>287.788</v>
      </c>
      <c r="BT273" t="n">
        <v>266.128</v>
      </c>
      <c r="BU273" t="n">
        <v>244.622</v>
      </c>
      <c r="BV273" t="n">
        <v>255.299</v>
      </c>
    </row>
    <row r="274">
      <c r="A274" t="inlineStr">
        <is>
          <t>Sphyrna zygaena</t>
        </is>
      </c>
      <c r="B274" t="inlineStr">
        <is>
          <t>Smooth hammerhead</t>
        </is>
      </c>
      <c r="C274" t="inlineStr">
        <is>
          <t>Large sharks (&gt;=90 cm)</t>
        </is>
      </c>
      <c r="D274" t="inlineStr">
        <is>
          <t>Sharks &amp; rays</t>
        </is>
      </c>
      <c r="E274" t="n">
        <v>0.171</v>
      </c>
      <c r="F274" t="n">
        <v>0.135</v>
      </c>
      <c r="G274" t="n">
        <v>0.02</v>
      </c>
      <c r="H274" t="n">
        <v>0.02</v>
      </c>
      <c r="I274" t="n">
        <v>0.004</v>
      </c>
      <c r="J274" t="n">
        <v>0.164</v>
      </c>
      <c r="K274" t="n">
        <v>0.222</v>
      </c>
      <c r="L274" t="n">
        <v>0.213</v>
      </c>
      <c r="M274" t="n">
        <v>0.219</v>
      </c>
      <c r="N274" t="n">
        <v>0.209</v>
      </c>
      <c r="O274" t="n">
        <v>0.238</v>
      </c>
      <c r="P274" t="n">
        <v>0.334</v>
      </c>
      <c r="Q274" t="n">
        <v>0.11</v>
      </c>
      <c r="R274" t="n">
        <v>0.2</v>
      </c>
      <c r="S274" t="n">
        <v>0.159</v>
      </c>
      <c r="T274" t="n">
        <v>0.124</v>
      </c>
      <c r="U274" t="n">
        <v>0.031</v>
      </c>
      <c r="V274" t="n">
        <v>0.037</v>
      </c>
      <c r="W274" t="n">
        <v>0.042</v>
      </c>
      <c r="X274" t="n">
        <v>0.059</v>
      </c>
      <c r="Y274" t="n">
        <v>0.064</v>
      </c>
      <c r="Z274" t="n">
        <v>0.098</v>
      </c>
      <c r="AA274" t="n">
        <v>0.075</v>
      </c>
      <c r="AB274" t="n">
        <v>0.117</v>
      </c>
      <c r="AC274" t="n">
        <v>0.08799999999999999</v>
      </c>
      <c r="AD274" t="n">
        <v>0.115</v>
      </c>
      <c r="AE274" t="n">
        <v>0.15</v>
      </c>
      <c r="AF274" t="n">
        <v>0.326</v>
      </c>
      <c r="AG274" t="n">
        <v>2.799</v>
      </c>
      <c r="AH274" t="n">
        <v>1.346</v>
      </c>
      <c r="AI274" t="n">
        <v>1.644</v>
      </c>
      <c r="AJ274" t="n">
        <v>1.289</v>
      </c>
      <c r="AK274" t="n">
        <v>1.228</v>
      </c>
      <c r="AL274" t="n">
        <v>0.136</v>
      </c>
      <c r="AM274" t="n">
        <v>0.299</v>
      </c>
      <c r="AN274" t="n">
        <v>0.388</v>
      </c>
      <c r="AO274" t="n">
        <v>2.459</v>
      </c>
      <c r="AP274" t="n">
        <v>6.279</v>
      </c>
      <c r="AQ274" t="n">
        <v>11.729</v>
      </c>
      <c r="AR274" t="n">
        <v>13.917</v>
      </c>
      <c r="AS274" t="n">
        <v>17.137</v>
      </c>
      <c r="AT274" t="n">
        <v>28.519</v>
      </c>
      <c r="AU274" t="n">
        <v>28.01</v>
      </c>
      <c r="AV274" t="n">
        <v>42.069</v>
      </c>
      <c r="AW274" t="n">
        <v>55.436</v>
      </c>
      <c r="AX274" t="n">
        <v>63.371</v>
      </c>
      <c r="AY274" t="n">
        <v>53.955</v>
      </c>
      <c r="AZ274" t="n">
        <v>59.986</v>
      </c>
      <c r="BA274" t="n">
        <v>217.133</v>
      </c>
      <c r="BB274" t="n">
        <v>85.892</v>
      </c>
      <c r="BC274" t="n">
        <v>96.874</v>
      </c>
      <c r="BD274" t="n">
        <v>113.904</v>
      </c>
      <c r="BE274" t="n">
        <v>112.301</v>
      </c>
      <c r="BF274" t="n">
        <v>117.179</v>
      </c>
      <c r="BG274" t="n">
        <v>159.323</v>
      </c>
      <c r="BH274" t="n">
        <v>184.931</v>
      </c>
      <c r="BI274" t="n">
        <v>158.982</v>
      </c>
      <c r="BJ274" t="n">
        <v>162.997</v>
      </c>
      <c r="BK274" t="n">
        <v>176.889</v>
      </c>
      <c r="BL274" t="n">
        <v>122.05</v>
      </c>
      <c r="BM274" t="n">
        <v>140.647</v>
      </c>
      <c r="BN274" t="n">
        <v>116.422</v>
      </c>
      <c r="BO274" t="n">
        <v>130.163</v>
      </c>
      <c r="BP274" t="n">
        <v>88.93600000000001</v>
      </c>
      <c r="BQ274" t="n">
        <v>99.831</v>
      </c>
      <c r="BR274" t="n">
        <v>121.821</v>
      </c>
      <c r="BS274" t="n">
        <v>119.563</v>
      </c>
      <c r="BT274" t="n">
        <v>126.516</v>
      </c>
      <c r="BU274" t="n">
        <v>135.682</v>
      </c>
      <c r="BV274" t="n">
        <v>139.453</v>
      </c>
    </row>
    <row r="275">
      <c r="A275" t="inlineStr">
        <is>
          <t>Sphyrna lewini</t>
        </is>
      </c>
      <c r="B275" t="inlineStr">
        <is>
          <t>Scalloped hammerhead</t>
        </is>
      </c>
      <c r="C275" t="inlineStr">
        <is>
          <t>Large sharks (&gt;=90 cm)</t>
        </is>
      </c>
      <c r="D275" t="inlineStr">
        <is>
          <t>Sharks &amp; rays</t>
        </is>
      </c>
      <c r="E275" t="n">
        <v>0.171</v>
      </c>
      <c r="F275" t="n">
        <v>0.135</v>
      </c>
      <c r="G275" t="n">
        <v>0.02</v>
      </c>
      <c r="H275" t="n">
        <v>0.02</v>
      </c>
      <c r="I275" t="n">
        <v>0.004</v>
      </c>
      <c r="J275" t="n">
        <v>0.164</v>
      </c>
      <c r="K275" t="n">
        <v>0.222</v>
      </c>
      <c r="L275" t="n">
        <v>0.213</v>
      </c>
      <c r="M275" t="n">
        <v>0.219</v>
      </c>
      <c r="N275" t="n">
        <v>0.209</v>
      </c>
      <c r="O275" t="n">
        <v>0.238</v>
      </c>
      <c r="P275" t="n">
        <v>0.334</v>
      </c>
      <c r="Q275" t="n">
        <v>0.11</v>
      </c>
      <c r="R275" t="n">
        <v>0.2</v>
      </c>
      <c r="S275" t="n">
        <v>0.159</v>
      </c>
      <c r="T275" t="n">
        <v>0.124</v>
      </c>
      <c r="U275" t="n">
        <v>0.031</v>
      </c>
      <c r="V275" t="n">
        <v>0.037</v>
      </c>
      <c r="W275" t="n">
        <v>0.042</v>
      </c>
      <c r="X275" t="n">
        <v>0.059</v>
      </c>
      <c r="Y275" t="n">
        <v>0.064</v>
      </c>
      <c r="Z275" t="n">
        <v>0.098</v>
      </c>
      <c r="AA275" t="n">
        <v>0.075</v>
      </c>
      <c r="AB275" t="n">
        <v>0.117</v>
      </c>
      <c r="AC275" t="n">
        <v>0.08799999999999999</v>
      </c>
      <c r="AD275" t="n">
        <v>0.115</v>
      </c>
      <c r="AE275" t="n">
        <v>0.15</v>
      </c>
      <c r="AF275" t="n">
        <v>0.326</v>
      </c>
      <c r="AG275" t="n">
        <v>2.799</v>
      </c>
      <c r="AH275" t="n">
        <v>1.346</v>
      </c>
      <c r="AI275" t="n">
        <v>1.644</v>
      </c>
      <c r="AJ275" t="n">
        <v>1.289</v>
      </c>
      <c r="AK275" t="n">
        <v>1.228</v>
      </c>
      <c r="AL275" t="n">
        <v>0.136</v>
      </c>
      <c r="AM275" t="n">
        <v>0.299</v>
      </c>
      <c r="AN275" t="n">
        <v>0.388</v>
      </c>
      <c r="AO275" t="n">
        <v>2.459</v>
      </c>
      <c r="AP275" t="n">
        <v>6.279</v>
      </c>
      <c r="AQ275" t="n">
        <v>11.728</v>
      </c>
      <c r="AR275" t="n">
        <v>13.917</v>
      </c>
      <c r="AS275" t="n">
        <v>17.137</v>
      </c>
      <c r="AT275" t="n">
        <v>28.519</v>
      </c>
      <c r="AU275" t="n">
        <v>28.009</v>
      </c>
      <c r="AV275" t="n">
        <v>42.068</v>
      </c>
      <c r="AW275" t="n">
        <v>55.436</v>
      </c>
      <c r="AX275" t="n">
        <v>63.37</v>
      </c>
      <c r="AY275" t="n">
        <v>53.954</v>
      </c>
      <c r="AZ275" t="n">
        <v>59.986</v>
      </c>
      <c r="BA275" t="n">
        <v>217.132</v>
      </c>
      <c r="BB275" t="n">
        <v>85.89100000000001</v>
      </c>
      <c r="BC275" t="n">
        <v>96.873</v>
      </c>
      <c r="BD275" t="n">
        <v>113.348</v>
      </c>
      <c r="BE275" t="n">
        <v>111.271</v>
      </c>
      <c r="BF275" t="n">
        <v>115.655</v>
      </c>
      <c r="BG275" t="n">
        <v>156.706</v>
      </c>
      <c r="BH275" t="n">
        <v>183.345</v>
      </c>
      <c r="BI275" t="n">
        <v>158.533</v>
      </c>
      <c r="BJ275" t="n">
        <v>161.613</v>
      </c>
      <c r="BK275" t="n">
        <v>174.293</v>
      </c>
      <c r="BL275" t="n">
        <v>120.998</v>
      </c>
      <c r="BM275" t="n">
        <v>138.506</v>
      </c>
      <c r="BN275" t="n">
        <v>115.46</v>
      </c>
      <c r="BO275" t="n">
        <v>128.832</v>
      </c>
      <c r="BP275" t="n">
        <v>86.15600000000001</v>
      </c>
      <c r="BQ275" t="n">
        <v>97.09</v>
      </c>
      <c r="BR275" t="n">
        <v>118.09</v>
      </c>
      <c r="BS275" t="n">
        <v>118.902</v>
      </c>
      <c r="BT275" t="n">
        <v>124.938</v>
      </c>
      <c r="BU275" t="n">
        <v>134.576</v>
      </c>
      <c r="BV275" t="n">
        <v>151.935</v>
      </c>
    </row>
    <row r="276">
      <c r="A276" t="inlineStr">
        <is>
          <t>Sphyrna mokarran</t>
        </is>
      </c>
      <c r="B276" t="inlineStr">
        <is>
          <t>Great hammerhead</t>
        </is>
      </c>
      <c r="C276" t="inlineStr">
        <is>
          <t>Large sharks (&gt;=90 cm)</t>
        </is>
      </c>
      <c r="D276" t="inlineStr">
        <is>
          <t>Sharks &amp; rays</t>
        </is>
      </c>
      <c r="E276" t="n">
        <v>0.171</v>
      </c>
      <c r="F276" t="n">
        <v>0.135</v>
      </c>
      <c r="G276" t="n">
        <v>0.02</v>
      </c>
      <c r="H276" t="n">
        <v>0.02</v>
      </c>
      <c r="I276" t="n">
        <v>0.004</v>
      </c>
      <c r="J276" t="n">
        <v>0.164</v>
      </c>
      <c r="K276" t="n">
        <v>0.222</v>
      </c>
      <c r="L276" t="n">
        <v>0.213</v>
      </c>
      <c r="M276" t="n">
        <v>0.219</v>
      </c>
      <c r="N276" t="n">
        <v>0.209</v>
      </c>
      <c r="O276" t="n">
        <v>0.238</v>
      </c>
      <c r="P276" t="n">
        <v>0.334</v>
      </c>
      <c r="Q276" t="n">
        <v>0.11</v>
      </c>
      <c r="R276" t="n">
        <v>0.2</v>
      </c>
      <c r="S276" t="n">
        <v>0.159</v>
      </c>
      <c r="T276" t="n">
        <v>0.124</v>
      </c>
      <c r="U276" t="n">
        <v>0.031</v>
      </c>
      <c r="V276" t="n">
        <v>0.037</v>
      </c>
      <c r="W276" t="n">
        <v>0.042</v>
      </c>
      <c r="X276" t="n">
        <v>0.059</v>
      </c>
      <c r="Y276" t="n">
        <v>0.064</v>
      </c>
      <c r="Z276" t="n">
        <v>0.098</v>
      </c>
      <c r="AA276" t="n">
        <v>0.075</v>
      </c>
      <c r="AB276" t="n">
        <v>0.117</v>
      </c>
      <c r="AC276" t="n">
        <v>0.08799999999999999</v>
      </c>
      <c r="AD276" t="n">
        <v>0.115</v>
      </c>
      <c r="AE276" t="n">
        <v>0.15</v>
      </c>
      <c r="AF276" t="n">
        <v>0.326</v>
      </c>
      <c r="AG276" t="n">
        <v>2.799</v>
      </c>
      <c r="AH276" t="n">
        <v>1.346</v>
      </c>
      <c r="AI276" t="n">
        <v>1.644</v>
      </c>
      <c r="AJ276" t="n">
        <v>1.289</v>
      </c>
      <c r="AK276" t="n">
        <v>1.228</v>
      </c>
      <c r="AL276" t="n">
        <v>0.136</v>
      </c>
      <c r="AM276" t="n">
        <v>0.299</v>
      </c>
      <c r="AN276" t="n">
        <v>0.388</v>
      </c>
      <c r="AO276" t="n">
        <v>2.459</v>
      </c>
      <c r="AP276" t="n">
        <v>6.279</v>
      </c>
      <c r="AQ276" t="n">
        <v>11.728</v>
      </c>
      <c r="AR276" t="n">
        <v>13.917</v>
      </c>
      <c r="AS276" t="n">
        <v>17.137</v>
      </c>
      <c r="AT276" t="n">
        <v>28.518</v>
      </c>
      <c r="AU276" t="n">
        <v>28.009</v>
      </c>
      <c r="AV276" t="n">
        <v>42.068</v>
      </c>
      <c r="AW276" t="n">
        <v>55.435</v>
      </c>
      <c r="AX276" t="n">
        <v>63.369</v>
      </c>
      <c r="AY276" t="n">
        <v>53.953</v>
      </c>
      <c r="AZ276" t="n">
        <v>59.985</v>
      </c>
      <c r="BA276" t="n">
        <v>217.129</v>
      </c>
      <c r="BB276" t="n">
        <v>85.89</v>
      </c>
      <c r="BC276" t="n">
        <v>96.872</v>
      </c>
      <c r="BD276" t="n">
        <v>113.347</v>
      </c>
      <c r="BE276" t="n">
        <v>111.269</v>
      </c>
      <c r="BF276" t="n">
        <v>115.653</v>
      </c>
      <c r="BG276" t="n">
        <v>156.704</v>
      </c>
      <c r="BH276" t="n">
        <v>181.32</v>
      </c>
      <c r="BI276" t="n">
        <v>155.417</v>
      </c>
      <c r="BJ276" t="n">
        <v>158.945</v>
      </c>
      <c r="BK276" t="n">
        <v>172.081</v>
      </c>
      <c r="BL276" t="n">
        <v>118.472</v>
      </c>
      <c r="BM276" t="n">
        <v>136.249</v>
      </c>
      <c r="BN276" t="n">
        <v>112.781</v>
      </c>
      <c r="BO276" t="n">
        <v>126.073</v>
      </c>
      <c r="BP276" t="n">
        <v>86.155</v>
      </c>
      <c r="BQ276" t="n">
        <v>96.709</v>
      </c>
      <c r="BR276" t="n">
        <v>113.087</v>
      </c>
      <c r="BS276" t="n">
        <v>115.824</v>
      </c>
      <c r="BT276" t="n">
        <v>122.56</v>
      </c>
      <c r="BU276" t="n">
        <v>131.439</v>
      </c>
      <c r="BV276" t="n">
        <v>135.092</v>
      </c>
    </row>
    <row r="277">
      <c r="A277" t="inlineStr">
        <is>
          <t>Acanthurus</t>
        </is>
      </c>
      <c r="B277" t="inlineStr">
        <is>
          <t>Surgeonfishes</t>
        </is>
      </c>
      <c r="C277" t="inlineStr">
        <is>
          <t>Small reef assoc. fish (&lt;30 cm)</t>
        </is>
      </c>
      <c r="D277" t="inlineStr">
        <is>
          <t>Perch-likes</t>
        </is>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301.178</v>
      </c>
      <c r="BM277" t="n">
        <v>302.175</v>
      </c>
      <c r="BN277" t="n">
        <v>281.106</v>
      </c>
      <c r="BO277" t="n">
        <v>284.935</v>
      </c>
      <c r="BP277" t="n">
        <v>278.726</v>
      </c>
      <c r="BQ277" t="n">
        <v>296.522</v>
      </c>
      <c r="BR277" t="n">
        <v>300.681</v>
      </c>
      <c r="BS277" t="n">
        <v>323.088</v>
      </c>
      <c r="BT277" t="n">
        <v>298.771</v>
      </c>
      <c r="BU277" t="n">
        <v>274.636</v>
      </c>
      <c r="BV277" t="n">
        <v>286.622</v>
      </c>
    </row>
    <row r="278">
      <c r="A278" t="inlineStr">
        <is>
          <t>Carcharhinus macloti</t>
        </is>
      </c>
      <c r="B278" t="inlineStr">
        <is>
          <t>Hardnose shark</t>
        </is>
      </c>
      <c r="C278" t="inlineStr">
        <is>
          <t>Small to medium sharks (&lt;90 cm)</t>
        </is>
      </c>
      <c r="D278" t="inlineStr">
        <is>
          <t>Sharks &amp; rays</t>
        </is>
      </c>
      <c r="E278" t="n">
        <v>0.286</v>
      </c>
      <c r="F278" t="n">
        <v>0.226</v>
      </c>
      <c r="G278" t="n">
        <v>0.034</v>
      </c>
      <c r="H278" t="n">
        <v>0.033</v>
      </c>
      <c r="I278" t="n">
        <v>0.007</v>
      </c>
      <c r="J278" t="n">
        <v>0.274</v>
      </c>
      <c r="K278" t="n">
        <v>0.371</v>
      </c>
      <c r="L278" t="n">
        <v>0.356</v>
      </c>
      <c r="M278" t="n">
        <v>0.367</v>
      </c>
      <c r="N278" t="n">
        <v>0.35</v>
      </c>
      <c r="O278" t="n">
        <v>0.398</v>
      </c>
      <c r="P278" t="n">
        <v>0.5590000000000001</v>
      </c>
      <c r="Q278" t="n">
        <v>0.185</v>
      </c>
      <c r="R278" t="n">
        <v>0.335</v>
      </c>
      <c r="S278" t="n">
        <v>0.266</v>
      </c>
      <c r="T278" t="n">
        <v>0.208</v>
      </c>
      <c r="U278" t="n">
        <v>0.052</v>
      </c>
      <c r="V278" t="n">
        <v>0.062</v>
      </c>
      <c r="W278" t="n">
        <v>0.07000000000000001</v>
      </c>
      <c r="X278" t="n">
        <v>0.098</v>
      </c>
      <c r="Y278" t="n">
        <v>0.107</v>
      </c>
      <c r="Z278" t="n">
        <v>0.164</v>
      </c>
      <c r="AA278" t="n">
        <v>0.126</v>
      </c>
      <c r="AB278" t="n">
        <v>0.196</v>
      </c>
      <c r="AC278" t="n">
        <v>0.147</v>
      </c>
      <c r="AD278" t="n">
        <v>0.193</v>
      </c>
      <c r="AE278" t="n">
        <v>0.25</v>
      </c>
      <c r="AF278" t="n">
        <v>0.545</v>
      </c>
      <c r="AG278" t="n">
        <v>4.685</v>
      </c>
      <c r="AH278" t="n">
        <v>2.253</v>
      </c>
      <c r="AI278" t="n">
        <v>2.751</v>
      </c>
      <c r="AJ278" t="n">
        <v>2.157</v>
      </c>
      <c r="AK278" t="n">
        <v>2.055</v>
      </c>
      <c r="AL278" t="n">
        <v>0.228</v>
      </c>
      <c r="AM278" t="n">
        <v>0.501</v>
      </c>
      <c r="AN278" t="n">
        <v>0.65</v>
      </c>
      <c r="AO278" t="n">
        <v>4.115</v>
      </c>
      <c r="AP278" t="n">
        <v>10.508</v>
      </c>
      <c r="AQ278" t="n">
        <v>19.628</v>
      </c>
      <c r="AR278" t="n">
        <v>23.291</v>
      </c>
      <c r="AS278" t="n">
        <v>28.679</v>
      </c>
      <c r="AT278" t="n">
        <v>47.727</v>
      </c>
      <c r="AU278" t="n">
        <v>46.874</v>
      </c>
      <c r="AV278" t="n">
        <v>70.402</v>
      </c>
      <c r="AW278" t="n">
        <v>92.77200000000001</v>
      </c>
      <c r="AX278" t="n">
        <v>106.051</v>
      </c>
      <c r="AY278" t="n">
        <v>90.294</v>
      </c>
      <c r="AZ278" t="n">
        <v>100.387</v>
      </c>
      <c r="BA278" t="n">
        <v>363.374</v>
      </c>
      <c r="BB278" t="n">
        <v>143.741</v>
      </c>
      <c r="BC278" t="n">
        <v>162.119</v>
      </c>
      <c r="BD278" t="n">
        <v>178.392</v>
      </c>
      <c r="BE278" t="n">
        <v>165.235</v>
      </c>
      <c r="BF278" t="n">
        <v>162.526</v>
      </c>
      <c r="BG278" t="n">
        <v>208.945</v>
      </c>
      <c r="BH278" t="n">
        <v>229.945</v>
      </c>
      <c r="BI278" t="n">
        <v>187.867</v>
      </c>
      <c r="BJ278" t="n">
        <v>183.498</v>
      </c>
      <c r="BK278" t="n">
        <v>190.082</v>
      </c>
      <c r="BL278" t="n">
        <v>125.422</v>
      </c>
      <c r="BM278" t="n">
        <v>138.455</v>
      </c>
      <c r="BN278" t="n">
        <v>0</v>
      </c>
      <c r="BO278" t="n">
        <v>0</v>
      </c>
      <c r="BP278" t="n">
        <v>0</v>
      </c>
      <c r="BQ278" t="n">
        <v>0</v>
      </c>
      <c r="BR278" t="n">
        <v>0</v>
      </c>
      <c r="BS278" t="n">
        <v>0</v>
      </c>
      <c r="BT278" t="n">
        <v>0</v>
      </c>
      <c r="BU278" t="n">
        <v>0</v>
      </c>
      <c r="BV278" t="n">
        <v>0</v>
      </c>
    </row>
    <row r="279">
      <c r="A279" t="inlineStr">
        <is>
          <t>Turbo marmoratus</t>
        </is>
      </c>
      <c r="B279" t="inlineStr">
        <is>
          <t>Green turban</t>
        </is>
      </c>
      <c r="C279" t="inlineStr">
        <is>
          <t>Other demersal invertebrates</t>
        </is>
      </c>
      <c r="D279" t="inlineStr">
        <is>
          <t>Molluscs</t>
        </is>
      </c>
      <c r="E279" t="n">
        <v>57.244</v>
      </c>
      <c r="F279" t="n">
        <v>58.856</v>
      </c>
      <c r="G279" t="n">
        <v>60.467</v>
      </c>
      <c r="H279" t="n">
        <v>62.079</v>
      </c>
      <c r="I279" t="n">
        <v>63.691</v>
      </c>
      <c r="J279" t="n">
        <v>65.303</v>
      </c>
      <c r="K279" t="n">
        <v>66.91500000000001</v>
      </c>
      <c r="L279" t="n">
        <v>68.526</v>
      </c>
      <c r="M279" t="n">
        <v>70.13800000000001</v>
      </c>
      <c r="N279" t="n">
        <v>71.75</v>
      </c>
      <c r="O279" t="n">
        <v>73.36199999999999</v>
      </c>
      <c r="P279" t="n">
        <v>74.974</v>
      </c>
      <c r="Q279" t="n">
        <v>76.58499999999999</v>
      </c>
      <c r="R279" t="n">
        <v>78.197</v>
      </c>
      <c r="S279" t="n">
        <v>79.809</v>
      </c>
      <c r="T279" t="n">
        <v>81.42100000000001</v>
      </c>
      <c r="U279" t="n">
        <v>83.033</v>
      </c>
      <c r="V279" t="n">
        <v>84.64400000000001</v>
      </c>
      <c r="W279" t="n">
        <v>86.256</v>
      </c>
      <c r="X279" t="n">
        <v>87.86799999999999</v>
      </c>
      <c r="Y279" t="n">
        <v>89.48</v>
      </c>
      <c r="Z279" t="n">
        <v>91.092</v>
      </c>
      <c r="AA279" t="n">
        <v>92.703</v>
      </c>
      <c r="AB279" t="n">
        <v>94.315</v>
      </c>
      <c r="AC279" t="n">
        <v>95.92700000000001</v>
      </c>
      <c r="AD279" t="n">
        <v>97.539</v>
      </c>
      <c r="AE279" t="n">
        <v>99.151</v>
      </c>
      <c r="AF279" t="n">
        <v>99.01000000000001</v>
      </c>
      <c r="AG279" t="n">
        <v>98.87</v>
      </c>
      <c r="AH279" t="n">
        <v>98.73</v>
      </c>
      <c r="AI279" t="n">
        <v>98.59</v>
      </c>
      <c r="AJ279" t="n">
        <v>98.449</v>
      </c>
      <c r="AK279" t="n">
        <v>98.309</v>
      </c>
      <c r="AL279" t="n">
        <v>98.169</v>
      </c>
      <c r="AM279" t="n">
        <v>24.468</v>
      </c>
      <c r="AN279" t="n">
        <v>24.468</v>
      </c>
      <c r="AO279" t="n">
        <v>22.084</v>
      </c>
      <c r="AP279" t="n">
        <v>19.7</v>
      </c>
      <c r="AQ279" t="n">
        <v>17.316</v>
      </c>
      <c r="AR279" t="n">
        <v>14.932</v>
      </c>
      <c r="AS279" t="n">
        <v>12.548</v>
      </c>
      <c r="AT279" t="n">
        <v>10.164</v>
      </c>
      <c r="AU279" t="n">
        <v>7.78</v>
      </c>
      <c r="AV279" t="n">
        <v>5.397</v>
      </c>
      <c r="AW279" t="n">
        <v>3.013</v>
      </c>
      <c r="AX279" t="n">
        <v>0.629</v>
      </c>
      <c r="AY279" t="n">
        <v>0.5669999999999999</v>
      </c>
      <c r="AZ279" t="n">
        <v>1.441</v>
      </c>
      <c r="BA279" t="n">
        <v>0.026</v>
      </c>
      <c r="BB279" t="n">
        <v>0.341</v>
      </c>
      <c r="BC279" t="n">
        <v>0.307</v>
      </c>
      <c r="BD279" t="n">
        <v>0.259</v>
      </c>
      <c r="BE279" t="n">
        <v>0.215</v>
      </c>
      <c r="BF279" t="n">
        <v>0.174</v>
      </c>
      <c r="BG279" t="n">
        <v>0.136</v>
      </c>
      <c r="BH279" t="n">
        <v>0.102</v>
      </c>
      <c r="BI279" t="n">
        <v>0.07099999999999999</v>
      </c>
      <c r="BJ279" t="n">
        <v>0.044</v>
      </c>
      <c r="BK279" t="n">
        <v>0.02</v>
      </c>
      <c r="BL279" t="n">
        <v>0.012</v>
      </c>
      <c r="BM279" t="n">
        <v>0.042</v>
      </c>
      <c r="BN279" t="n">
        <v>0.021</v>
      </c>
      <c r="BO279" t="n">
        <v>0.004</v>
      </c>
      <c r="BP279" t="n">
        <v>0.002</v>
      </c>
      <c r="BQ279" t="n">
        <v>0</v>
      </c>
      <c r="BR279" t="n">
        <v>0.001</v>
      </c>
      <c r="BS279" t="n">
        <v>0.001</v>
      </c>
      <c r="BT279" t="n">
        <v>0</v>
      </c>
      <c r="BU279" t="n">
        <v>0</v>
      </c>
      <c r="BV279" t="n">
        <v>0</v>
      </c>
    </row>
    <row r="280">
      <c r="A280" t="inlineStr">
        <is>
          <t>Makaira</t>
        </is>
      </c>
      <c r="B280" t="inlineStr">
        <is>
          <t>Blue marlins</t>
        </is>
      </c>
      <c r="C280" t="inlineStr">
        <is>
          <t>Large pelagics (&gt;=90 cm)</t>
        </is>
      </c>
      <c r="D280" t="inlineStr">
        <is>
          <t>Tuna &amp; billfishes</t>
        </is>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2.799</v>
      </c>
      <c r="AM280" t="n">
        <v>6.107</v>
      </c>
      <c r="AN280" t="n">
        <v>4.835</v>
      </c>
      <c r="AO280" t="n">
        <v>3.55</v>
      </c>
      <c r="AP280" t="n">
        <v>2.552</v>
      </c>
      <c r="AQ280" t="n">
        <v>1.22</v>
      </c>
      <c r="AR280" t="n">
        <v>0.999</v>
      </c>
      <c r="AS280" t="n">
        <v>0.777</v>
      </c>
      <c r="AT280" t="n">
        <v>1.442</v>
      </c>
      <c r="AU280" t="n">
        <v>1.555</v>
      </c>
      <c r="AV280" t="n">
        <v>4.382</v>
      </c>
      <c r="AW280" t="n">
        <v>0.526</v>
      </c>
      <c r="AX280" t="n">
        <v>16.812</v>
      </c>
      <c r="AY280" t="n">
        <v>11.201</v>
      </c>
      <c r="AZ280" t="n">
        <v>15.797</v>
      </c>
      <c r="BA280" t="n">
        <v>88.717</v>
      </c>
      <c r="BB280" t="n">
        <v>104.622</v>
      </c>
      <c r="BC280" t="n">
        <v>23.428</v>
      </c>
      <c r="BD280" t="n">
        <v>6.201</v>
      </c>
      <c r="BE280" t="n">
        <v>7.192</v>
      </c>
      <c r="BF280" t="n">
        <v>17.499</v>
      </c>
      <c r="BG280" t="n">
        <v>8.856999999999999</v>
      </c>
      <c r="BH280" t="n">
        <v>229.791</v>
      </c>
      <c r="BI280" t="n">
        <v>226.453</v>
      </c>
      <c r="BJ280" t="n">
        <v>353.829</v>
      </c>
      <c r="BK280" t="n">
        <v>223.816</v>
      </c>
      <c r="BL280" t="n">
        <v>105.442</v>
      </c>
      <c r="BM280" t="n">
        <v>102.458</v>
      </c>
      <c r="BN280" t="n">
        <v>95.036</v>
      </c>
      <c r="BO280" t="n">
        <v>96.301</v>
      </c>
      <c r="BP280" t="n">
        <v>176.071</v>
      </c>
      <c r="BQ280" t="n">
        <v>103.399</v>
      </c>
      <c r="BR280" t="n">
        <v>113.308</v>
      </c>
      <c r="BS280" t="n">
        <v>130.618</v>
      </c>
      <c r="BT280" t="n">
        <v>101.946</v>
      </c>
      <c r="BU280" t="n">
        <v>94.958</v>
      </c>
      <c r="BV280" t="n">
        <v>97.048</v>
      </c>
    </row>
    <row r="281">
      <c r="A281" t="inlineStr">
        <is>
          <t>Tetrapturus angustirostris</t>
        </is>
      </c>
      <c r="B281" t="inlineStr">
        <is>
          <t>Shortbill spearfish</t>
        </is>
      </c>
      <c r="C281" t="inlineStr">
        <is>
          <t>Large pelagics (&gt;=90 cm)</t>
        </is>
      </c>
      <c r="D281" t="inlineStr">
        <is>
          <t>Tuna &amp; billfishes</t>
        </is>
      </c>
      <c r="E281" t="n">
        <v>0</v>
      </c>
      <c r="F281" t="n">
        <v>0</v>
      </c>
      <c r="G281" t="n">
        <v>0</v>
      </c>
      <c r="H281" t="n">
        <v>0</v>
      </c>
      <c r="I281" t="n">
        <v>6.056</v>
      </c>
      <c r="J281" t="n">
        <v>49.12</v>
      </c>
      <c r="K281" t="n">
        <v>62.684</v>
      </c>
      <c r="L281" t="n">
        <v>35.042</v>
      </c>
      <c r="M281" t="n">
        <v>35.239</v>
      </c>
      <c r="N281" t="n">
        <v>105.06</v>
      </c>
      <c r="O281" t="n">
        <v>131.067</v>
      </c>
      <c r="P281" t="n">
        <v>129.098</v>
      </c>
      <c r="Q281" t="n">
        <v>93.98699999999999</v>
      </c>
      <c r="R281" t="n">
        <v>80.444</v>
      </c>
      <c r="S281" t="n">
        <v>116.238</v>
      </c>
      <c r="T281" t="n">
        <v>74.66500000000001</v>
      </c>
      <c r="U281" t="n">
        <v>101.58</v>
      </c>
      <c r="V281" t="n">
        <v>113.061</v>
      </c>
      <c r="W281" t="n">
        <v>98.874</v>
      </c>
      <c r="X281" t="n">
        <v>140.208</v>
      </c>
      <c r="Y281" t="n">
        <v>38.959</v>
      </c>
      <c r="Z281" t="n">
        <v>85.54900000000001</v>
      </c>
      <c r="AA281" t="n">
        <v>35.377</v>
      </c>
      <c r="AB281" t="n">
        <v>9.765000000000001</v>
      </c>
      <c r="AC281" t="n">
        <v>17.678</v>
      </c>
      <c r="AD281" t="n">
        <v>13.179</v>
      </c>
      <c r="AE281" t="n">
        <v>15.662</v>
      </c>
      <c r="AF281" t="n">
        <v>2.995</v>
      </c>
      <c r="AG281" t="n">
        <v>10.475</v>
      </c>
      <c r="AH281" t="n">
        <v>1.691</v>
      </c>
      <c r="AI281" t="n">
        <v>4.33</v>
      </c>
      <c r="AJ281" t="n">
        <v>4.824</v>
      </c>
      <c r="AK281" t="n">
        <v>7.078</v>
      </c>
      <c r="AL281" t="n">
        <v>11.055</v>
      </c>
      <c r="AM281" t="n">
        <v>9.069000000000001</v>
      </c>
      <c r="AN281" t="n">
        <v>13.667</v>
      </c>
      <c r="AO281" t="n">
        <v>12.891</v>
      </c>
      <c r="AP281" t="n">
        <v>7.011</v>
      </c>
      <c r="AQ281" t="n">
        <v>5.82</v>
      </c>
      <c r="AR281" t="n">
        <v>2.425</v>
      </c>
      <c r="AS281" t="n">
        <v>0.581</v>
      </c>
      <c r="AT281" t="n">
        <v>0.388</v>
      </c>
      <c r="AU281" t="n">
        <v>0.481</v>
      </c>
      <c r="AV281" t="n">
        <v>0.405</v>
      </c>
      <c r="AW281" t="n">
        <v>0.26</v>
      </c>
      <c r="AX281" t="n">
        <v>1.562</v>
      </c>
      <c r="AY281" t="n">
        <v>2.463</v>
      </c>
      <c r="AZ281" t="n">
        <v>3.474</v>
      </c>
      <c r="BA281" t="n">
        <v>7.042</v>
      </c>
      <c r="BB281" t="n">
        <v>23.429</v>
      </c>
      <c r="BC281" t="n">
        <v>7.489</v>
      </c>
      <c r="BD281" t="n">
        <v>6.845</v>
      </c>
      <c r="BE281" t="n">
        <v>10.954</v>
      </c>
      <c r="BF281" t="n">
        <v>14.098</v>
      </c>
      <c r="BG281" t="n">
        <v>8.874000000000001</v>
      </c>
      <c r="BH281" t="n">
        <v>9.446</v>
      </c>
      <c r="BI281" t="n">
        <v>17.779</v>
      </c>
      <c r="BJ281" t="n">
        <v>39.873</v>
      </c>
      <c r="BK281" t="n">
        <v>96.569</v>
      </c>
      <c r="BL281" t="n">
        <v>39.813</v>
      </c>
      <c r="BM281" t="n">
        <v>39.808</v>
      </c>
      <c r="BN281" t="n">
        <v>56.132</v>
      </c>
      <c r="BO281" t="n">
        <v>1.65</v>
      </c>
      <c r="BP281" t="n">
        <v>8.914</v>
      </c>
      <c r="BQ281" t="n">
        <v>25.983</v>
      </c>
      <c r="BR281" t="n">
        <v>31.659</v>
      </c>
      <c r="BS281" t="n">
        <v>22.331</v>
      </c>
      <c r="BT281" t="n">
        <v>17.111</v>
      </c>
      <c r="BU281" t="n">
        <v>38.551</v>
      </c>
      <c r="BV281" t="n">
        <v>49.862</v>
      </c>
    </row>
    <row r="282">
      <c r="A282" t="inlineStr">
        <is>
          <t>Scarus</t>
        </is>
      </c>
      <c r="B282" t="inlineStr">
        <is>
          <t>Parrots</t>
        </is>
      </c>
      <c r="C282" t="inlineStr">
        <is>
          <t>Medium reef assoc. fish (30 - 89 cm)</t>
        </is>
      </c>
      <c r="D282" t="inlineStr">
        <is>
          <t>Perch-likes</t>
        </is>
      </c>
      <c r="E282" t="n">
        <v>21.804</v>
      </c>
      <c r="F282" t="n">
        <v>23.786</v>
      </c>
      <c r="G282" t="n">
        <v>21.804</v>
      </c>
      <c r="H282" t="n">
        <v>21.804</v>
      </c>
      <c r="I282" t="n">
        <v>20.813</v>
      </c>
      <c r="J282" t="n">
        <v>22.795</v>
      </c>
      <c r="K282" t="n">
        <v>20.813</v>
      </c>
      <c r="L282" t="n">
        <v>21.804</v>
      </c>
      <c r="M282" t="n">
        <v>24.778</v>
      </c>
      <c r="N282" t="n">
        <v>26.76</v>
      </c>
      <c r="O282" t="n">
        <v>29.733</v>
      </c>
      <c r="P282" t="n">
        <v>30.724</v>
      </c>
      <c r="Q282" t="n">
        <v>36.671</v>
      </c>
      <c r="R282" t="n">
        <v>41.626</v>
      </c>
      <c r="S282" t="n">
        <v>44.6</v>
      </c>
      <c r="T282" t="n">
        <v>46.582</v>
      </c>
      <c r="U282" t="n">
        <v>49.555</v>
      </c>
      <c r="V282" t="n">
        <v>60.457</v>
      </c>
      <c r="W282" t="n">
        <v>65.413</v>
      </c>
      <c r="X282" t="n">
        <v>61.448</v>
      </c>
      <c r="Y282" t="n">
        <v>59.466</v>
      </c>
      <c r="Z282" t="n">
        <v>57.484</v>
      </c>
      <c r="AA282" t="n">
        <v>52.528</v>
      </c>
      <c r="AB282" t="n">
        <v>56.493</v>
      </c>
      <c r="AC282" t="n">
        <v>52.528</v>
      </c>
      <c r="AD282" t="n">
        <v>49.555</v>
      </c>
      <c r="AE282" t="n">
        <v>0</v>
      </c>
      <c r="AF282" t="n">
        <v>0</v>
      </c>
      <c r="AG282" t="n">
        <v>0</v>
      </c>
      <c r="AH282" t="n">
        <v>0</v>
      </c>
      <c r="AI282" t="n">
        <v>0</v>
      </c>
      <c r="AJ282" t="n">
        <v>0</v>
      </c>
      <c r="AK282" t="n">
        <v>0</v>
      </c>
      <c r="AL282" t="n">
        <v>0</v>
      </c>
      <c r="AM282" t="n">
        <v>0</v>
      </c>
      <c r="AN282" t="n">
        <v>151.646</v>
      </c>
      <c r="AO282" t="n">
        <v>138.761</v>
      </c>
      <c r="AP282" t="n">
        <v>124.886</v>
      </c>
      <c r="AQ282" t="n">
        <v>97.134</v>
      </c>
      <c r="AR282" t="n">
        <v>123.894</v>
      </c>
      <c r="AS282" t="n">
        <v>0</v>
      </c>
      <c r="AT282" t="n">
        <v>0</v>
      </c>
      <c r="AU282" t="n">
        <v>0</v>
      </c>
      <c r="AV282" t="n">
        <v>0</v>
      </c>
      <c r="AW282" t="n">
        <v>0</v>
      </c>
      <c r="AX282" t="n">
        <v>14.873</v>
      </c>
      <c r="AY282" t="n">
        <v>12.89</v>
      </c>
      <c r="AZ282" t="n">
        <v>12.89</v>
      </c>
      <c r="BA282" t="n">
        <v>10.908</v>
      </c>
      <c r="BB282" t="n">
        <v>10.908</v>
      </c>
      <c r="BC282" t="n">
        <v>0</v>
      </c>
      <c r="BD282" t="n">
        <v>0</v>
      </c>
      <c r="BE282" t="n">
        <v>0</v>
      </c>
      <c r="BF282" t="n">
        <v>0</v>
      </c>
      <c r="BG282" t="n">
        <v>0</v>
      </c>
      <c r="BH282" t="n">
        <v>19.828</v>
      </c>
      <c r="BI282" t="n">
        <v>21.81</v>
      </c>
      <c r="BJ282" t="n">
        <v>25.775</v>
      </c>
      <c r="BK282" t="n">
        <v>26.766</v>
      </c>
      <c r="BL282" t="n">
        <v>36.677</v>
      </c>
      <c r="BM282" t="n">
        <v>36.677</v>
      </c>
      <c r="BN282" t="n">
        <v>34.066</v>
      </c>
      <c r="BO282" t="n">
        <v>34.525</v>
      </c>
      <c r="BP282" t="n">
        <v>33.789</v>
      </c>
      <c r="BQ282" t="n">
        <v>35.96</v>
      </c>
      <c r="BR282" t="n">
        <v>36.466</v>
      </c>
      <c r="BS282" t="n">
        <v>39.187</v>
      </c>
      <c r="BT282" t="n">
        <v>36.237</v>
      </c>
      <c r="BU282" t="n">
        <v>33.31</v>
      </c>
      <c r="BV282" t="n">
        <v>34.767</v>
      </c>
    </row>
    <row r="283">
      <c r="A283" t="inlineStr">
        <is>
          <t>Holothuria atra</t>
        </is>
      </c>
      <c r="B283" t="inlineStr">
        <is>
          <t>Lollyfish</t>
        </is>
      </c>
      <c r="C283" t="inlineStr">
        <is>
          <t>Other demersal invertebrates</t>
        </is>
      </c>
      <c r="D283" t="inlineStr">
        <is>
          <t>Other fishes &amp; inverts</t>
        </is>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2.067</v>
      </c>
      <c r="AF283" t="n">
        <v>0.589</v>
      </c>
      <c r="AG283" t="n">
        <v>0.796</v>
      </c>
      <c r="AH283" t="n">
        <v>0.881</v>
      </c>
      <c r="AI283" t="n">
        <v>2.674</v>
      </c>
      <c r="AJ283" t="n">
        <v>2.471</v>
      </c>
      <c r="AK283" t="n">
        <v>2.674</v>
      </c>
      <c r="AL283" t="n">
        <v>1.895</v>
      </c>
      <c r="AM283" t="n">
        <v>1.218</v>
      </c>
      <c r="AN283" t="n">
        <v>3.825</v>
      </c>
      <c r="AO283" t="n">
        <v>3.08</v>
      </c>
      <c r="AP283" t="n">
        <v>2.809</v>
      </c>
      <c r="AQ283" t="n">
        <v>2.843</v>
      </c>
      <c r="AR283" t="n">
        <v>1.591</v>
      </c>
      <c r="AS283" t="n">
        <v>2.099</v>
      </c>
      <c r="AT283" t="n">
        <v>2.2</v>
      </c>
      <c r="AU283" t="n">
        <v>2.2</v>
      </c>
      <c r="AV283" t="n">
        <v>2.2</v>
      </c>
      <c r="AW283" t="n">
        <v>3.114</v>
      </c>
      <c r="AX283" t="n">
        <v>3.385</v>
      </c>
      <c r="AY283" t="n">
        <v>5.077</v>
      </c>
      <c r="AZ283" t="n">
        <v>9.206</v>
      </c>
      <c r="BA283" t="n">
        <v>6.871</v>
      </c>
      <c r="BB283" t="n">
        <v>5.754</v>
      </c>
      <c r="BC283" t="n">
        <v>4.908</v>
      </c>
      <c r="BD283" t="n">
        <v>3.046</v>
      </c>
      <c r="BE283" t="n">
        <v>7.341</v>
      </c>
      <c r="BF283" t="n">
        <v>8.196999999999999</v>
      </c>
      <c r="BG283" t="n">
        <v>13.501</v>
      </c>
      <c r="BH283" t="n">
        <v>112.834</v>
      </c>
      <c r="BI283" t="n">
        <v>65.096</v>
      </c>
      <c r="BJ283" t="n">
        <v>138.872</v>
      </c>
      <c r="BK283" t="n">
        <v>203.968</v>
      </c>
      <c r="BL283" t="n">
        <v>187.963</v>
      </c>
      <c r="BM283" t="n">
        <v>205.318</v>
      </c>
      <c r="BN283" t="n">
        <v>174.118</v>
      </c>
      <c r="BO283" t="n">
        <v>167.384</v>
      </c>
      <c r="BP283" t="n">
        <v>171.713</v>
      </c>
      <c r="BQ283" t="n">
        <v>161.612</v>
      </c>
      <c r="BR283" t="n">
        <v>123.133</v>
      </c>
      <c r="BS283" t="n">
        <v>57.238</v>
      </c>
      <c r="BT283" t="n">
        <v>52.428</v>
      </c>
      <c r="BU283" t="n">
        <v>52.909</v>
      </c>
      <c r="BV283" t="n">
        <v>113.032</v>
      </c>
    </row>
    <row r="284">
      <c r="A284" t="inlineStr">
        <is>
          <t>Holothuria edulis</t>
        </is>
      </c>
      <c r="B284" t="inlineStr">
        <is>
          <t>Pinkfish</t>
        </is>
      </c>
      <c r="C284" t="inlineStr">
        <is>
          <t>Other demersal invertebrates</t>
        </is>
      </c>
      <c r="D284" t="inlineStr">
        <is>
          <t>Other fishes &amp; inverts</t>
        </is>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2.415</v>
      </c>
      <c r="AF284" t="n">
        <v>0.944</v>
      </c>
      <c r="AG284" t="n">
        <v>1.277</v>
      </c>
      <c r="AH284" t="n">
        <v>1.526</v>
      </c>
      <c r="AI284" t="n">
        <v>3.208</v>
      </c>
      <c r="AJ284" t="n">
        <v>2.893</v>
      </c>
      <c r="AK284" t="n">
        <v>3.131</v>
      </c>
      <c r="AL284" t="n">
        <v>2.219</v>
      </c>
      <c r="AM284" t="n">
        <v>1.427</v>
      </c>
      <c r="AN284" t="n">
        <v>4.478</v>
      </c>
      <c r="AO284" t="n">
        <v>3.606</v>
      </c>
      <c r="AP284" t="n">
        <v>3.289</v>
      </c>
      <c r="AQ284" t="n">
        <v>3.329</v>
      </c>
      <c r="AR284" t="n">
        <v>1.863</v>
      </c>
      <c r="AS284" t="n">
        <v>2.457</v>
      </c>
      <c r="AT284" t="n">
        <v>2.576</v>
      </c>
      <c r="AU284" t="n">
        <v>2.576</v>
      </c>
      <c r="AV284" t="n">
        <v>2.576</v>
      </c>
      <c r="AW284" t="n">
        <v>3.646</v>
      </c>
      <c r="AX284" t="n">
        <v>3.963</v>
      </c>
      <c r="AY284" t="n">
        <v>5.944</v>
      </c>
      <c r="AZ284" t="n">
        <v>10.779</v>
      </c>
      <c r="BA284" t="n">
        <v>8.045</v>
      </c>
      <c r="BB284" t="n">
        <v>6.737</v>
      </c>
      <c r="BC284" t="n">
        <v>5.746</v>
      </c>
      <c r="BD284" t="n">
        <v>3.567</v>
      </c>
      <c r="BE284" t="n">
        <v>7.306</v>
      </c>
      <c r="BF284" t="n">
        <v>8.121</v>
      </c>
      <c r="BG284" t="n">
        <v>13.376</v>
      </c>
      <c r="BH284" t="n">
        <v>111.785</v>
      </c>
      <c r="BI284" t="n">
        <v>64.491</v>
      </c>
      <c r="BJ284" t="n">
        <v>137.582</v>
      </c>
      <c r="BK284" t="n">
        <v>202.145</v>
      </c>
      <c r="BL284" t="n">
        <v>186.614</v>
      </c>
      <c r="BM284" t="n">
        <v>203.812</v>
      </c>
      <c r="BN284" t="n">
        <v>172.205</v>
      </c>
      <c r="BO284" t="n">
        <v>165.546</v>
      </c>
      <c r="BP284" t="n">
        <v>169.827</v>
      </c>
      <c r="BQ284" t="n">
        <v>159.837</v>
      </c>
      <c r="BR284" t="n">
        <v>121.781</v>
      </c>
      <c r="BS284" t="n">
        <v>56.609</v>
      </c>
      <c r="BT284" t="n">
        <v>51.852</v>
      </c>
      <c r="BU284" t="n">
        <v>52.328</v>
      </c>
      <c r="BV284" t="n">
        <v>111.791</v>
      </c>
    </row>
    <row r="285">
      <c r="A285" t="inlineStr">
        <is>
          <t>Bohadschia marmorata</t>
        </is>
      </c>
      <c r="B285" t="inlineStr">
        <is>
          <t>Chalky cucumber</t>
        </is>
      </c>
      <c r="C285" t="inlineStr">
        <is>
          <t>Other demersal invertebrates</t>
        </is>
      </c>
      <c r="D285" t="inlineStr">
        <is>
          <t>Other fishes &amp; inverts</t>
        </is>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2.305</v>
      </c>
      <c r="AF285" t="n">
        <v>0.871</v>
      </c>
      <c r="AG285" t="n">
        <v>1.179</v>
      </c>
      <c r="AH285" t="n">
        <v>1.512</v>
      </c>
      <c r="AI285" t="n">
        <v>3.21</v>
      </c>
      <c r="AJ285" t="n">
        <v>2.897</v>
      </c>
      <c r="AK285" t="n">
        <v>3.135</v>
      </c>
      <c r="AL285" t="n">
        <v>2.222</v>
      </c>
      <c r="AM285" t="n">
        <v>1.429</v>
      </c>
      <c r="AN285" t="n">
        <v>4.484</v>
      </c>
      <c r="AO285" t="n">
        <v>3.611</v>
      </c>
      <c r="AP285" t="n">
        <v>3.294</v>
      </c>
      <c r="AQ285" t="n">
        <v>3.333</v>
      </c>
      <c r="AR285" t="n">
        <v>1.865</v>
      </c>
      <c r="AS285" t="n">
        <v>2.46</v>
      </c>
      <c r="AT285" t="n">
        <v>2.579</v>
      </c>
      <c r="AU285" t="n">
        <v>2.579</v>
      </c>
      <c r="AV285" t="n">
        <v>2.579</v>
      </c>
      <c r="AW285" t="n">
        <v>3.651</v>
      </c>
      <c r="AX285" t="n">
        <v>3.968</v>
      </c>
      <c r="AY285" t="n">
        <v>5.952</v>
      </c>
      <c r="AZ285" t="n">
        <v>10.793</v>
      </c>
      <c r="BA285" t="n">
        <v>8.055</v>
      </c>
      <c r="BB285" t="n">
        <v>6.746</v>
      </c>
      <c r="BC285" t="n">
        <v>5.754</v>
      </c>
      <c r="BD285" t="n">
        <v>3.571</v>
      </c>
      <c r="BE285" t="n">
        <v>7.283</v>
      </c>
      <c r="BF285" t="n">
        <v>8.07</v>
      </c>
      <c r="BG285" t="n">
        <v>13.292</v>
      </c>
      <c r="BH285" t="n">
        <v>111.08</v>
      </c>
      <c r="BI285" t="n">
        <v>64.08499999999999</v>
      </c>
      <c r="BJ285" t="n">
        <v>136.762</v>
      </c>
      <c r="BK285" t="n">
        <v>200.869</v>
      </c>
      <c r="BL285" t="n">
        <v>185.352</v>
      </c>
      <c r="BM285" t="n">
        <v>202.431</v>
      </c>
      <c r="BN285" t="n">
        <v>170.996</v>
      </c>
      <c r="BO285" t="n">
        <v>164.383</v>
      </c>
      <c r="BP285" t="n">
        <v>168.635</v>
      </c>
      <c r="BQ285" t="n">
        <v>158.715</v>
      </c>
      <c r="BR285" t="n">
        <v>120.926</v>
      </c>
      <c r="BS285" t="n">
        <v>56.212</v>
      </c>
      <c r="BT285" t="n">
        <v>51.488</v>
      </c>
      <c r="BU285" t="n">
        <v>51.96</v>
      </c>
      <c r="BV285" t="n">
        <v>111.006</v>
      </c>
    </row>
    <row r="286">
      <c r="A286" t="inlineStr">
        <is>
          <t>Makaira mazara</t>
        </is>
      </c>
      <c r="B286" t="inlineStr">
        <is>
          <t>Indo-Pacific blue marlin</t>
        </is>
      </c>
      <c r="C286" t="inlineStr">
        <is>
          <t>Large pelagics (&gt;=90 cm)</t>
        </is>
      </c>
      <c r="D286" t="inlineStr">
        <is>
          <t>Tuna &amp; billfishes</t>
        </is>
      </c>
      <c r="E286" t="n">
        <v>0.08500000000000001</v>
      </c>
      <c r="F286" t="n">
        <v>0.067</v>
      </c>
      <c r="G286" t="n">
        <v>0.01</v>
      </c>
      <c r="H286" t="n">
        <v>0.01</v>
      </c>
      <c r="I286" t="n">
        <v>0.002</v>
      </c>
      <c r="J286" t="n">
        <v>0.081</v>
      </c>
      <c r="K286" t="n">
        <v>0.11</v>
      </c>
      <c r="L286" t="n">
        <v>0.106</v>
      </c>
      <c r="M286" t="n">
        <v>0.109</v>
      </c>
      <c r="N286" t="n">
        <v>0.104</v>
      </c>
      <c r="O286" t="n">
        <v>0.118</v>
      </c>
      <c r="P286" t="n">
        <v>0.166</v>
      </c>
      <c r="Q286" t="n">
        <v>0.055</v>
      </c>
      <c r="R286" t="n">
        <v>0.099</v>
      </c>
      <c r="S286" t="n">
        <v>0.079</v>
      </c>
      <c r="T286" t="n">
        <v>0.062</v>
      </c>
      <c r="U286" t="n">
        <v>0.015</v>
      </c>
      <c r="V286" t="n">
        <v>0.018</v>
      </c>
      <c r="W286" t="n">
        <v>0.021</v>
      </c>
      <c r="X286" t="n">
        <v>0.029</v>
      </c>
      <c r="Y286" t="n">
        <v>0.032</v>
      </c>
      <c r="Z286" t="n">
        <v>0.049</v>
      </c>
      <c r="AA286" t="n">
        <v>0.037</v>
      </c>
      <c r="AB286" t="n">
        <v>0.058</v>
      </c>
      <c r="AC286" t="n">
        <v>0.044</v>
      </c>
      <c r="AD286" t="n">
        <v>0.057</v>
      </c>
      <c r="AE286" t="n">
        <v>0.074</v>
      </c>
      <c r="AF286" t="n">
        <v>0.162</v>
      </c>
      <c r="AG286" t="n">
        <v>1.389</v>
      </c>
      <c r="AH286" t="n">
        <v>0.668</v>
      </c>
      <c r="AI286" t="n">
        <v>0.8149999999999999</v>
      </c>
      <c r="AJ286" t="n">
        <v>0.639</v>
      </c>
      <c r="AK286" t="n">
        <v>0.609</v>
      </c>
      <c r="AL286" t="n">
        <v>0.067</v>
      </c>
      <c r="AM286" t="n">
        <v>0.148</v>
      </c>
      <c r="AN286" t="n">
        <v>0.193</v>
      </c>
      <c r="AO286" t="n">
        <v>1.22</v>
      </c>
      <c r="AP286" t="n">
        <v>3.115</v>
      </c>
      <c r="AQ286" t="n">
        <v>5.818</v>
      </c>
      <c r="AR286" t="n">
        <v>6.904</v>
      </c>
      <c r="AS286" t="n">
        <v>8.500999999999999</v>
      </c>
      <c r="AT286" t="n">
        <v>14.147</v>
      </c>
      <c r="AU286" t="n">
        <v>13.895</v>
      </c>
      <c r="AV286" t="n">
        <v>20.869</v>
      </c>
      <c r="AW286" t="n">
        <v>27.5</v>
      </c>
      <c r="AX286" t="n">
        <v>31.436</v>
      </c>
      <c r="AY286" t="n">
        <v>26.765</v>
      </c>
      <c r="AZ286" t="n">
        <v>29.757</v>
      </c>
      <c r="BA286" t="n">
        <v>107.712</v>
      </c>
      <c r="BB286" t="n">
        <v>42.608</v>
      </c>
      <c r="BC286" t="n">
        <v>48.056</v>
      </c>
      <c r="BD286" t="n">
        <v>58.704</v>
      </c>
      <c r="BE286" t="n">
        <v>59.794</v>
      </c>
      <c r="BF286" t="n">
        <v>64.17</v>
      </c>
      <c r="BG286" t="n">
        <v>89.416</v>
      </c>
      <c r="BH286" t="n">
        <v>106.052</v>
      </c>
      <c r="BI286" t="n">
        <v>92.92400000000001</v>
      </c>
      <c r="BJ286" t="n">
        <v>96.925</v>
      </c>
      <c r="BK286" t="n">
        <v>106.815</v>
      </c>
      <c r="BL286" t="n">
        <v>74.73099999999999</v>
      </c>
      <c r="BM286" t="n">
        <v>87.21299999999999</v>
      </c>
      <c r="BN286" t="n">
        <v>72.191</v>
      </c>
      <c r="BO286" t="n">
        <v>80.699</v>
      </c>
      <c r="BP286" t="n">
        <v>55.147</v>
      </c>
      <c r="BQ286" t="n">
        <v>61.903</v>
      </c>
      <c r="BR286" t="n">
        <v>72.387</v>
      </c>
      <c r="BS286" t="n">
        <v>74.139</v>
      </c>
      <c r="BT286" t="n">
        <v>78.45</v>
      </c>
      <c r="BU286" t="n">
        <v>84.134</v>
      </c>
      <c r="BV286" t="n">
        <v>86.47199999999999</v>
      </c>
    </row>
    <row r="287">
      <c r="A287" t="inlineStr">
        <is>
          <t>Hilsa kelee</t>
        </is>
      </c>
      <c r="B287" t="inlineStr">
        <is>
          <t>Kelee shad</t>
        </is>
      </c>
      <c r="C287" t="inlineStr">
        <is>
          <t>Small pelagics (&lt;30 cm)</t>
        </is>
      </c>
      <c r="D287" t="inlineStr">
        <is>
          <t>Herring-likes</t>
        </is>
      </c>
      <c r="E287" t="n">
        <v>0.848</v>
      </c>
      <c r="F287" t="n">
        <v>1.551</v>
      </c>
      <c r="G287" t="n">
        <v>1.327</v>
      </c>
      <c r="H287" t="n">
        <v>2.08</v>
      </c>
      <c r="I287" t="n">
        <v>2.374</v>
      </c>
      <c r="J287" t="n">
        <v>1.001</v>
      </c>
      <c r="K287" t="n">
        <v>1.597</v>
      </c>
      <c r="L287" t="n">
        <v>1.09</v>
      </c>
      <c r="M287" t="n">
        <v>1.166</v>
      </c>
      <c r="N287" t="n">
        <v>1.146</v>
      </c>
      <c r="O287" t="n">
        <v>1.755</v>
      </c>
      <c r="P287" t="n">
        <v>1.854</v>
      </c>
      <c r="Q287" t="n">
        <v>1.849</v>
      </c>
      <c r="R287" t="n">
        <v>59.352</v>
      </c>
      <c r="S287" t="n">
        <v>41.558</v>
      </c>
      <c r="T287" t="n">
        <v>68.876</v>
      </c>
      <c r="U287" t="n">
        <v>38.384</v>
      </c>
      <c r="V287" t="n">
        <v>26.232</v>
      </c>
      <c r="W287" t="n">
        <v>6.208</v>
      </c>
      <c r="X287" t="n">
        <v>18.642</v>
      </c>
      <c r="Y287" t="n">
        <v>104.936</v>
      </c>
      <c r="Z287" t="n">
        <v>64.09999999999999</v>
      </c>
      <c r="AA287" t="n">
        <v>110.44</v>
      </c>
      <c r="AB287" t="n">
        <v>84.03400000000001</v>
      </c>
      <c r="AC287" t="n">
        <v>136.797</v>
      </c>
      <c r="AD287" t="n">
        <v>102.166</v>
      </c>
      <c r="AE287" t="n">
        <v>122.224</v>
      </c>
      <c r="AF287" t="n">
        <v>54.356</v>
      </c>
      <c r="AG287" t="n">
        <v>70.214</v>
      </c>
      <c r="AH287" t="n">
        <v>42.841</v>
      </c>
      <c r="AI287" t="n">
        <v>74.703</v>
      </c>
      <c r="AJ287" t="n">
        <v>43.867</v>
      </c>
      <c r="AK287" t="n">
        <v>88.349</v>
      </c>
      <c r="AL287" t="n">
        <v>130.055</v>
      </c>
      <c r="AM287" t="n">
        <v>88.64400000000001</v>
      </c>
      <c r="AN287" t="n">
        <v>0</v>
      </c>
      <c r="AO287" t="n">
        <v>0</v>
      </c>
      <c r="AP287" t="n">
        <v>54.486</v>
      </c>
      <c r="AQ287" t="n">
        <v>59.989</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row>
    <row r="288">
      <c r="A288" t="inlineStr">
        <is>
          <t>Tenualosa toli</t>
        </is>
      </c>
      <c r="B288" t="inlineStr">
        <is>
          <t>Toli shad</t>
        </is>
      </c>
      <c r="C288" t="inlineStr">
        <is>
          <t>Medium pelagics (30 - 89 cm)</t>
        </is>
      </c>
      <c r="D288" t="inlineStr">
        <is>
          <t>Herring-likes</t>
        </is>
      </c>
      <c r="E288" t="n">
        <v>17.933</v>
      </c>
      <c r="F288" t="n">
        <v>17.767</v>
      </c>
      <c r="G288" t="n">
        <v>17.877</v>
      </c>
      <c r="H288" t="n">
        <v>17.985</v>
      </c>
      <c r="I288" t="n">
        <v>18.09</v>
      </c>
      <c r="J288" t="n">
        <v>18.193</v>
      </c>
      <c r="K288" t="n">
        <v>18.294</v>
      </c>
      <c r="L288" t="n">
        <v>18.391</v>
      </c>
      <c r="M288" t="n">
        <v>18.486</v>
      </c>
      <c r="N288" t="n">
        <v>18.577</v>
      </c>
      <c r="O288" t="n">
        <v>19.143</v>
      </c>
      <c r="P288" t="n">
        <v>20.2</v>
      </c>
      <c r="Q288" t="n">
        <v>20.173</v>
      </c>
      <c r="R288" t="n">
        <v>20.398</v>
      </c>
      <c r="S288" t="n">
        <v>20.621</v>
      </c>
      <c r="T288" t="n">
        <v>20.841</v>
      </c>
      <c r="U288" t="n">
        <v>21.014</v>
      </c>
      <c r="V288" t="n">
        <v>21.184</v>
      </c>
      <c r="W288" t="n">
        <v>21.349</v>
      </c>
      <c r="X288" t="n">
        <v>21.51</v>
      </c>
      <c r="Y288" t="n">
        <v>21.207</v>
      </c>
      <c r="Z288" t="n">
        <v>21.824</v>
      </c>
      <c r="AA288" t="n">
        <v>21.976</v>
      </c>
      <c r="AB288" t="n">
        <v>22.122</v>
      </c>
      <c r="AC288" t="n">
        <v>22.681</v>
      </c>
      <c r="AD288" t="n">
        <v>22.34</v>
      </c>
      <c r="AE288" t="n">
        <v>23.135</v>
      </c>
      <c r="AF288" t="n">
        <v>23.197</v>
      </c>
      <c r="AG288" t="n">
        <v>23.388</v>
      </c>
      <c r="AH288" t="n">
        <v>23.376</v>
      </c>
      <c r="AI288" t="n">
        <v>23.384</v>
      </c>
      <c r="AJ288" t="n">
        <v>23.356</v>
      </c>
      <c r="AK288" t="n">
        <v>23.454</v>
      </c>
      <c r="AL288" t="n">
        <v>23.391</v>
      </c>
      <c r="AM288" t="n">
        <v>23.318</v>
      </c>
      <c r="AN288" t="n">
        <v>23.968</v>
      </c>
      <c r="AO288" t="n">
        <v>23.142</v>
      </c>
      <c r="AP288" t="n">
        <v>23.035</v>
      </c>
      <c r="AQ288" t="n">
        <v>23.274</v>
      </c>
      <c r="AR288" t="n">
        <v>22.787</v>
      </c>
      <c r="AS288" t="n">
        <v>23.288</v>
      </c>
      <c r="AT288" t="n">
        <v>23.373</v>
      </c>
      <c r="AU288" t="n">
        <v>23.439</v>
      </c>
      <c r="AV288" t="n">
        <v>23.485</v>
      </c>
      <c r="AW288" t="n">
        <v>23.512</v>
      </c>
      <c r="AX288" t="n">
        <v>23.519</v>
      </c>
      <c r="AY288" t="n">
        <v>23.506</v>
      </c>
      <c r="AZ288" t="n">
        <v>23.474</v>
      </c>
      <c r="BA288" t="n">
        <v>23.423</v>
      </c>
      <c r="BB288" t="n">
        <v>23.352</v>
      </c>
      <c r="BC288" t="n">
        <v>23.261</v>
      </c>
      <c r="BD288" t="n">
        <v>23.363</v>
      </c>
      <c r="BE288" t="n">
        <v>23.435</v>
      </c>
      <c r="BF288" t="n">
        <v>23.478</v>
      </c>
      <c r="BG288" t="n">
        <v>23.492</v>
      </c>
      <c r="BH288" t="n">
        <v>23.476</v>
      </c>
      <c r="BI288" t="n">
        <v>23.431</v>
      </c>
      <c r="BJ288" t="n">
        <v>23.356</v>
      </c>
      <c r="BK288" t="n">
        <v>23.252</v>
      </c>
      <c r="BL288" t="n">
        <v>23.781</v>
      </c>
      <c r="BM288" t="n">
        <v>24.309</v>
      </c>
      <c r="BN288" t="n">
        <v>24.304</v>
      </c>
      <c r="BO288" t="n">
        <v>24.597</v>
      </c>
      <c r="BP288" t="n">
        <v>24.898</v>
      </c>
      <c r="BQ288" t="n">
        <v>25.203</v>
      </c>
      <c r="BR288" t="n">
        <v>25.422</v>
      </c>
      <c r="BS288" t="n">
        <v>25.552</v>
      </c>
      <c r="BT288" t="n">
        <v>25.593</v>
      </c>
      <c r="BU288" t="n">
        <v>25.593</v>
      </c>
      <c r="BV288" t="n">
        <v>25.593</v>
      </c>
    </row>
    <row r="289">
      <c r="A289" t="inlineStr">
        <is>
          <t>Scatophagus argus</t>
        </is>
      </c>
      <c r="B289" t="inlineStr">
        <is>
          <t>Spotted scat</t>
        </is>
      </c>
      <c r="C289" t="inlineStr">
        <is>
          <t>Medium demersals (30 - 89 cm)</t>
        </is>
      </c>
      <c r="D289" t="inlineStr">
        <is>
          <t>Perch-likes</t>
        </is>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14.837</v>
      </c>
      <c r="BI289" t="n">
        <v>15.826</v>
      </c>
      <c r="BJ289" t="n">
        <v>17.804</v>
      </c>
      <c r="BK289" t="n">
        <v>18.794</v>
      </c>
      <c r="BL289" t="n">
        <v>130.565</v>
      </c>
      <c r="BM289" t="n">
        <v>125.62</v>
      </c>
      <c r="BN289" t="n">
        <v>116.503</v>
      </c>
      <c r="BO289" t="n">
        <v>118.052</v>
      </c>
      <c r="BP289" t="n">
        <v>115.589</v>
      </c>
      <c r="BQ289" t="n">
        <v>123.062</v>
      </c>
      <c r="BR289" t="n">
        <v>124.801</v>
      </c>
      <c r="BS289" t="n">
        <v>134.126</v>
      </c>
      <c r="BT289" t="n">
        <v>124.03</v>
      </c>
      <c r="BU289" t="n">
        <v>113.988</v>
      </c>
      <c r="BV289" t="n">
        <v>118.981</v>
      </c>
    </row>
    <row r="290">
      <c r="A290" t="inlineStr">
        <is>
          <t>Lobotes surinamensis</t>
        </is>
      </c>
      <c r="B290" t="inlineStr">
        <is>
          <t>Tripletail</t>
        </is>
      </c>
      <c r="C290" t="inlineStr">
        <is>
          <t>Large benthopelagics (&gt;=90 cm)</t>
        </is>
      </c>
      <c r="D290" t="inlineStr">
        <is>
          <t>Perch-likes</t>
        </is>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125.93</v>
      </c>
      <c r="BM290" t="n">
        <v>121.933</v>
      </c>
      <c r="BN290" t="n">
        <v>113.13</v>
      </c>
      <c r="BO290" t="n">
        <v>114.64</v>
      </c>
      <c r="BP290" t="n">
        <v>112.233</v>
      </c>
      <c r="BQ290" t="n">
        <v>119.477</v>
      </c>
      <c r="BR290" t="n">
        <v>121.164</v>
      </c>
      <c r="BS290" t="n">
        <v>130.214</v>
      </c>
      <c r="BT290" t="n">
        <v>120.412</v>
      </c>
      <c r="BU290" t="n">
        <v>110.664</v>
      </c>
      <c r="BV290" t="n">
        <v>115.509</v>
      </c>
    </row>
    <row r="291">
      <c r="A291" t="inlineStr">
        <is>
          <t>Megalops cyprinoides</t>
        </is>
      </c>
      <c r="B291" t="inlineStr">
        <is>
          <t>Indo-Pacific tarpon</t>
        </is>
      </c>
      <c r="C291" t="inlineStr">
        <is>
          <t>Large pelagics (&gt;=90 cm)</t>
        </is>
      </c>
      <c r="D291" t="inlineStr">
        <is>
          <t>Other fishes &amp; inverts</t>
        </is>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22</v>
      </c>
      <c r="AO291" t="n">
        <v>21</v>
      </c>
      <c r="AP291" t="n">
        <v>20</v>
      </c>
      <c r="AQ291" t="n">
        <v>17</v>
      </c>
      <c r="AR291" t="n">
        <v>20</v>
      </c>
      <c r="AS291" t="n">
        <v>6</v>
      </c>
      <c r="AT291" t="n">
        <v>6</v>
      </c>
      <c r="AU291" t="n">
        <v>7</v>
      </c>
      <c r="AV291" t="n">
        <v>6</v>
      </c>
      <c r="AW291" t="n">
        <v>6</v>
      </c>
      <c r="AX291" t="n">
        <v>18</v>
      </c>
      <c r="AY291" t="n">
        <v>17</v>
      </c>
      <c r="AZ291" t="n">
        <v>17</v>
      </c>
      <c r="BA291" t="n">
        <v>17</v>
      </c>
      <c r="BB291" t="n">
        <v>16</v>
      </c>
      <c r="BC291" t="n">
        <v>75</v>
      </c>
      <c r="BD291" t="n">
        <v>68</v>
      </c>
      <c r="BE291" t="n">
        <v>67</v>
      </c>
      <c r="BF291" t="n">
        <v>78</v>
      </c>
      <c r="BG291" t="n">
        <v>82</v>
      </c>
      <c r="BH291" t="n">
        <v>25</v>
      </c>
      <c r="BI291" t="n">
        <v>26</v>
      </c>
      <c r="BJ291" t="n">
        <v>30</v>
      </c>
      <c r="BK291" t="n">
        <v>32</v>
      </c>
      <c r="BL291" t="n">
        <v>46</v>
      </c>
      <c r="BM291" t="n">
        <v>46</v>
      </c>
      <c r="BN291" t="n">
        <v>42.723</v>
      </c>
      <c r="BO291" t="n">
        <v>43.297</v>
      </c>
      <c r="BP291" t="n">
        <v>42.375</v>
      </c>
      <c r="BQ291" t="n">
        <v>45.099</v>
      </c>
      <c r="BR291" t="n">
        <v>45.734</v>
      </c>
      <c r="BS291" t="n">
        <v>49.147</v>
      </c>
      <c r="BT291" t="n">
        <v>45.447</v>
      </c>
      <c r="BU291" t="n">
        <v>41.775</v>
      </c>
      <c r="BV291" t="n">
        <v>43.602</v>
      </c>
    </row>
    <row r="292">
      <c r="A292" t="inlineStr">
        <is>
          <t>Hemiramphidae</t>
        </is>
      </c>
      <c r="B292" t="inlineStr">
        <is>
          <t>Halfbeaks, garfishes</t>
        </is>
      </c>
      <c r="C292" t="inlineStr">
        <is>
          <t>Medium pelagics (30 - 89 cm)</t>
        </is>
      </c>
      <c r="D292" t="inlineStr">
        <is>
          <t>Other fishes &amp; inverts</t>
        </is>
      </c>
      <c r="E292" t="n">
        <v>12.774</v>
      </c>
      <c r="F292" t="n">
        <v>13.373</v>
      </c>
      <c r="G292" t="n">
        <v>13.918</v>
      </c>
      <c r="H292" t="n">
        <v>14.3</v>
      </c>
      <c r="I292" t="n">
        <v>14.803</v>
      </c>
      <c r="J292" t="n">
        <v>14.751</v>
      </c>
      <c r="K292" t="n">
        <v>15.128</v>
      </c>
      <c r="L292" t="n">
        <v>15.333</v>
      </c>
      <c r="M292" t="n">
        <v>15.947</v>
      </c>
      <c r="N292" t="n">
        <v>16.33</v>
      </c>
      <c r="O292" t="n">
        <v>16.548</v>
      </c>
      <c r="P292" t="n">
        <v>16.905</v>
      </c>
      <c r="Q292" t="n">
        <v>16.805</v>
      </c>
      <c r="R292" t="n">
        <v>16.651</v>
      </c>
      <c r="S292" t="n">
        <v>16.135</v>
      </c>
      <c r="T292" t="n">
        <v>15.373</v>
      </c>
      <c r="U292" t="n">
        <v>13.876</v>
      </c>
      <c r="V292" t="n">
        <v>11.357</v>
      </c>
      <c r="W292" t="n">
        <v>11.445</v>
      </c>
      <c r="X292" t="n">
        <v>11.465</v>
      </c>
      <c r="Y292" t="n">
        <v>11.84</v>
      </c>
      <c r="Z292" t="n">
        <v>11.654</v>
      </c>
      <c r="AA292" t="n">
        <v>11.62</v>
      </c>
      <c r="AB292" t="n">
        <v>5.557</v>
      </c>
      <c r="AC292" t="n">
        <v>3.802</v>
      </c>
      <c r="AD292" t="n">
        <v>26.24</v>
      </c>
      <c r="AE292" t="n">
        <v>42.66</v>
      </c>
      <c r="AF292" t="n">
        <v>6.797</v>
      </c>
      <c r="AG292" t="n">
        <v>6.479</v>
      </c>
      <c r="AH292" t="n">
        <v>15.136</v>
      </c>
      <c r="AI292" t="n">
        <v>14.457</v>
      </c>
      <c r="AJ292" t="n">
        <v>16.084</v>
      </c>
      <c r="AK292" t="n">
        <v>15.843</v>
      </c>
      <c r="AL292" t="n">
        <v>9.201000000000001</v>
      </c>
      <c r="AM292" t="n">
        <v>12.735</v>
      </c>
      <c r="AN292" t="n">
        <v>8.176</v>
      </c>
      <c r="AO292" t="n">
        <v>10.062</v>
      </c>
      <c r="AP292" t="n">
        <v>14.975</v>
      </c>
      <c r="AQ292" t="n">
        <v>14.994</v>
      </c>
      <c r="AR292" t="n">
        <v>14.931</v>
      </c>
      <c r="AS292" t="n">
        <v>14.142</v>
      </c>
      <c r="AT292" t="n">
        <v>13.704</v>
      </c>
      <c r="AU292" t="n">
        <v>13.388</v>
      </c>
      <c r="AV292" t="n">
        <v>11.226</v>
      </c>
      <c r="AW292" t="n">
        <v>12.524</v>
      </c>
      <c r="AX292" t="n">
        <v>17.572</v>
      </c>
      <c r="AY292" t="n">
        <v>7.861</v>
      </c>
      <c r="AZ292" t="n">
        <v>12.699</v>
      </c>
      <c r="BA292" t="n">
        <v>11.029</v>
      </c>
      <c r="BB292" t="n">
        <v>10.076</v>
      </c>
      <c r="BC292" t="n">
        <v>11.433</v>
      </c>
      <c r="BD292" t="n">
        <v>12.388</v>
      </c>
      <c r="BE292" t="n">
        <v>10.239</v>
      </c>
      <c r="BF292" t="n">
        <v>11.38</v>
      </c>
      <c r="BG292" t="n">
        <v>10.002</v>
      </c>
      <c r="BH292" t="n">
        <v>8.818</v>
      </c>
      <c r="BI292" t="n">
        <v>8.433</v>
      </c>
      <c r="BJ292" t="n">
        <v>10.095</v>
      </c>
      <c r="BK292" t="n">
        <v>5.79</v>
      </c>
      <c r="BL292" t="n">
        <v>10.422</v>
      </c>
      <c r="BM292" t="n">
        <v>7.845</v>
      </c>
      <c r="BN292" t="n">
        <v>7.896</v>
      </c>
      <c r="BO292" t="n">
        <v>7.947</v>
      </c>
      <c r="BP292" t="n">
        <v>7.999</v>
      </c>
      <c r="BQ292" t="n">
        <v>8.050000000000001</v>
      </c>
      <c r="BR292" t="n">
        <v>8.101000000000001</v>
      </c>
      <c r="BS292" t="n">
        <v>8.151999999999999</v>
      </c>
      <c r="BT292" t="n">
        <v>8.202999999999999</v>
      </c>
      <c r="BU292" t="n">
        <v>8.255000000000001</v>
      </c>
      <c r="BV292" t="n">
        <v>8.255000000000001</v>
      </c>
    </row>
    <row r="293">
      <c r="A293" t="inlineStr">
        <is>
          <t>Sphyraena jello</t>
        </is>
      </c>
      <c r="B293" t="inlineStr">
        <is>
          <t>Pickhandle barracuda</t>
        </is>
      </c>
      <c r="C293" t="inlineStr">
        <is>
          <t>Large reef assoc. fish (&gt;=90 cm)</t>
        </is>
      </c>
      <c r="D293" t="inlineStr">
        <is>
          <t>Perch-likes</t>
        </is>
      </c>
      <c r="E293" t="n">
        <v>0.051</v>
      </c>
      <c r="F293" t="n">
        <v>0.04</v>
      </c>
      <c r="G293" t="n">
        <v>0.006</v>
      </c>
      <c r="H293" t="n">
        <v>0.006</v>
      </c>
      <c r="I293" t="n">
        <v>0.001</v>
      </c>
      <c r="J293" t="n">
        <v>0.048</v>
      </c>
      <c r="K293" t="n">
        <v>0.066</v>
      </c>
      <c r="L293" t="n">
        <v>0.063</v>
      </c>
      <c r="M293" t="n">
        <v>0.065</v>
      </c>
      <c r="N293" t="n">
        <v>0.062</v>
      </c>
      <c r="O293" t="n">
        <v>0.07000000000000001</v>
      </c>
      <c r="P293" t="n">
        <v>0.099</v>
      </c>
      <c r="Q293" t="n">
        <v>0.033</v>
      </c>
      <c r="R293" t="n">
        <v>0.059</v>
      </c>
      <c r="S293" t="n">
        <v>0.047</v>
      </c>
      <c r="T293" t="n">
        <v>0.037</v>
      </c>
      <c r="U293" t="n">
        <v>0.008999999999999999</v>
      </c>
      <c r="V293" t="n">
        <v>0.011</v>
      </c>
      <c r="W293" t="n">
        <v>0.012</v>
      </c>
      <c r="X293" t="n">
        <v>0.017</v>
      </c>
      <c r="Y293" t="n">
        <v>0.019</v>
      </c>
      <c r="Z293" t="n">
        <v>0.029</v>
      </c>
      <c r="AA293" t="n">
        <v>0.022</v>
      </c>
      <c r="AB293" t="n">
        <v>0.035</v>
      </c>
      <c r="AC293" t="n">
        <v>0.026</v>
      </c>
      <c r="AD293" t="n">
        <v>0.034</v>
      </c>
      <c r="AE293" t="n">
        <v>0.044</v>
      </c>
      <c r="AF293" t="n">
        <v>0.096</v>
      </c>
      <c r="AG293" t="n">
        <v>0.827</v>
      </c>
      <c r="AH293" t="n">
        <v>0.398</v>
      </c>
      <c r="AI293" t="n">
        <v>0.486</v>
      </c>
      <c r="AJ293" t="n">
        <v>0.381</v>
      </c>
      <c r="AK293" t="n">
        <v>0.363</v>
      </c>
      <c r="AL293" t="n">
        <v>0.04</v>
      </c>
      <c r="AM293" t="n">
        <v>0.08799999999999999</v>
      </c>
      <c r="AN293" t="n">
        <v>0.115</v>
      </c>
      <c r="AO293" t="n">
        <v>0.727</v>
      </c>
      <c r="AP293" t="n">
        <v>1.855</v>
      </c>
      <c r="AQ293" t="n">
        <v>3.466</v>
      </c>
      <c r="AR293" t="n">
        <v>4.112</v>
      </c>
      <c r="AS293" t="n">
        <v>5.064</v>
      </c>
      <c r="AT293" t="n">
        <v>8.427</v>
      </c>
      <c r="AU293" t="n">
        <v>8.276999999999999</v>
      </c>
      <c r="AV293" t="n">
        <v>12.431</v>
      </c>
      <c r="AW293" t="n">
        <v>16.381</v>
      </c>
      <c r="AX293" t="n">
        <v>18.726</v>
      </c>
      <c r="AY293" t="n">
        <v>15.943</v>
      </c>
      <c r="AZ293" t="n">
        <v>17.725</v>
      </c>
      <c r="BA293" t="n">
        <v>64.161</v>
      </c>
      <c r="BB293" t="n">
        <v>25.38</v>
      </c>
      <c r="BC293" t="n">
        <v>28.625</v>
      </c>
      <c r="BD293" t="n">
        <v>32.238</v>
      </c>
      <c r="BE293" t="n">
        <v>30.548</v>
      </c>
      <c r="BF293" t="n">
        <v>30.726</v>
      </c>
      <c r="BG293" t="n">
        <v>40.38</v>
      </c>
      <c r="BH293" t="n">
        <v>45.408</v>
      </c>
      <c r="BI293" t="n">
        <v>37.895</v>
      </c>
      <c r="BJ293" t="n">
        <v>37.796</v>
      </c>
      <c r="BK293" t="n">
        <v>39.965</v>
      </c>
      <c r="BL293" t="n">
        <v>26.91</v>
      </c>
      <c r="BM293" t="n">
        <v>30.304</v>
      </c>
      <c r="BN293" t="n">
        <v>25.085</v>
      </c>
      <c r="BO293" t="n">
        <v>28.041</v>
      </c>
      <c r="BP293" t="n">
        <v>19.162</v>
      </c>
      <c r="BQ293" t="n">
        <v>21.51</v>
      </c>
      <c r="BR293" t="n">
        <v>25.153</v>
      </c>
      <c r="BS293" t="n">
        <v>25.761</v>
      </c>
      <c r="BT293" t="n">
        <v>27.26</v>
      </c>
      <c r="BU293" t="n">
        <v>29.235</v>
      </c>
      <c r="BV293" t="n">
        <v>30.047</v>
      </c>
    </row>
    <row r="294">
      <c r="A294" t="inlineStr">
        <is>
          <t>Gnathanodon speciosus</t>
        </is>
      </c>
      <c r="B294" t="inlineStr">
        <is>
          <t>Golden trevally</t>
        </is>
      </c>
      <c r="C294" t="inlineStr">
        <is>
          <t>Large reef assoc. fish (&gt;=90 cm)</t>
        </is>
      </c>
      <c r="D294" t="inlineStr">
        <is>
          <t>Perch-likes</t>
        </is>
      </c>
      <c r="E294" t="n">
        <v>1.978</v>
      </c>
      <c r="F294" t="n">
        <v>1.978</v>
      </c>
      <c r="G294" t="n">
        <v>1.978</v>
      </c>
      <c r="H294" t="n">
        <v>1.978</v>
      </c>
      <c r="I294" t="n">
        <v>1.978</v>
      </c>
      <c r="J294" t="n">
        <v>2.968</v>
      </c>
      <c r="K294" t="n">
        <v>1.978</v>
      </c>
      <c r="L294" t="n">
        <v>1.978</v>
      </c>
      <c r="M294" t="n">
        <v>2.968</v>
      </c>
      <c r="N294" t="n">
        <v>2.968</v>
      </c>
      <c r="O294" t="n">
        <v>3.957</v>
      </c>
      <c r="P294" t="n">
        <v>3.957</v>
      </c>
      <c r="Q294" t="n">
        <v>3.957</v>
      </c>
      <c r="R294" t="n">
        <v>3.957</v>
      </c>
      <c r="S294" t="n">
        <v>3.957</v>
      </c>
      <c r="T294" t="n">
        <v>3.957</v>
      </c>
      <c r="U294" t="n">
        <v>4.946</v>
      </c>
      <c r="V294" t="n">
        <v>4.946</v>
      </c>
      <c r="W294" t="n">
        <v>6.925</v>
      </c>
      <c r="X294" t="n">
        <v>5.935</v>
      </c>
      <c r="Y294" t="n">
        <v>5.935</v>
      </c>
      <c r="Z294" t="n">
        <v>6.925</v>
      </c>
      <c r="AA294" t="n">
        <v>5.936</v>
      </c>
      <c r="AB294" t="n">
        <v>6.925</v>
      </c>
      <c r="AC294" t="n">
        <v>6.925</v>
      </c>
      <c r="AD294" t="n">
        <v>6.925</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52.437</v>
      </c>
      <c r="BI294" t="n">
        <v>55.405</v>
      </c>
      <c r="BJ294" t="n">
        <v>65.298</v>
      </c>
      <c r="BK294" t="n">
        <v>64.309</v>
      </c>
      <c r="BL294" t="n">
        <v>12.862</v>
      </c>
      <c r="BM294" t="n">
        <v>12.862</v>
      </c>
      <c r="BN294" t="n">
        <v>11.964</v>
      </c>
      <c r="BO294" t="n">
        <v>12.127</v>
      </c>
      <c r="BP294" t="n">
        <v>11.863</v>
      </c>
      <c r="BQ294" t="n">
        <v>12.621</v>
      </c>
      <c r="BR294" t="n">
        <v>12.798</v>
      </c>
      <c r="BS294" t="n">
        <v>13.751</v>
      </c>
      <c r="BT294" t="n">
        <v>12.716</v>
      </c>
      <c r="BU294" t="n">
        <v>11.689</v>
      </c>
      <c r="BV294" t="n">
        <v>12.199</v>
      </c>
    </row>
    <row r="295">
      <c r="A295" t="inlineStr">
        <is>
          <t>Bregmaceros mcclellandi</t>
        </is>
      </c>
      <c r="B295" t="inlineStr">
        <is>
          <t>Unicorn cod</t>
        </is>
      </c>
      <c r="C295" t="inlineStr">
        <is>
          <t>Small pelagics (&lt;30 cm)</t>
        </is>
      </c>
      <c r="D295" t="inlineStr">
        <is>
          <t>Cod-likes</t>
        </is>
      </c>
      <c r="E295" t="n">
        <v>0</v>
      </c>
      <c r="F295" t="n">
        <v>0</v>
      </c>
      <c r="G295" t="n">
        <v>0</v>
      </c>
      <c r="H295" t="n">
        <v>0</v>
      </c>
      <c r="I295" t="n">
        <v>0</v>
      </c>
      <c r="J295" t="n">
        <v>0</v>
      </c>
      <c r="K295" t="n">
        <v>0</v>
      </c>
      <c r="L295" t="n">
        <v>0</v>
      </c>
      <c r="M295" t="n">
        <v>0</v>
      </c>
      <c r="N295" t="n">
        <v>0.926</v>
      </c>
      <c r="O295" t="n">
        <v>0.926</v>
      </c>
      <c r="P295" t="n">
        <v>0</v>
      </c>
      <c r="Q295" t="n">
        <v>0</v>
      </c>
      <c r="R295" t="n">
        <v>7.412</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167.054</v>
      </c>
      <c r="AP295" t="n">
        <v>44.388</v>
      </c>
      <c r="AQ295" t="n">
        <v>0</v>
      </c>
      <c r="AR295" t="n">
        <v>0</v>
      </c>
      <c r="AS295" t="n">
        <v>0</v>
      </c>
      <c r="AT295" t="n">
        <v>2.936</v>
      </c>
      <c r="AU295" t="n">
        <v>0</v>
      </c>
      <c r="AV295" t="n">
        <v>2.003</v>
      </c>
      <c r="AW295" t="n">
        <v>0</v>
      </c>
      <c r="AX295" t="n">
        <v>0</v>
      </c>
      <c r="AY295" t="n">
        <v>1.98</v>
      </c>
      <c r="AZ295" t="n">
        <v>3.016</v>
      </c>
      <c r="BA295" t="n">
        <v>13.223</v>
      </c>
      <c r="BB295" t="n">
        <v>0</v>
      </c>
      <c r="BC295" t="n">
        <v>7.089</v>
      </c>
      <c r="BD295" t="n">
        <v>0</v>
      </c>
      <c r="BE295" t="n">
        <v>0</v>
      </c>
      <c r="BF295" t="n">
        <v>0</v>
      </c>
      <c r="BG295" t="n">
        <v>0</v>
      </c>
      <c r="BH295" t="n">
        <v>0</v>
      </c>
      <c r="BI295" t="n">
        <v>0</v>
      </c>
      <c r="BJ295" t="n">
        <v>0</v>
      </c>
      <c r="BK295" t="n">
        <v>0</v>
      </c>
      <c r="BL295" t="n">
        <v>0</v>
      </c>
      <c r="BM295" t="n">
        <v>0</v>
      </c>
      <c r="BN295" t="n">
        <v>0</v>
      </c>
      <c r="BO295" t="n">
        <v>0</v>
      </c>
      <c r="BP295" t="n">
        <v>0</v>
      </c>
      <c r="BQ295" t="n">
        <v>1.973</v>
      </c>
      <c r="BR295" t="n">
        <v>0</v>
      </c>
      <c r="BS295" t="n">
        <v>0</v>
      </c>
      <c r="BT295" t="n">
        <v>0</v>
      </c>
      <c r="BU295" t="n">
        <v>0</v>
      </c>
      <c r="BV295" t="n">
        <v>2.155</v>
      </c>
    </row>
    <row r="296">
      <c r="A296" t="inlineStr">
        <is>
          <t>Lutjanus argentimaculatus</t>
        </is>
      </c>
      <c r="B296" t="inlineStr">
        <is>
          <t>Mangrove red snapper</t>
        </is>
      </c>
      <c r="C296" t="inlineStr">
        <is>
          <t>Large reef assoc. fish (&gt;=90 cm)</t>
        </is>
      </c>
      <c r="D296" t="inlineStr">
        <is>
          <t>Perch-likes</t>
        </is>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6.854</v>
      </c>
      <c r="AM296" t="n">
        <v>0</v>
      </c>
      <c r="AN296" t="n">
        <v>0</v>
      </c>
      <c r="AO296" t="n">
        <v>12.503</v>
      </c>
      <c r="AP296" t="n">
        <v>7.353</v>
      </c>
      <c r="AQ296" t="n">
        <v>22.632</v>
      </c>
      <c r="AR296" t="n">
        <v>0</v>
      </c>
      <c r="AS296" t="n">
        <v>6.698</v>
      </c>
      <c r="AT296" t="n">
        <v>4.209</v>
      </c>
      <c r="AU296" t="n">
        <v>0</v>
      </c>
      <c r="AV296" t="n">
        <v>0</v>
      </c>
      <c r="AW296" t="n">
        <v>0</v>
      </c>
      <c r="AX296" t="n">
        <v>0</v>
      </c>
      <c r="AY296" t="n">
        <v>0</v>
      </c>
      <c r="AZ296" t="n">
        <v>0</v>
      </c>
      <c r="BA296" t="n">
        <v>11.619</v>
      </c>
      <c r="BB296" t="n">
        <v>0.927</v>
      </c>
      <c r="BC296" t="n">
        <v>28.928</v>
      </c>
      <c r="BD296" t="n">
        <v>5.251</v>
      </c>
      <c r="BE296" t="n">
        <v>6.868</v>
      </c>
      <c r="BF296" t="n">
        <v>5.445</v>
      </c>
      <c r="BG296" t="n">
        <v>3.841</v>
      </c>
      <c r="BH296" t="n">
        <v>35.521</v>
      </c>
      <c r="BI296" t="n">
        <v>33.253</v>
      </c>
      <c r="BJ296" t="n">
        <v>29.765</v>
      </c>
      <c r="BK296" t="n">
        <v>1.377</v>
      </c>
      <c r="BL296" t="n">
        <v>8.137</v>
      </c>
      <c r="BM296" t="n">
        <v>0</v>
      </c>
      <c r="BN296" t="n">
        <v>0</v>
      </c>
      <c r="BO296" t="n">
        <v>0</v>
      </c>
      <c r="BP296" t="n">
        <v>0</v>
      </c>
      <c r="BQ296" t="n">
        <v>0</v>
      </c>
      <c r="BR296" t="n">
        <v>0</v>
      </c>
      <c r="BS296" t="n">
        <v>0</v>
      </c>
      <c r="BT296" t="n">
        <v>0</v>
      </c>
      <c r="BU296" t="n">
        <v>0</v>
      </c>
      <c r="BV296" t="n">
        <v>0</v>
      </c>
    </row>
    <row r="297">
      <c r="A297" t="inlineStr">
        <is>
          <t>Trochus</t>
        </is>
      </c>
      <c r="B297" t="inlineStr">
        <is>
          <t>Trochus</t>
        </is>
      </c>
      <c r="C297" t="inlineStr">
        <is>
          <t>Other demersal invertebrates</t>
        </is>
      </c>
      <c r="D297" t="inlineStr">
        <is>
          <t>Molluscs</t>
        </is>
      </c>
      <c r="E297" t="n">
        <v>0.583</v>
      </c>
      <c r="F297" t="n">
        <v>0.578</v>
      </c>
      <c r="G297" t="n">
        <v>0.639</v>
      </c>
      <c r="H297" t="n">
        <v>0.699</v>
      </c>
      <c r="I297" t="n">
        <v>0.76</v>
      </c>
      <c r="J297" t="n">
        <v>0.821</v>
      </c>
      <c r="K297" t="n">
        <v>0.882</v>
      </c>
      <c r="L297" t="n">
        <v>0.9419999999999999</v>
      </c>
      <c r="M297" t="n">
        <v>1.003</v>
      </c>
      <c r="N297" t="n">
        <v>1.064</v>
      </c>
      <c r="O297" t="n">
        <v>1.125</v>
      </c>
      <c r="P297" t="n">
        <v>1.186</v>
      </c>
      <c r="Q297" t="n">
        <v>1.282</v>
      </c>
      <c r="R297" t="n">
        <v>1.378</v>
      </c>
      <c r="S297" t="n">
        <v>1.474</v>
      </c>
      <c r="T297" t="n">
        <v>1.571</v>
      </c>
      <c r="U297" t="n">
        <v>1.667</v>
      </c>
      <c r="V297" t="n">
        <v>1.763</v>
      </c>
      <c r="W297" t="n">
        <v>1.859</v>
      </c>
      <c r="X297" t="n">
        <v>1.955</v>
      </c>
      <c r="Y297" t="n">
        <v>2.052</v>
      </c>
      <c r="Z297" t="n">
        <v>2.148</v>
      </c>
      <c r="AA297" t="n">
        <v>2.241</v>
      </c>
      <c r="AB297" t="n">
        <v>2.334</v>
      </c>
      <c r="AC297" t="n">
        <v>2.426</v>
      </c>
      <c r="AD297" t="n">
        <v>2.519</v>
      </c>
      <c r="AE297" t="n">
        <v>2.612</v>
      </c>
      <c r="AF297" t="n">
        <v>2.705</v>
      </c>
      <c r="AG297" t="n">
        <v>2.797</v>
      </c>
      <c r="AH297" t="n">
        <v>2.89</v>
      </c>
      <c r="AI297" t="n">
        <v>2.983</v>
      </c>
      <c r="AJ297" t="n">
        <v>3.067</v>
      </c>
      <c r="AK297" t="n">
        <v>3.176</v>
      </c>
      <c r="AL297" t="n">
        <v>3.285</v>
      </c>
      <c r="AM297" t="n">
        <v>3.394</v>
      </c>
      <c r="AN297" t="n">
        <v>3.503</v>
      </c>
      <c r="AO297" t="n">
        <v>3.612</v>
      </c>
      <c r="AP297" t="n">
        <v>3.721</v>
      </c>
      <c r="AQ297" t="n">
        <v>3.83</v>
      </c>
      <c r="AR297" t="n">
        <v>3.939</v>
      </c>
      <c r="AS297" t="n">
        <v>4.048</v>
      </c>
      <c r="AT297" t="n">
        <v>4.157</v>
      </c>
      <c r="AU297" t="n">
        <v>4.241</v>
      </c>
      <c r="AV297" t="n">
        <v>4.325</v>
      </c>
      <c r="AW297" t="n">
        <v>4.408</v>
      </c>
      <c r="AX297" t="n">
        <v>4.492</v>
      </c>
      <c r="AY297" t="n">
        <v>4.576</v>
      </c>
      <c r="AZ297" t="n">
        <v>4.66</v>
      </c>
      <c r="BA297" t="n">
        <v>4.744</v>
      </c>
      <c r="BB297" t="n">
        <v>4.828</v>
      </c>
      <c r="BC297" t="n">
        <v>4.911</v>
      </c>
      <c r="BD297" t="n">
        <v>4.995</v>
      </c>
      <c r="BE297" t="n">
        <v>5.011</v>
      </c>
      <c r="BF297" t="n">
        <v>5.027</v>
      </c>
      <c r="BG297" t="n">
        <v>5.043</v>
      </c>
      <c r="BH297" t="n">
        <v>5.059</v>
      </c>
      <c r="BI297" t="n">
        <v>5.075</v>
      </c>
      <c r="BJ297" t="n">
        <v>5.09</v>
      </c>
      <c r="BK297" t="n">
        <v>5.106</v>
      </c>
      <c r="BL297" t="n">
        <v>5.122</v>
      </c>
      <c r="BM297" t="n">
        <v>5.138</v>
      </c>
      <c r="BN297" t="n">
        <v>5.154</v>
      </c>
      <c r="BO297" t="n">
        <v>5.186</v>
      </c>
      <c r="BP297" t="n">
        <v>5.218</v>
      </c>
      <c r="BQ297" t="n">
        <v>5.25</v>
      </c>
      <c r="BR297" t="n">
        <v>5.304</v>
      </c>
      <c r="BS297" t="n">
        <v>5.419</v>
      </c>
      <c r="BT297" t="n">
        <v>5.472</v>
      </c>
      <c r="BU297" t="n">
        <v>5.472</v>
      </c>
      <c r="BV297" t="n">
        <v>5.472</v>
      </c>
    </row>
    <row r="298">
      <c r="A298" t="inlineStr">
        <is>
          <t>Saccostrea cuccullata</t>
        </is>
      </c>
      <c r="B298" t="inlineStr">
        <is>
          <t>Hooded oyster</t>
        </is>
      </c>
      <c r="C298" t="inlineStr">
        <is>
          <t>Other demersal invertebrates</t>
        </is>
      </c>
      <c r="D298" t="inlineStr">
        <is>
          <t>Molluscs</t>
        </is>
      </c>
      <c r="E298" t="n">
        <v>4.103</v>
      </c>
      <c r="F298" t="n">
        <v>4.219</v>
      </c>
      <c r="G298" t="n">
        <v>4.334</v>
      </c>
      <c r="H298" t="n">
        <v>4.45</v>
      </c>
      <c r="I298" t="n">
        <v>4.565</v>
      </c>
      <c r="J298" t="n">
        <v>4.681</v>
      </c>
      <c r="K298" t="n">
        <v>4.796</v>
      </c>
      <c r="L298" t="n">
        <v>4.912</v>
      </c>
      <c r="M298" t="n">
        <v>5.027</v>
      </c>
      <c r="N298" t="n">
        <v>5.143</v>
      </c>
      <c r="O298" t="n">
        <v>5.258</v>
      </c>
      <c r="P298" t="n">
        <v>5.374</v>
      </c>
      <c r="Q298" t="n">
        <v>5.489</v>
      </c>
      <c r="R298" t="n">
        <v>5.605</v>
      </c>
      <c r="S298" t="n">
        <v>5.72</v>
      </c>
      <c r="T298" t="n">
        <v>5.836</v>
      </c>
      <c r="U298" t="n">
        <v>5.952</v>
      </c>
      <c r="V298" t="n">
        <v>6.067</v>
      </c>
      <c r="W298" t="n">
        <v>6.183</v>
      </c>
      <c r="X298" t="n">
        <v>6.298</v>
      </c>
      <c r="Y298" t="n">
        <v>6.414</v>
      </c>
      <c r="Z298" t="n">
        <v>6.529</v>
      </c>
      <c r="AA298" t="n">
        <v>6.645</v>
      </c>
      <c r="AB298" t="n">
        <v>6.76</v>
      </c>
      <c r="AC298" t="n">
        <v>6.876</v>
      </c>
      <c r="AD298" t="n">
        <v>6.991</v>
      </c>
      <c r="AE298" t="n">
        <v>7.107</v>
      </c>
      <c r="AF298" t="n">
        <v>7.097</v>
      </c>
      <c r="AG298" t="n">
        <v>7.087</v>
      </c>
      <c r="AH298" t="n">
        <v>7.077</v>
      </c>
      <c r="AI298" t="n">
        <v>7.067</v>
      </c>
      <c r="AJ298" t="n">
        <v>7.057</v>
      </c>
      <c r="AK298" t="n">
        <v>7.046</v>
      </c>
      <c r="AL298" t="n">
        <v>7.036</v>
      </c>
      <c r="AM298" t="n">
        <v>1.754</v>
      </c>
      <c r="AN298" t="n">
        <v>1.754</v>
      </c>
      <c r="AO298" t="n">
        <v>1.583</v>
      </c>
      <c r="AP298" t="n">
        <v>1.412</v>
      </c>
      <c r="AQ298" t="n">
        <v>1.241</v>
      </c>
      <c r="AR298" t="n">
        <v>1.07</v>
      </c>
      <c r="AS298" t="n">
        <v>0.899</v>
      </c>
      <c r="AT298" t="n">
        <v>0.729</v>
      </c>
      <c r="AU298" t="n">
        <v>0.5580000000000001</v>
      </c>
      <c r="AV298" t="n">
        <v>0.387</v>
      </c>
      <c r="AW298" t="n">
        <v>0.216</v>
      </c>
      <c r="AX298" t="n">
        <v>0.045</v>
      </c>
      <c r="AY298" t="n">
        <v>0.041</v>
      </c>
      <c r="AZ298" t="n">
        <v>0.103</v>
      </c>
      <c r="BA298" t="n">
        <v>0.002</v>
      </c>
      <c r="BB298" t="n">
        <v>0.024</v>
      </c>
      <c r="BC298" t="n">
        <v>0.022</v>
      </c>
      <c r="BD298" t="n">
        <v>0.027</v>
      </c>
      <c r="BE298" t="n">
        <v>0.03</v>
      </c>
      <c r="BF298" t="n">
        <v>0.032</v>
      </c>
      <c r="BG298" t="n">
        <v>0.031</v>
      </c>
      <c r="BH298" t="n">
        <v>0.029</v>
      </c>
      <c r="BI298" t="n">
        <v>0.024</v>
      </c>
      <c r="BJ298" t="n">
        <v>0.018</v>
      </c>
      <c r="BK298" t="n">
        <v>0.01</v>
      </c>
      <c r="BL298" t="n">
        <v>0.007</v>
      </c>
      <c r="BM298" t="n">
        <v>0.029</v>
      </c>
      <c r="BN298" t="n">
        <v>0.015</v>
      </c>
      <c r="BO298" t="n">
        <v>0.003</v>
      </c>
      <c r="BP298" t="n">
        <v>0.001</v>
      </c>
      <c r="BQ298" t="n">
        <v>0</v>
      </c>
      <c r="BR298" t="n">
        <v>0.001</v>
      </c>
      <c r="BS298" t="n">
        <v>0.001</v>
      </c>
      <c r="BT298" t="n">
        <v>0</v>
      </c>
      <c r="BU298" t="n">
        <v>0</v>
      </c>
      <c r="BV298" t="n">
        <v>0</v>
      </c>
    </row>
    <row r="299">
      <c r="A299" t="inlineStr">
        <is>
          <t>Lambis lambis</t>
        </is>
      </c>
      <c r="B299" t="inlineStr">
        <is>
          <t>Common spider conch</t>
        </is>
      </c>
      <c r="C299" t="inlineStr">
        <is>
          <t>Other demersal invertebrates</t>
        </is>
      </c>
      <c r="D299" t="inlineStr">
        <is>
          <t>Molluscs</t>
        </is>
      </c>
      <c r="E299" t="n">
        <v>4.101</v>
      </c>
      <c r="F299" t="n">
        <v>4.216</v>
      </c>
      <c r="G299" t="n">
        <v>4.332</v>
      </c>
      <c r="H299" t="n">
        <v>4.447</v>
      </c>
      <c r="I299" t="n">
        <v>4.563</v>
      </c>
      <c r="J299" t="n">
        <v>4.678</v>
      </c>
      <c r="K299" t="n">
        <v>4.794</v>
      </c>
      <c r="L299" t="n">
        <v>4.909</v>
      </c>
      <c r="M299" t="n">
        <v>5.025</v>
      </c>
      <c r="N299" t="n">
        <v>5.14</v>
      </c>
      <c r="O299" t="n">
        <v>5.256</v>
      </c>
      <c r="P299" t="n">
        <v>5.371</v>
      </c>
      <c r="Q299" t="n">
        <v>5.487</v>
      </c>
      <c r="R299" t="n">
        <v>5.602</v>
      </c>
      <c r="S299" t="n">
        <v>5.718</v>
      </c>
      <c r="T299" t="n">
        <v>5.833</v>
      </c>
      <c r="U299" t="n">
        <v>5.948</v>
      </c>
      <c r="V299" t="n">
        <v>6.064</v>
      </c>
      <c r="W299" t="n">
        <v>6.179</v>
      </c>
      <c r="X299" t="n">
        <v>6.295</v>
      </c>
      <c r="Y299" t="n">
        <v>6.41</v>
      </c>
      <c r="Z299" t="n">
        <v>6.526</v>
      </c>
      <c r="AA299" t="n">
        <v>6.641</v>
      </c>
      <c r="AB299" t="n">
        <v>6.757</v>
      </c>
      <c r="AC299" t="n">
        <v>6.872</v>
      </c>
      <c r="AD299" t="n">
        <v>6.988</v>
      </c>
      <c r="AE299" t="n">
        <v>7.103</v>
      </c>
      <c r="AF299" t="n">
        <v>7.093</v>
      </c>
      <c r="AG299" t="n">
        <v>7.083</v>
      </c>
      <c r="AH299" t="n">
        <v>7.073</v>
      </c>
      <c r="AI299" t="n">
        <v>7.063</v>
      </c>
      <c r="AJ299" t="n">
        <v>7.053</v>
      </c>
      <c r="AK299" t="n">
        <v>7.043</v>
      </c>
      <c r="AL299" t="n">
        <v>7.033</v>
      </c>
      <c r="AM299" t="n">
        <v>1.753</v>
      </c>
      <c r="AN299" t="n">
        <v>1.753</v>
      </c>
      <c r="AO299" t="n">
        <v>1.582</v>
      </c>
      <c r="AP299" t="n">
        <v>1.411</v>
      </c>
      <c r="AQ299" t="n">
        <v>1.241</v>
      </c>
      <c r="AR299" t="n">
        <v>1.07</v>
      </c>
      <c r="AS299" t="n">
        <v>0.899</v>
      </c>
      <c r="AT299" t="n">
        <v>0.728</v>
      </c>
      <c r="AU299" t="n">
        <v>0.5570000000000001</v>
      </c>
      <c r="AV299" t="n">
        <v>0.387</v>
      </c>
      <c r="AW299" t="n">
        <v>0.216</v>
      </c>
      <c r="AX299" t="n">
        <v>0.045</v>
      </c>
      <c r="AY299" t="n">
        <v>0.041</v>
      </c>
      <c r="AZ299" t="n">
        <v>0.103</v>
      </c>
      <c r="BA299" t="n">
        <v>0.002</v>
      </c>
      <c r="BB299" t="n">
        <v>0.024</v>
      </c>
      <c r="BC299" t="n">
        <v>0.022</v>
      </c>
      <c r="BD299" t="n">
        <v>0.027</v>
      </c>
      <c r="BE299" t="n">
        <v>0.03</v>
      </c>
      <c r="BF299" t="n">
        <v>0.032</v>
      </c>
      <c r="BG299" t="n">
        <v>0.031</v>
      </c>
      <c r="BH299" t="n">
        <v>0.029</v>
      </c>
      <c r="BI299" t="n">
        <v>0.024</v>
      </c>
      <c r="BJ299" t="n">
        <v>0.018</v>
      </c>
      <c r="BK299" t="n">
        <v>0.01</v>
      </c>
      <c r="BL299" t="n">
        <v>0.007</v>
      </c>
      <c r="BM299" t="n">
        <v>0.029</v>
      </c>
      <c r="BN299" t="n">
        <v>0.015</v>
      </c>
      <c r="BO299" t="n">
        <v>0.003</v>
      </c>
      <c r="BP299" t="n">
        <v>0.001</v>
      </c>
      <c r="BQ299" t="n">
        <v>0</v>
      </c>
      <c r="BR299" t="n">
        <v>0.001</v>
      </c>
      <c r="BS299" t="n">
        <v>0.001</v>
      </c>
      <c r="BT299" t="n">
        <v>0</v>
      </c>
      <c r="BU299" t="n">
        <v>0</v>
      </c>
      <c r="BV299" t="n">
        <v>0</v>
      </c>
    </row>
    <row r="300">
      <c r="A300" t="inlineStr">
        <is>
          <t>Menidae</t>
        </is>
      </c>
      <c r="B300" t="inlineStr">
        <is>
          <t>Moonfishes</t>
        </is>
      </c>
      <c r="C300" t="inlineStr">
        <is>
          <t>Medium reef assoc. fish (30 - 89 cm)</t>
        </is>
      </c>
      <c r="D300" t="inlineStr">
        <is>
          <t>Perch-likes</t>
        </is>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38.254</v>
      </c>
      <c r="V300" t="n">
        <v>37.995</v>
      </c>
      <c r="W300" t="n">
        <v>36.773</v>
      </c>
      <c r="X300" t="n">
        <v>41.054</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row>
    <row r="301">
      <c r="A301" t="inlineStr">
        <is>
          <t>Scyllaridae</t>
        </is>
      </c>
      <c r="B301" t="inlineStr">
        <is>
          <t>Slipper lobsters</t>
        </is>
      </c>
      <c r="C301" t="inlineStr">
        <is>
          <t>Lobsters, crabs</t>
        </is>
      </c>
      <c r="D301" t="inlineStr">
        <is>
          <t>Crustaceans</t>
        </is>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38.155</v>
      </c>
      <c r="V301" t="n">
        <v>37.896</v>
      </c>
      <c r="W301" t="n">
        <v>36.677</v>
      </c>
      <c r="X301" t="n">
        <v>40.947</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row>
    <row r="302">
      <c r="A302" t="inlineStr">
        <is>
          <t>Pomadasys argenteus</t>
        </is>
      </c>
      <c r="B302" t="inlineStr">
        <is>
          <t>Silver grunt</t>
        </is>
      </c>
      <c r="C302" t="inlineStr">
        <is>
          <t>Medium demersals (30 - 89 cm)</t>
        </is>
      </c>
      <c r="D302" t="inlineStr">
        <is>
          <t>Perch-likes</t>
        </is>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3.729</v>
      </c>
      <c r="AB302" t="n">
        <v>0</v>
      </c>
      <c r="AC302" t="n">
        <v>0.883</v>
      </c>
      <c r="AD302" t="n">
        <v>2.022</v>
      </c>
      <c r="AE302" t="n">
        <v>0</v>
      </c>
      <c r="AF302" t="n">
        <v>0</v>
      </c>
      <c r="AG302" t="n">
        <v>0</v>
      </c>
      <c r="AH302" t="n">
        <v>0</v>
      </c>
      <c r="AI302" t="n">
        <v>0</v>
      </c>
      <c r="AJ302" t="n">
        <v>3.304</v>
      </c>
      <c r="AK302" t="n">
        <v>0.514</v>
      </c>
      <c r="AL302" t="n">
        <v>0</v>
      </c>
      <c r="AM302" t="n">
        <v>14.71</v>
      </c>
      <c r="AN302" t="n">
        <v>4.007</v>
      </c>
      <c r="AO302" t="n">
        <v>11.378</v>
      </c>
      <c r="AP302" t="n">
        <v>1.12</v>
      </c>
      <c r="AQ302" t="n">
        <v>3.083</v>
      </c>
      <c r="AR302" t="n">
        <v>0</v>
      </c>
      <c r="AS302" t="n">
        <v>0</v>
      </c>
      <c r="AT302" t="n">
        <v>0.546</v>
      </c>
      <c r="AU302" t="n">
        <v>0</v>
      </c>
      <c r="AV302" t="n">
        <v>1.299</v>
      </c>
      <c r="AW302" t="n">
        <v>0</v>
      </c>
      <c r="AX302" t="n">
        <v>9.282999999999999</v>
      </c>
      <c r="AY302" t="n">
        <v>14.677</v>
      </c>
      <c r="AZ302" t="n">
        <v>7.892</v>
      </c>
      <c r="BA302" t="n">
        <v>10.209</v>
      </c>
      <c r="BB302" t="n">
        <v>6.976</v>
      </c>
      <c r="BC302" t="n">
        <v>0.586</v>
      </c>
      <c r="BD302" t="n">
        <v>2.066</v>
      </c>
      <c r="BE302" t="n">
        <v>7.501</v>
      </c>
      <c r="BF302" t="n">
        <v>0</v>
      </c>
      <c r="BG302" t="n">
        <v>0.191</v>
      </c>
      <c r="BH302" t="n">
        <v>11.008</v>
      </c>
      <c r="BI302" t="n">
        <v>12.404</v>
      </c>
      <c r="BJ302" t="n">
        <v>3.751</v>
      </c>
      <c r="BK302" t="n">
        <v>0.046</v>
      </c>
      <c r="BL302" t="n">
        <v>2.836</v>
      </c>
      <c r="BM302" t="n">
        <v>1.656</v>
      </c>
      <c r="BN302" t="n">
        <v>1.559</v>
      </c>
      <c r="BO302" t="n">
        <v>1.582</v>
      </c>
      <c r="BP302" t="n">
        <v>1.542</v>
      </c>
      <c r="BQ302" t="n">
        <v>1.636</v>
      </c>
      <c r="BR302" t="n">
        <v>1.658</v>
      </c>
      <c r="BS302" t="n">
        <v>1.78</v>
      </c>
      <c r="BT302" t="n">
        <v>1.646</v>
      </c>
      <c r="BU302" t="n">
        <v>1.511</v>
      </c>
      <c r="BV302" t="n">
        <v>1.575</v>
      </c>
    </row>
    <row r="303">
      <c r="A303" t="inlineStr">
        <is>
          <t>Echinodermata</t>
        </is>
      </c>
      <c r="B303" t="inlineStr">
        <is>
          <t>Sea urchins, stars, cucumbers</t>
        </is>
      </c>
      <c r="C303" t="inlineStr">
        <is>
          <t>Other demersal invertebrates</t>
        </is>
      </c>
      <c r="D303" t="inlineStr">
        <is>
          <t>Other fishes &amp; inverts</t>
        </is>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0.736</v>
      </c>
      <c r="AK303" t="n">
        <v>0</v>
      </c>
      <c r="AL303" t="n">
        <v>0</v>
      </c>
      <c r="AM303" t="n">
        <v>0</v>
      </c>
      <c r="AN303" t="n">
        <v>0</v>
      </c>
      <c r="AO303" t="n">
        <v>0</v>
      </c>
      <c r="AP303" t="n">
        <v>0</v>
      </c>
      <c r="AQ303" t="n">
        <v>0</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0</v>
      </c>
      <c r="BL303" t="n">
        <v>12.993</v>
      </c>
      <c r="BM303" t="n">
        <v>12.993</v>
      </c>
      <c r="BN303" t="n">
        <v>12.058</v>
      </c>
      <c r="BO303" t="n">
        <v>12.219</v>
      </c>
      <c r="BP303" t="n">
        <v>11.961</v>
      </c>
      <c r="BQ303" t="n">
        <v>12.733</v>
      </c>
      <c r="BR303" t="n">
        <v>12.913</v>
      </c>
      <c r="BS303" t="n">
        <v>13.877</v>
      </c>
      <c r="BT303" t="n">
        <v>12.832</v>
      </c>
      <c r="BU303" t="n">
        <v>11.792</v>
      </c>
      <c r="BV303" t="n">
        <v>12.308</v>
      </c>
    </row>
    <row r="304">
      <c r="A304" t="inlineStr">
        <is>
          <t>Panulirus polyphagus</t>
        </is>
      </c>
      <c r="B304" t="inlineStr">
        <is>
          <t>Mud spiny lobster</t>
        </is>
      </c>
      <c r="C304" t="inlineStr">
        <is>
          <t>Lobsters, crabs</t>
        </is>
      </c>
      <c r="D304" t="inlineStr">
        <is>
          <t>Crustaceans</t>
        </is>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14.895</v>
      </c>
      <c r="AO304" t="n">
        <v>12.909</v>
      </c>
      <c r="AP304" t="n">
        <v>11.916</v>
      </c>
      <c r="AQ304" t="n">
        <v>8.936999999999999</v>
      </c>
      <c r="AR304" t="n">
        <v>11.916</v>
      </c>
      <c r="AS304" t="n">
        <v>6.951</v>
      </c>
      <c r="AT304" t="n">
        <v>6.951</v>
      </c>
      <c r="AU304" t="n">
        <v>6.951</v>
      </c>
      <c r="AV304" t="n">
        <v>6.951</v>
      </c>
      <c r="AW304" t="n">
        <v>6.951</v>
      </c>
      <c r="AX304" t="n">
        <v>0</v>
      </c>
      <c r="AY304" t="n">
        <v>0</v>
      </c>
      <c r="AZ304" t="n">
        <v>0</v>
      </c>
      <c r="BA304" t="n">
        <v>0</v>
      </c>
      <c r="BB304" t="n">
        <v>0</v>
      </c>
      <c r="BC304" t="n">
        <v>0</v>
      </c>
      <c r="BD304" t="n">
        <v>0</v>
      </c>
      <c r="BE304" t="n">
        <v>0</v>
      </c>
      <c r="BF304" t="n">
        <v>0</v>
      </c>
      <c r="BG304" t="n">
        <v>0</v>
      </c>
      <c r="BH304" t="n">
        <v>1.986</v>
      </c>
      <c r="BI304" t="n">
        <v>1.986</v>
      </c>
      <c r="BJ304" t="n">
        <v>1.986</v>
      </c>
      <c r="BK304" t="n">
        <v>2.979</v>
      </c>
      <c r="BL304" t="n">
        <v>0</v>
      </c>
      <c r="BM304" t="n">
        <v>0</v>
      </c>
      <c r="BN304" t="n">
        <v>0</v>
      </c>
      <c r="BO304" t="n">
        <v>0</v>
      </c>
      <c r="BP304" t="n">
        <v>0</v>
      </c>
      <c r="BQ304" t="n">
        <v>0</v>
      </c>
      <c r="BR304" t="n">
        <v>0</v>
      </c>
      <c r="BS304" t="n">
        <v>0</v>
      </c>
      <c r="BT304" t="n">
        <v>0</v>
      </c>
      <c r="BU304" t="n">
        <v>0</v>
      </c>
      <c r="BV304" t="n">
        <v>0</v>
      </c>
    </row>
    <row r="305">
      <c r="A305" t="inlineStr">
        <is>
          <t>Carcharhinus obscurus</t>
        </is>
      </c>
      <c r="B305" t="inlineStr">
        <is>
          <t>Dusky shark</t>
        </is>
      </c>
      <c r="C305" t="inlineStr">
        <is>
          <t>Large sharks (&gt;=90 cm)</t>
        </is>
      </c>
      <c r="D305" t="inlineStr">
        <is>
          <t>Sharks &amp; rays</t>
        </is>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v>
      </c>
      <c r="AN305" t="n">
        <v>0</v>
      </c>
      <c r="AO305" t="n">
        <v>0</v>
      </c>
      <c r="AP305" t="n">
        <v>0</v>
      </c>
      <c r="AQ305" t="n">
        <v>0</v>
      </c>
      <c r="AR305" t="n">
        <v>0</v>
      </c>
      <c r="AS305" t="n">
        <v>0</v>
      </c>
      <c r="AT305" t="n">
        <v>0</v>
      </c>
      <c r="AU305" t="n">
        <v>0</v>
      </c>
      <c r="AV305" t="n">
        <v>0</v>
      </c>
      <c r="AW305" t="n">
        <v>0</v>
      </c>
      <c r="AX305" t="n">
        <v>0</v>
      </c>
      <c r="AY305" t="n">
        <v>0</v>
      </c>
      <c r="AZ305" t="n">
        <v>0</v>
      </c>
      <c r="BA305" t="n">
        <v>0</v>
      </c>
      <c r="BB305" t="n">
        <v>0</v>
      </c>
      <c r="BC305" t="n">
        <v>0</v>
      </c>
      <c r="BD305" t="n">
        <v>0</v>
      </c>
      <c r="BE305" t="n">
        <v>0</v>
      </c>
      <c r="BF305" t="n">
        <v>0</v>
      </c>
      <c r="BG305" t="n">
        <v>0</v>
      </c>
      <c r="BH305" t="n">
        <v>0</v>
      </c>
      <c r="BI305" t="n">
        <v>0</v>
      </c>
      <c r="BJ305" t="n">
        <v>10.818</v>
      </c>
      <c r="BK305" t="n">
        <v>22.703</v>
      </c>
      <c r="BL305" t="n">
        <v>19.016</v>
      </c>
      <c r="BM305" t="n">
        <v>12.499</v>
      </c>
      <c r="BN305" t="n">
        <v>9.890000000000001</v>
      </c>
      <c r="BO305" t="n">
        <v>0.07199999999999999</v>
      </c>
      <c r="BP305" t="n">
        <v>0</v>
      </c>
      <c r="BQ305" t="n">
        <v>0</v>
      </c>
      <c r="BR305" t="n">
        <v>0</v>
      </c>
      <c r="BS305" t="n">
        <v>0</v>
      </c>
      <c r="BT305" t="n">
        <v>0</v>
      </c>
      <c r="BU305" t="n">
        <v>0</v>
      </c>
      <c r="BV305" t="n">
        <v>0</v>
      </c>
    </row>
    <row r="306">
      <c r="A306" t="inlineStr">
        <is>
          <t>Labridae</t>
        </is>
      </c>
      <c r="B306" t="inlineStr">
        <is>
          <t>Wrasses, gropers, tuskfishes</t>
        </is>
      </c>
      <c r="C306" t="inlineStr">
        <is>
          <t>Medium reef assoc. fish (30 - 89 cm)</t>
        </is>
      </c>
      <c r="D306" t="inlineStr">
        <is>
          <t>Perch-likes</t>
        </is>
      </c>
      <c r="E306" t="n">
        <v>0</v>
      </c>
      <c r="F306" t="n">
        <v>0</v>
      </c>
      <c r="G306" t="n">
        <v>0</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0</v>
      </c>
      <c r="AQ306" t="n">
        <v>0</v>
      </c>
      <c r="AR306" t="n">
        <v>0</v>
      </c>
      <c r="AS306" t="n">
        <v>0</v>
      </c>
      <c r="AT306" t="n">
        <v>0</v>
      </c>
      <c r="AU306" t="n">
        <v>0</v>
      </c>
      <c r="AV306" t="n">
        <v>0</v>
      </c>
      <c r="AW306" t="n">
        <v>0</v>
      </c>
      <c r="AX306" t="n">
        <v>0</v>
      </c>
      <c r="AY306" t="n">
        <v>0</v>
      </c>
      <c r="AZ306" t="n">
        <v>0</v>
      </c>
      <c r="BA306" t="n">
        <v>0</v>
      </c>
      <c r="BB306" t="n">
        <v>0</v>
      </c>
      <c r="BC306" t="n">
        <v>0</v>
      </c>
      <c r="BD306" t="n">
        <v>0</v>
      </c>
      <c r="BE306" t="n">
        <v>0</v>
      </c>
      <c r="BF306" t="n">
        <v>0</v>
      </c>
      <c r="BG306" t="n">
        <v>0</v>
      </c>
      <c r="BH306" t="n">
        <v>0</v>
      </c>
      <c r="BI306" t="n">
        <v>10.789</v>
      </c>
      <c r="BJ306" t="n">
        <v>9.801</v>
      </c>
      <c r="BK306" t="n">
        <v>0</v>
      </c>
      <c r="BL306" t="n">
        <v>0</v>
      </c>
      <c r="BM306" t="n">
        <v>4.788</v>
      </c>
      <c r="BN306" t="n">
        <v>4.508</v>
      </c>
      <c r="BO306" t="n">
        <v>4.575</v>
      </c>
      <c r="BP306" t="n">
        <v>4.459</v>
      </c>
      <c r="BQ306" t="n">
        <v>4.73</v>
      </c>
      <c r="BR306" t="n">
        <v>4.794</v>
      </c>
      <c r="BS306" t="n">
        <v>5.147</v>
      </c>
      <c r="BT306" t="n">
        <v>4.76</v>
      </c>
      <c r="BU306" t="n">
        <v>4.368</v>
      </c>
      <c r="BV306" t="n">
        <v>4.555</v>
      </c>
    </row>
    <row r="307">
      <c r="A307" t="inlineStr">
        <is>
          <t>Polynemus</t>
        </is>
      </c>
      <c r="B307" t="inlineStr">
        <is>
          <t>Paradise fishes</t>
        </is>
      </c>
      <c r="C307" t="inlineStr">
        <is>
          <t>Small demersals (&lt;30 cm)</t>
        </is>
      </c>
      <c r="D307" t="inlineStr">
        <is>
          <t>Perch-likes</t>
        </is>
      </c>
      <c r="E307" t="n">
        <v>0.161</v>
      </c>
      <c r="F307" t="n">
        <v>0.09</v>
      </c>
      <c r="G307" t="n">
        <v>0.062</v>
      </c>
      <c r="H307" t="n">
        <v>0.141</v>
      </c>
      <c r="I307" t="n">
        <v>0</v>
      </c>
      <c r="J307" t="n">
        <v>0</v>
      </c>
      <c r="K307" t="n">
        <v>0.004</v>
      </c>
      <c r="L307" t="n">
        <v>0.002</v>
      </c>
      <c r="M307" t="n">
        <v>0</v>
      </c>
      <c r="N307" t="n">
        <v>0.077</v>
      </c>
      <c r="O307" t="n">
        <v>0</v>
      </c>
      <c r="P307" t="n">
        <v>0</v>
      </c>
      <c r="Q307" t="n">
        <v>0</v>
      </c>
      <c r="R307" t="n">
        <v>0</v>
      </c>
      <c r="S307" t="n">
        <v>0.989</v>
      </c>
      <c r="T307" t="n">
        <v>1.644</v>
      </c>
      <c r="U307" t="n">
        <v>8.853</v>
      </c>
      <c r="V307" t="n">
        <v>2.912</v>
      </c>
      <c r="W307" t="n">
        <v>0</v>
      </c>
      <c r="X307" t="n">
        <v>2.846</v>
      </c>
      <c r="Y307" t="n">
        <v>10.607</v>
      </c>
      <c r="Z307" t="n">
        <v>3.881</v>
      </c>
      <c r="AA307" t="n">
        <v>5.226</v>
      </c>
      <c r="AB307" t="n">
        <v>1.695</v>
      </c>
      <c r="AC307" t="n">
        <v>5.396</v>
      </c>
      <c r="AD307" t="n">
        <v>6.516</v>
      </c>
      <c r="AE307" t="n">
        <v>5.153</v>
      </c>
      <c r="AF307" t="n">
        <v>0</v>
      </c>
      <c r="AG307" t="n">
        <v>0</v>
      </c>
      <c r="AH307" t="n">
        <v>0</v>
      </c>
      <c r="AI307" t="n">
        <v>0</v>
      </c>
      <c r="AJ307" t="n">
        <v>0</v>
      </c>
      <c r="AK307" t="n">
        <v>0</v>
      </c>
      <c r="AL307" t="n">
        <v>0</v>
      </c>
      <c r="AM307" t="n">
        <v>0</v>
      </c>
      <c r="AN307" t="n">
        <v>0</v>
      </c>
      <c r="AO307" t="n">
        <v>0</v>
      </c>
      <c r="AP307" t="n">
        <v>0</v>
      </c>
      <c r="AQ307" t="n">
        <v>0</v>
      </c>
      <c r="AR307" t="n">
        <v>0</v>
      </c>
      <c r="AS307" t="n">
        <v>0</v>
      </c>
      <c r="AT307" t="n">
        <v>0</v>
      </c>
      <c r="AU307" t="n">
        <v>0</v>
      </c>
      <c r="AV307" t="n">
        <v>0</v>
      </c>
      <c r="AW307" t="n">
        <v>0</v>
      </c>
      <c r="AX307" t="n">
        <v>0</v>
      </c>
      <c r="AY307" t="n">
        <v>0</v>
      </c>
      <c r="AZ307" t="n">
        <v>0</v>
      </c>
      <c r="BA307" t="n">
        <v>0</v>
      </c>
      <c r="BB307" t="n">
        <v>0</v>
      </c>
      <c r="BC307" t="n">
        <v>0</v>
      </c>
      <c r="BD307" t="n">
        <v>0</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row>
    <row r="308">
      <c r="A308" t="inlineStr">
        <is>
          <t>Decapterus macarellus</t>
        </is>
      </c>
      <c r="B308" t="inlineStr">
        <is>
          <t>Mackerel scad</t>
        </is>
      </c>
      <c r="C308" t="inlineStr">
        <is>
          <t>Medium pelagics (30 - 89 cm)</t>
        </is>
      </c>
      <c r="D308" t="inlineStr">
        <is>
          <t>Perch-likes</t>
        </is>
      </c>
      <c r="E308" t="n">
        <v>0</v>
      </c>
      <c r="F308" t="n">
        <v>0</v>
      </c>
      <c r="G308" t="n">
        <v>0</v>
      </c>
      <c r="H308" t="n">
        <v>0</v>
      </c>
      <c r="I308" t="n">
        <v>0</v>
      </c>
      <c r="J308" t="n">
        <v>0</v>
      </c>
      <c r="K308" t="n">
        <v>0</v>
      </c>
      <c r="L308" t="n">
        <v>0</v>
      </c>
      <c r="M308" t="n">
        <v>0</v>
      </c>
      <c r="N308" t="n">
        <v>0</v>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c r="AJ308" t="n">
        <v>0</v>
      </c>
      <c r="AK308" t="n">
        <v>0</v>
      </c>
      <c r="AL308" t="n">
        <v>0</v>
      </c>
      <c r="AM308" t="n">
        <v>0</v>
      </c>
      <c r="AN308" t="n">
        <v>0</v>
      </c>
      <c r="AO308" t="n">
        <v>0</v>
      </c>
      <c r="AP308" t="n">
        <v>0</v>
      </c>
      <c r="AQ308" t="n">
        <v>0</v>
      </c>
      <c r="AR308" t="n">
        <v>0</v>
      </c>
      <c r="AS308" t="n">
        <v>0</v>
      </c>
      <c r="AT308" t="n">
        <v>0</v>
      </c>
      <c r="AU308" t="n">
        <v>0</v>
      </c>
      <c r="AV308" t="n">
        <v>0</v>
      </c>
      <c r="AW308" t="n">
        <v>0</v>
      </c>
      <c r="AX308" t="n">
        <v>0</v>
      </c>
      <c r="AY308" t="n">
        <v>0</v>
      </c>
      <c r="AZ308" t="n">
        <v>0</v>
      </c>
      <c r="BA308" t="n">
        <v>0</v>
      </c>
      <c r="BB308" t="n">
        <v>0</v>
      </c>
      <c r="BC308" t="n">
        <v>0</v>
      </c>
      <c r="BD308" t="n">
        <v>0</v>
      </c>
      <c r="BE308" t="n">
        <v>0</v>
      </c>
      <c r="BF308" t="n">
        <v>0</v>
      </c>
      <c r="BG308" t="n">
        <v>0</v>
      </c>
      <c r="BH308" t="n">
        <v>0</v>
      </c>
      <c r="BI308" t="n">
        <v>0</v>
      </c>
      <c r="BJ308" t="n">
        <v>0</v>
      </c>
      <c r="BK308" t="n">
        <v>0</v>
      </c>
      <c r="BL308" t="n">
        <v>0</v>
      </c>
      <c r="BM308" t="n">
        <v>0</v>
      </c>
      <c r="BN308" t="n">
        <v>0</v>
      </c>
      <c r="BO308" t="n">
        <v>0</v>
      </c>
      <c r="BP308" t="n">
        <v>0</v>
      </c>
      <c r="BQ308" t="n">
        <v>0.196</v>
      </c>
      <c r="BR308" t="n">
        <v>21.049</v>
      </c>
      <c r="BS308" t="n">
        <v>0</v>
      </c>
      <c r="BT308" t="n">
        <v>2.329</v>
      </c>
      <c r="BU308" t="n">
        <v>0</v>
      </c>
      <c r="BV308" t="n">
        <v>0</v>
      </c>
    </row>
    <row r="309">
      <c r="A309" t="inlineStr">
        <is>
          <t>Carcharhinus brachyurus</t>
        </is>
      </c>
      <c r="B309" t="inlineStr">
        <is>
          <t>Copper shark</t>
        </is>
      </c>
      <c r="C309" t="inlineStr">
        <is>
          <t>Large sharks (&gt;=90 cm)</t>
        </is>
      </c>
      <c r="D309" t="inlineStr">
        <is>
          <t>Sharks &amp; rays</t>
        </is>
      </c>
      <c r="E309" t="n">
        <v>0</v>
      </c>
      <c r="F309" t="n">
        <v>0</v>
      </c>
      <c r="G309" t="n">
        <v>0</v>
      </c>
      <c r="H309" t="n">
        <v>0</v>
      </c>
      <c r="I309" t="n">
        <v>0</v>
      </c>
      <c r="J309" t="n">
        <v>0</v>
      </c>
      <c r="K309" t="n">
        <v>0</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0</v>
      </c>
      <c r="AO309" t="n">
        <v>0</v>
      </c>
      <c r="AP309" t="n">
        <v>0</v>
      </c>
      <c r="AQ309" t="n">
        <v>0</v>
      </c>
      <c r="AR309" t="n">
        <v>0</v>
      </c>
      <c r="AS309" t="n">
        <v>0</v>
      </c>
      <c r="AT309" t="n">
        <v>0</v>
      </c>
      <c r="AU309" t="n">
        <v>0</v>
      </c>
      <c r="AV309" t="n">
        <v>0</v>
      </c>
      <c r="AW309" t="n">
        <v>0</v>
      </c>
      <c r="AX309" t="n">
        <v>0</v>
      </c>
      <c r="AY309" t="n">
        <v>0</v>
      </c>
      <c r="AZ309" t="n">
        <v>0</v>
      </c>
      <c r="BA309" t="n">
        <v>0</v>
      </c>
      <c r="BB309" t="n">
        <v>0</v>
      </c>
      <c r="BC309" t="n">
        <v>0</v>
      </c>
      <c r="BD309" t="n">
        <v>0</v>
      </c>
      <c r="BE309" t="n">
        <v>0</v>
      </c>
      <c r="BF309" t="n">
        <v>0</v>
      </c>
      <c r="BG309" t="n">
        <v>0</v>
      </c>
      <c r="BH309" t="n">
        <v>0</v>
      </c>
      <c r="BI309" t="n">
        <v>0</v>
      </c>
      <c r="BJ309" t="n">
        <v>0</v>
      </c>
      <c r="BK309" t="n">
        <v>0</v>
      </c>
      <c r="BL309" t="n">
        <v>0</v>
      </c>
      <c r="BM309" t="n">
        <v>0</v>
      </c>
      <c r="BN309" t="n">
        <v>0.055</v>
      </c>
      <c r="BO309" t="n">
        <v>2.72</v>
      </c>
      <c r="BP309" t="n">
        <v>0</v>
      </c>
      <c r="BQ309" t="n">
        <v>0</v>
      </c>
      <c r="BR309" t="n">
        <v>0</v>
      </c>
      <c r="BS309" t="n">
        <v>0</v>
      </c>
      <c r="BT309" t="n">
        <v>0</v>
      </c>
      <c r="BU309" t="n">
        <v>0</v>
      </c>
      <c r="BV309" t="n">
        <v>0</v>
      </c>
    </row>
    <row r="310">
      <c r="A310" t="inlineStr">
        <is>
          <t>Epinephelus tauvina</t>
        </is>
      </c>
      <c r="B310" t="inlineStr">
        <is>
          <t>Greasy grouper</t>
        </is>
      </c>
      <c r="C310" t="inlineStr">
        <is>
          <t>Medium reef assoc. fish (30 - 89 cm)</t>
        </is>
      </c>
      <c r="D310" t="inlineStr">
        <is>
          <t>Perch-likes</t>
        </is>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c r="AK310" t="n">
        <v>0</v>
      </c>
      <c r="AL310" t="n">
        <v>2.122</v>
      </c>
      <c r="AM310" t="n">
        <v>0</v>
      </c>
      <c r="AN310" t="n">
        <v>0</v>
      </c>
      <c r="AO310" t="n">
        <v>0</v>
      </c>
      <c r="AP310" t="n">
        <v>0</v>
      </c>
      <c r="AQ310" t="n">
        <v>0</v>
      </c>
      <c r="AR310" t="n">
        <v>0</v>
      </c>
      <c r="AS310" t="n">
        <v>0</v>
      </c>
      <c r="AT310" t="n">
        <v>0</v>
      </c>
      <c r="AU310" t="n">
        <v>0</v>
      </c>
      <c r="AV310" t="n">
        <v>0</v>
      </c>
      <c r="AW310" t="n">
        <v>0</v>
      </c>
      <c r="AX310" t="n">
        <v>0</v>
      </c>
      <c r="AY310" t="n">
        <v>0</v>
      </c>
      <c r="AZ310" t="n">
        <v>0</v>
      </c>
      <c r="BA310" t="n">
        <v>0</v>
      </c>
      <c r="BB310" t="n">
        <v>0</v>
      </c>
      <c r="BC310" t="n">
        <v>0</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row>
    <row r="311">
      <c r="A311" t="inlineStr">
        <is>
          <t>Rajiformes</t>
        </is>
      </c>
      <c r="B311" t="inlineStr">
        <is>
          <t>Skates and rays</t>
        </is>
      </c>
      <c r="C311" t="inlineStr">
        <is>
          <t>Large rays (&gt;=90 cm)</t>
        </is>
      </c>
      <c r="D311" t="inlineStr">
        <is>
          <t>Sharks &amp; rays</t>
        </is>
      </c>
      <c r="E311" t="n">
        <v>0</v>
      </c>
      <c r="F311" t="n">
        <v>0.005</v>
      </c>
      <c r="G311" t="n">
        <v>0.014</v>
      </c>
      <c r="H311" t="n">
        <v>0.048</v>
      </c>
      <c r="I311" t="n">
        <v>0.076</v>
      </c>
      <c r="J311" t="n">
        <v>0.037</v>
      </c>
      <c r="K311" t="n">
        <v>0.054</v>
      </c>
      <c r="L311" t="n">
        <v>0.036</v>
      </c>
      <c r="M311" t="n">
        <v>0.019</v>
      </c>
      <c r="N311" t="n">
        <v>0</v>
      </c>
      <c r="O311" t="n">
        <v>0</v>
      </c>
      <c r="P311" t="n">
        <v>0</v>
      </c>
      <c r="Q311" t="n">
        <v>0</v>
      </c>
      <c r="R311" t="n">
        <v>0.234</v>
      </c>
      <c r="S311" t="n">
        <v>0.187</v>
      </c>
      <c r="T311" t="n">
        <v>0</v>
      </c>
      <c r="U311" t="n">
        <v>0.07099999999999999</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t="n">
        <v>0</v>
      </c>
      <c r="AT311" t="n">
        <v>0</v>
      </c>
      <c r="AU311" t="n">
        <v>0</v>
      </c>
      <c r="AV311" t="n">
        <v>0</v>
      </c>
      <c r="AW311" t="n">
        <v>0</v>
      </c>
      <c r="AX311" t="n">
        <v>0</v>
      </c>
      <c r="AY311" t="n">
        <v>0</v>
      </c>
      <c r="AZ311" t="n">
        <v>0</v>
      </c>
      <c r="BA311" t="n">
        <v>0</v>
      </c>
      <c r="BB311" t="n">
        <v>0</v>
      </c>
      <c r="BC311" t="n">
        <v>0</v>
      </c>
      <c r="BD311" t="n">
        <v>0</v>
      </c>
      <c r="BE311" t="n">
        <v>0</v>
      </c>
      <c r="BF311" t="n">
        <v>0</v>
      </c>
      <c r="BG311" t="n">
        <v>0</v>
      </c>
      <c r="BH311" t="n">
        <v>0</v>
      </c>
      <c r="BI311" t="n">
        <v>0</v>
      </c>
      <c r="BJ311" t="n">
        <v>0</v>
      </c>
      <c r="BK311" t="n">
        <v>0</v>
      </c>
      <c r="BL311" t="n">
        <v>0</v>
      </c>
      <c r="BM311" t="n">
        <v>0</v>
      </c>
      <c r="BN311" t="n">
        <v>0</v>
      </c>
      <c r="BO311" t="n">
        <v>0</v>
      </c>
      <c r="BP311" t="n">
        <v>0</v>
      </c>
      <c r="BQ311" t="n">
        <v>0</v>
      </c>
      <c r="BR311" t="n">
        <v>0</v>
      </c>
      <c r="BS311" t="n">
        <v>0</v>
      </c>
      <c r="BT311" t="n">
        <v>0.032</v>
      </c>
      <c r="BU311" t="n">
        <v>0.08400000000000001</v>
      </c>
      <c r="BV311" t="n">
        <v>0</v>
      </c>
    </row>
    <row r="312">
      <c r="A312" t="inlineStr">
        <is>
          <t>Lepidocybium flavobrunneum</t>
        </is>
      </c>
      <c r="B312" t="inlineStr">
        <is>
          <t>Escolar</t>
        </is>
      </c>
      <c r="C312" t="inlineStr">
        <is>
          <t>Large bathypelagics (&gt;=90 cm)</t>
        </is>
      </c>
      <c r="D312" t="inlineStr">
        <is>
          <t>Perch-likes</t>
        </is>
      </c>
      <c r="E312" t="n">
        <v>0</v>
      </c>
      <c r="F312" t="n">
        <v>0</v>
      </c>
      <c r="G312" t="n">
        <v>0</v>
      </c>
      <c r="H312" t="n">
        <v>0</v>
      </c>
      <c r="I312" t="n">
        <v>0</v>
      </c>
      <c r="J312" t="n">
        <v>0</v>
      </c>
      <c r="K312" t="n">
        <v>0</v>
      </c>
      <c r="L312" t="n">
        <v>0</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c r="AE312" t="n">
        <v>0</v>
      </c>
      <c r="AF312" t="n">
        <v>0</v>
      </c>
      <c r="AG312" t="n">
        <v>0</v>
      </c>
      <c r="AH312" t="n">
        <v>0</v>
      </c>
      <c r="AI312" t="n">
        <v>0</v>
      </c>
      <c r="AJ312" t="n">
        <v>0</v>
      </c>
      <c r="AK312" t="n">
        <v>0</v>
      </c>
      <c r="AL312" t="n">
        <v>0</v>
      </c>
      <c r="AM312" t="n">
        <v>0</v>
      </c>
      <c r="AN312" t="n">
        <v>0</v>
      </c>
      <c r="AO312" t="n">
        <v>0</v>
      </c>
      <c r="AP312" t="n">
        <v>0</v>
      </c>
      <c r="AQ312" t="n">
        <v>0</v>
      </c>
      <c r="AR312" t="n">
        <v>0</v>
      </c>
      <c r="AS312" t="n">
        <v>0</v>
      </c>
      <c r="AT312" t="n">
        <v>0</v>
      </c>
      <c r="AU312" t="n">
        <v>0</v>
      </c>
      <c r="AV312" t="n">
        <v>0</v>
      </c>
      <c r="AW312" t="n">
        <v>0</v>
      </c>
      <c r="AX312" t="n">
        <v>0</v>
      </c>
      <c r="AY312" t="n">
        <v>0</v>
      </c>
      <c r="AZ312" t="n">
        <v>0</v>
      </c>
      <c r="BA312" t="n">
        <v>0</v>
      </c>
      <c r="BB312" t="n">
        <v>0</v>
      </c>
      <c r="BC312" t="n">
        <v>0</v>
      </c>
      <c r="BD312" t="n">
        <v>0</v>
      </c>
      <c r="BE312" t="n">
        <v>0.001</v>
      </c>
      <c r="BF312" t="n">
        <v>0</v>
      </c>
      <c r="BG312" t="n">
        <v>0.002</v>
      </c>
      <c r="BH312" t="n">
        <v>0.043</v>
      </c>
      <c r="BI312" t="n">
        <v>0.08599999999999999</v>
      </c>
      <c r="BJ312" t="n">
        <v>0.068</v>
      </c>
      <c r="BK312" t="n">
        <v>0.064</v>
      </c>
      <c r="BL312" t="n">
        <v>0.064</v>
      </c>
      <c r="BM312" t="n">
        <v>0.078</v>
      </c>
      <c r="BN312" t="n">
        <v>0.001</v>
      </c>
      <c r="BO312" t="n">
        <v>0.105</v>
      </c>
      <c r="BP312" t="n">
        <v>0</v>
      </c>
      <c r="BQ312" t="n">
        <v>0</v>
      </c>
      <c r="BR312" t="n">
        <v>0</v>
      </c>
      <c r="BS312" t="n">
        <v>0</v>
      </c>
      <c r="BT312" t="n">
        <v>0</v>
      </c>
      <c r="BU312" t="n">
        <v>0</v>
      </c>
      <c r="BV312" t="n">
        <v>0</v>
      </c>
    </row>
    <row r="313">
      <c r="A313" t="inlineStr">
        <is>
          <t>Carcharhinus plumbeus</t>
        </is>
      </c>
      <c r="B313" t="inlineStr">
        <is>
          <t>Sandbar shark</t>
        </is>
      </c>
      <c r="C313" t="inlineStr">
        <is>
          <t>Large sharks (&gt;=90 cm)</t>
        </is>
      </c>
      <c r="D313" t="inlineStr">
        <is>
          <t>Sharks &amp; rays</t>
        </is>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c r="AE313" t="n">
        <v>0</v>
      </c>
      <c r="AF313" t="n">
        <v>0</v>
      </c>
      <c r="AG313" t="n">
        <v>0</v>
      </c>
      <c r="AH313" t="n">
        <v>0</v>
      </c>
      <c r="AI313" t="n">
        <v>0</v>
      </c>
      <c r="AJ313" t="n">
        <v>0</v>
      </c>
      <c r="AK313" t="n">
        <v>0</v>
      </c>
      <c r="AL313" t="n">
        <v>0</v>
      </c>
      <c r="AM313" t="n">
        <v>0</v>
      </c>
      <c r="AN313" t="n">
        <v>0</v>
      </c>
      <c r="AO313" t="n">
        <v>0</v>
      </c>
      <c r="AP313" t="n">
        <v>0</v>
      </c>
      <c r="AQ313" t="n">
        <v>0</v>
      </c>
      <c r="AR313" t="n">
        <v>0</v>
      </c>
      <c r="AS313" t="n">
        <v>0</v>
      </c>
      <c r="AT313" t="n">
        <v>0</v>
      </c>
      <c r="AU313" t="n">
        <v>0</v>
      </c>
      <c r="AV313" t="n">
        <v>0</v>
      </c>
      <c r="AW313" t="n">
        <v>0</v>
      </c>
      <c r="AX313" t="n">
        <v>0</v>
      </c>
      <c r="AY313" t="n">
        <v>0</v>
      </c>
      <c r="AZ313" t="n">
        <v>0</v>
      </c>
      <c r="BA313" t="n">
        <v>0</v>
      </c>
      <c r="BB313" t="n">
        <v>0</v>
      </c>
      <c r="BC313" t="n">
        <v>0</v>
      </c>
      <c r="BD313" t="n">
        <v>0</v>
      </c>
      <c r="BE313" t="n">
        <v>0</v>
      </c>
      <c r="BF313" t="n">
        <v>0</v>
      </c>
      <c r="BG313" t="n">
        <v>0</v>
      </c>
      <c r="BH313" t="n">
        <v>0</v>
      </c>
      <c r="BI313" t="n">
        <v>0</v>
      </c>
      <c r="BJ313" t="n">
        <v>0</v>
      </c>
      <c r="BK313" t="n">
        <v>0</v>
      </c>
      <c r="BL313" t="n">
        <v>0</v>
      </c>
      <c r="BM313" t="n">
        <v>0</v>
      </c>
      <c r="BN313" t="n">
        <v>0.004</v>
      </c>
      <c r="BO313" t="n">
        <v>0.179</v>
      </c>
      <c r="BP313" t="n">
        <v>0</v>
      </c>
      <c r="BQ313" t="n">
        <v>0</v>
      </c>
      <c r="BR313" t="n">
        <v>0</v>
      </c>
      <c r="BS313" t="n">
        <v>0</v>
      </c>
      <c r="BT313" t="n">
        <v>0</v>
      </c>
      <c r="BU313" t="n">
        <v>0</v>
      </c>
      <c r="BV313" t="n">
        <v>0</v>
      </c>
    </row>
    <row r="314">
      <c r="A314" t="inlineStr">
        <is>
          <t>Mobula birostris</t>
        </is>
      </c>
      <c r="B314" t="inlineStr">
        <is>
          <t>Giant manta</t>
        </is>
      </c>
      <c r="C314" t="inlineStr">
        <is>
          <t>Large rays (&gt;=90 cm)</t>
        </is>
      </c>
      <c r="D314" t="inlineStr">
        <is>
          <t>Sharks &amp; rays</t>
        </is>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c r="AK314" t="n">
        <v>0</v>
      </c>
      <c r="AL314" t="n">
        <v>0</v>
      </c>
      <c r="AM314" t="n">
        <v>0</v>
      </c>
      <c r="AN314" t="n">
        <v>0</v>
      </c>
      <c r="AO314" t="n">
        <v>0</v>
      </c>
      <c r="AP314" t="n">
        <v>0</v>
      </c>
      <c r="AQ314" t="n">
        <v>0</v>
      </c>
      <c r="AR314" t="n">
        <v>0</v>
      </c>
      <c r="AS314" t="n">
        <v>0</v>
      </c>
      <c r="AT314" t="n">
        <v>0</v>
      </c>
      <c r="AU314" t="n">
        <v>0</v>
      </c>
      <c r="AV314" t="n">
        <v>0</v>
      </c>
      <c r="AW314" t="n">
        <v>0</v>
      </c>
      <c r="AX314" t="n">
        <v>0</v>
      </c>
      <c r="AY314" t="n">
        <v>0</v>
      </c>
      <c r="AZ314" t="n">
        <v>0</v>
      </c>
      <c r="BA314" t="n">
        <v>0</v>
      </c>
      <c r="BB314" t="n">
        <v>0</v>
      </c>
      <c r="BC314" t="n">
        <v>0</v>
      </c>
      <c r="BD314" t="n">
        <v>0</v>
      </c>
      <c r="BE314" t="n">
        <v>0</v>
      </c>
      <c r="BF314" t="n">
        <v>0</v>
      </c>
      <c r="BG314" t="n">
        <v>0</v>
      </c>
      <c r="BH314" t="n">
        <v>0</v>
      </c>
      <c r="BI314" t="n">
        <v>0</v>
      </c>
      <c r="BJ314" t="n">
        <v>0</v>
      </c>
      <c r="BK314" t="n">
        <v>0</v>
      </c>
      <c r="BL314" t="n">
        <v>0</v>
      </c>
      <c r="BM314" t="n">
        <v>0</v>
      </c>
      <c r="BN314" t="n">
        <v>0</v>
      </c>
      <c r="BO314" t="n">
        <v>0</v>
      </c>
      <c r="BP314" t="n">
        <v>0</v>
      </c>
      <c r="BQ314" t="n">
        <v>0.001</v>
      </c>
      <c r="BR314" t="n">
        <v>0.005</v>
      </c>
      <c r="BS314" t="n">
        <v>0.013</v>
      </c>
      <c r="BT314" t="n">
        <v>0.004</v>
      </c>
      <c r="BU314" t="n">
        <v>0.034</v>
      </c>
      <c r="BV314" t="n">
        <v>0.022</v>
      </c>
    </row>
    <row r="315">
      <c r="A315" t="inlineStr">
        <is>
          <t>Mene maculata</t>
        </is>
      </c>
      <c r="B315" t="inlineStr">
        <is>
          <t>Moonfish</t>
        </is>
      </c>
      <c r="C315" t="inlineStr">
        <is>
          <t>Medium reef assoc. fish (30 - 89 cm)</t>
        </is>
      </c>
      <c r="D315" t="inlineStr">
        <is>
          <t>Perch-likes</t>
        </is>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0</v>
      </c>
      <c r="AJ315" t="n">
        <v>0</v>
      </c>
      <c r="AK315" t="n">
        <v>0</v>
      </c>
      <c r="AL315" t="n">
        <v>0</v>
      </c>
      <c r="AM315" t="n">
        <v>0</v>
      </c>
      <c r="AN315" t="n">
        <v>0</v>
      </c>
      <c r="AO315" t="n">
        <v>0</v>
      </c>
      <c r="AP315" t="n">
        <v>0</v>
      </c>
      <c r="AQ315" t="n">
        <v>0</v>
      </c>
      <c r="AR315" t="n">
        <v>0</v>
      </c>
      <c r="AS315" t="n">
        <v>0</v>
      </c>
      <c r="AT315" t="n">
        <v>0</v>
      </c>
      <c r="AU315" t="n">
        <v>0</v>
      </c>
      <c r="AV315" t="n">
        <v>0</v>
      </c>
      <c r="AW315" t="n">
        <v>0</v>
      </c>
      <c r="AX315" t="n">
        <v>0</v>
      </c>
      <c r="AY315" t="n">
        <v>0</v>
      </c>
      <c r="AZ315" t="n">
        <v>0</v>
      </c>
      <c r="BA315" t="n">
        <v>0</v>
      </c>
      <c r="BB315" t="n">
        <v>0</v>
      </c>
      <c r="BC315" t="n">
        <v>0</v>
      </c>
      <c r="BD315" t="n">
        <v>0</v>
      </c>
      <c r="BE315" t="n">
        <v>0</v>
      </c>
      <c r="BF315" t="n">
        <v>0</v>
      </c>
      <c r="BG315" t="n">
        <v>0</v>
      </c>
      <c r="BH315" t="n">
        <v>0</v>
      </c>
      <c r="BI315" t="n">
        <v>0</v>
      </c>
      <c r="BJ315" t="n">
        <v>0</v>
      </c>
      <c r="BK315" t="n">
        <v>0</v>
      </c>
      <c r="BL315" t="n">
        <v>0.022</v>
      </c>
      <c r="BM315" t="n">
        <v>0</v>
      </c>
      <c r="BN315" t="n">
        <v>0</v>
      </c>
      <c r="BO315" t="n">
        <v>0</v>
      </c>
      <c r="BP315" t="n">
        <v>0</v>
      </c>
      <c r="BQ315" t="n">
        <v>0</v>
      </c>
      <c r="BR315" t="n">
        <v>0</v>
      </c>
      <c r="BS315" t="n">
        <v>0</v>
      </c>
      <c r="BT315" t="n">
        <v>0</v>
      </c>
      <c r="BU315" t="n">
        <v>0</v>
      </c>
      <c r="BV315" t="n">
        <v>0</v>
      </c>
    </row>
    <row r="316">
      <c r="A316" t="inlineStr">
        <is>
          <t>Lampris guttatus</t>
        </is>
      </c>
      <c r="B316" t="inlineStr">
        <is>
          <t>Opah</t>
        </is>
      </c>
      <c r="C316" t="inlineStr">
        <is>
          <t>Large bathypelagics (&gt;=90 cm)</t>
        </is>
      </c>
      <c r="D316" t="inlineStr">
        <is>
          <t>Other fishes &amp; inverts</t>
        </is>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c r="AK316" t="n">
        <v>0</v>
      </c>
      <c r="AL316" t="n">
        <v>0</v>
      </c>
      <c r="AM316" t="n">
        <v>0</v>
      </c>
      <c r="AN316" t="n">
        <v>0</v>
      </c>
      <c r="AO316" t="n">
        <v>0</v>
      </c>
      <c r="AP316" t="n">
        <v>0</v>
      </c>
      <c r="AQ316" t="n">
        <v>0</v>
      </c>
      <c r="AR316" t="n">
        <v>0</v>
      </c>
      <c r="AS316" t="n">
        <v>0</v>
      </c>
      <c r="AT316" t="n">
        <v>0</v>
      </c>
      <c r="AU316" t="n">
        <v>0</v>
      </c>
      <c r="AV316" t="n">
        <v>0</v>
      </c>
      <c r="AW316" t="n">
        <v>0</v>
      </c>
      <c r="AX316" t="n">
        <v>0</v>
      </c>
      <c r="AY316" t="n">
        <v>0</v>
      </c>
      <c r="AZ316" t="n">
        <v>0</v>
      </c>
      <c r="BA316" t="n">
        <v>0</v>
      </c>
      <c r="BB316" t="n">
        <v>0</v>
      </c>
      <c r="BC316" t="n">
        <v>0</v>
      </c>
      <c r="BD316" t="n">
        <v>0</v>
      </c>
      <c r="BE316" t="n">
        <v>0</v>
      </c>
      <c r="BF316" t="n">
        <v>0</v>
      </c>
      <c r="BG316" t="n">
        <v>0</v>
      </c>
      <c r="BH316" t="n">
        <v>0</v>
      </c>
      <c r="BI316" t="n">
        <v>0.006</v>
      </c>
      <c r="BJ316" t="n">
        <v>0</v>
      </c>
      <c r="BK316" t="n">
        <v>0</v>
      </c>
      <c r="BL316" t="n">
        <v>0</v>
      </c>
      <c r="BM316" t="n">
        <v>0</v>
      </c>
      <c r="BN316" t="n">
        <v>0</v>
      </c>
      <c r="BO316" t="n">
        <v>0</v>
      </c>
      <c r="BP316" t="n">
        <v>0</v>
      </c>
      <c r="BQ316" t="n">
        <v>0</v>
      </c>
      <c r="BR316" t="n">
        <v>0</v>
      </c>
      <c r="BS316" t="n">
        <v>0</v>
      </c>
      <c r="BT316" t="n">
        <v>0</v>
      </c>
      <c r="BU316" t="n">
        <v>0</v>
      </c>
      <c r="BV3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1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28" customWidth="1" min="3" max="3"/>
    <col width="20" customWidth="1" min="4" max="4"/>
    <col width="40" customWidth="1" min="5" max="5"/>
    <col width="18" customWidth="1" min="6" max="6"/>
    <col width="18" customWidth="1" min="7" max="7"/>
    <col width="12" customWidth="1" min="8" max="8"/>
    <col width="20" customWidth="1" min="9" max="9"/>
    <col width="14" customWidth="1" min="10" max="10"/>
    <col width="10" customWidth="1" min="11" max="11"/>
    <col width="110" customWidth="1" min="12" max="12"/>
  </cols>
  <sheetData>
    <row r="1">
      <c r="A1" s="1" t="inlineStr">
        <is>
          <t>Which Ecopath group each catch taxon belongs to, and on what evidence.</t>
        </is>
      </c>
    </row>
    <row r="2">
      <c r="A2" t="inlineStr">
        <is>
          <t>Several groups separated by | means the taxon spans them and its catch is apportioned; the weights used are in the next two columns.</t>
        </is>
      </c>
    </row>
    <row r="4">
      <c r="A4" s="4" t="inlineStr">
        <is>
          <t>taxon</t>
        </is>
      </c>
      <c r="B4" s="4" t="inlineStr">
        <is>
          <t>common_name</t>
        </is>
      </c>
      <c r="C4" s="4" t="inlineStr">
        <is>
          <t>SAU functional group</t>
        </is>
      </c>
      <c r="D4" s="4" t="inlineStr">
        <is>
          <t>SAU commercial group</t>
        </is>
      </c>
      <c r="E4" s="4" t="inlineStr">
        <is>
          <t>Ecopath group</t>
        </is>
      </c>
      <c r="F4" s="4" t="inlineStr">
        <is>
          <t>weights</t>
        </is>
      </c>
      <c r="G4" s="4" t="inlineStr">
        <is>
          <t>weight basis</t>
        </is>
      </c>
      <c r="H4" s="4" t="inlineStr">
        <is>
          <t>confidence</t>
        </is>
      </c>
      <c r="I4" s="4" t="inlineStr">
        <is>
          <t>evidence</t>
        </is>
      </c>
      <c r="J4" s="4" t="inlineStr">
        <is>
          <t>catch tonnes</t>
        </is>
      </c>
      <c r="K4" s="4" t="inlineStr">
        <is>
          <t>% of catch</t>
        </is>
      </c>
      <c r="L4" s="4" t="inlineStr">
        <is>
          <t>explanation</t>
        </is>
      </c>
    </row>
    <row r="5">
      <c r="A5" t="inlineStr">
        <is>
          <t>Marine fishes not identified</t>
        </is>
      </c>
      <c r="B5" t="inlineStr">
        <is>
          <t>Marine fishes nei</t>
        </is>
      </c>
      <c r="C5" t="inlineStr">
        <is>
          <t>Medium demersals (30 - 89 cm)</t>
        </is>
      </c>
      <c r="D5" t="inlineStr">
        <is>
          <t>Other fishes &amp; inverts</t>
        </is>
      </c>
      <c r="E5" s="5" t="inlineStr">
        <is>
          <t>2 L pisc comm | 3 L pisc comm | 2 SM pisc | 3 SM pisc | 2 SM inv | 3 SM inv | 2 L pisc | 3 L pisc</t>
        </is>
      </c>
      <c r="F5" t="inlineStr">
        <is>
          <t>0.051 | 0.056 | 0.102 | 0.232 | 0.141 | 0.303 | 0.052 | 0.063</t>
        </is>
      </c>
      <c r="G5" t="inlineStr">
        <is>
          <t>model_biomass</t>
        </is>
      </c>
      <c r="H5" t="inlineStr">
        <is>
          <t>medium</t>
        </is>
      </c>
      <c r="I5" t="inlineStr">
        <is>
          <t>composite_split</t>
        </is>
      </c>
      <c r="J5" t="n">
        <v>46450017.782</v>
      </c>
      <c r="K5" t="n">
        <v>18.4953</v>
      </c>
      <c r="L5" s="6" t="inlineStr">
        <is>
          <t>Appendix A1.1 sends this exact catch name to the paper's own residual `Miscellaneous fishes`, which the text (p.10) spreads over the fish groups of the region it was caught in. Sea Around Us classes the pile as medium demersals, so the candidate set is the model's four demersal/benthic finfish pools rather than every fish group; apportioned over the region 2 and region 3 pools by model biomass; region 1 is the Maldives shelf, outside LME 34.</t>
        </is>
      </c>
    </row>
    <row r="6">
      <c r="A6" t="inlineStr">
        <is>
          <t>Penaeidae</t>
        </is>
      </c>
      <c r="B6" t="inlineStr">
        <is>
          <t>Commercial shrimps and prawns</t>
        </is>
      </c>
      <c r="C6" t="inlineStr">
        <is>
          <t>Shrimps</t>
        </is>
      </c>
      <c r="D6" t="inlineStr">
        <is>
          <t>Crustaceans</t>
        </is>
      </c>
      <c r="E6" s="5" t="inlineStr">
        <is>
          <t>2 Crustaceans | 3 Crustaceans</t>
        </is>
      </c>
      <c r="F6" t="inlineStr">
        <is>
          <t>0.213 | 0.787</t>
        </is>
      </c>
      <c r="G6" t="inlineStr">
        <is>
          <t>model_biomass</t>
        </is>
      </c>
      <c r="H6" t="inlineStr">
        <is>
          <t>medium</t>
        </is>
      </c>
      <c r="I6" t="inlineStr">
        <is>
          <t>composite_split</t>
        </is>
      </c>
      <c r="J6" t="n">
        <v>9145945.699999999</v>
      </c>
      <c r="K6" t="n">
        <v>3.6417</v>
      </c>
      <c r="L6" s="6" t="inlineStr">
        <is>
          <t>Appendix A1.1 lists this exact catch name under `shrimps`; apportioned over the region 2 and region 3 pools by model biomass; region 1 is the Maldives shelf, outside LME 34.</t>
        </is>
      </c>
    </row>
    <row r="7">
      <c r="A7" t="inlineStr">
        <is>
          <t>Tenualosa ilisha</t>
        </is>
      </c>
      <c r="B7" t="inlineStr">
        <is>
          <t>Hilsa shad</t>
        </is>
      </c>
      <c r="C7" t="inlineStr">
        <is>
          <t>Medium pelagics (30 - 89 cm)</t>
        </is>
      </c>
      <c r="D7" t="inlineStr">
        <is>
          <t>Herring-likes</t>
        </is>
      </c>
      <c r="E7" s="7" t="inlineStr">
        <is>
          <t>2-3 Hilsa</t>
        </is>
      </c>
      <c r="F7" t="inlineStr"/>
      <c r="G7" t="inlineStr"/>
      <c r="H7" t="inlineStr">
        <is>
          <t>high</t>
        </is>
      </c>
      <c r="I7" t="inlineStr">
        <is>
          <t>explicit_member</t>
        </is>
      </c>
      <c r="J7" t="n">
        <v>9072007.856000001</v>
      </c>
      <c r="K7" t="n">
        <v>3.6123</v>
      </c>
      <c r="L7" s="6" t="inlineStr">
        <is>
          <t>Appendix A1.1 lists this exact catch name under `Hilsa`, which the model carries as one group straddling the shelves of regions 2 and 3 (Appendix A1.2), so no regional split applies.</t>
        </is>
      </c>
    </row>
    <row r="8">
      <c r="A8" t="inlineStr">
        <is>
          <t>Sciaenidae</t>
        </is>
      </c>
      <c r="B8" t="inlineStr">
        <is>
          <t>Drums, croakers</t>
        </is>
      </c>
      <c r="C8" t="inlineStr">
        <is>
          <t>Medium demersals (30 - 89 cm)</t>
        </is>
      </c>
      <c r="D8" t="inlineStr">
        <is>
          <t>Perch-likes</t>
        </is>
      </c>
      <c r="E8" s="5" t="inlineStr">
        <is>
          <t>2 L pisc comm | 3 L pisc comm</t>
        </is>
      </c>
      <c r="F8" t="inlineStr">
        <is>
          <t>0.479 | 0.521</t>
        </is>
      </c>
      <c r="G8" t="inlineStr">
        <is>
          <t>model_biomass</t>
        </is>
      </c>
      <c r="H8" t="inlineStr">
        <is>
          <t>medium</t>
        </is>
      </c>
      <c r="I8" t="inlineStr">
        <is>
          <t>composite_split</t>
        </is>
      </c>
      <c r="J8" t="n">
        <v>8988585.908</v>
      </c>
      <c r="K8" t="n">
        <v>3.579</v>
      </c>
      <c r="L8" s="6" t="inlineStr">
        <is>
          <t>Appendix A1.1 lists this exact catch name under `L pisc comm`; apportioned over the region 2 and region 3 pools by model biomass; region 1 is the Maldives shelf, outside LME 34.</t>
        </is>
      </c>
    </row>
    <row r="9">
      <c r="A9" t="inlineStr">
        <is>
          <t>Rastrelliger</t>
        </is>
      </c>
      <c r="B9" t="inlineStr">
        <is>
          <t>Indian mackerels</t>
        </is>
      </c>
      <c r="C9" t="inlineStr">
        <is>
          <t>Medium pelagics (30 - 89 cm)</t>
        </is>
      </c>
      <c r="D9" t="inlineStr">
        <is>
          <t>Perch-likes</t>
        </is>
      </c>
      <c r="E9" s="7" t="inlineStr">
        <is>
          <t>2-3 Indian mackerel</t>
        </is>
      </c>
      <c r="F9" t="inlineStr"/>
      <c r="G9" t="inlineStr"/>
      <c r="H9" t="inlineStr">
        <is>
          <t>high</t>
        </is>
      </c>
      <c r="I9" t="inlineStr">
        <is>
          <t>explicit_member</t>
        </is>
      </c>
      <c r="J9" t="n">
        <v>8738155.436000001</v>
      </c>
      <c r="K9" t="n">
        <v>3.4793</v>
      </c>
      <c r="L9" s="6" t="inlineStr">
        <is>
          <t>Appendix A1.1 lists this exact catch name under `Indian mackerel`, which the model carries as one group straddling the shelves of regions 2 and 3 (Appendix A1.2), so no regional split applies.</t>
        </is>
      </c>
    </row>
    <row r="10">
      <c r="A10" t="inlineStr">
        <is>
          <t>Leiognathidae</t>
        </is>
      </c>
      <c r="B10" t="inlineStr">
        <is>
          <t>Slipmouths, ponyfishes</t>
        </is>
      </c>
      <c r="C10" t="inlineStr">
        <is>
          <t>Small benthopelagics (&lt;30 cm)</t>
        </is>
      </c>
      <c r="D10" t="inlineStr">
        <is>
          <t>Perch-likes</t>
        </is>
      </c>
      <c r="E10" s="5" t="inlineStr">
        <is>
          <t>2 SM inv | 3 SM inv</t>
        </is>
      </c>
      <c r="F10" t="inlineStr">
        <is>
          <t>0.317 | 0.683</t>
        </is>
      </c>
      <c r="G10" t="inlineStr">
        <is>
          <t>model_biomass</t>
        </is>
      </c>
      <c r="H10" t="inlineStr">
        <is>
          <t>medium</t>
        </is>
      </c>
      <c r="I10" t="inlineStr">
        <is>
          <t>composite_split</t>
        </is>
      </c>
      <c r="J10" t="n">
        <v>8387512.028</v>
      </c>
      <c r="K10" t="n">
        <v>3.3397</v>
      </c>
      <c r="L10" s="6" t="inlineStr">
        <is>
          <t>Appendix A1.1 lists this exact catch name under `SM inv`; apportioned over the region 2 and region 3 pools by model biomass; region 1 is the Maldives shelf, outside LME 34.</t>
        </is>
      </c>
    </row>
    <row r="11">
      <c r="A11" t="inlineStr">
        <is>
          <t>Clupeiformes</t>
        </is>
      </c>
      <c r="B11" t="inlineStr">
        <is>
          <t>Herrings, shads, anchovies</t>
        </is>
      </c>
      <c r="C11" t="inlineStr">
        <is>
          <t>Small pelagics (&lt;30 cm)</t>
        </is>
      </c>
      <c r="D11" t="inlineStr">
        <is>
          <t>Other fishes &amp; inverts</t>
        </is>
      </c>
      <c r="E11" s="5" t="inlineStr">
        <is>
          <t>2 S pelagics | 3 S pelagics</t>
        </is>
      </c>
      <c r="F11" t="inlineStr">
        <is>
          <t>0.298 | 0.702</t>
        </is>
      </c>
      <c r="G11" t="inlineStr">
        <is>
          <t>model_biomass</t>
        </is>
      </c>
      <c r="H11" t="inlineStr">
        <is>
          <t>medium</t>
        </is>
      </c>
      <c r="I11" t="inlineStr">
        <is>
          <t>composite_split</t>
        </is>
      </c>
      <c r="J11" t="n">
        <v>7644206.843</v>
      </c>
      <c r="K11" t="n">
        <v>3.0437</v>
      </c>
      <c r="L11" s="6" t="inlineStr">
        <is>
          <t>Appendix A1.1 lists this exact catch name under `S pelagics`; apportioned over the region 2 and region 3 pools by model biomass; region 1 is the Maldives shelf, outside LME 34.</t>
        </is>
      </c>
    </row>
    <row r="12">
      <c r="A12" t="inlineStr">
        <is>
          <t>Carangidae</t>
        </is>
      </c>
      <c r="B12" t="inlineStr">
        <is>
          <t>Jacks, pompanos</t>
        </is>
      </c>
      <c r="C12" t="inlineStr">
        <is>
          <t>Medium pelagics (30 - 89 cm)</t>
        </is>
      </c>
      <c r="D12" t="inlineStr">
        <is>
          <t>Perch-likes</t>
        </is>
      </c>
      <c r="E12" s="5" t="inlineStr">
        <is>
          <t>2 Carangids | 3 Carangids</t>
        </is>
      </c>
      <c r="F12" t="inlineStr">
        <is>
          <t>0.304 | 0.696</t>
        </is>
      </c>
      <c r="G12" t="inlineStr">
        <is>
          <t>model_biomass</t>
        </is>
      </c>
      <c r="H12" t="inlineStr">
        <is>
          <t>medium</t>
        </is>
      </c>
      <c r="I12" t="inlineStr">
        <is>
          <t>composite_split</t>
        </is>
      </c>
      <c r="J12" t="n">
        <v>6814147.848</v>
      </c>
      <c r="K12" t="n">
        <v>2.7132</v>
      </c>
      <c r="L12" s="6" t="inlineStr">
        <is>
          <t>Appendix A1.1 lists this exact catch name under `Carangids`; apportioned over the region 2 and region 3 pools by model biomass; region 1 is the Maldives shelf, outside LME 34.</t>
        </is>
      </c>
    </row>
    <row r="13">
      <c r="A13" t="inlineStr">
        <is>
          <t>Nemipteridae</t>
        </is>
      </c>
      <c r="B13" t="inlineStr">
        <is>
          <t>Threadfins, whiptail breams</t>
        </is>
      </c>
      <c r="C13" t="inlineStr">
        <is>
          <t>Small demersals (&lt;30 cm)</t>
        </is>
      </c>
      <c r="D13" t="inlineStr">
        <is>
          <t>Perch-likes</t>
        </is>
      </c>
      <c r="E13" s="5" t="inlineStr">
        <is>
          <t>2 SM pisc | 3 SM pisc</t>
        </is>
      </c>
      <c r="F13" t="inlineStr">
        <is>
          <t>0.306 | 0.694</t>
        </is>
      </c>
      <c r="G13" t="inlineStr">
        <is>
          <t>model_biomass</t>
        </is>
      </c>
      <c r="H13" t="inlineStr">
        <is>
          <t>medium</t>
        </is>
      </c>
      <c r="I13" t="inlineStr">
        <is>
          <t>composite_split</t>
        </is>
      </c>
      <c r="J13" t="n">
        <v>6572743.84</v>
      </c>
      <c r="K13" t="n">
        <v>2.6171</v>
      </c>
      <c r="L13" s="6" t="inlineStr">
        <is>
          <t>Appendix A1.1 lists this exact catch name under `SM pisc`; apportioned over the region 2 and region 3 pools by model biomass; region 1 is the Maldives shelf, outside LME 34.</t>
        </is>
      </c>
    </row>
    <row r="14">
      <c r="A14" t="inlineStr">
        <is>
          <t>Clupeidae</t>
        </is>
      </c>
      <c r="B14" t="inlineStr">
        <is>
          <t>Herrings, sardines, menhadens</t>
        </is>
      </c>
      <c r="C14" t="inlineStr">
        <is>
          <t>Small pelagics (&lt;30 cm)</t>
        </is>
      </c>
      <c r="D14" t="inlineStr">
        <is>
          <t>Herring-likes</t>
        </is>
      </c>
      <c r="E14" s="5" t="inlineStr">
        <is>
          <t>2 S pelagics | 3 S pelagics</t>
        </is>
      </c>
      <c r="F14" t="inlineStr">
        <is>
          <t>0.298 | 0.702</t>
        </is>
      </c>
      <c r="G14" t="inlineStr">
        <is>
          <t>model_biomass</t>
        </is>
      </c>
      <c r="H14" t="inlineStr">
        <is>
          <t>medium</t>
        </is>
      </c>
      <c r="I14" t="inlineStr">
        <is>
          <t>composite_split</t>
        </is>
      </c>
      <c r="J14" t="n">
        <v>6399798.319</v>
      </c>
      <c r="K14" t="n">
        <v>2.5483</v>
      </c>
      <c r="L14" s="6" t="inlineStr">
        <is>
          <t>Appendix A1.1 lists this exact catch name under `S pelagics`; apportioned over the region 2 and region 3 pools by model biomass; region 1 is the Maldives shelf, outside LME 34.</t>
        </is>
      </c>
    </row>
    <row r="15">
      <c r="A15" t="inlineStr">
        <is>
          <t>Rastrelliger kanagurta</t>
        </is>
      </c>
      <c r="B15" t="inlineStr">
        <is>
          <t>Indian mackerel</t>
        </is>
      </c>
      <c r="C15" t="inlineStr">
        <is>
          <t>Medium pelagics (30 - 89 cm)</t>
        </is>
      </c>
      <c r="D15" t="inlineStr">
        <is>
          <t>Perch-likes</t>
        </is>
      </c>
      <c r="E15" s="7" t="inlineStr">
        <is>
          <t>2-3 Indian mackerel</t>
        </is>
      </c>
      <c r="F15" t="inlineStr"/>
      <c r="G15" t="inlineStr"/>
      <c r="H15" t="inlineStr">
        <is>
          <t>high</t>
        </is>
      </c>
      <c r="I15" t="inlineStr">
        <is>
          <t>explicit_member</t>
        </is>
      </c>
      <c r="J15" t="n">
        <v>6008430.752</v>
      </c>
      <c r="K15" t="n">
        <v>2.3924</v>
      </c>
      <c r="L15" s="6" t="inlineStr">
        <is>
          <t>Appendix A1.1 lists this exact catch name under `Indian mackerel`, which the model carries as one group straddling the shelves of regions 2 and 3 (Appendix A1.2), so no regional split applies.</t>
        </is>
      </c>
    </row>
    <row r="16">
      <c r="A16" t="inlineStr">
        <is>
          <t>Stolephorus</t>
        </is>
      </c>
      <c r="B16" t="inlineStr">
        <is>
          <t>Garment anchovies</t>
        </is>
      </c>
      <c r="C16" t="inlineStr">
        <is>
          <t>Small pelagics (&lt;30 cm)</t>
        </is>
      </c>
      <c r="D16" t="inlineStr">
        <is>
          <t>Anchovies</t>
        </is>
      </c>
      <c r="E16" s="5" t="inlineStr">
        <is>
          <t>2 S pelagics | 3 S pelagics</t>
        </is>
      </c>
      <c r="F16" t="inlineStr">
        <is>
          <t>0.298 | 0.702</t>
        </is>
      </c>
      <c r="G16" t="inlineStr">
        <is>
          <t>model_biomass</t>
        </is>
      </c>
      <c r="H16" t="inlineStr">
        <is>
          <t>medium</t>
        </is>
      </c>
      <c r="I16" t="inlineStr">
        <is>
          <t>composite_split</t>
        </is>
      </c>
      <c r="J16" t="n">
        <v>5184156.296</v>
      </c>
      <c r="K16" t="n">
        <v>2.0642</v>
      </c>
      <c r="L16" s="6" t="inlineStr">
        <is>
          <t>Appendix A1.1 lists this exact catch name under `S pelagics`; apportioned over the region 2 and region 3 pools by model biomass; region 1 is the Maldives shelf, outside LME 34.</t>
        </is>
      </c>
    </row>
    <row r="17">
      <c r="A17" t="inlineStr">
        <is>
          <t>Harpadon nehereus</t>
        </is>
      </c>
      <c r="B17" t="inlineStr">
        <is>
          <t>Bombay-duck</t>
        </is>
      </c>
      <c r="C17" t="inlineStr">
        <is>
          <t>Medium benthopelagics (30 - 89 cm)</t>
        </is>
      </c>
      <c r="D17" t="inlineStr">
        <is>
          <t>Other fishes &amp; inverts</t>
        </is>
      </c>
      <c r="E17" s="5" t="inlineStr">
        <is>
          <t>2 L pisc comm | 3 L pisc comm</t>
        </is>
      </c>
      <c r="F17" t="inlineStr">
        <is>
          <t>0.479 | 0.521</t>
        </is>
      </c>
      <c r="G17" t="inlineStr">
        <is>
          <t>model_biomass</t>
        </is>
      </c>
      <c r="H17" t="inlineStr">
        <is>
          <t>medium</t>
        </is>
      </c>
      <c r="I17" t="inlineStr">
        <is>
          <t>composite_split</t>
        </is>
      </c>
      <c r="J17" t="n">
        <v>4476654.833</v>
      </c>
      <c r="K17" t="n">
        <v>1.7825</v>
      </c>
      <c r="L17" s="6" t="inlineStr">
        <is>
          <t>Appendix A1.1 lists this exact catch name under `L pisc comm`; apportioned over the region 2 and region 3 pools by model biomass; region 1 is the Maldives shelf, outside LME 34.</t>
        </is>
      </c>
    </row>
    <row r="18">
      <c r="A18" t="inlineStr">
        <is>
          <t>Engraulidae</t>
        </is>
      </c>
      <c r="B18" t="inlineStr">
        <is>
          <t>Anchovies, round herrings</t>
        </is>
      </c>
      <c r="C18" t="inlineStr">
        <is>
          <t>Small pelagics (&lt;30 cm)</t>
        </is>
      </c>
      <c r="D18" t="inlineStr">
        <is>
          <t>Anchovies</t>
        </is>
      </c>
      <c r="E18" s="5" t="inlineStr">
        <is>
          <t>2 S pelagics | 3 S pelagics</t>
        </is>
      </c>
      <c r="F18" t="inlineStr">
        <is>
          <t>0.298 | 0.702</t>
        </is>
      </c>
      <c r="G18" t="inlineStr">
        <is>
          <t>model_biomass</t>
        </is>
      </c>
      <c r="H18" t="inlineStr">
        <is>
          <t>medium</t>
        </is>
      </c>
      <c r="I18" t="inlineStr">
        <is>
          <t>composite_split</t>
        </is>
      </c>
      <c r="J18" t="n">
        <v>3917971.016</v>
      </c>
      <c r="K18" t="n">
        <v>1.56</v>
      </c>
      <c r="L18" s="6" t="inlineStr">
        <is>
          <t>Appendix A1.1 lists this exact catch name under `S pelagics`; apportioned over the region 2 and region 3 pools by model biomass; region 1 is the Maldives shelf, outside LME 34.</t>
        </is>
      </c>
    </row>
    <row r="19">
      <c r="A19" t="inlineStr">
        <is>
          <t>Acetes</t>
        </is>
      </c>
      <c r="B19" t="inlineStr">
        <is>
          <t>Acetes shrimps</t>
        </is>
      </c>
      <c r="C19" t="inlineStr">
        <is>
          <t>Shrimps</t>
        </is>
      </c>
      <c r="D19" t="inlineStr">
        <is>
          <t>Crustaceans</t>
        </is>
      </c>
      <c r="E19" s="5" t="inlineStr">
        <is>
          <t>2 Crustaceans | 3 Crustaceans</t>
        </is>
      </c>
      <c r="F19" t="inlineStr">
        <is>
          <t>0.213 | 0.787</t>
        </is>
      </c>
      <c r="G19" t="inlineStr">
        <is>
          <t>model_biomass</t>
        </is>
      </c>
      <c r="H19" t="inlineStr">
        <is>
          <t>medium</t>
        </is>
      </c>
      <c r="I19" t="inlineStr">
        <is>
          <t>composite_split</t>
        </is>
      </c>
      <c r="J19" t="n">
        <v>3679006.792</v>
      </c>
      <c r="K19" t="n">
        <v>1.4649</v>
      </c>
      <c r="L19" s="6" t="inlineStr">
        <is>
          <t>Appendix A1.1 lists this exact catch name under `shrimps`; apportioned over the region 2 and region 3 pools by model biomass; region 1 is the Maldives shelf, outside LME 34.</t>
        </is>
      </c>
    </row>
    <row r="20">
      <c r="A20" t="inlineStr">
        <is>
          <t>Elasmobranchii</t>
        </is>
      </c>
      <c r="B20" t="inlineStr">
        <is>
          <t>Sharks, rays, skates</t>
        </is>
      </c>
      <c r="C20" t="inlineStr">
        <is>
          <t>Large sharks (&gt;=90 cm)</t>
        </is>
      </c>
      <c r="D20" t="inlineStr">
        <is>
          <t>Sharks &amp; rays</t>
        </is>
      </c>
      <c r="E20" s="5" t="inlineStr">
        <is>
          <t>Oceanic sharks | Coastal elasmobranch</t>
        </is>
      </c>
      <c r="F20" t="inlineStr">
        <is>
          <t>0.306 | 0.694</t>
        </is>
      </c>
      <c r="G20" t="inlineStr">
        <is>
          <t>catch_composition</t>
        </is>
      </c>
      <c r="H20" t="inlineStr">
        <is>
          <t>medium</t>
        </is>
      </c>
      <c r="I20" t="inlineStr">
        <is>
          <t>composite_split</t>
        </is>
      </c>
      <c r="J20" t="n">
        <v>3438804.023</v>
      </c>
      <c r="K20" t="n">
        <v>1.3693</v>
      </c>
      <c r="L20" s="6" t="inlineStr">
        <is>
          <t>Appendix A1.1 lists this exact catch name under `oceanic, coastal sharks`; apportioned by the catch that taxa assigned to those groups alone already carry in this LME.</t>
        </is>
      </c>
    </row>
    <row r="21">
      <c r="A21" t="inlineStr">
        <is>
          <t>Ariidae</t>
        </is>
      </c>
      <c r="B21" t="inlineStr">
        <is>
          <t>Sea catfishes, coblers</t>
        </is>
      </c>
      <c r="C21" t="inlineStr">
        <is>
          <t>Medium demersals (30 - 89 cm)</t>
        </is>
      </c>
      <c r="D21" t="inlineStr">
        <is>
          <t>Other fishes &amp; inverts</t>
        </is>
      </c>
      <c r="E21" s="5" t="inlineStr">
        <is>
          <t>2 Milkfish plus | 3 Milkfish plus | 2 SM inv | 3 SM inv | 2 SM pisc | 3 SM pisc</t>
        </is>
      </c>
      <c r="F21" t="inlineStr">
        <is>
          <t>0.054 | 0.068 | 0.159 | 0.342 | 0.115 | 0.262</t>
        </is>
      </c>
      <c r="G21" t="inlineStr">
        <is>
          <t>model_biomass</t>
        </is>
      </c>
      <c r="H21" t="inlineStr">
        <is>
          <t>medium</t>
        </is>
      </c>
      <c r="I21" t="inlineStr">
        <is>
          <t>composite_split</t>
        </is>
      </c>
      <c r="J21" t="n">
        <v>3328321.516</v>
      </c>
      <c r="K21" t="n">
        <v>1.3253</v>
      </c>
      <c r="L21" s="6" t="inlineStr">
        <is>
          <t>Appendix A1.1 lists this exact catch name under `Milkfish, Minv Mpisc`; apportioned over the region 2 and region 3 pools by model biomass; region 1 is the Maldives shelf, outside LME 34.</t>
        </is>
      </c>
    </row>
    <row r="22">
      <c r="A22" t="inlineStr">
        <is>
          <t>Decapterus</t>
        </is>
      </c>
      <c r="B22" t="inlineStr">
        <is>
          <t>Scads</t>
        </is>
      </c>
      <c r="C22" t="inlineStr">
        <is>
          <t>Medium pelagics (30 - 89 cm)</t>
        </is>
      </c>
      <c r="D22" t="inlineStr">
        <is>
          <t>Perch-likes</t>
        </is>
      </c>
      <c r="E22" s="5" t="inlineStr">
        <is>
          <t>2 Carangids | 3 Carangids</t>
        </is>
      </c>
      <c r="F22" t="inlineStr">
        <is>
          <t>0.304 | 0.696</t>
        </is>
      </c>
      <c r="G22" t="inlineStr">
        <is>
          <t>model_biomass</t>
        </is>
      </c>
      <c r="H22" t="inlineStr">
        <is>
          <t>medium</t>
        </is>
      </c>
      <c r="I22" t="inlineStr">
        <is>
          <t>composite_split</t>
        </is>
      </c>
      <c r="J22" t="n">
        <v>3208280.538</v>
      </c>
      <c r="K22" t="n">
        <v>1.2775</v>
      </c>
      <c r="L22" s="6" t="inlineStr">
        <is>
          <t>Appendix A1.1 lists this exact catch name under `Carangids`; apportioned over the region 2 and region 3 pools by model biomass; region 1 is the Maldives shelf, outside LME 34.</t>
        </is>
      </c>
    </row>
    <row r="23">
      <c r="A23" t="inlineStr">
        <is>
          <t>Synodontidae</t>
        </is>
      </c>
      <c r="B23" t="inlineStr">
        <is>
          <t>Lizardfishes, sauries</t>
        </is>
      </c>
      <c r="C23" t="inlineStr">
        <is>
          <t>Medium demersals (30 - 89 cm)</t>
        </is>
      </c>
      <c r="D23" t="inlineStr">
        <is>
          <t>Other fishes &amp; inverts</t>
        </is>
      </c>
      <c r="E23" s="5" t="inlineStr">
        <is>
          <t>2 L pisc comm | 3 L pisc comm</t>
        </is>
      </c>
      <c r="F23" t="inlineStr">
        <is>
          <t>0.479 | 0.521</t>
        </is>
      </c>
      <c r="G23" t="inlineStr">
        <is>
          <t>model_biomass</t>
        </is>
      </c>
      <c r="H23" t="inlineStr">
        <is>
          <t>medium</t>
        </is>
      </c>
      <c r="I23" t="inlineStr">
        <is>
          <t>composite_split</t>
        </is>
      </c>
      <c r="J23" t="n">
        <v>3163994.122</v>
      </c>
      <c r="K23" t="n">
        <v>1.2598</v>
      </c>
      <c r="L23" s="6" t="inlineStr">
        <is>
          <t>Appendix A1.1 lists this exact catch name under `L pisc comm`; apportioned over the region 2 and region 3 pools by model biomass; region 1 is the Maldives shelf, outside LME 34.</t>
        </is>
      </c>
    </row>
    <row r="24">
      <c r="A24" t="inlineStr">
        <is>
          <t>Sardinella</t>
        </is>
      </c>
      <c r="B24" t="inlineStr">
        <is>
          <t>Sardinellas</t>
        </is>
      </c>
      <c r="C24" t="inlineStr">
        <is>
          <t>Small pelagics (&lt;30 cm)</t>
        </is>
      </c>
      <c r="D24" t="inlineStr">
        <is>
          <t>Herring-likes</t>
        </is>
      </c>
      <c r="E24" s="5" t="inlineStr">
        <is>
          <t>2 S pelagics | 3 S pelagics</t>
        </is>
      </c>
      <c r="F24" t="inlineStr">
        <is>
          <t>0.298 | 0.702</t>
        </is>
      </c>
      <c r="G24" t="inlineStr">
        <is>
          <t>model_biomass</t>
        </is>
      </c>
      <c r="H24" t="inlineStr">
        <is>
          <t>medium</t>
        </is>
      </c>
      <c r="I24" t="inlineStr">
        <is>
          <t>composite_split</t>
        </is>
      </c>
      <c r="J24" t="n">
        <v>3037468.245</v>
      </c>
      <c r="K24" t="n">
        <v>1.2094</v>
      </c>
      <c r="L24" s="6" t="inlineStr">
        <is>
          <t>Appendix A1.1 lists this exact catch name under `S pelagics`; apportioned over the region 2 and region 3 pools by model biomass; region 1 is the Maldives shelf, outside LME 34.</t>
        </is>
      </c>
    </row>
    <row r="25">
      <c r="A25" t="inlineStr">
        <is>
          <t>Sardinella longiceps</t>
        </is>
      </c>
      <c r="B25" t="inlineStr">
        <is>
          <t>Indian oil sardine</t>
        </is>
      </c>
      <c r="C25" t="inlineStr">
        <is>
          <t>Small pelagics (&lt;30 cm)</t>
        </is>
      </c>
      <c r="D25" t="inlineStr">
        <is>
          <t>Herring-likes</t>
        </is>
      </c>
      <c r="E25" s="5" t="inlineStr">
        <is>
          <t>2 S pelagics | 3 S pelagics</t>
        </is>
      </c>
      <c r="F25" t="inlineStr">
        <is>
          <t>0.298 | 0.702</t>
        </is>
      </c>
      <c r="G25" t="inlineStr">
        <is>
          <t>model_biomass</t>
        </is>
      </c>
      <c r="H25" t="inlineStr">
        <is>
          <t>medium</t>
        </is>
      </c>
      <c r="I25" t="inlineStr">
        <is>
          <t>composite_split</t>
        </is>
      </c>
      <c r="J25" t="n">
        <v>2515038.179</v>
      </c>
      <c r="K25" t="n">
        <v>1.0014</v>
      </c>
      <c r="L25" s="6" t="inlineStr">
        <is>
          <t>Appendix A1.1 lists this exact catch name under `S pelagics`; apportioned over the region 2 and region 3 pools by model biomass; region 1 is the Maldives shelf, outside LME 34.</t>
        </is>
      </c>
    </row>
    <row r="26">
      <c r="A26" t="inlineStr">
        <is>
          <t>Scombridae</t>
        </is>
      </c>
      <c r="B26" t="inlineStr">
        <is>
          <t>Mackerels, tunas, bonitos</t>
        </is>
      </c>
      <c r="C26" t="inlineStr">
        <is>
          <t>Medium pelagics (30 - 89 cm)</t>
        </is>
      </c>
      <c r="D26" t="inlineStr">
        <is>
          <t>Perch-likes</t>
        </is>
      </c>
      <c r="E26" s="5" t="inlineStr">
        <is>
          <t>Tuna-like | Coastal scombrids | 2-3 Indian mackerel</t>
        </is>
      </c>
      <c r="F26" t="inlineStr">
        <is>
          <t>0.044 | 0.267 | 0.689</t>
        </is>
      </c>
      <c r="G26" t="inlineStr">
        <is>
          <t>catch_composition</t>
        </is>
      </c>
      <c r="H26" t="inlineStr">
        <is>
          <t>medium</t>
        </is>
      </c>
      <c r="I26" t="inlineStr">
        <is>
          <t>composite_split</t>
        </is>
      </c>
      <c r="J26" t="n">
        <v>2457177.022</v>
      </c>
      <c r="K26" t="n">
        <v>0.9784</v>
      </c>
      <c r="L26" s="6" t="inlineStr">
        <is>
          <t>The text (p.10) states that catches labelled Scombrids were attributed to tuna-like, coastal scombrids and Indian mackerel; apportioned by the catch that taxa assigned to those three groups alone already carry in this LME.</t>
        </is>
      </c>
    </row>
    <row r="27">
      <c r="A27" t="inlineStr">
        <is>
          <t>Anguilliformes</t>
        </is>
      </c>
      <c r="B27" t="inlineStr">
        <is>
          <t>Eels, morays</t>
        </is>
      </c>
      <c r="C27" t="inlineStr">
        <is>
          <t>Large demersals (&gt;=90 cm)</t>
        </is>
      </c>
      <c r="D27" t="inlineStr">
        <is>
          <t>Other fishes &amp; inverts</t>
        </is>
      </c>
      <c r="E27" s="5" t="inlineStr">
        <is>
          <t>2 L pisc | 3 L pisc</t>
        </is>
      </c>
      <c r="F27" t="inlineStr">
        <is>
          <t>0.450 | 0.550</t>
        </is>
      </c>
      <c r="G27" t="inlineStr">
        <is>
          <t>model_biomass</t>
        </is>
      </c>
      <c r="H27" t="inlineStr">
        <is>
          <t>medium</t>
        </is>
      </c>
      <c r="I27" t="inlineStr">
        <is>
          <t>composite_split</t>
        </is>
      </c>
      <c r="J27" t="n">
        <v>2067419.18</v>
      </c>
      <c r="K27" t="n">
        <v>0.8232</v>
      </c>
      <c r="L27" s="6" t="inlineStr">
        <is>
          <t>Appendix A1.1 lists this exact catch name under `L pisc`; apportioned over the region 2 and region 3 pools by model biomass; region 1 is the Maldives shelf, outside LME 34.</t>
        </is>
      </c>
    </row>
    <row r="28">
      <c r="A28" t="inlineStr">
        <is>
          <t>Decapoda</t>
        </is>
      </c>
      <c r="B28" t="inlineStr">
        <is>
          <t>Crabs, lobsters, shrimps</t>
        </is>
      </c>
      <c r="C28" t="inlineStr">
        <is>
          <t>Lobsters, crabs</t>
        </is>
      </c>
      <c r="D28" t="inlineStr">
        <is>
          <t>Crustaceans</t>
        </is>
      </c>
      <c r="E28" s="5" t="inlineStr">
        <is>
          <t>2 Crustaceans | 3 Crustaceans</t>
        </is>
      </c>
      <c r="F28" t="inlineStr">
        <is>
          <t>0.213 | 0.787</t>
        </is>
      </c>
      <c r="G28" t="inlineStr">
        <is>
          <t>model_biomass</t>
        </is>
      </c>
      <c r="H28" t="inlineStr">
        <is>
          <t>medium</t>
        </is>
      </c>
      <c r="I28" t="inlineStr">
        <is>
          <t>composite_split</t>
        </is>
      </c>
      <c r="J28" t="n">
        <v>2028963.557</v>
      </c>
      <c r="K28" t="n">
        <v>0.8079</v>
      </c>
      <c r="L28" s="6" t="inlineStr">
        <is>
          <t>Appendix A1.1 lists this exact catch name under `crab, shrimp`; apportioned over the region 2 and region 3 pools by model biomass; region 1 is the Maldives shelf, outside LME 34.</t>
        </is>
      </c>
    </row>
    <row r="29">
      <c r="A29" t="inlineStr">
        <is>
          <t>Megalaspis cordyla</t>
        </is>
      </c>
      <c r="B29" t="inlineStr">
        <is>
          <t>Torpedo scad</t>
        </is>
      </c>
      <c r="C29" t="inlineStr">
        <is>
          <t>Medium pelagics (30 - 89 cm)</t>
        </is>
      </c>
      <c r="D29" t="inlineStr">
        <is>
          <t>Perch-likes</t>
        </is>
      </c>
      <c r="E29" s="5" t="inlineStr">
        <is>
          <t>2 Carangids | 3 Carangids</t>
        </is>
      </c>
      <c r="F29" t="inlineStr">
        <is>
          <t>0.304 | 0.696</t>
        </is>
      </c>
      <c r="G29" t="inlineStr">
        <is>
          <t>model_biomass</t>
        </is>
      </c>
      <c r="H29" t="inlineStr">
        <is>
          <t>medium</t>
        </is>
      </c>
      <c r="I29" t="inlineStr">
        <is>
          <t>composite_split</t>
        </is>
      </c>
      <c r="J29" t="n">
        <v>1971088.777</v>
      </c>
      <c r="K29" t="n">
        <v>0.7848000000000001</v>
      </c>
      <c r="L29" s="6" t="inlineStr">
        <is>
          <t>Appendix A1.1 lists this exact catch name under `Carangids`; apportioned over the region 2 and region 3 pools by model biomass; region 1 is the Maldives shelf, outside LME 34.</t>
        </is>
      </c>
    </row>
    <row r="30">
      <c r="A30" t="inlineStr">
        <is>
          <t>Pampus argenteus</t>
        </is>
      </c>
      <c r="B30" t="inlineStr">
        <is>
          <t>Silver pomfret</t>
        </is>
      </c>
      <c r="C30" t="inlineStr">
        <is>
          <t>Medium benthopelagics (30 - 89 cm)</t>
        </is>
      </c>
      <c r="D30" t="inlineStr">
        <is>
          <t>Perch-likes</t>
        </is>
      </c>
      <c r="E30" s="5" t="inlineStr">
        <is>
          <t>2 SM inv | 3 SM inv</t>
        </is>
      </c>
      <c r="F30" t="inlineStr">
        <is>
          <t>0.317 | 0.683</t>
        </is>
      </c>
      <c r="G30" t="inlineStr">
        <is>
          <t>model_biomass</t>
        </is>
      </c>
      <c r="H30" t="inlineStr">
        <is>
          <t>medium</t>
        </is>
      </c>
      <c r="I30" t="inlineStr">
        <is>
          <t>composite_split</t>
        </is>
      </c>
      <c r="J30" t="n">
        <v>1934944.327</v>
      </c>
      <c r="K30" t="n">
        <v>0.7705</v>
      </c>
      <c r="L30" s="6" t="inlineStr">
        <is>
          <t>Appendix A1.1 lists this exact catch name under `SM inv`; apportioned over the region 2 and region 3 pools by model biomass; region 1 is the Maldives shelf, outside LME 34.</t>
        </is>
      </c>
    </row>
    <row r="31">
      <c r="A31" t="inlineStr">
        <is>
          <t>Bivalvia</t>
        </is>
      </c>
      <c r="B31" t="inlineStr">
        <is>
          <t>Clams</t>
        </is>
      </c>
      <c r="C31" t="inlineStr">
        <is>
          <t>Other demersal invertebrates</t>
        </is>
      </c>
      <c r="D31" t="inlineStr">
        <is>
          <t>Molluscs</t>
        </is>
      </c>
      <c r="E31" s="5" t="inlineStr">
        <is>
          <t>2 Macrobenthos | 3 Macrobenthos</t>
        </is>
      </c>
      <c r="F31" t="inlineStr">
        <is>
          <t>0.363 | 0.637</t>
        </is>
      </c>
      <c r="G31" t="inlineStr">
        <is>
          <t>model_biomass</t>
        </is>
      </c>
      <c r="H31" t="inlineStr">
        <is>
          <t>medium</t>
        </is>
      </c>
      <c r="I31" t="inlineStr">
        <is>
          <t>composite_split</t>
        </is>
      </c>
      <c r="J31" t="n">
        <v>1834436.86</v>
      </c>
      <c r="K31" t="n">
        <v>0.7304</v>
      </c>
      <c r="L31" s="6" t="inlineStr">
        <is>
          <t>Appendix A1.1 lists this exact catch name under `macrobenthos`; apportioned over the region 2 and region 3 pools by model biomass; region 1 is the Maldives shelf, outside LME 34.</t>
        </is>
      </c>
    </row>
    <row r="32">
      <c r="A32" t="inlineStr">
        <is>
          <t>Cephalopoda</t>
        </is>
      </c>
      <c r="B32" t="inlineStr">
        <is>
          <t>Squids, cuttlefishes, octopuses</t>
        </is>
      </c>
      <c r="C32" t="inlineStr">
        <is>
          <t>Cephalopods</t>
        </is>
      </c>
      <c r="D32" t="inlineStr">
        <is>
          <t>Other fishes &amp; inverts</t>
        </is>
      </c>
      <c r="E32" s="7" t="inlineStr">
        <is>
          <t>Cephalopods</t>
        </is>
      </c>
      <c r="F32" t="inlineStr"/>
      <c r="G32" t="inlineStr"/>
      <c r="H32" t="inlineStr">
        <is>
          <t>high</t>
        </is>
      </c>
      <c r="I32" t="inlineStr">
        <is>
          <t>explicit_member</t>
        </is>
      </c>
      <c r="J32" t="n">
        <v>1777527.135</v>
      </c>
      <c r="K32" t="n">
        <v>0.7078</v>
      </c>
      <c r="L32" s="6" t="inlineStr">
        <is>
          <t>Appendix A1.1 lists this exact catch name under `cephalopods`, a group modelled over the whole study area (Appendix A1.2).</t>
        </is>
      </c>
    </row>
    <row r="33">
      <c r="A33" t="inlineStr">
        <is>
          <t>Cephea</t>
        </is>
      </c>
      <c r="B33" t="inlineStr">
        <is>
          <t>Cepheid jellyfishes</t>
        </is>
      </c>
      <c r="C33" t="inlineStr">
        <is>
          <t>Jellyfish</t>
        </is>
      </c>
      <c r="D33" t="inlineStr">
        <is>
          <t>Other fishes &amp; inverts</t>
        </is>
      </c>
      <c r="E33" s="7" t="inlineStr">
        <is>
          <t>Jellyfish</t>
        </is>
      </c>
      <c r="F33" t="inlineStr"/>
      <c r="G33" t="inlineStr"/>
      <c r="H33" t="inlineStr">
        <is>
          <t>high</t>
        </is>
      </c>
      <c r="I33" t="inlineStr">
        <is>
          <t>explicit_member</t>
        </is>
      </c>
      <c r="J33" t="n">
        <v>1735545.282</v>
      </c>
      <c r="K33" t="n">
        <v>0.6911</v>
      </c>
      <c r="L33" s="6" t="inlineStr">
        <is>
          <t>Appendix A1.1 lists this exact catch name under `jellyfish`, a group modelled over the whole study area (Appendix A1.2).</t>
        </is>
      </c>
    </row>
    <row r="34">
      <c r="A34" t="inlineStr">
        <is>
          <t>Miscellaneous marine crustaceans</t>
        </is>
      </c>
      <c r="B34" t="inlineStr">
        <is>
          <t>Marine crabs, shrimps, lobsters nei</t>
        </is>
      </c>
      <c r="C34" t="inlineStr">
        <is>
          <t>Shrimps</t>
        </is>
      </c>
      <c r="D34" t="inlineStr">
        <is>
          <t>Crustaceans</t>
        </is>
      </c>
      <c r="E34" s="5" t="inlineStr">
        <is>
          <t>2 Crustaceans | 3 Crustaceans</t>
        </is>
      </c>
      <c r="F34" t="inlineStr">
        <is>
          <t>0.213 | 0.787</t>
        </is>
      </c>
      <c r="G34" t="inlineStr">
        <is>
          <t>model_biomass</t>
        </is>
      </c>
      <c r="H34" t="inlineStr">
        <is>
          <t>medium</t>
        </is>
      </c>
      <c r="I34" t="inlineStr">
        <is>
          <t>composite_split</t>
        </is>
      </c>
      <c r="J34" t="n">
        <v>1685351.739</v>
      </c>
      <c r="K34" t="n">
        <v>0.6711</v>
      </c>
      <c r="L34" s="6" t="inlineStr">
        <is>
          <t>Appendix A1.1 lists this exact catch name under `crab, shrimp`; apportioned over the region 2 and region 3 pools by model biomass; region 1 is the Maldives shelf, outside LME 34.</t>
        </is>
      </c>
    </row>
    <row r="35">
      <c r="A35" t="inlineStr">
        <is>
          <t>Scomberomorus</t>
        </is>
      </c>
      <c r="B35" t="inlineStr">
        <is>
          <t>Spanish mackerels</t>
        </is>
      </c>
      <c r="C35" t="inlineStr">
        <is>
          <t>Large pelagics (&gt;=90 cm)</t>
        </is>
      </c>
      <c r="D35" t="inlineStr">
        <is>
          <t>Perch-likes</t>
        </is>
      </c>
      <c r="E35" s="7" t="inlineStr">
        <is>
          <t>Coastal scombrids</t>
        </is>
      </c>
      <c r="F35" t="inlineStr"/>
      <c r="G35" t="inlineStr"/>
      <c r="H35" t="inlineStr">
        <is>
          <t>high</t>
        </is>
      </c>
      <c r="I35" t="inlineStr">
        <is>
          <t>taxonomic_containment</t>
        </is>
      </c>
      <c r="J35" t="n">
        <v>1623823.677</v>
      </c>
      <c r="K35" t="n">
        <v>0.6466</v>
      </c>
      <c r="L35" s="6" t="inlineStr">
        <is>
          <t>Appendix A1.1 puts the tribe Scomberomorini under coastal scombrid and A1.3 lists S. commerson, S. guttatus and S. lineolatus there, so the genus record is contained by the group.</t>
        </is>
      </c>
    </row>
    <row r="36">
      <c r="A36" t="inlineStr">
        <is>
          <t>Platycephalidae</t>
        </is>
      </c>
      <c r="B36" t="inlineStr">
        <is>
          <t>Flatheads</t>
        </is>
      </c>
      <c r="C36" t="inlineStr">
        <is>
          <t>Medium demersals (30 - 89 cm)</t>
        </is>
      </c>
      <c r="D36" t="inlineStr">
        <is>
          <t>Scorpionfishes</t>
        </is>
      </c>
      <c r="E36" s="5" t="inlineStr">
        <is>
          <t>2 L pisc | 3 L pisc</t>
        </is>
      </c>
      <c r="F36" t="inlineStr">
        <is>
          <t>0.450 | 0.550</t>
        </is>
      </c>
      <c r="G36" t="inlineStr">
        <is>
          <t>model_biomass</t>
        </is>
      </c>
      <c r="H36" t="inlineStr">
        <is>
          <t>medium</t>
        </is>
      </c>
      <c r="I36" t="inlineStr">
        <is>
          <t>composite_split</t>
        </is>
      </c>
      <c r="J36" t="n">
        <v>1494166.727</v>
      </c>
      <c r="K36" t="n">
        <v>0.5949</v>
      </c>
      <c r="L36" s="6" t="inlineStr">
        <is>
          <t>Appendix A1.1 lists this exact catch name under `L pisc`; apportioned over the region 2 and region 3 pools by model biomass; region 1 is the Maldives shelf, outside LME 34.</t>
        </is>
      </c>
    </row>
    <row r="37">
      <c r="A37" t="inlineStr">
        <is>
          <t>Selaroides leptolepis</t>
        </is>
      </c>
      <c r="B37" t="inlineStr">
        <is>
          <t>Yellowstripe scad</t>
        </is>
      </c>
      <c r="C37" t="inlineStr">
        <is>
          <t>Small pelagics (&lt;30 cm)</t>
        </is>
      </c>
      <c r="D37" t="inlineStr">
        <is>
          <t>Perch-likes</t>
        </is>
      </c>
      <c r="E37" s="5" t="inlineStr">
        <is>
          <t>2 SM inv | 3 SM inv</t>
        </is>
      </c>
      <c r="F37" t="inlineStr">
        <is>
          <t>0.317 | 0.683</t>
        </is>
      </c>
      <c r="G37" t="inlineStr">
        <is>
          <t>model_biomass</t>
        </is>
      </c>
      <c r="H37" t="inlineStr">
        <is>
          <t>medium</t>
        </is>
      </c>
      <c r="I37" t="inlineStr">
        <is>
          <t>composite_split</t>
        </is>
      </c>
      <c r="J37" t="n">
        <v>1411036.217</v>
      </c>
      <c r="K37" t="n">
        <v>0.5618</v>
      </c>
      <c r="L37" s="6" t="inlineStr">
        <is>
          <t>Appendix A1.1 lists this exact catch name under `SM inv`; apportioned over the region 2 and region 3 pools by model biomass; region 1 is the Maldives shelf, outside LME 34.</t>
        </is>
      </c>
    </row>
    <row r="38">
      <c r="A38" t="inlineStr">
        <is>
          <t>Parastromateus niger</t>
        </is>
      </c>
      <c r="B38" t="inlineStr">
        <is>
          <t>Black pomfret</t>
        </is>
      </c>
      <c r="C38" t="inlineStr">
        <is>
          <t>Medium benthopelagics (30 - 89 cm)</t>
        </is>
      </c>
      <c r="D38" t="inlineStr">
        <is>
          <t>Perch-likes</t>
        </is>
      </c>
      <c r="E38" s="5" t="inlineStr">
        <is>
          <t>2 Carangids | 3 Carangids</t>
        </is>
      </c>
      <c r="F38" t="inlineStr">
        <is>
          <t>0.304 | 0.696</t>
        </is>
      </c>
      <c r="G38" t="inlineStr">
        <is>
          <t>model_biomass</t>
        </is>
      </c>
      <c r="H38" t="inlineStr">
        <is>
          <t>medium</t>
        </is>
      </c>
      <c r="I38" t="inlineStr">
        <is>
          <t>composite_split</t>
        </is>
      </c>
      <c r="J38" t="n">
        <v>1374356.049</v>
      </c>
      <c r="K38" t="n">
        <v>0.5472</v>
      </c>
      <c r="L38" s="6" t="inlineStr">
        <is>
          <t>Appendix A1.1 lists this exact catch name under `Carangids`; apportioned over the region 2 and region 3 pools by model biomass; region 1 is the Maldives shelf, outside LME 34.</t>
        </is>
      </c>
    </row>
    <row r="39">
      <c r="A39" t="inlineStr">
        <is>
          <t>Nemipterus</t>
        </is>
      </c>
      <c r="B39" t="inlineStr">
        <is>
          <t>Threadfin breams</t>
        </is>
      </c>
      <c r="C39" t="inlineStr">
        <is>
          <t>Small demersals (&lt;30 cm)</t>
        </is>
      </c>
      <c r="D39" t="inlineStr">
        <is>
          <t>Perch-likes</t>
        </is>
      </c>
      <c r="E39" s="5" t="inlineStr">
        <is>
          <t>2 SM pisc | 3 SM pisc</t>
        </is>
      </c>
      <c r="F39" t="inlineStr">
        <is>
          <t>0.306 | 0.694</t>
        </is>
      </c>
      <c r="G39" t="inlineStr">
        <is>
          <t>model_biomass</t>
        </is>
      </c>
      <c r="H39" t="inlineStr">
        <is>
          <t>medium</t>
        </is>
      </c>
      <c r="I39" t="inlineStr">
        <is>
          <t>composite_split</t>
        </is>
      </c>
      <c r="J39" t="n">
        <v>1366535.89</v>
      </c>
      <c r="K39" t="n">
        <v>0.5441</v>
      </c>
      <c r="L39" s="6" t="inlineStr">
        <is>
          <t>Appendix A1.1 lists this exact catch name under `SM pisc`; apportioned over the region 2 and region 3 pools by model biomass; region 1 is the Maldives shelf, outside LME 34.</t>
        </is>
      </c>
    </row>
    <row r="40">
      <c r="A40" t="inlineStr">
        <is>
          <t>Chirocentrus</t>
        </is>
      </c>
      <c r="B40" t="inlineStr">
        <is>
          <t>Wolf herrings</t>
        </is>
      </c>
      <c r="C40" t="inlineStr">
        <is>
          <t>Large pelagics (&gt;=90 cm)</t>
        </is>
      </c>
      <c r="D40" t="inlineStr">
        <is>
          <t>Herring-likes</t>
        </is>
      </c>
      <c r="E40" s="5" t="inlineStr">
        <is>
          <t>2 L pisc | 3 L pisc</t>
        </is>
      </c>
      <c r="F40" t="inlineStr">
        <is>
          <t>0.450 | 0.550</t>
        </is>
      </c>
      <c r="G40" t="inlineStr">
        <is>
          <t>model_biomass</t>
        </is>
      </c>
      <c r="H40" t="inlineStr">
        <is>
          <t>medium</t>
        </is>
      </c>
      <c r="I40" t="inlineStr">
        <is>
          <t>composite_split</t>
        </is>
      </c>
      <c r="J40" t="n">
        <v>1352517.744</v>
      </c>
      <c r="K40" t="n">
        <v>0.5385</v>
      </c>
      <c r="L40" s="6" t="inlineStr">
        <is>
          <t>Appendix A1.1 lists this exact catch name under `L pisc`; apportioned over the region 2 and region 3 pools by model biomass; region 1 is the Maldives shelf, outside LME 34.</t>
        </is>
      </c>
    </row>
    <row r="41">
      <c r="A41" t="inlineStr">
        <is>
          <t>Siluriformes</t>
        </is>
      </c>
      <c r="B41" t="inlineStr">
        <is>
          <t>Catfishes</t>
        </is>
      </c>
      <c r="C41" t="inlineStr">
        <is>
          <t>Medium demersals (30 - 89 cm)</t>
        </is>
      </c>
      <c r="D41" t="inlineStr">
        <is>
          <t>Other fishes &amp; inverts</t>
        </is>
      </c>
      <c r="E41" s="5" t="inlineStr">
        <is>
          <t>2 Milkfish plus | 3 Milkfish plus | 2 SM inv | 3 SM inv | 2 SM pisc | 3 SM pisc</t>
        </is>
      </c>
      <c r="F41" t="inlineStr">
        <is>
          <t>0.054 | 0.068 | 0.159 | 0.342 | 0.115 | 0.262</t>
        </is>
      </c>
      <c r="G41" t="inlineStr">
        <is>
          <t>model_biomass</t>
        </is>
      </c>
      <c r="H41" t="inlineStr">
        <is>
          <t>medium</t>
        </is>
      </c>
      <c r="I41" t="inlineStr">
        <is>
          <t>composite_split</t>
        </is>
      </c>
      <c r="J41" t="n">
        <v>1315369.492</v>
      </c>
      <c r="K41" t="n">
        <v>0.5237000000000001</v>
      </c>
      <c r="L41" s="6" t="inlineStr">
        <is>
          <t>Appendix A1.1 lists this exact catch name under `Milkfish, Minv Mpisc`; apportioned over the region 2 and region 3 pools by model biomass; region 1 is the Maldives shelf, outside LME 34.</t>
        </is>
      </c>
    </row>
    <row r="42">
      <c r="A42" t="inlineStr">
        <is>
          <t>Dendrobranchiata</t>
        </is>
      </c>
      <c r="B42" t="inlineStr">
        <is>
          <t>Shrimps and prawns</t>
        </is>
      </c>
      <c r="C42" t="inlineStr">
        <is>
          <t>Shrimps</t>
        </is>
      </c>
      <c r="D42" t="inlineStr">
        <is>
          <t>Crustaceans</t>
        </is>
      </c>
      <c r="E42" s="5" t="inlineStr">
        <is>
          <t>2 Crustaceans | 3 Crustaceans</t>
        </is>
      </c>
      <c r="F42" t="inlineStr">
        <is>
          <t>0.213 | 0.787</t>
        </is>
      </c>
      <c r="G42" t="inlineStr">
        <is>
          <t>model_biomass</t>
        </is>
      </c>
      <c r="H42" t="inlineStr">
        <is>
          <t>medium</t>
        </is>
      </c>
      <c r="I42" t="inlineStr">
        <is>
          <t>composite_split</t>
        </is>
      </c>
      <c r="J42" t="n">
        <v>1245323.298</v>
      </c>
      <c r="K42" t="n">
        <v>0.4959</v>
      </c>
      <c r="L42" s="6" t="inlineStr">
        <is>
          <t>Appendix A1.1 sends `Shrimps and prawns` and every penaeid genus to shrimps; Dendrobranchiata is the suborder that contains them, and Sea Around Us classes this record as Shrimps. Apportioned over the region 2 and region 3 pools by model biomass; region 1 is the Maldives shelf, outside LME 34.</t>
        </is>
      </c>
    </row>
    <row r="43">
      <c r="A43" t="inlineStr">
        <is>
          <t>Pennahia</t>
        </is>
      </c>
      <c r="B43" t="inlineStr">
        <is>
          <t>Pennah croakers</t>
        </is>
      </c>
      <c r="C43" t="inlineStr">
        <is>
          <t>Medium benthopelagics (30 - 89 cm)</t>
        </is>
      </c>
      <c r="D43" t="inlineStr">
        <is>
          <t>Perch-likes</t>
        </is>
      </c>
      <c r="E43" s="5" t="inlineStr">
        <is>
          <t>2 L pisc comm | 3 L pisc comm</t>
        </is>
      </c>
      <c r="F43" t="inlineStr">
        <is>
          <t>0.479 | 0.521</t>
        </is>
      </c>
      <c r="G43" t="inlineStr">
        <is>
          <t>model_biomass</t>
        </is>
      </c>
      <c r="H43" t="inlineStr">
        <is>
          <t>medium</t>
        </is>
      </c>
      <c r="I43" t="inlineStr">
        <is>
          <t>composite_split</t>
        </is>
      </c>
      <c r="J43" t="n">
        <v>1240233.6</v>
      </c>
      <c r="K43" t="n">
        <v>0.4938</v>
      </c>
      <c r="L43" s="6" t="inlineStr">
        <is>
          <t>Appendix A1.1 lists this exact catch name under `L pisc comm`; apportioned over the region 2 and region 3 pools by model biomass; region 1 is the Maldives shelf, outside LME 34.</t>
        </is>
      </c>
    </row>
    <row r="44">
      <c r="A44" t="inlineStr">
        <is>
          <t>Trichiuridae</t>
        </is>
      </c>
      <c r="B44" t="inlineStr">
        <is>
          <t>Cutlassfishes</t>
        </is>
      </c>
      <c r="C44" t="inlineStr">
        <is>
          <t>Large benthopelagics (&gt;=90 cm)</t>
        </is>
      </c>
      <c r="D44" t="inlineStr">
        <is>
          <t>Perch-likes</t>
        </is>
      </c>
      <c r="E44" s="5" t="inlineStr">
        <is>
          <t>2 L pisc | 3 L pisc</t>
        </is>
      </c>
      <c r="F44" t="inlineStr">
        <is>
          <t>0.450 | 0.550</t>
        </is>
      </c>
      <c r="G44" t="inlineStr">
        <is>
          <t>model_biomass</t>
        </is>
      </c>
      <c r="H44" t="inlineStr">
        <is>
          <t>medium</t>
        </is>
      </c>
      <c r="I44" t="inlineStr">
        <is>
          <t>composite_split</t>
        </is>
      </c>
      <c r="J44" t="n">
        <v>1220501.009</v>
      </c>
      <c r="K44" t="n">
        <v>0.486</v>
      </c>
      <c r="L44" s="6" t="inlineStr">
        <is>
          <t>Appendix A1.1 lists this exact catch name under `L pisc`; apportioned over the region 2 and region 3 pools by model biomass; region 1 is the Maldives shelf, outside LME 34.</t>
        </is>
      </c>
    </row>
    <row r="45">
      <c r="A45" t="inlineStr">
        <is>
          <t>Perciformes</t>
        </is>
      </c>
      <c r="B45" t="inlineStr">
        <is>
          <t>Perch-likes</t>
        </is>
      </c>
      <c r="C45" t="inlineStr">
        <is>
          <t>Medium demersals (30 - 89 cm)</t>
        </is>
      </c>
      <c r="D45" t="inlineStr">
        <is>
          <t>Perch-likes</t>
        </is>
      </c>
      <c r="E45" s="5" t="inlineStr">
        <is>
          <t>2 L pisc comm | 3 L pisc comm | 2 SM pisc | 3 SM pisc | 2 SM inv | 3 SM inv | 2 L pisc | 3 L pisc</t>
        </is>
      </c>
      <c r="F45" t="inlineStr">
        <is>
          <t>0.051 | 0.056 | 0.102 | 0.232 | 0.141 | 0.303 | 0.052 | 0.063</t>
        </is>
      </c>
      <c r="G45" t="inlineStr">
        <is>
          <t>model_biomass</t>
        </is>
      </c>
      <c r="H45" t="inlineStr">
        <is>
          <t>medium</t>
        </is>
      </c>
      <c r="I45" t="inlineStr">
        <is>
          <t>composite_split</t>
        </is>
      </c>
      <c r="J45" t="n">
        <v>1187538.044</v>
      </c>
      <c r="K45" t="n">
        <v>0.4729</v>
      </c>
      <c r="L45" s="6" t="inlineStr">
        <is>
          <t>Appendix A1.1 keeps `Perciformes` as its own residual and the text (p.10) spreads it over the fish groups of the region in equal parts. The Sea Around Us class (medium demersals, Perch-likes) narrows that to the model's demersal finfish pools, all four of which are largely perciform; apportioned over the region 2 and region 3 pools by model biomass; region 1 is the Maldives shelf, outside LME 34.</t>
        </is>
      </c>
    </row>
    <row r="46">
      <c r="A46" t="inlineStr">
        <is>
          <t>Odontamblyopus rubicundus</t>
        </is>
      </c>
      <c r="B46" t="inlineStr">
        <is>
          <t>Rubicundus eelgoby</t>
        </is>
      </c>
      <c r="C46" t="inlineStr">
        <is>
          <t>Small pelagics (&lt;30 cm)</t>
        </is>
      </c>
      <c r="D46" t="inlineStr">
        <is>
          <t>Perch-likes</t>
        </is>
      </c>
      <c r="E46" s="5" t="inlineStr">
        <is>
          <t>2 SM inv | 3 SM inv | 2 SM pisc | 3 SM pisc</t>
        </is>
      </c>
      <c r="F46" t="inlineStr">
        <is>
          <t>0.181 | 0.390 | 0.131 | 0.298</t>
        </is>
      </c>
      <c r="G46" t="inlineStr">
        <is>
          <t>model_biomass</t>
        </is>
      </c>
      <c r="H46" t="inlineStr">
        <is>
          <t>medium</t>
        </is>
      </c>
      <c r="I46" t="inlineStr">
        <is>
          <t>composite_split</t>
        </is>
      </c>
      <c r="J46" t="n">
        <v>1178725.341</v>
      </c>
      <c r="K46" t="n">
        <v>0.4693</v>
      </c>
      <c r="L46" s="6" t="inlineStr">
        <is>
          <t>Appendix A1.1 assigns Gobiidae to the small-invertivore and medium-piscivore pools together; the rubicundus eelgoby is an amblyopine goby that takes both small benthic crustaceans and fish. Apportioned over the region 2 and region 3 pools by model biomass; region 1 is the Maldives shelf, outside LME 34.</t>
        </is>
      </c>
    </row>
    <row r="47">
      <c r="A47" t="inlineStr">
        <is>
          <t>Scomberomorus commerson</t>
        </is>
      </c>
      <c r="B47" t="inlineStr">
        <is>
          <t>Narrow-barred Spanish mackerel</t>
        </is>
      </c>
      <c r="C47" t="inlineStr">
        <is>
          <t>Large pelagics (&gt;=90 cm)</t>
        </is>
      </c>
      <c r="D47" t="inlineStr">
        <is>
          <t>Perch-likes</t>
        </is>
      </c>
      <c r="E47" s="7" t="inlineStr">
        <is>
          <t>Coastal scombrids</t>
        </is>
      </c>
      <c r="F47" t="inlineStr"/>
      <c r="G47" t="inlineStr"/>
      <c r="H47" t="inlineStr">
        <is>
          <t>high</t>
        </is>
      </c>
      <c r="I47" t="inlineStr">
        <is>
          <t>explicit_member</t>
        </is>
      </c>
      <c r="J47" t="n">
        <v>1169085.608</v>
      </c>
      <c r="K47" t="n">
        <v>0.4655</v>
      </c>
      <c r="L47" s="6" t="inlineStr">
        <is>
          <t>Appendix A1.3 lists Scomberomorus commerson in the `coastal scombrid` species list.</t>
        </is>
      </c>
    </row>
    <row r="48">
      <c r="A48" t="inlineStr">
        <is>
          <t>Saurida</t>
        </is>
      </c>
      <c r="B48" t="inlineStr">
        <is>
          <t>Lizardfishes</t>
        </is>
      </c>
      <c r="C48" t="inlineStr">
        <is>
          <t>Medium demersals (30 - 89 cm)</t>
        </is>
      </c>
      <c r="D48" t="inlineStr">
        <is>
          <t>Other fishes &amp; inverts</t>
        </is>
      </c>
      <c r="E48" s="5" t="inlineStr">
        <is>
          <t>2 L pisc comm | 3 L pisc comm</t>
        </is>
      </c>
      <c r="F48" t="inlineStr">
        <is>
          <t>0.479 | 0.521</t>
        </is>
      </c>
      <c r="G48" t="inlineStr">
        <is>
          <t>model_biomass</t>
        </is>
      </c>
      <c r="H48" t="inlineStr">
        <is>
          <t>medium</t>
        </is>
      </c>
      <c r="I48" t="inlineStr">
        <is>
          <t>composite_split</t>
        </is>
      </c>
      <c r="J48" t="n">
        <v>1144434.732</v>
      </c>
      <c r="K48" t="n">
        <v>0.4557</v>
      </c>
      <c r="L48" s="6" t="inlineStr">
        <is>
          <t>Appendix A1.1 lists this exact catch name under `L pisc comm`; apportioned over the region 2 and region 3 pools by model biomass; region 1 is the Maldives shelf, outside LME 34.</t>
        </is>
      </c>
    </row>
    <row r="49">
      <c r="A49" t="inlineStr">
        <is>
          <t>Apogonidae</t>
        </is>
      </c>
      <c r="B49" t="inlineStr">
        <is>
          <t>Cardinalfishes</t>
        </is>
      </c>
      <c r="C49" t="inlineStr">
        <is>
          <t>Small reef assoc. fish (&lt;30 cm)</t>
        </is>
      </c>
      <c r="D49" t="inlineStr">
        <is>
          <t>Perch-likes</t>
        </is>
      </c>
      <c r="E49" s="5" t="inlineStr">
        <is>
          <t>2 SM inv | 3 SM inv</t>
        </is>
      </c>
      <c r="F49" t="inlineStr">
        <is>
          <t>0.317 | 0.683</t>
        </is>
      </c>
      <c r="G49" t="inlineStr">
        <is>
          <t>model_biomass</t>
        </is>
      </c>
      <c r="H49" t="inlineStr">
        <is>
          <t>medium</t>
        </is>
      </c>
      <c r="I49" t="inlineStr">
        <is>
          <t>composite_split</t>
        </is>
      </c>
      <c r="J49" t="n">
        <v>1137465.381</v>
      </c>
      <c r="K49" t="n">
        <v>0.4529</v>
      </c>
      <c r="L49" s="6" t="inlineStr">
        <is>
          <t>Appendix A1.1 lists this exact catch name under `SM inv`; apportioned over the region 2 and region 3 pools by model biomass; region 1 is the Maldives shelf, outside LME 34.</t>
        </is>
      </c>
    </row>
    <row r="50">
      <c r="A50" t="inlineStr">
        <is>
          <t>Decapterus russelli</t>
        </is>
      </c>
      <c r="B50" t="inlineStr">
        <is>
          <t>Indian scad</t>
        </is>
      </c>
      <c r="C50" t="inlineStr">
        <is>
          <t>Medium pelagics (30 - 89 cm)</t>
        </is>
      </c>
      <c r="D50" t="inlineStr">
        <is>
          <t>Perch-likes</t>
        </is>
      </c>
      <c r="E50" s="5" t="inlineStr">
        <is>
          <t>2 Carangids | 3 Carangids</t>
        </is>
      </c>
      <c r="F50" t="inlineStr">
        <is>
          <t>0.304 | 0.696</t>
        </is>
      </c>
      <c r="G50" t="inlineStr">
        <is>
          <t>model_biomass</t>
        </is>
      </c>
      <c r="H50" t="inlineStr">
        <is>
          <t>medium</t>
        </is>
      </c>
      <c r="I50" t="inlineStr">
        <is>
          <t>composite_split</t>
        </is>
      </c>
      <c r="J50" t="n">
        <v>1118952.06</v>
      </c>
      <c r="K50" t="n">
        <v>0.4455</v>
      </c>
      <c r="L50" s="6" t="inlineStr">
        <is>
          <t>Appendix A1.1 lists this exact catch name under `Carangids`; apportioned over the region 2 and region 3 pools by model biomass; region 1 is the Maldives shelf, outside LME 34.</t>
        </is>
      </c>
    </row>
    <row r="51">
      <c r="A51" t="inlineStr">
        <is>
          <t>Sepia</t>
        </is>
      </c>
      <c r="B51" t="inlineStr">
        <is>
          <t>Sepia cuttlefishes</t>
        </is>
      </c>
      <c r="C51" t="inlineStr">
        <is>
          <t>Cephalopods</t>
        </is>
      </c>
      <c r="D51" t="inlineStr">
        <is>
          <t>Other fishes &amp; inverts</t>
        </is>
      </c>
      <c r="E51" s="7" t="inlineStr">
        <is>
          <t>Cephalopods</t>
        </is>
      </c>
      <c r="F51" t="inlineStr"/>
      <c r="G51" t="inlineStr"/>
      <c r="H51" t="inlineStr">
        <is>
          <t>high</t>
        </is>
      </c>
      <c r="I51" t="inlineStr">
        <is>
          <t>explicit_member</t>
        </is>
      </c>
      <c r="J51" t="n">
        <v>1085754.25</v>
      </c>
      <c r="K51" t="n">
        <v>0.4323</v>
      </c>
      <c r="L51" s="6" t="inlineStr">
        <is>
          <t>Appendix A1.1 lists this exact catch name under `cephalopods`, a group modelled over the whole study area (Appendix A1.2).</t>
        </is>
      </c>
    </row>
    <row r="52">
      <c r="A52" t="inlineStr">
        <is>
          <t>Mugilidae</t>
        </is>
      </c>
      <c r="B52" t="inlineStr">
        <is>
          <t>Mullets, grey mullets</t>
        </is>
      </c>
      <c r="C52" t="inlineStr">
        <is>
          <t>Medium reef assoc. fish (30 - 89 cm)</t>
        </is>
      </c>
      <c r="D52" t="inlineStr">
        <is>
          <t>Perch-likes</t>
        </is>
      </c>
      <c r="E52" s="5" t="inlineStr">
        <is>
          <t>2 SM inv | 3 SM inv</t>
        </is>
      </c>
      <c r="F52" t="inlineStr">
        <is>
          <t>0.317 | 0.683</t>
        </is>
      </c>
      <c r="G52" t="inlineStr">
        <is>
          <t>model_biomass</t>
        </is>
      </c>
      <c r="H52" t="inlineStr">
        <is>
          <t>medium</t>
        </is>
      </c>
      <c r="I52" t="inlineStr">
        <is>
          <t>composite_split</t>
        </is>
      </c>
      <c r="J52" t="n">
        <v>1037922.62</v>
      </c>
      <c r="K52" t="n">
        <v>0.4133</v>
      </c>
      <c r="L52" s="6" t="inlineStr">
        <is>
          <t>Appendix A1.1 lists this exact catch name under `M inv, S inv`; apportioned over the region 2 and region 3 pools by model biomass; region 1 is the Maldives shelf, outside LME 34.</t>
        </is>
      </c>
    </row>
    <row r="53">
      <c r="A53" t="inlineStr">
        <is>
          <t>Thryssa</t>
        </is>
      </c>
      <c r="B53" t="inlineStr">
        <is>
          <t>Thryssas</t>
        </is>
      </c>
      <c r="C53" t="inlineStr">
        <is>
          <t>Small pelagics (&lt;30 cm)</t>
        </is>
      </c>
      <c r="D53" t="inlineStr">
        <is>
          <t>Anchovies</t>
        </is>
      </c>
      <c r="E53" s="5" t="inlineStr">
        <is>
          <t>2 S pelagics | 3 S pelagics</t>
        </is>
      </c>
      <c r="F53" t="inlineStr">
        <is>
          <t>0.298 | 0.702</t>
        </is>
      </c>
      <c r="G53" t="inlineStr">
        <is>
          <t>model_biomass</t>
        </is>
      </c>
      <c r="H53" t="inlineStr">
        <is>
          <t>medium</t>
        </is>
      </c>
      <c r="I53" t="inlineStr">
        <is>
          <t>composite_split</t>
        </is>
      </c>
      <c r="J53" t="n">
        <v>1035519.487</v>
      </c>
      <c r="K53" t="n">
        <v>0.4123</v>
      </c>
      <c r="L53" s="6" t="inlineStr">
        <is>
          <t>Appendix A1.1 lists this exact catch name under `S pelagics`; apportioned over the region 2 and region 3 pools by model biomass; region 1 is the Maldives shelf, outside LME 34.</t>
        </is>
      </c>
    </row>
    <row r="54">
      <c r="A54" t="inlineStr">
        <is>
          <t>Portunidae</t>
        </is>
      </c>
      <c r="B54" t="inlineStr">
        <is>
          <t>Swimming crabs</t>
        </is>
      </c>
      <c r="C54" t="inlineStr">
        <is>
          <t>Lobsters, crabs</t>
        </is>
      </c>
      <c r="D54" t="inlineStr">
        <is>
          <t>Crustaceans</t>
        </is>
      </c>
      <c r="E54" s="5" t="inlineStr">
        <is>
          <t>2 Crustaceans | 3 Crustaceans</t>
        </is>
      </c>
      <c r="F54" t="inlineStr">
        <is>
          <t>0.213 | 0.787</t>
        </is>
      </c>
      <c r="G54" t="inlineStr">
        <is>
          <t>model_biomass</t>
        </is>
      </c>
      <c r="H54" t="inlineStr">
        <is>
          <t>medium</t>
        </is>
      </c>
      <c r="I54" t="inlineStr">
        <is>
          <t>composite_split</t>
        </is>
      </c>
      <c r="J54" t="n">
        <v>1013200.655</v>
      </c>
      <c r="K54" t="n">
        <v>0.4034</v>
      </c>
      <c r="L54" s="6" t="inlineStr">
        <is>
          <t>Appendix A1.1 lists this exact catch name under `Crabs`; apportioned over the region 2 and region 3 pools by model biomass; region 1 is the Maldives shelf, outside LME 34.</t>
        </is>
      </c>
    </row>
    <row r="55">
      <c r="A55" t="inlineStr">
        <is>
          <t>Pterotolithus maculatus</t>
        </is>
      </c>
      <c r="B55" t="inlineStr">
        <is>
          <t>Blotched tiger-toothed croaker</t>
        </is>
      </c>
      <c r="C55" t="inlineStr">
        <is>
          <t>Small pelagics (&lt;30 cm)</t>
        </is>
      </c>
      <c r="D55" t="inlineStr">
        <is>
          <t>Perch-likes</t>
        </is>
      </c>
      <c r="E55" s="5" t="inlineStr">
        <is>
          <t>2 L pisc comm | 3 L pisc comm</t>
        </is>
      </c>
      <c r="F55" t="inlineStr">
        <is>
          <t>0.479 | 0.521</t>
        </is>
      </c>
      <c r="G55" t="inlineStr">
        <is>
          <t>model_biomass</t>
        </is>
      </c>
      <c r="H55" t="inlineStr">
        <is>
          <t>medium</t>
        </is>
      </c>
      <c r="I55" t="inlineStr">
        <is>
          <t>composite_split</t>
        </is>
      </c>
      <c r="J55" t="n">
        <v>1007970.642</v>
      </c>
      <c r="K55" t="n">
        <v>0.4014</v>
      </c>
      <c r="L55" s="6" t="inlineStr">
        <is>
          <t>Appendix A1.3 lists Pterotolithus maculatus, in the sciaenid block of in the `L pisc comm` species list. Apportioned over the region 2 and region 3 pools by model biomass; region 1 is the Maldives shelf, outside LME 34.</t>
        </is>
      </c>
    </row>
    <row r="56">
      <c r="A56" t="inlineStr">
        <is>
          <t>Rastrelliger brachysoma</t>
        </is>
      </c>
      <c r="B56" t="inlineStr">
        <is>
          <t>Short mackerel</t>
        </is>
      </c>
      <c r="C56" t="inlineStr">
        <is>
          <t>Medium pelagics (30 - 89 cm)</t>
        </is>
      </c>
      <c r="D56" t="inlineStr">
        <is>
          <t>Perch-likes</t>
        </is>
      </c>
      <c r="E56" s="7" t="inlineStr">
        <is>
          <t>2-3 Indian mackerel</t>
        </is>
      </c>
      <c r="F56" t="inlineStr"/>
      <c r="G56" t="inlineStr"/>
      <c r="H56" t="inlineStr">
        <is>
          <t>high</t>
        </is>
      </c>
      <c r="I56" t="inlineStr">
        <is>
          <t>explicit_member</t>
        </is>
      </c>
      <c r="J56" t="n">
        <v>999158.268</v>
      </c>
      <c r="K56" t="n">
        <v>0.3978</v>
      </c>
      <c r="L56" s="6" t="inlineStr">
        <is>
          <t>Appendix A1.1 lists this exact catch name under `Indian mackerel`, which the model carries as one group straddling the shelves of regions 2 and 3 (Appendix A1.2), so no regional split applies.</t>
        </is>
      </c>
    </row>
    <row r="57">
      <c r="A57" t="inlineStr">
        <is>
          <t>Polynemidae</t>
        </is>
      </c>
      <c r="B57" t="inlineStr">
        <is>
          <t>Threadfins</t>
        </is>
      </c>
      <c r="C57" t="inlineStr">
        <is>
          <t>Small demersals (&lt;30 cm)</t>
        </is>
      </c>
      <c r="D57" t="inlineStr">
        <is>
          <t>Perch-likes</t>
        </is>
      </c>
      <c r="E57" s="5" t="inlineStr">
        <is>
          <t>2 L pisc | 3 L pisc | 2 SM inv | 3 SM inv</t>
        </is>
      </c>
      <c r="F57" t="inlineStr">
        <is>
          <t>0.092 | 0.113 | 0.252 | 0.543</t>
        </is>
      </c>
      <c r="G57" t="inlineStr">
        <is>
          <t>model_biomass</t>
        </is>
      </c>
      <c r="H57" t="inlineStr">
        <is>
          <t>medium</t>
        </is>
      </c>
      <c r="I57" t="inlineStr">
        <is>
          <t>composite_split</t>
        </is>
      </c>
      <c r="J57" t="n">
        <v>976298.669</v>
      </c>
      <c r="K57" t="n">
        <v>0.3887</v>
      </c>
      <c r="L57" s="6" t="inlineStr">
        <is>
          <t>Appendix A1.1 lists this exact catch name under `L pisc, SM inv`; apportioned over the region 2 and region 3 pools by model biomass; region 1 is the Maldives shelf, outside LME 34.</t>
        </is>
      </c>
    </row>
    <row r="58">
      <c r="A58" t="inlineStr">
        <is>
          <t>Thunnus albacares</t>
        </is>
      </c>
      <c r="B58" t="inlineStr">
        <is>
          <t>Yellowfin tuna</t>
        </is>
      </c>
      <c r="C58" t="inlineStr">
        <is>
          <t>Large pelagics (&gt;=90 cm)</t>
        </is>
      </c>
      <c r="D58" t="inlineStr">
        <is>
          <t>Tuna &amp; billfishes</t>
        </is>
      </c>
      <c r="E58" s="7" t="inlineStr">
        <is>
          <t>Yellowfin tuna</t>
        </is>
      </c>
      <c r="F58" t="inlineStr"/>
      <c r="G58" t="inlineStr"/>
      <c r="H58" t="inlineStr">
        <is>
          <t>high</t>
        </is>
      </c>
      <c r="I58" t="inlineStr">
        <is>
          <t>explicit_member</t>
        </is>
      </c>
      <c r="J58" t="n">
        <v>968421.249</v>
      </c>
      <c r="K58" t="n">
        <v>0.3856</v>
      </c>
      <c r="L58" s="6" t="inlineStr">
        <is>
          <t>Appendix A1.1 lists this exact catch name under `Yellowfin tuna`, a group modelled over the whole study area (Appendix A1.2).</t>
        </is>
      </c>
    </row>
    <row r="59">
      <c r="A59" t="inlineStr">
        <is>
          <t>Mullidae</t>
        </is>
      </c>
      <c r="B59" t="inlineStr">
        <is>
          <t>Goatfishes</t>
        </is>
      </c>
      <c r="C59" t="inlineStr">
        <is>
          <t>Medium reef assoc. fish (30 - 89 cm)</t>
        </is>
      </c>
      <c r="D59" t="inlineStr">
        <is>
          <t>Perch-likes</t>
        </is>
      </c>
      <c r="E59" s="5" t="inlineStr">
        <is>
          <t>2 SM inv | 3 SM inv</t>
        </is>
      </c>
      <c r="F59" t="inlineStr">
        <is>
          <t>0.317 | 0.683</t>
        </is>
      </c>
      <c r="G59" t="inlineStr">
        <is>
          <t>model_biomass</t>
        </is>
      </c>
      <c r="H59" t="inlineStr">
        <is>
          <t>medium</t>
        </is>
      </c>
      <c r="I59" t="inlineStr">
        <is>
          <t>composite_split</t>
        </is>
      </c>
      <c r="J59" t="n">
        <v>940283.532</v>
      </c>
      <c r="K59" t="n">
        <v>0.3744</v>
      </c>
      <c r="L59" s="6" t="inlineStr">
        <is>
          <t>Appendix A1.1 lists this exact catch name under `SM inv`; apportioned over the region 2 and region 3 pools by model biomass; region 1 is the Maldives shelf, outside LME 34.</t>
        </is>
      </c>
    </row>
    <row r="60">
      <c r="A60" t="inlineStr">
        <is>
          <t>Saurida tumbil</t>
        </is>
      </c>
      <c r="B60" t="inlineStr">
        <is>
          <t>Greater lizardfish</t>
        </is>
      </c>
      <c r="C60" t="inlineStr">
        <is>
          <t>Medium demersals (30 - 89 cm)</t>
        </is>
      </c>
      <c r="D60" t="inlineStr">
        <is>
          <t>Other fishes &amp; inverts</t>
        </is>
      </c>
      <c r="E60" s="5" t="inlineStr">
        <is>
          <t>2 L pisc comm | 3 L pisc comm</t>
        </is>
      </c>
      <c r="F60" t="inlineStr">
        <is>
          <t>0.479 | 0.521</t>
        </is>
      </c>
      <c r="G60" t="inlineStr">
        <is>
          <t>model_biomass</t>
        </is>
      </c>
      <c r="H60" t="inlineStr">
        <is>
          <t>medium</t>
        </is>
      </c>
      <c r="I60" t="inlineStr">
        <is>
          <t>composite_split</t>
        </is>
      </c>
      <c r="J60" t="n">
        <v>936600.4179999999</v>
      </c>
      <c r="K60" t="n">
        <v>0.3729</v>
      </c>
      <c r="L60" s="6" t="inlineStr">
        <is>
          <t>Appendix A1.1 lists this exact catch name under `L pisc comm`; apportioned over the region 2 and region 3 pools by model biomass; region 1 is the Maldives shelf, outside LME 34.</t>
        </is>
      </c>
    </row>
    <row r="61">
      <c r="A61" t="inlineStr">
        <is>
          <t>Scomberomorus guttatus</t>
        </is>
      </c>
      <c r="B61" t="inlineStr">
        <is>
          <t>Indo-Pacific king mackerel</t>
        </is>
      </c>
      <c r="C61" t="inlineStr">
        <is>
          <t>Medium pelagics (30 - 89 cm)</t>
        </is>
      </c>
      <c r="D61" t="inlineStr">
        <is>
          <t>Perch-likes</t>
        </is>
      </c>
      <c r="E61" s="7" t="inlineStr">
        <is>
          <t>Coastal scombrids</t>
        </is>
      </c>
      <c r="F61" t="inlineStr"/>
      <c r="G61" t="inlineStr"/>
      <c r="H61" t="inlineStr">
        <is>
          <t>high</t>
        </is>
      </c>
      <c r="I61" t="inlineStr">
        <is>
          <t>explicit_member</t>
        </is>
      </c>
      <c r="J61" t="n">
        <v>927088.841</v>
      </c>
      <c r="K61" t="n">
        <v>0.3691</v>
      </c>
      <c r="L61" s="6" t="inlineStr">
        <is>
          <t>Appendix A1.3 lists Scomberomorus guttatus in the `coastal scombrid` species list.</t>
        </is>
      </c>
    </row>
    <row r="62">
      <c r="A62" t="inlineStr">
        <is>
          <t>Priacanthus</t>
        </is>
      </c>
      <c r="B62" t="inlineStr">
        <is>
          <t>Bigeyes</t>
        </is>
      </c>
      <c r="C62" t="inlineStr">
        <is>
          <t>Medium reef assoc. fish (30 - 89 cm)</t>
        </is>
      </c>
      <c r="D62" t="inlineStr">
        <is>
          <t>Perch-likes</t>
        </is>
      </c>
      <c r="E62" s="5" t="inlineStr">
        <is>
          <t>2 SM pisc | 3 SM pisc</t>
        </is>
      </c>
      <c r="F62" t="inlineStr">
        <is>
          <t>0.306 | 0.694</t>
        </is>
      </c>
      <c r="G62" t="inlineStr">
        <is>
          <t>model_biomass</t>
        </is>
      </c>
      <c r="H62" t="inlineStr">
        <is>
          <t>medium</t>
        </is>
      </c>
      <c r="I62" t="inlineStr">
        <is>
          <t>composite_split</t>
        </is>
      </c>
      <c r="J62" t="n">
        <v>913014.392</v>
      </c>
      <c r="K62" t="n">
        <v>0.3635</v>
      </c>
      <c r="L62" s="6" t="inlineStr">
        <is>
          <t>Appendix A1.1 lists this exact catch name under `SM pisc`; apportioned over the region 2 and region 3 pools by model biomass; region 1 is the Maldives shelf, outside LME 34.</t>
        </is>
      </c>
    </row>
    <row r="63">
      <c r="A63" t="inlineStr">
        <is>
          <t>Marine pelagic fishes not identified</t>
        </is>
      </c>
      <c r="B63" t="inlineStr">
        <is>
          <t>Pelagic fishes</t>
        </is>
      </c>
      <c r="C63" t="inlineStr">
        <is>
          <t>Medium pelagics (30 - 89 cm)</t>
        </is>
      </c>
      <c r="D63" t="inlineStr">
        <is>
          <t>Other fishes &amp; inverts</t>
        </is>
      </c>
      <c r="E63" s="5" t="inlineStr">
        <is>
          <t>2 S pelagics | 3 S pelagics | 2 Carangids | 3 Carangids</t>
        </is>
      </c>
      <c r="F63" t="inlineStr">
        <is>
          <t>0.182 | 0.431 | 0.118 | 0.269</t>
        </is>
      </c>
      <c r="G63" t="inlineStr">
        <is>
          <t>model_biomass</t>
        </is>
      </c>
      <c r="H63" t="inlineStr">
        <is>
          <t>medium</t>
        </is>
      </c>
      <c r="I63" t="inlineStr">
        <is>
          <t>composite_split</t>
        </is>
      </c>
      <c r="J63" t="n">
        <v>888209.162</v>
      </c>
      <c r="K63" t="n">
        <v>0.3537</v>
      </c>
      <c r="L63" s="6" t="inlineStr">
        <is>
          <t>Appendix A1.1 sends `Marine pelagic fishes nei` to the residual `Miscellaneous fishes`; the Sea Around Us class (medium pelagics) restricts the candidate set to the model's small-pelagic and carangid pools, excluding the demersal ones; apportioned over the region 2 and region 3 pools by model biomass; region 1 is the Maldives shelf, outside LME 34.</t>
        </is>
      </c>
    </row>
    <row r="64">
      <c r="A64" t="inlineStr">
        <is>
          <t>Batoidea</t>
        </is>
      </c>
      <c r="B64" t="inlineStr">
        <is>
          <t>Batoids, skates, rays, sawfishes</t>
        </is>
      </c>
      <c r="C64" t="inlineStr">
        <is>
          <t>Large rays (&gt;=90 cm)</t>
        </is>
      </c>
      <c r="D64" t="inlineStr">
        <is>
          <t>Sharks &amp; rays</t>
        </is>
      </c>
      <c r="E64" s="5" t="inlineStr">
        <is>
          <t>Coastal elasmobranch</t>
        </is>
      </c>
      <c r="F64" t="inlineStr"/>
      <c r="G64" t="inlineStr"/>
      <c r="H64" t="inlineStr">
        <is>
          <t>medium</t>
        </is>
      </c>
      <c r="I64" t="inlineStr">
        <is>
          <t>taxonomic_containment</t>
        </is>
      </c>
      <c r="J64" t="n">
        <v>859915.397</v>
      </c>
      <c r="K64" t="n">
        <v>0.3424</v>
      </c>
      <c r="L64" s="6" t="inlineStr">
        <is>
          <t>Appendix A1.1 sends every elasmobranch nei label to `oceanic, coastal sharks`, but Appendix A1.3 places all of the model's batoids - Rhynchobatus, Glaucostegus, Dasyatis, six Himantura, Aetobatus, Rhinoptera, two Mobula and two Aetomylaeus - in Coastal elasmobranch; the only batoid in Oceanic sharks is the oceanic pelagic stingray.</t>
        </is>
      </c>
    </row>
    <row r="65">
      <c r="A65" t="inlineStr">
        <is>
          <t>Parapenaeopsis</t>
        </is>
      </c>
      <c r="B65" t="inlineStr">
        <is>
          <t>Leafy-legged shrimps</t>
        </is>
      </c>
      <c r="C65" t="inlineStr">
        <is>
          <t>Shrimps</t>
        </is>
      </c>
      <c r="D65" t="inlineStr">
        <is>
          <t>Crustaceans</t>
        </is>
      </c>
      <c r="E65" s="5" t="inlineStr">
        <is>
          <t>2 Crustaceans | 3 Crustaceans</t>
        </is>
      </c>
      <c r="F65" t="inlineStr">
        <is>
          <t>0.213 | 0.787</t>
        </is>
      </c>
      <c r="G65" t="inlineStr">
        <is>
          <t>model_biomass</t>
        </is>
      </c>
      <c r="H65" t="inlineStr">
        <is>
          <t>medium</t>
        </is>
      </c>
      <c r="I65" t="inlineStr">
        <is>
          <t>composite_split</t>
        </is>
      </c>
      <c r="J65" t="n">
        <v>825731.486</v>
      </c>
      <c r="K65" t="n">
        <v>0.3288</v>
      </c>
      <c r="L65" s="6" t="inlineStr">
        <is>
          <t>Appendix A1.1 lists this exact catch name under `shrimps`; apportioned over the region 2 and region 3 pools by model biomass; region 1 is the Maldives shelf, outside LME 34.</t>
        </is>
      </c>
    </row>
    <row r="66">
      <c r="A66" t="inlineStr">
        <is>
          <t>Sphyraena</t>
        </is>
      </c>
      <c r="B66" t="inlineStr">
        <is>
          <t>Barracudas, sennets</t>
        </is>
      </c>
      <c r="C66" t="inlineStr">
        <is>
          <t>Large pelagics (&gt;=90 cm)</t>
        </is>
      </c>
      <c r="D66" t="inlineStr">
        <is>
          <t>Perch-likes</t>
        </is>
      </c>
      <c r="E66" s="5" t="inlineStr">
        <is>
          <t>2 L pisc | 3 L pisc</t>
        </is>
      </c>
      <c r="F66" t="inlineStr">
        <is>
          <t>0.450 | 0.550</t>
        </is>
      </c>
      <c r="G66" t="inlineStr">
        <is>
          <t>model_biomass</t>
        </is>
      </c>
      <c r="H66" t="inlineStr">
        <is>
          <t>medium</t>
        </is>
      </c>
      <c r="I66" t="inlineStr">
        <is>
          <t>composite_split</t>
        </is>
      </c>
      <c r="J66" t="n">
        <v>795466.491</v>
      </c>
      <c r="K66" t="n">
        <v>0.3167</v>
      </c>
      <c r="L66" s="6" t="inlineStr">
        <is>
          <t>Appendix A1.1 lists this exact catch name under `L pisc`; apportioned over the region 2 and region 3 pools by model biomass; region 1 is the Maldives shelf, outside LME 34.</t>
        </is>
      </c>
    </row>
    <row r="67">
      <c r="A67" t="inlineStr">
        <is>
          <t>Sepiidae</t>
        </is>
      </c>
      <c r="B67" t="inlineStr">
        <is>
          <t>Cuttlefishes</t>
        </is>
      </c>
      <c r="C67" t="inlineStr">
        <is>
          <t>Cephalopods</t>
        </is>
      </c>
      <c r="D67" t="inlineStr">
        <is>
          <t>Other fishes &amp; inverts</t>
        </is>
      </c>
      <c r="E67" s="7" t="inlineStr">
        <is>
          <t>Cephalopods</t>
        </is>
      </c>
      <c r="F67" t="inlineStr"/>
      <c r="G67" t="inlineStr"/>
      <c r="H67" t="inlineStr">
        <is>
          <t>high</t>
        </is>
      </c>
      <c r="I67" t="inlineStr">
        <is>
          <t>explicit_member</t>
        </is>
      </c>
      <c r="J67" t="n">
        <v>793464.904</v>
      </c>
      <c r="K67" t="n">
        <v>0.3159</v>
      </c>
      <c r="L67" s="6" t="inlineStr">
        <is>
          <t>Appendix A1.1 lists this exact catch name under `cephalopods`, a group modelled over the whole study area (Appendix A1.2).</t>
        </is>
      </c>
    </row>
    <row r="68">
      <c r="A68" t="inlineStr">
        <is>
          <t>Trichiurus lepturus</t>
        </is>
      </c>
      <c r="B68" t="inlineStr">
        <is>
          <t>Largehead hairtail</t>
        </is>
      </c>
      <c r="C68" t="inlineStr">
        <is>
          <t>Large benthopelagics (&gt;=90 cm)</t>
        </is>
      </c>
      <c r="D68" t="inlineStr">
        <is>
          <t>Perch-likes</t>
        </is>
      </c>
      <c r="E68" s="5" t="inlineStr">
        <is>
          <t>2 L pisc | 3 L pisc</t>
        </is>
      </c>
      <c r="F68" t="inlineStr">
        <is>
          <t>0.450 | 0.550</t>
        </is>
      </c>
      <c r="G68" t="inlineStr">
        <is>
          <t>model_biomass</t>
        </is>
      </c>
      <c r="H68" t="inlineStr">
        <is>
          <t>medium</t>
        </is>
      </c>
      <c r="I68" t="inlineStr">
        <is>
          <t>composite_split</t>
        </is>
      </c>
      <c r="J68" t="n">
        <v>790742.026</v>
      </c>
      <c r="K68" t="n">
        <v>0.3149</v>
      </c>
      <c r="L68" s="6" t="inlineStr">
        <is>
          <t>Appendix A1.1 lists this exact catch name under `L pisc`; apportioned over the region 2 and region 3 pools by model biomass; region 1 is the Maldives shelf, outside LME 34.</t>
        </is>
      </c>
    </row>
    <row r="69">
      <c r="A69" t="inlineStr">
        <is>
          <t>Alepes</t>
        </is>
      </c>
      <c r="B69" t="inlineStr">
        <is>
          <t>Crevalles</t>
        </is>
      </c>
      <c r="C69" t="inlineStr">
        <is>
          <t>Medium reef assoc. fish (30 - 89 cm)</t>
        </is>
      </c>
      <c r="D69" t="inlineStr">
        <is>
          <t>Perch-likes</t>
        </is>
      </c>
      <c r="E69" s="5" t="inlineStr">
        <is>
          <t>2 Carangids | 3 Carangids</t>
        </is>
      </c>
      <c r="F69" t="inlineStr">
        <is>
          <t>0.304 | 0.696</t>
        </is>
      </c>
      <c r="G69" t="inlineStr">
        <is>
          <t>model_biomass</t>
        </is>
      </c>
      <c r="H69" t="inlineStr">
        <is>
          <t>medium</t>
        </is>
      </c>
      <c r="I69" t="inlineStr">
        <is>
          <t>composite_split</t>
        </is>
      </c>
      <c r="J69" t="n">
        <v>766760.554</v>
      </c>
      <c r="K69" t="n">
        <v>0.3053</v>
      </c>
      <c r="L69" s="6" t="inlineStr">
        <is>
          <t>Appendix A1.1 lists this exact catch name under `Carangids`; apportioned over the region 2 and region 3 pools by model biomass; region 1 is the Maldives shelf, outside LME 34.</t>
        </is>
      </c>
    </row>
    <row r="70">
      <c r="A70" t="inlineStr">
        <is>
          <t>Euthynnus affinis</t>
        </is>
      </c>
      <c r="B70" t="inlineStr">
        <is>
          <t>Kawakawa</t>
        </is>
      </c>
      <c r="C70" t="inlineStr">
        <is>
          <t>Large pelagics (&gt;=90 cm)</t>
        </is>
      </c>
      <c r="D70" t="inlineStr">
        <is>
          <t>Tuna &amp; billfishes</t>
        </is>
      </c>
      <c r="E70" s="7" t="inlineStr">
        <is>
          <t>Coastal scombrids</t>
        </is>
      </c>
      <c r="F70" t="inlineStr"/>
      <c r="G70" t="inlineStr"/>
      <c r="H70" t="inlineStr">
        <is>
          <t>high</t>
        </is>
      </c>
      <c r="I70" t="inlineStr">
        <is>
          <t>explicit_member</t>
        </is>
      </c>
      <c r="J70" t="n">
        <v>761505.6310000001</v>
      </c>
      <c r="K70" t="n">
        <v>0.3032</v>
      </c>
      <c r="L70" s="6" t="inlineStr">
        <is>
          <t>Appendix A1.1 lists this exact catch name under `coastal scombrid`, modelled as one stock travelling through every EEZ of the study area, 69 % of it (Appendix A1.2).</t>
        </is>
      </c>
    </row>
    <row r="71">
      <c r="A71" t="inlineStr">
        <is>
          <t>Trichiurus</t>
        </is>
      </c>
      <c r="B71" t="inlineStr">
        <is>
          <t>Hairtails</t>
        </is>
      </c>
      <c r="C71" t="inlineStr">
        <is>
          <t>Large benthopelagics (&gt;=90 cm)</t>
        </is>
      </c>
      <c r="D71" t="inlineStr">
        <is>
          <t>Perch-likes</t>
        </is>
      </c>
      <c r="E71" s="5" t="inlineStr">
        <is>
          <t>2 L pisc | 3 L pisc</t>
        </is>
      </c>
      <c r="F71" t="inlineStr">
        <is>
          <t>0.450 | 0.550</t>
        </is>
      </c>
      <c r="G71" t="inlineStr">
        <is>
          <t>model_biomass</t>
        </is>
      </c>
      <c r="H71" t="inlineStr">
        <is>
          <t>medium</t>
        </is>
      </c>
      <c r="I71" t="inlineStr">
        <is>
          <t>composite_split</t>
        </is>
      </c>
      <c r="J71" t="n">
        <v>761359.093</v>
      </c>
      <c r="K71" t="n">
        <v>0.3032</v>
      </c>
      <c r="L71" s="6" t="inlineStr">
        <is>
          <t>Appendix A1.1 lists this exact catch name under `L pisc`; apportioned over the region 2 and region 3 pools by model biomass; region 1 is the Maldives shelf, outside LME 34.</t>
        </is>
      </c>
    </row>
    <row r="72">
      <c r="A72" t="inlineStr">
        <is>
          <t>Portunus pelagicus</t>
        </is>
      </c>
      <c r="B72" t="inlineStr">
        <is>
          <t>Blue swimming crab</t>
        </is>
      </c>
      <c r="C72" t="inlineStr">
        <is>
          <t>Lobsters, crabs</t>
        </is>
      </c>
      <c r="D72" t="inlineStr">
        <is>
          <t>Crustaceans</t>
        </is>
      </c>
      <c r="E72" s="5" t="inlineStr">
        <is>
          <t>2 Crustaceans | 3 Crustaceans</t>
        </is>
      </c>
      <c r="F72" t="inlineStr">
        <is>
          <t>0.213 | 0.787</t>
        </is>
      </c>
      <c r="G72" t="inlineStr">
        <is>
          <t>model_biomass</t>
        </is>
      </c>
      <c r="H72" t="inlineStr">
        <is>
          <t>medium</t>
        </is>
      </c>
      <c r="I72" t="inlineStr">
        <is>
          <t>composite_split</t>
        </is>
      </c>
      <c r="J72" t="n">
        <v>737898.839</v>
      </c>
      <c r="K72" t="n">
        <v>0.2938</v>
      </c>
      <c r="L72" s="6" t="inlineStr">
        <is>
          <t>Appendix A1.1 lists this exact catch name under `Crabs`; apportioned over the region 2 and region 3 pools by model biomass; region 1 is the Maldives shelf, outside LME 34.</t>
        </is>
      </c>
    </row>
    <row r="73">
      <c r="A73" t="inlineStr">
        <is>
          <t>Penaeus merguiensis</t>
        </is>
      </c>
      <c r="B73" t="inlineStr">
        <is>
          <t>Banana prawn</t>
        </is>
      </c>
      <c r="C73" t="inlineStr">
        <is>
          <t>Shrimps</t>
        </is>
      </c>
      <c r="D73" t="inlineStr">
        <is>
          <t>Crustaceans</t>
        </is>
      </c>
      <c r="E73" s="5" t="inlineStr">
        <is>
          <t>2 Crustaceans | 3 Crustaceans</t>
        </is>
      </c>
      <c r="F73" t="inlineStr">
        <is>
          <t>0.213 | 0.787</t>
        </is>
      </c>
      <c r="G73" t="inlineStr">
        <is>
          <t>model_biomass</t>
        </is>
      </c>
      <c r="H73" t="inlineStr">
        <is>
          <t>medium</t>
        </is>
      </c>
      <c r="I73" t="inlineStr">
        <is>
          <t>composite_split</t>
        </is>
      </c>
      <c r="J73" t="n">
        <v>729485.106</v>
      </c>
      <c r="K73" t="n">
        <v>0.2905</v>
      </c>
      <c r="L73" s="6" t="inlineStr">
        <is>
          <t>Accepted-name/synonym match: Appendix A1.1 lists Fenneropenaeus merguiensis under `shrimps`. Apportioned over the region 2 and region 3 pools by model biomass; region 1 is the Maldives shelf, outside LME 34.</t>
        </is>
      </c>
    </row>
    <row r="74">
      <c r="A74" t="inlineStr">
        <is>
          <t>Metapenaeus</t>
        </is>
      </c>
      <c r="B74" t="inlineStr">
        <is>
          <t>Indo-Pacific prawns</t>
        </is>
      </c>
      <c r="C74" t="inlineStr">
        <is>
          <t>Shrimps</t>
        </is>
      </c>
      <c r="D74" t="inlineStr">
        <is>
          <t>Crustaceans</t>
        </is>
      </c>
      <c r="E74" s="5" t="inlineStr">
        <is>
          <t>2 Crustaceans | 3 Crustaceans</t>
        </is>
      </c>
      <c r="F74" t="inlineStr">
        <is>
          <t>0.213 | 0.787</t>
        </is>
      </c>
      <c r="G74" t="inlineStr">
        <is>
          <t>model_biomass</t>
        </is>
      </c>
      <c r="H74" t="inlineStr">
        <is>
          <t>medium</t>
        </is>
      </c>
      <c r="I74" t="inlineStr">
        <is>
          <t>composite_split</t>
        </is>
      </c>
      <c r="J74" t="n">
        <v>710501.801</v>
      </c>
      <c r="K74" t="n">
        <v>0.2829</v>
      </c>
      <c r="L74" s="6" t="inlineStr">
        <is>
          <t>Appendix A1.1 lists this exact catch name under `shrimps`; apportioned over the region 2 and region 3 pools by model biomass; region 1 is the Maldives shelf, outside LME 34.</t>
        </is>
      </c>
    </row>
    <row r="75">
      <c r="A75" t="inlineStr">
        <is>
          <t>Tegillarca granosa</t>
        </is>
      </c>
      <c r="B75" t="inlineStr">
        <is>
          <t>Granular ark</t>
        </is>
      </c>
      <c r="C75" t="inlineStr">
        <is>
          <t>Other demersal invertebrates</t>
        </is>
      </c>
      <c r="D75" t="inlineStr">
        <is>
          <t>Molluscs</t>
        </is>
      </c>
      <c r="E75" s="5" t="inlineStr">
        <is>
          <t>2 Macrobenthos | 3 Macrobenthos</t>
        </is>
      </c>
      <c r="F75" t="inlineStr">
        <is>
          <t>0.363 | 0.637</t>
        </is>
      </c>
      <c r="G75" t="inlineStr">
        <is>
          <t>model_biomass</t>
        </is>
      </c>
      <c r="H75" t="inlineStr">
        <is>
          <t>medium</t>
        </is>
      </c>
      <c r="I75" t="inlineStr">
        <is>
          <t>composite_split</t>
        </is>
      </c>
      <c r="J75" t="n">
        <v>709404.924</v>
      </c>
      <c r="K75" t="n">
        <v>0.2825</v>
      </c>
      <c r="L75" s="6" t="inlineStr">
        <is>
          <t>Appendix A1.1 lists this exact catch name under `macrobenthos`; apportioned over the region 2 and region 3 pools by model biomass; region 1 is the Maldives shelf, outside LME 34.</t>
        </is>
      </c>
    </row>
    <row r="76">
      <c r="A76" t="inlineStr">
        <is>
          <t>Setipinna taty</t>
        </is>
      </c>
      <c r="B76" t="inlineStr">
        <is>
          <t>Scaly hairfin anchovy</t>
        </is>
      </c>
      <c r="C76" t="inlineStr">
        <is>
          <t>Small pelagics (&lt;30 cm)</t>
        </is>
      </c>
      <c r="D76" t="inlineStr">
        <is>
          <t>Anchovies</t>
        </is>
      </c>
      <c r="E76" s="5" t="inlineStr">
        <is>
          <t>2 S pelagics | 3 S pelagics</t>
        </is>
      </c>
      <c r="F76" t="inlineStr">
        <is>
          <t>0.298 | 0.702</t>
        </is>
      </c>
      <c r="G76" t="inlineStr">
        <is>
          <t>model_biomass</t>
        </is>
      </c>
      <c r="H76" t="inlineStr">
        <is>
          <t>medium</t>
        </is>
      </c>
      <c r="I76" t="inlineStr">
        <is>
          <t>composite_split</t>
        </is>
      </c>
      <c r="J76" t="n">
        <v>675728.339</v>
      </c>
      <c r="K76" t="n">
        <v>0.2691</v>
      </c>
      <c r="L76" s="6" t="inlineStr">
        <is>
          <t>Appendix A1.3 lists Setipinna taty in the `S pelagics` species list. Apportioned over the region 2 and region 3 pools by model biomass; region 1 is the Maldives shelf, outside LME 34.</t>
        </is>
      </c>
    </row>
    <row r="77">
      <c r="A77" t="inlineStr">
        <is>
          <t>Loliginidae</t>
        </is>
      </c>
      <c r="B77" t="inlineStr">
        <is>
          <t>Common pencil squids</t>
        </is>
      </c>
      <c r="C77" t="inlineStr">
        <is>
          <t>Cephalopods</t>
        </is>
      </c>
      <c r="D77" t="inlineStr">
        <is>
          <t>Other fishes &amp; inverts</t>
        </is>
      </c>
      <c r="E77" s="7" t="inlineStr">
        <is>
          <t>Cephalopods</t>
        </is>
      </c>
      <c r="F77" t="inlineStr"/>
      <c r="G77" t="inlineStr"/>
      <c r="H77" t="inlineStr">
        <is>
          <t>high</t>
        </is>
      </c>
      <c r="I77" t="inlineStr">
        <is>
          <t>explicit_member</t>
        </is>
      </c>
      <c r="J77" t="n">
        <v>673711.353</v>
      </c>
      <c r="K77" t="n">
        <v>0.2683</v>
      </c>
      <c r="L77" s="6" t="inlineStr">
        <is>
          <t>Appendix A1.1 lists this exact catch name under `cephalopods`, a group modelled over the whole study area (Appendix A1.2).</t>
        </is>
      </c>
    </row>
    <row r="78">
      <c r="A78" t="inlineStr">
        <is>
          <t>Lethrinidae</t>
        </is>
      </c>
      <c r="B78" t="inlineStr">
        <is>
          <t>Emperors, scavengers</t>
        </is>
      </c>
      <c r="C78" t="inlineStr">
        <is>
          <t>Medium reef assoc. fish (30 - 89 cm)</t>
        </is>
      </c>
      <c r="D78" t="inlineStr">
        <is>
          <t>Perch-likes</t>
        </is>
      </c>
      <c r="E78" s="5" t="inlineStr">
        <is>
          <t>2 L pisc comm | 3 L pisc comm</t>
        </is>
      </c>
      <c r="F78" t="inlineStr">
        <is>
          <t>0.479 | 0.521</t>
        </is>
      </c>
      <c r="G78" t="inlineStr">
        <is>
          <t>model_biomass</t>
        </is>
      </c>
      <c r="H78" t="inlineStr">
        <is>
          <t>medium</t>
        </is>
      </c>
      <c r="I78" t="inlineStr">
        <is>
          <t>composite_split</t>
        </is>
      </c>
      <c r="J78" t="n">
        <v>668938.579</v>
      </c>
      <c r="K78" t="n">
        <v>0.2664</v>
      </c>
      <c r="L78" s="6" t="inlineStr">
        <is>
          <t>Appendix A1.1 lists this exact catch name under `L pisc comm`; apportioned over the region 2 and region 3 pools by model biomass; region 1 is the Maldives shelf, outside LME 34.</t>
        </is>
      </c>
    </row>
    <row r="79">
      <c r="A79" t="inlineStr">
        <is>
          <t>Setipinna phasa</t>
        </is>
      </c>
      <c r="B79" t="inlineStr">
        <is>
          <t>Gangetic hairfin anchovy</t>
        </is>
      </c>
      <c r="C79" t="inlineStr">
        <is>
          <t>Medium pelagics (30 - 89 cm)</t>
        </is>
      </c>
      <c r="D79" t="inlineStr">
        <is>
          <t>Anchovies</t>
        </is>
      </c>
      <c r="E79" s="5" t="inlineStr">
        <is>
          <t>2 S pelagics | 3 S pelagics</t>
        </is>
      </c>
      <c r="F79" t="inlineStr">
        <is>
          <t>0.298 | 0.702</t>
        </is>
      </c>
      <c r="G79" t="inlineStr">
        <is>
          <t>model_biomass</t>
        </is>
      </c>
      <c r="H79" t="inlineStr">
        <is>
          <t>medium</t>
        </is>
      </c>
      <c r="I79" t="inlineStr">
        <is>
          <t>composite_split</t>
        </is>
      </c>
      <c r="J79" t="n">
        <v>662986.142</v>
      </c>
      <c r="K79" t="n">
        <v>0.264</v>
      </c>
      <c r="L79" s="6" t="inlineStr">
        <is>
          <t>Congener of Setipinna taty, which Appendix A1.3 lists in the small-pelagics species list; both are estuarine engraulids of the same size band. Apportioned over the region 2 and region 3 pools by model biomass; region 1 is the Maldives shelf, outside LME 34.</t>
        </is>
      </c>
    </row>
    <row r="80">
      <c r="A80" t="inlineStr">
        <is>
          <t>Auxis thazard</t>
        </is>
      </c>
      <c r="B80" t="inlineStr">
        <is>
          <t>Frigate tuna</t>
        </is>
      </c>
      <c r="C80" t="inlineStr">
        <is>
          <t>Medium pelagics (30 - 89 cm)</t>
        </is>
      </c>
      <c r="D80" t="inlineStr">
        <is>
          <t>Tuna &amp; billfishes</t>
        </is>
      </c>
      <c r="E80" s="7" t="inlineStr">
        <is>
          <t>Coastal scombrids</t>
        </is>
      </c>
      <c r="F80" t="inlineStr"/>
      <c r="G80" t="inlineStr"/>
      <c r="H80" t="inlineStr">
        <is>
          <t>high</t>
        </is>
      </c>
      <c r="I80" t="inlineStr">
        <is>
          <t>explicit_member</t>
        </is>
      </c>
      <c r="J80" t="n">
        <v>640115.441</v>
      </c>
      <c r="K80" t="n">
        <v>0.2549</v>
      </c>
      <c r="L80" s="6" t="inlineStr">
        <is>
          <t>Appendix A1.1 lists this exact catch name under `coastal scombrid`, modelled as one stock travelling through every EEZ of the study area, 69 % of it (Appendix A1.2).</t>
        </is>
      </c>
    </row>
    <row r="81">
      <c r="A81" t="inlineStr">
        <is>
          <t>Miscellaneous aquatic invertebrates</t>
        </is>
      </c>
      <c r="B81" t="inlineStr">
        <is>
          <t>Aquatic invertebrates</t>
        </is>
      </c>
      <c r="C81" t="inlineStr">
        <is>
          <t>Other demersal invertebrates</t>
        </is>
      </c>
      <c r="D81" t="inlineStr">
        <is>
          <t>Other fishes &amp; inverts</t>
        </is>
      </c>
      <c r="E81" s="5" t="inlineStr">
        <is>
          <t>2 Macrobenthos | 3 Macrobenthos</t>
        </is>
      </c>
      <c r="F81" t="inlineStr">
        <is>
          <t>0.363 | 0.637</t>
        </is>
      </c>
      <c r="G81" t="inlineStr">
        <is>
          <t>model_biomass</t>
        </is>
      </c>
      <c r="H81" t="inlineStr">
        <is>
          <t>medium</t>
        </is>
      </c>
      <c r="I81" t="inlineStr">
        <is>
          <t>composite_split</t>
        </is>
      </c>
      <c r="J81" t="n">
        <v>636793.86</v>
      </c>
      <c r="K81" t="n">
        <v>0.2536</v>
      </c>
      <c r="L81" s="6" t="inlineStr">
        <is>
          <t>Appendix A1.1 lists this exact catch name under `macrobenthos`; apportioned over the region 2 and region 3 pools by model biomass; region 1 is the Maldives shelf, outside LME 34.</t>
        </is>
      </c>
    </row>
    <row r="82">
      <c r="A82" t="inlineStr">
        <is>
          <t>Leiognathus</t>
        </is>
      </c>
      <c r="B82" t="inlineStr">
        <is>
          <t>Ponyfishes</t>
        </is>
      </c>
      <c r="C82" t="inlineStr">
        <is>
          <t>Small benthopelagics (&lt;30 cm)</t>
        </is>
      </c>
      <c r="D82" t="inlineStr">
        <is>
          <t>Perch-likes</t>
        </is>
      </c>
      <c r="E82" s="5" t="inlineStr">
        <is>
          <t>2 SM inv | 3 SM inv</t>
        </is>
      </c>
      <c r="F82" t="inlineStr">
        <is>
          <t>0.317 | 0.683</t>
        </is>
      </c>
      <c r="G82" t="inlineStr">
        <is>
          <t>model_biomass</t>
        </is>
      </c>
      <c r="H82" t="inlineStr">
        <is>
          <t>medium</t>
        </is>
      </c>
      <c r="I82" t="inlineStr">
        <is>
          <t>composite_split</t>
        </is>
      </c>
      <c r="J82" t="n">
        <v>621700.054</v>
      </c>
      <c r="K82" t="n">
        <v>0.2475</v>
      </c>
      <c r="L82" s="6" t="inlineStr">
        <is>
          <t>Appendix A1.1 lists this exact catch name under `SM inv`; apportioned over the region 2 and region 3 pools by model biomass; region 1 is the Maldives shelf, outside LME 34.</t>
        </is>
      </c>
    </row>
    <row r="83">
      <c r="A83" t="inlineStr">
        <is>
          <t>Lutjanidae</t>
        </is>
      </c>
      <c r="B83" t="inlineStr">
        <is>
          <t>Snappers</t>
        </is>
      </c>
      <c r="C83" t="inlineStr">
        <is>
          <t>Medium reef assoc. fish (30 - 89 cm)</t>
        </is>
      </c>
      <c r="D83" t="inlineStr">
        <is>
          <t>Perch-likes</t>
        </is>
      </c>
      <c r="E83" s="5" t="inlineStr">
        <is>
          <t>2 L pisc comm | 3 L pisc comm</t>
        </is>
      </c>
      <c r="F83" t="inlineStr">
        <is>
          <t>0.479 | 0.521</t>
        </is>
      </c>
      <c r="G83" t="inlineStr">
        <is>
          <t>model_biomass</t>
        </is>
      </c>
      <c r="H83" t="inlineStr">
        <is>
          <t>medium</t>
        </is>
      </c>
      <c r="I83" t="inlineStr">
        <is>
          <t>composite_split</t>
        </is>
      </c>
      <c r="J83" t="n">
        <v>608371.943</v>
      </c>
      <c r="K83" t="n">
        <v>0.2422</v>
      </c>
      <c r="L83" s="6" t="inlineStr">
        <is>
          <t>Appendix A1.1 lists this exact catch name under `L pisc comm`; apportioned over the region 2 and region 3 pools by model biomass; region 1 is the Maldives shelf, outside LME 34.</t>
        </is>
      </c>
    </row>
    <row r="84">
      <c r="A84" t="inlineStr">
        <is>
          <t>Penaeus</t>
        </is>
      </c>
      <c r="B84" t="inlineStr">
        <is>
          <t>Tiger prawns</t>
        </is>
      </c>
      <c r="C84" t="inlineStr">
        <is>
          <t>Shrimps</t>
        </is>
      </c>
      <c r="D84" t="inlineStr">
        <is>
          <t>Crustaceans</t>
        </is>
      </c>
      <c r="E84" s="5" t="inlineStr">
        <is>
          <t>2 Crustaceans | 3 Crustaceans</t>
        </is>
      </c>
      <c r="F84" t="inlineStr">
        <is>
          <t>0.213 | 0.787</t>
        </is>
      </c>
      <c r="G84" t="inlineStr">
        <is>
          <t>model_biomass</t>
        </is>
      </c>
      <c r="H84" t="inlineStr">
        <is>
          <t>medium</t>
        </is>
      </c>
      <c r="I84" t="inlineStr">
        <is>
          <t>composite_split</t>
        </is>
      </c>
      <c r="J84" t="n">
        <v>604120.6899999999</v>
      </c>
      <c r="K84" t="n">
        <v>0.2405</v>
      </c>
      <c r="L84" s="6" t="inlineStr">
        <is>
          <t>Appendix A1.1 lists this exact catch name under `shrimps`; apportioned over the region 2 and region 3 pools by model biomass; region 1 is the Maldives shelf, outside LME 34.</t>
        </is>
      </c>
    </row>
    <row r="85">
      <c r="A85" t="inlineStr">
        <is>
          <t>Katsuwonus pelamis</t>
        </is>
      </c>
      <c r="B85" t="inlineStr">
        <is>
          <t>Skipjack tuna</t>
        </is>
      </c>
      <c r="C85" t="inlineStr">
        <is>
          <t>Large pelagics (&gt;=90 cm)</t>
        </is>
      </c>
      <c r="D85" t="inlineStr">
        <is>
          <t>Tuna &amp; billfishes</t>
        </is>
      </c>
      <c r="E85" s="7" t="inlineStr">
        <is>
          <t>Tuna-like</t>
        </is>
      </c>
      <c r="F85" t="inlineStr"/>
      <c r="G85" t="inlineStr"/>
      <c r="H85" t="inlineStr">
        <is>
          <t>high</t>
        </is>
      </c>
      <c r="I85" t="inlineStr">
        <is>
          <t>explicit_member</t>
        </is>
      </c>
      <c r="J85" t="n">
        <v>586797.998</v>
      </c>
      <c r="K85" t="n">
        <v>0.2336</v>
      </c>
      <c r="L85" s="6" t="inlineStr">
        <is>
          <t>Appendix A1.1 lists this exact catch name under `tuna-like`, a group modelled over the whole study area (Appendix A1.2).</t>
        </is>
      </c>
    </row>
    <row r="86">
      <c r="A86" t="inlineStr">
        <is>
          <t>Mollusca</t>
        </is>
      </c>
      <c r="B86" t="inlineStr">
        <is>
          <t>Clams, seasnails, squids, octopuses</t>
        </is>
      </c>
      <c r="C86" t="inlineStr">
        <is>
          <t>Other demersal invertebrates</t>
        </is>
      </c>
      <c r="D86" t="inlineStr">
        <is>
          <t>Molluscs</t>
        </is>
      </c>
      <c r="E86" s="5" t="inlineStr">
        <is>
          <t>2 Macrobenthos | 3 Macrobenthos</t>
        </is>
      </c>
      <c r="F86" t="inlineStr">
        <is>
          <t>0.363 | 0.637</t>
        </is>
      </c>
      <c r="G86" t="inlineStr">
        <is>
          <t>model_biomass</t>
        </is>
      </c>
      <c r="H86" t="inlineStr">
        <is>
          <t>medium</t>
        </is>
      </c>
      <c r="I86" t="inlineStr">
        <is>
          <t>composite_split</t>
        </is>
      </c>
      <c r="J86" t="n">
        <v>581662.883</v>
      </c>
      <c r="K86" t="n">
        <v>0.2316</v>
      </c>
      <c r="L86" s="6" t="inlineStr">
        <is>
          <t>Appendix A1.1 sends `Miscellaneous marine molluscs` and `Miscellaneous molluscs` to macrobenthos; Sea Around Us classes this phylum-level record as other demersal invertebrates, not cephalopods, so the cephalopod group is not a candidate. Apportioned over the region 2 and region 3 pools by model biomass; region 1 is the Maldives shelf, outside LME 34.</t>
        </is>
      </c>
    </row>
    <row r="87">
      <c r="A87" t="inlineStr">
        <is>
          <t>Serranidae</t>
        </is>
      </c>
      <c r="B87" t="inlineStr">
        <is>
          <t>Basses, groupers, hinds</t>
        </is>
      </c>
      <c r="C87" t="inlineStr">
        <is>
          <t>Medium reef assoc. fish (30 - 89 cm)</t>
        </is>
      </c>
      <c r="D87" t="inlineStr">
        <is>
          <t>Perch-likes</t>
        </is>
      </c>
      <c r="E87" s="5" t="inlineStr">
        <is>
          <t>2 L pisc comm | 3 L pisc comm</t>
        </is>
      </c>
      <c r="F87" t="inlineStr">
        <is>
          <t>0.479 | 0.521</t>
        </is>
      </c>
      <c r="G87" t="inlineStr">
        <is>
          <t>model_biomass</t>
        </is>
      </c>
      <c r="H87" t="inlineStr">
        <is>
          <t>medium</t>
        </is>
      </c>
      <c r="I87" t="inlineStr">
        <is>
          <t>composite_split</t>
        </is>
      </c>
      <c r="J87" t="n">
        <v>552031.355</v>
      </c>
      <c r="K87" t="n">
        <v>0.2198</v>
      </c>
      <c r="L87" s="6" t="inlineStr">
        <is>
          <t>Appendix A1.1 lists this exact catch name under `L pisc comm`; apportioned over the region 2 and region 3 pools by model biomass; region 1 is the Maldives shelf, outside LME 34.</t>
        </is>
      </c>
    </row>
    <row r="88">
      <c r="A88" t="inlineStr">
        <is>
          <t>Auxis</t>
        </is>
      </c>
      <c r="B88" t="inlineStr">
        <is>
          <t>Bullet and frigate tunas</t>
        </is>
      </c>
      <c r="C88" t="inlineStr">
        <is>
          <t>Medium pelagics (30 - 89 cm)</t>
        </is>
      </c>
      <c r="D88" t="inlineStr">
        <is>
          <t>Tuna &amp; billfishes</t>
        </is>
      </c>
      <c r="E88" s="7" t="inlineStr">
        <is>
          <t>Coastal scombrids</t>
        </is>
      </c>
      <c r="F88" t="inlineStr"/>
      <c r="G88" t="inlineStr"/>
      <c r="H88" t="inlineStr">
        <is>
          <t>high</t>
        </is>
      </c>
      <c r="I88" t="inlineStr">
        <is>
          <t>explicit_member</t>
        </is>
      </c>
      <c r="J88" t="n">
        <v>492093.066</v>
      </c>
      <c r="K88" t="n">
        <v>0.1959</v>
      </c>
      <c r="L88" s="6" t="inlineStr">
        <is>
          <t>Appendix A1.1 lists this exact catch name under `coastal scombrid`, modelled as one stock travelling through every EEZ of the study area, 69 % of it (Appendix A1.2).</t>
        </is>
      </c>
    </row>
    <row r="89">
      <c r="A89" t="inlineStr">
        <is>
          <t>Lactarius lactarius</t>
        </is>
      </c>
      <c r="B89" t="inlineStr">
        <is>
          <t>False trevally</t>
        </is>
      </c>
      <c r="C89" t="inlineStr">
        <is>
          <t>Medium pelagics (30 - 89 cm)</t>
        </is>
      </c>
      <c r="D89" t="inlineStr">
        <is>
          <t>Perch-likes</t>
        </is>
      </c>
      <c r="E89" s="5" t="inlineStr">
        <is>
          <t>2 S pelagics | 3 S pelagics</t>
        </is>
      </c>
      <c r="F89" t="inlineStr">
        <is>
          <t>0.298 | 0.702</t>
        </is>
      </c>
      <c r="G89" t="inlineStr">
        <is>
          <t>model_biomass</t>
        </is>
      </c>
      <c r="H89" t="inlineStr">
        <is>
          <t>medium</t>
        </is>
      </c>
      <c r="I89" t="inlineStr">
        <is>
          <t>composite_split</t>
        </is>
      </c>
      <c r="J89" t="n">
        <v>485787.653</v>
      </c>
      <c r="K89" t="n">
        <v>0.1934</v>
      </c>
      <c r="L89" s="6" t="inlineStr">
        <is>
          <t>Appendix A1.1 lists this exact catch name under `S pelagics`; apportioned over the region 2 and region 3 pools by model biomass; region 1 is the Maldives shelf, outside LME 34.</t>
        </is>
      </c>
    </row>
    <row r="90">
      <c r="A90" t="inlineStr">
        <is>
          <t>Himantura</t>
        </is>
      </c>
      <c r="B90" t="inlineStr">
        <is>
          <t>Whiprays</t>
        </is>
      </c>
      <c r="C90" t="inlineStr">
        <is>
          <t>Large rays (&gt;=90 cm)</t>
        </is>
      </c>
      <c r="D90" t="inlineStr">
        <is>
          <t>Sharks &amp; rays</t>
        </is>
      </c>
      <c r="E90" s="7" t="inlineStr">
        <is>
          <t>Coastal elasmobranch</t>
        </is>
      </c>
      <c r="F90" t="inlineStr"/>
      <c r="G90" t="inlineStr"/>
      <c r="H90" t="inlineStr">
        <is>
          <t>high</t>
        </is>
      </c>
      <c r="I90" t="inlineStr">
        <is>
          <t>explicit_member</t>
        </is>
      </c>
      <c r="J90" t="n">
        <v>484106.469</v>
      </c>
      <c r="K90" t="n">
        <v>0.1928</v>
      </c>
      <c r="L90" s="6" t="inlineStr">
        <is>
          <t>Appendix A1.1 lists this exact catch name under `coastal elasmobranch`, modelled as one stock over every EEZ of the study area, 69 % of it (Appendix A1.2).</t>
        </is>
      </c>
    </row>
    <row r="91">
      <c r="A91" t="inlineStr">
        <is>
          <t>Cynoglossus cynoglossus</t>
        </is>
      </c>
      <c r="B91" t="inlineStr">
        <is>
          <t>Bengal tongue sole</t>
        </is>
      </c>
      <c r="C91" t="inlineStr">
        <is>
          <t>Small to medium flatfishes (&lt;90 cm)</t>
        </is>
      </c>
      <c r="D91" t="inlineStr">
        <is>
          <t>Flatfishes</t>
        </is>
      </c>
      <c r="E91" s="5" t="inlineStr">
        <is>
          <t>2 SM inv | 3 SM inv</t>
        </is>
      </c>
      <c r="F91" t="inlineStr">
        <is>
          <t>0.317 | 0.683</t>
        </is>
      </c>
      <c r="G91" t="inlineStr">
        <is>
          <t>model_biomass</t>
        </is>
      </c>
      <c r="H91" t="inlineStr">
        <is>
          <t>medium</t>
        </is>
      </c>
      <c r="I91" t="inlineStr">
        <is>
          <t>composite_split</t>
        </is>
      </c>
      <c r="J91" t="n">
        <v>470652.396</v>
      </c>
      <c r="K91" t="n">
        <v>0.1874</v>
      </c>
      <c r="L91" s="6" t="inlineStr">
        <is>
          <t>Accepted-name/synonym match: Appendix A1.1 lists the genus Cynoglossus under `SM coast inv`. Apportioned over the region 2 and region 3 pools by model biomass; region 1 is the Maldives shelf, outside LME 34.</t>
        </is>
      </c>
    </row>
    <row r="92">
      <c r="A92" t="inlineStr">
        <is>
          <t>Pampus</t>
        </is>
      </c>
      <c r="B92" t="inlineStr">
        <is>
          <t>Silver pomfrets</t>
        </is>
      </c>
      <c r="C92" t="inlineStr">
        <is>
          <t>Medium benthopelagics (30 - 89 cm)</t>
        </is>
      </c>
      <c r="D92" t="inlineStr">
        <is>
          <t>Perch-likes</t>
        </is>
      </c>
      <c r="E92" s="5" t="inlineStr">
        <is>
          <t>2 SM inv | 3 SM inv</t>
        </is>
      </c>
      <c r="F92" t="inlineStr">
        <is>
          <t>0.317 | 0.683</t>
        </is>
      </c>
      <c r="G92" t="inlineStr">
        <is>
          <t>model_biomass</t>
        </is>
      </c>
      <c r="H92" t="inlineStr">
        <is>
          <t>medium</t>
        </is>
      </c>
      <c r="I92" t="inlineStr">
        <is>
          <t>composite_split</t>
        </is>
      </c>
      <c r="J92" t="n">
        <v>460382.587</v>
      </c>
      <c r="K92" t="n">
        <v>0.1833</v>
      </c>
      <c r="L92" s="6" t="inlineStr">
        <is>
          <t>Appendix A1.1 lists this exact catch name under `SM inv`; apportioned over the region 2 and region 3 pools by model biomass; region 1 is the Maldives shelf, outside LME 34.</t>
        </is>
      </c>
    </row>
    <row r="93">
      <c r="A93" t="inlineStr">
        <is>
          <t>Thunnus tonggol</t>
        </is>
      </c>
      <c r="B93" t="inlineStr">
        <is>
          <t>Longtail tuna</t>
        </is>
      </c>
      <c r="C93" t="inlineStr">
        <is>
          <t>Large pelagics (&gt;=90 cm)</t>
        </is>
      </c>
      <c r="D93" t="inlineStr">
        <is>
          <t>Tuna &amp; billfishes</t>
        </is>
      </c>
      <c r="E93" s="7" t="inlineStr">
        <is>
          <t>Coastal scombrids</t>
        </is>
      </c>
      <c r="F93" t="inlineStr"/>
      <c r="G93" t="inlineStr"/>
      <c r="H93" t="inlineStr">
        <is>
          <t>high</t>
        </is>
      </c>
      <c r="I93" t="inlineStr">
        <is>
          <t>explicit_member</t>
        </is>
      </c>
      <c r="J93" t="n">
        <v>457883.068</v>
      </c>
      <c r="K93" t="n">
        <v>0.1823</v>
      </c>
      <c r="L93" s="6" t="inlineStr">
        <is>
          <t>Appendix A1.1 lists this exact catch name under `coastal scombrid`, modelled as one stock travelling through every EEZ of the study area, 69 % of it (Appendix A1.2).</t>
        </is>
      </c>
    </row>
    <row r="94">
      <c r="A94" t="inlineStr">
        <is>
          <t>Pomadasys</t>
        </is>
      </c>
      <c r="B94" t="inlineStr">
        <is>
          <t>Grunters</t>
        </is>
      </c>
      <c r="C94" t="inlineStr">
        <is>
          <t>Medium demersals (30 - 89 cm)</t>
        </is>
      </c>
      <c r="D94" t="inlineStr">
        <is>
          <t>Perch-likes</t>
        </is>
      </c>
      <c r="E94" s="5" t="inlineStr">
        <is>
          <t>2 SM pisc | 3 SM pisc</t>
        </is>
      </c>
      <c r="F94" t="inlineStr">
        <is>
          <t>0.306 | 0.694</t>
        </is>
      </c>
      <c r="G94" t="inlineStr">
        <is>
          <t>model_biomass</t>
        </is>
      </c>
      <c r="H94" t="inlineStr">
        <is>
          <t>medium</t>
        </is>
      </c>
      <c r="I94" t="inlineStr">
        <is>
          <t>composite_split</t>
        </is>
      </c>
      <c r="J94" t="n">
        <v>447756.778</v>
      </c>
      <c r="K94" t="n">
        <v>0.1783</v>
      </c>
      <c r="L94" s="6" t="inlineStr">
        <is>
          <t>Appendix A1.1 lists this exact catch name under `SM pisc`; apportioned over the region 2 and region 3 pools by model biomass; region 1 is the Maldives shelf, outside LME 34.</t>
        </is>
      </c>
    </row>
    <row r="95">
      <c r="A95" t="inlineStr">
        <is>
          <t>Lepturacanthus savala</t>
        </is>
      </c>
      <c r="B95" t="inlineStr">
        <is>
          <t>Savalai hairtail</t>
        </is>
      </c>
      <c r="C95" t="inlineStr">
        <is>
          <t>Large benthopelagics (&gt;=90 cm)</t>
        </is>
      </c>
      <c r="D95" t="inlineStr">
        <is>
          <t>Perch-likes</t>
        </is>
      </c>
      <c r="E95" s="5" t="inlineStr">
        <is>
          <t>2 L pisc | 3 L pisc</t>
        </is>
      </c>
      <c r="F95" t="inlineStr">
        <is>
          <t>0.450 | 0.550</t>
        </is>
      </c>
      <c r="G95" t="inlineStr">
        <is>
          <t>model_biomass</t>
        </is>
      </c>
      <c r="H95" t="inlineStr">
        <is>
          <t>medium</t>
        </is>
      </c>
      <c r="I95" t="inlineStr">
        <is>
          <t>composite_split</t>
        </is>
      </c>
      <c r="J95" t="n">
        <v>435514.015</v>
      </c>
      <c r="K95" t="n">
        <v>0.1734</v>
      </c>
      <c r="L95" s="6" t="inlineStr">
        <is>
          <t>Appendix A1.3 lists Lepturacanthus savala in the `L pisc` species list. Apportioned over the region 2 and region 3 pools by model biomass; region 1 is the Maldives shelf, outside LME 34.</t>
        </is>
      </c>
    </row>
    <row r="96">
      <c r="A96" t="inlineStr">
        <is>
          <t>Upeneus</t>
        </is>
      </c>
      <c r="B96" t="inlineStr">
        <is>
          <t>Upeneid goatfishes</t>
        </is>
      </c>
      <c r="C96" t="inlineStr">
        <is>
          <t>Small reef assoc. fish (&lt;30 cm)</t>
        </is>
      </c>
      <c r="D96" t="inlineStr">
        <is>
          <t>Perch-likes</t>
        </is>
      </c>
      <c r="E96" s="5" t="inlineStr">
        <is>
          <t>2 SM inv | 3 SM inv</t>
        </is>
      </c>
      <c r="F96" t="inlineStr">
        <is>
          <t>0.317 | 0.683</t>
        </is>
      </c>
      <c r="G96" t="inlineStr">
        <is>
          <t>model_biomass</t>
        </is>
      </c>
      <c r="H96" t="inlineStr">
        <is>
          <t>medium</t>
        </is>
      </c>
      <c r="I96" t="inlineStr">
        <is>
          <t>composite_split</t>
        </is>
      </c>
      <c r="J96" t="n">
        <v>425750.916</v>
      </c>
      <c r="K96" t="n">
        <v>0.1695</v>
      </c>
      <c r="L96" s="6" t="inlineStr">
        <is>
          <t>Appendix A1.1 lists this exact catch name under `SM inv`; apportioned over the region 2 and region 3 pools by model biomass; region 1 is the Maldives shelf, outside LME 34.</t>
        </is>
      </c>
    </row>
    <row r="97">
      <c r="A97" t="inlineStr">
        <is>
          <t>Sardinella lemuru</t>
        </is>
      </c>
      <c r="B97" t="inlineStr">
        <is>
          <t>Bali sardinella</t>
        </is>
      </c>
      <c r="C97" t="inlineStr">
        <is>
          <t>Small pelagics (&lt;30 cm)</t>
        </is>
      </c>
      <c r="D97" t="inlineStr">
        <is>
          <t>Herring-likes</t>
        </is>
      </c>
      <c r="E97" s="5" t="inlineStr">
        <is>
          <t>2 S pelagics | 3 S pelagics</t>
        </is>
      </c>
      <c r="F97" t="inlineStr">
        <is>
          <t>0.298 | 0.702</t>
        </is>
      </c>
      <c r="G97" t="inlineStr">
        <is>
          <t>model_biomass</t>
        </is>
      </c>
      <c r="H97" t="inlineStr">
        <is>
          <t>medium</t>
        </is>
      </c>
      <c r="I97" t="inlineStr">
        <is>
          <t>composite_split</t>
        </is>
      </c>
      <c r="J97" t="n">
        <v>411083.665</v>
      </c>
      <c r="K97" t="n">
        <v>0.1637</v>
      </c>
      <c r="L97" s="6" t="inlineStr">
        <is>
          <t>Appendix A1.1 lists this exact catch name under `S pelagics`; apportioned over the region 2 and region 3 pools by model biomass; region 1 is the Maldives shelf, outside LME 34.</t>
        </is>
      </c>
    </row>
    <row r="98">
      <c r="A98" t="inlineStr">
        <is>
          <t>Epinephelus</t>
        </is>
      </c>
      <c r="B98" t="inlineStr">
        <is>
          <t>Seabasses, hinds</t>
        </is>
      </c>
      <c r="C98" t="inlineStr">
        <is>
          <t>Medium reef assoc. fish (30 - 89 cm)</t>
        </is>
      </c>
      <c r="D98" t="inlineStr">
        <is>
          <t>Perch-likes</t>
        </is>
      </c>
      <c r="E98" s="5" t="inlineStr">
        <is>
          <t>2 L pisc comm | 3 L pisc comm</t>
        </is>
      </c>
      <c r="F98" t="inlineStr">
        <is>
          <t>0.479 | 0.521</t>
        </is>
      </c>
      <c r="G98" t="inlineStr">
        <is>
          <t>model_biomass</t>
        </is>
      </c>
      <c r="H98" t="inlineStr">
        <is>
          <t>medium</t>
        </is>
      </c>
      <c r="I98" t="inlineStr">
        <is>
          <t>composite_split</t>
        </is>
      </c>
      <c r="J98" t="n">
        <v>409824.667</v>
      </c>
      <c r="K98" t="n">
        <v>0.1632</v>
      </c>
      <c r="L98" s="6" t="inlineStr">
        <is>
          <t>Appendix A1.1 lists this exact catch name under `L pisc comm`; apportioned over the region 2 and region 3 pools by model biomass; region 1 is the Maldives shelf, outside LME 34.</t>
        </is>
      </c>
    </row>
    <row r="99">
      <c r="A99" t="inlineStr">
        <is>
          <t>Sphyraenidae</t>
        </is>
      </c>
      <c r="B99" t="inlineStr">
        <is>
          <t>Barracudas</t>
        </is>
      </c>
      <c r="C99" t="inlineStr">
        <is>
          <t>Medium reef assoc. fish (30 - 89 cm)</t>
        </is>
      </c>
      <c r="D99" t="inlineStr">
        <is>
          <t>Perch-likes</t>
        </is>
      </c>
      <c r="E99" s="5" t="inlineStr">
        <is>
          <t>2 L pisc | 3 L pisc</t>
        </is>
      </c>
      <c r="F99" t="inlineStr">
        <is>
          <t>0.450 | 0.550</t>
        </is>
      </c>
      <c r="G99" t="inlineStr">
        <is>
          <t>model_biomass</t>
        </is>
      </c>
      <c r="H99" t="inlineStr">
        <is>
          <t>medium</t>
        </is>
      </c>
      <c r="I99" t="inlineStr">
        <is>
          <t>composite_split</t>
        </is>
      </c>
      <c r="J99" t="n">
        <v>408325.941</v>
      </c>
      <c r="K99" t="n">
        <v>0.1626</v>
      </c>
      <c r="L99" s="6" t="inlineStr">
        <is>
          <t>Appendix A1.1 lists this exact catch name under `L pisc`; apportioned over the region 2 and region 3 pools by model biomass; region 1 is the Maldives shelf, outside LME 34.</t>
        </is>
      </c>
    </row>
    <row r="100">
      <c r="A100" t="inlineStr">
        <is>
          <t>Coilia dussumieri</t>
        </is>
      </c>
      <c r="B100" t="inlineStr">
        <is>
          <t>Goldspotted grenadier anchovy</t>
        </is>
      </c>
      <c r="C100" t="inlineStr">
        <is>
          <t>Small pelagics (&lt;30 cm)</t>
        </is>
      </c>
      <c r="D100" t="inlineStr">
        <is>
          <t>Anchovies</t>
        </is>
      </c>
      <c r="E100" s="5" t="inlineStr">
        <is>
          <t>2 S pelagics | 3 S pelagics</t>
        </is>
      </c>
      <c r="F100" t="inlineStr">
        <is>
          <t>0.298 | 0.702</t>
        </is>
      </c>
      <c r="G100" t="inlineStr">
        <is>
          <t>model_biomass</t>
        </is>
      </c>
      <c r="H100" t="inlineStr">
        <is>
          <t>medium</t>
        </is>
      </c>
      <c r="I100" t="inlineStr">
        <is>
          <t>composite_split</t>
        </is>
      </c>
      <c r="J100" t="n">
        <v>397081.748</v>
      </c>
      <c r="K100" t="n">
        <v>0.1581</v>
      </c>
      <c r="L100" s="6" t="inlineStr">
        <is>
          <t>Appendix A1.3 lists Coilia dussumieri in the `S pelagics` species list. Apportioned over the region 2 and region 3 pools by model biomass; region 1 is the Maldives shelf, outside LME 34.</t>
        </is>
      </c>
    </row>
    <row r="101">
      <c r="A101" t="inlineStr">
        <is>
          <t>Cynoglossus</t>
        </is>
      </c>
      <c r="B101" t="inlineStr">
        <is>
          <t>Tonguesoles</t>
        </is>
      </c>
      <c r="C101" t="inlineStr">
        <is>
          <t>Small to medium flatfishes (&lt;90 cm)</t>
        </is>
      </c>
      <c r="D101" t="inlineStr">
        <is>
          <t>Flatfishes</t>
        </is>
      </c>
      <c r="E101" s="5" t="inlineStr">
        <is>
          <t>2 SM inv | 3 SM inv</t>
        </is>
      </c>
      <c r="F101" t="inlineStr">
        <is>
          <t>0.317 | 0.683</t>
        </is>
      </c>
      <c r="G101" t="inlineStr">
        <is>
          <t>model_biomass</t>
        </is>
      </c>
      <c r="H101" t="inlineStr">
        <is>
          <t>medium</t>
        </is>
      </c>
      <c r="I101" t="inlineStr">
        <is>
          <t>composite_split</t>
        </is>
      </c>
      <c r="J101" t="n">
        <v>395472.71</v>
      </c>
      <c r="K101" t="n">
        <v>0.1575</v>
      </c>
      <c r="L101" s="6" t="inlineStr">
        <is>
          <t>Appendix A1.1 lists this exact catch name under `SM coast inv`; apportioned over the region 2 and region 3 pools by model biomass; region 1 is the Maldives shelf, outside LME 34.</t>
        </is>
      </c>
    </row>
    <row r="102">
      <c r="A102" t="inlineStr">
        <is>
          <t>Chirocentrus dorab</t>
        </is>
      </c>
      <c r="B102" t="inlineStr">
        <is>
          <t>Dorab wolf-herring</t>
        </is>
      </c>
      <c r="C102" t="inlineStr">
        <is>
          <t>Large benthopelagics (&gt;=90 cm)</t>
        </is>
      </c>
      <c r="D102" t="inlineStr">
        <is>
          <t>Herring-likes</t>
        </is>
      </c>
      <c r="E102" s="5" t="inlineStr">
        <is>
          <t>2 L pisc | 3 L pisc</t>
        </is>
      </c>
      <c r="F102" t="inlineStr">
        <is>
          <t>0.450 | 0.550</t>
        </is>
      </c>
      <c r="G102" t="inlineStr">
        <is>
          <t>model_biomass</t>
        </is>
      </c>
      <c r="H102" t="inlineStr">
        <is>
          <t>medium</t>
        </is>
      </c>
      <c r="I102" t="inlineStr">
        <is>
          <t>composite_split</t>
        </is>
      </c>
      <c r="J102" t="n">
        <v>393806.857</v>
      </c>
      <c r="K102" t="n">
        <v>0.1568</v>
      </c>
      <c r="L102" s="6" t="inlineStr">
        <is>
          <t>Appendix A1.1 lists this exact catch name under `L pisc`; apportioned over the region 2 and region 3 pools by model biomass; region 1 is the Maldives shelf, outside LME 34.</t>
        </is>
      </c>
    </row>
    <row r="103">
      <c r="A103" t="inlineStr">
        <is>
          <t>Amblygaster sirm</t>
        </is>
      </c>
      <c r="B103" t="inlineStr">
        <is>
          <t>Spotted sardinella</t>
        </is>
      </c>
      <c r="C103" t="inlineStr">
        <is>
          <t>Small pelagics (&lt;30 cm)</t>
        </is>
      </c>
      <c r="D103" t="inlineStr">
        <is>
          <t>Herring-likes</t>
        </is>
      </c>
      <c r="E103" s="5" t="inlineStr">
        <is>
          <t>2 S pelagics | 3 S pelagics</t>
        </is>
      </c>
      <c r="F103" t="inlineStr">
        <is>
          <t>0.298 | 0.702</t>
        </is>
      </c>
      <c r="G103" t="inlineStr">
        <is>
          <t>model_biomass</t>
        </is>
      </c>
      <c r="H103" t="inlineStr">
        <is>
          <t>medium</t>
        </is>
      </c>
      <c r="I103" t="inlineStr">
        <is>
          <t>composite_split</t>
        </is>
      </c>
      <c r="J103" t="n">
        <v>392196.85</v>
      </c>
      <c r="K103" t="n">
        <v>0.1562</v>
      </c>
      <c r="L103" s="6" t="inlineStr">
        <is>
          <t>Appendix A1.1 lists this exact catch name under `S pelagics`; apportioned over the region 2 and region 3 pools by model biomass; region 1 is the Maldives shelf, outside LME 34.</t>
        </is>
      </c>
    </row>
    <row r="104">
      <c r="A104" t="inlineStr">
        <is>
          <t>Sardinella gibbosa</t>
        </is>
      </c>
      <c r="B104" t="inlineStr">
        <is>
          <t>Goldstripe sardinella</t>
        </is>
      </c>
      <c r="C104" t="inlineStr">
        <is>
          <t>Small pelagics (&lt;30 cm)</t>
        </is>
      </c>
      <c r="D104" t="inlineStr">
        <is>
          <t>Herring-likes</t>
        </is>
      </c>
      <c r="E104" s="5" t="inlineStr">
        <is>
          <t>2 S pelagics | 3 S pelagics</t>
        </is>
      </c>
      <c r="F104" t="inlineStr">
        <is>
          <t>0.298 | 0.702</t>
        </is>
      </c>
      <c r="G104" t="inlineStr">
        <is>
          <t>model_biomass</t>
        </is>
      </c>
      <c r="H104" t="inlineStr">
        <is>
          <t>medium</t>
        </is>
      </c>
      <c r="I104" t="inlineStr">
        <is>
          <t>composite_split</t>
        </is>
      </c>
      <c r="J104" t="n">
        <v>392098.907</v>
      </c>
      <c r="K104" t="n">
        <v>0.1561</v>
      </c>
      <c r="L104" s="6" t="inlineStr">
        <is>
          <t>Appendix A1.1 lists this exact catch name under `S pelagics`; apportioned over the region 2 and region 3 pools by model biomass; region 1 is the Maldives shelf, outside LME 34.</t>
        </is>
      </c>
    </row>
    <row r="105">
      <c r="A105" t="inlineStr">
        <is>
          <t>Netuma thalassina</t>
        </is>
      </c>
      <c r="B105" t="inlineStr">
        <is>
          <t>Giant catfish</t>
        </is>
      </c>
      <c r="C105" t="inlineStr">
        <is>
          <t>Large demersals (&gt;=90 cm)</t>
        </is>
      </c>
      <c r="D105" t="inlineStr">
        <is>
          <t>Other fishes &amp; inverts</t>
        </is>
      </c>
      <c r="E105" s="5" t="inlineStr">
        <is>
          <t>2 Milkfish plus | 3 Milkfish plus</t>
        </is>
      </c>
      <c r="F105" t="inlineStr">
        <is>
          <t>0.439 | 0.561</t>
        </is>
      </c>
      <c r="G105" t="inlineStr">
        <is>
          <t>model_biomass</t>
        </is>
      </c>
      <c r="H105" t="inlineStr">
        <is>
          <t>medium</t>
        </is>
      </c>
      <c r="I105" t="inlineStr">
        <is>
          <t>composite_split</t>
        </is>
      </c>
      <c r="J105" t="n">
        <v>340984.48</v>
      </c>
      <c r="K105" t="n">
        <v>0.1358</v>
      </c>
      <c r="L105" s="6" t="inlineStr">
        <is>
          <t>Appendix A1.1 lists this exact catch name under `Milkfish plus`; apportioned over the region 2 and region 3 pools by model biomass; region 1 is the Maldives shelf, outside LME 34.</t>
        </is>
      </c>
    </row>
    <row r="106">
      <c r="A106" t="inlineStr">
        <is>
          <t>Lates calcarifer</t>
        </is>
      </c>
      <c r="B106" t="inlineStr">
        <is>
          <t>Barramundi</t>
        </is>
      </c>
      <c r="C106" t="inlineStr">
        <is>
          <t>Large demersals (&gt;=90 cm)</t>
        </is>
      </c>
      <c r="D106" t="inlineStr">
        <is>
          <t>Perch-likes</t>
        </is>
      </c>
      <c r="E106" s="5" t="inlineStr">
        <is>
          <t>2 L pisc | 3 L pisc</t>
        </is>
      </c>
      <c r="F106" t="inlineStr">
        <is>
          <t>0.450 | 0.550</t>
        </is>
      </c>
      <c r="G106" t="inlineStr">
        <is>
          <t>model_biomass</t>
        </is>
      </c>
      <c r="H106" t="inlineStr">
        <is>
          <t>medium</t>
        </is>
      </c>
      <c r="I106" t="inlineStr">
        <is>
          <t>composite_split</t>
        </is>
      </c>
      <c r="J106" t="n">
        <v>335464.521</v>
      </c>
      <c r="K106" t="n">
        <v>0.1336</v>
      </c>
      <c r="L106" s="6" t="inlineStr">
        <is>
          <t>Appendix A1.1 lists this exact catch name under `L pisc`; apportioned over the region 2 and region 3 pools by model biomass; region 1 is the Maldives shelf, outside LME 34.</t>
        </is>
      </c>
    </row>
    <row r="107">
      <c r="A107" t="inlineStr">
        <is>
          <t>Carcharhinus</t>
        </is>
      </c>
      <c r="B107" t="inlineStr">
        <is>
          <t>Sharp-nosed sharks</t>
        </is>
      </c>
      <c r="C107" t="inlineStr">
        <is>
          <t>Large sharks (&gt;=90 cm)</t>
        </is>
      </c>
      <c r="D107" t="inlineStr">
        <is>
          <t>Sharks &amp; rays</t>
        </is>
      </c>
      <c r="E107" s="5" t="inlineStr">
        <is>
          <t>Oceanic sharks | Coastal elasmobranch</t>
        </is>
      </c>
      <c r="F107" t="inlineStr">
        <is>
          <t>0.306 | 0.694</t>
        </is>
      </c>
      <c r="G107" t="inlineStr">
        <is>
          <t>catch_composition</t>
        </is>
      </c>
      <c r="H107" t="inlineStr">
        <is>
          <t>medium</t>
        </is>
      </c>
      <c r="I107" t="inlineStr">
        <is>
          <t>composite_split</t>
        </is>
      </c>
      <c r="J107" t="n">
        <v>319673.414</v>
      </c>
      <c r="K107" t="n">
        <v>0.1273</v>
      </c>
      <c r="L107" s="6" t="inlineStr">
        <is>
          <t>Appendix A1.1 lists this exact catch name twice, under coastal elasmobranch (Andaman species list) and under oceanic, coastal sharks; apportioned by the catch that taxa assigned to those groups alone already carry in this LME.</t>
        </is>
      </c>
    </row>
    <row r="108">
      <c r="A108" t="inlineStr">
        <is>
          <t>Haemulidae</t>
        </is>
      </c>
      <c r="B108" t="inlineStr">
        <is>
          <t>Grunts, sweetlips, bonnetmouths</t>
        </is>
      </c>
      <c r="C108" t="inlineStr">
        <is>
          <t>Medium demersals (30 - 89 cm)</t>
        </is>
      </c>
      <c r="D108" t="inlineStr">
        <is>
          <t>Perch-likes</t>
        </is>
      </c>
      <c r="E108" s="5" t="inlineStr">
        <is>
          <t>2 SM pisc | 3 SM pisc</t>
        </is>
      </c>
      <c r="F108" t="inlineStr">
        <is>
          <t>0.306 | 0.694</t>
        </is>
      </c>
      <c r="G108" t="inlineStr">
        <is>
          <t>model_biomass</t>
        </is>
      </c>
      <c r="H108" t="inlineStr">
        <is>
          <t>medium</t>
        </is>
      </c>
      <c r="I108" t="inlineStr">
        <is>
          <t>composite_split</t>
        </is>
      </c>
      <c r="J108" t="n">
        <v>317626.877</v>
      </c>
      <c r="K108" t="n">
        <v>0.1265</v>
      </c>
      <c r="L108" s="6" t="inlineStr">
        <is>
          <t>Appendix A1.1 lists this exact catch name under `SM pisc`; apportioned over the region 2 and region 3 pools by model biomass; region 1 is the Maldives shelf, outside LME 34.</t>
        </is>
      </c>
    </row>
    <row r="109">
      <c r="A109" t="inlineStr">
        <is>
          <t>Leptomelanosoma indicum</t>
        </is>
      </c>
      <c r="B109" t="inlineStr">
        <is>
          <t>Indian threadfin</t>
        </is>
      </c>
      <c r="C109" t="inlineStr">
        <is>
          <t>Large demersals (&gt;=90 cm)</t>
        </is>
      </c>
      <c r="D109" t="inlineStr">
        <is>
          <t>Perch-likes</t>
        </is>
      </c>
      <c r="E109" s="5" t="inlineStr">
        <is>
          <t>2 L pisc | 3 L pisc</t>
        </is>
      </c>
      <c r="F109" t="inlineStr">
        <is>
          <t>0.450 | 0.550</t>
        </is>
      </c>
      <c r="G109" t="inlineStr">
        <is>
          <t>model_biomass</t>
        </is>
      </c>
      <c r="H109" t="inlineStr">
        <is>
          <t>medium</t>
        </is>
      </c>
      <c r="I109" t="inlineStr">
        <is>
          <t>composite_split</t>
        </is>
      </c>
      <c r="J109" t="n">
        <v>293516.467</v>
      </c>
      <c r="K109" t="n">
        <v>0.1169</v>
      </c>
      <c r="L109" s="6" t="inlineStr">
        <is>
          <t>Appendix A1.3 lists Leptomelanosoma indicum in the `L pisc` species list. Apportioned over the region 2 and region 3 pools by model biomass; region 1 is the Maldives shelf, outside LME 34.</t>
        </is>
      </c>
    </row>
    <row r="110">
      <c r="A110" t="inlineStr">
        <is>
          <t>Scylla serrata</t>
        </is>
      </c>
      <c r="B110" t="inlineStr">
        <is>
          <t>Indo-Pacific swamp crab</t>
        </is>
      </c>
      <c r="C110" t="inlineStr">
        <is>
          <t>Lobsters, crabs</t>
        </is>
      </c>
      <c r="D110" t="inlineStr">
        <is>
          <t>Crustaceans</t>
        </is>
      </c>
      <c r="E110" s="5" t="inlineStr">
        <is>
          <t>2 Crustaceans | 3 Crustaceans</t>
        </is>
      </c>
      <c r="F110" t="inlineStr">
        <is>
          <t>0.213 | 0.787</t>
        </is>
      </c>
      <c r="G110" t="inlineStr">
        <is>
          <t>model_biomass</t>
        </is>
      </c>
      <c r="H110" t="inlineStr">
        <is>
          <t>medium</t>
        </is>
      </c>
      <c r="I110" t="inlineStr">
        <is>
          <t>composite_split</t>
        </is>
      </c>
      <c r="J110" t="n">
        <v>293146.465</v>
      </c>
      <c r="K110" t="n">
        <v>0.1167</v>
      </c>
      <c r="L110" s="6" t="inlineStr">
        <is>
          <t>Appendix A1.1 puts Brachyura, Portunidae and Portunus under Crabs; Scylla serrata is a portunid. Apportioned over the region 2 and region 3 pools by model biomass; region 1 is the Maldives shelf, outside LME 34.</t>
        </is>
      </c>
    </row>
    <row r="111">
      <c r="A111" t="inlineStr">
        <is>
          <t>Thunnus obesus</t>
        </is>
      </c>
      <c r="B111" t="inlineStr">
        <is>
          <t>Bigeye tuna</t>
        </is>
      </c>
      <c r="C111" t="inlineStr">
        <is>
          <t>Large pelagics (&gt;=90 cm)</t>
        </is>
      </c>
      <c r="D111" t="inlineStr">
        <is>
          <t>Tuna &amp; billfishes</t>
        </is>
      </c>
      <c r="E111" s="7" t="inlineStr">
        <is>
          <t>Bigeye tuna</t>
        </is>
      </c>
      <c r="F111" t="inlineStr"/>
      <c r="G111" t="inlineStr"/>
      <c r="H111" t="inlineStr">
        <is>
          <t>high</t>
        </is>
      </c>
      <c r="I111" t="inlineStr">
        <is>
          <t>explicit_member</t>
        </is>
      </c>
      <c r="J111" t="n">
        <v>284466.212</v>
      </c>
      <c r="K111" t="n">
        <v>0.1133</v>
      </c>
      <c r="L111" s="6" t="inlineStr">
        <is>
          <t>Appendix A1.1 lists this exact catch name under `Bigeye tuna`, a group modelled over the whole study area (Appendix A1.2).</t>
        </is>
      </c>
    </row>
    <row r="112">
      <c r="A112" t="inlineStr">
        <is>
          <t>Octopodidae</t>
        </is>
      </c>
      <c r="B112" t="inlineStr">
        <is>
          <t>Octopuses</t>
        </is>
      </c>
      <c r="C112" t="inlineStr">
        <is>
          <t>Cephalopods</t>
        </is>
      </c>
      <c r="D112" t="inlineStr">
        <is>
          <t>Other fishes &amp; inverts</t>
        </is>
      </c>
      <c r="E112" s="7" t="inlineStr">
        <is>
          <t>Cephalopods</t>
        </is>
      </c>
      <c r="F112" t="inlineStr"/>
      <c r="G112" t="inlineStr"/>
      <c r="H112" t="inlineStr">
        <is>
          <t>high</t>
        </is>
      </c>
      <c r="I112" t="inlineStr">
        <is>
          <t>explicit_member</t>
        </is>
      </c>
      <c r="J112" t="n">
        <v>283253.957</v>
      </c>
      <c r="K112" t="n">
        <v>0.1128</v>
      </c>
      <c r="L112" s="6" t="inlineStr">
        <is>
          <t>Appendix A1.1 lists this exact catch name under `cephalopods`, a group modelled over the whole study area (Appendix A1.2).</t>
        </is>
      </c>
    </row>
    <row r="113">
      <c r="A113" t="inlineStr">
        <is>
          <t>Lutjanus</t>
        </is>
      </c>
      <c r="B113" t="inlineStr">
        <is>
          <t>Snappers</t>
        </is>
      </c>
      <c r="C113" t="inlineStr">
        <is>
          <t>Medium reef assoc. fish (30 - 89 cm)</t>
        </is>
      </c>
      <c r="D113" t="inlineStr">
        <is>
          <t>Perch-likes</t>
        </is>
      </c>
      <c r="E113" s="5" t="inlineStr">
        <is>
          <t>2 L pisc comm | 3 L pisc comm</t>
        </is>
      </c>
      <c r="F113" t="inlineStr">
        <is>
          <t>0.479 | 0.521</t>
        </is>
      </c>
      <c r="G113" t="inlineStr">
        <is>
          <t>model_biomass</t>
        </is>
      </c>
      <c r="H113" t="inlineStr">
        <is>
          <t>medium</t>
        </is>
      </c>
      <c r="I113" t="inlineStr">
        <is>
          <t>composite_split</t>
        </is>
      </c>
      <c r="J113" t="n">
        <v>274352.229</v>
      </c>
      <c r="K113" t="n">
        <v>0.1092</v>
      </c>
      <c r="L113" s="6" t="inlineStr">
        <is>
          <t>Appendix A1.1 lists this exact catch name under `L pisc comm`; apportioned over the region 2 and region 3 pools by model biomass; region 1 is the Maldives shelf, outside LME 34.</t>
        </is>
      </c>
    </row>
    <row r="114">
      <c r="A114" t="inlineStr">
        <is>
          <t>Monacanthidae</t>
        </is>
      </c>
      <c r="B114" t="inlineStr">
        <is>
          <t>Filefishes</t>
        </is>
      </c>
      <c r="C114" t="inlineStr">
        <is>
          <t>Medium reef assoc. fish (30 - 89 cm)</t>
        </is>
      </c>
      <c r="D114" t="inlineStr">
        <is>
          <t>Other fishes &amp; inverts</t>
        </is>
      </c>
      <c r="E114" s="5" t="inlineStr">
        <is>
          <t>2 SM inv | 3 SM inv</t>
        </is>
      </c>
      <c r="F114" t="inlineStr">
        <is>
          <t>0.317 | 0.683</t>
        </is>
      </c>
      <c r="G114" t="inlineStr">
        <is>
          <t>model_biomass</t>
        </is>
      </c>
      <c r="H114" t="inlineStr">
        <is>
          <t>medium</t>
        </is>
      </c>
      <c r="I114" t="inlineStr">
        <is>
          <t>composite_split</t>
        </is>
      </c>
      <c r="J114" t="n">
        <v>249973.385</v>
      </c>
      <c r="K114" t="n">
        <v>0.09950000000000001</v>
      </c>
      <c r="L114" s="6" t="inlineStr">
        <is>
          <t>Appendix A1.1 lists this exact catch name under `SM inv`; apportioned over the region 2 and region 3 pools by model biomass; region 1 is the Maldives shelf, outside LME 34.</t>
        </is>
      </c>
    </row>
    <row r="115">
      <c r="A115" t="inlineStr">
        <is>
          <t>Mugil</t>
        </is>
      </c>
      <c r="B115" t="inlineStr">
        <is>
          <t>Grey mullets</t>
        </is>
      </c>
      <c r="C115" t="inlineStr">
        <is>
          <t>Medium demersals (30 - 89 cm)</t>
        </is>
      </c>
      <c r="D115" t="inlineStr">
        <is>
          <t>Perch-likes</t>
        </is>
      </c>
      <c r="E115" s="5" t="inlineStr">
        <is>
          <t>2 SM inv | 3 SM inv</t>
        </is>
      </c>
      <c r="F115" t="inlineStr">
        <is>
          <t>0.317 | 0.683</t>
        </is>
      </c>
      <c r="G115" t="inlineStr">
        <is>
          <t>model_biomass</t>
        </is>
      </c>
      <c r="H115" t="inlineStr">
        <is>
          <t>medium</t>
        </is>
      </c>
      <c r="I115" t="inlineStr">
        <is>
          <t>composite_split</t>
        </is>
      </c>
      <c r="J115" t="n">
        <v>249625.654</v>
      </c>
      <c r="K115" t="n">
        <v>0.0994</v>
      </c>
      <c r="L115" s="6" t="inlineStr">
        <is>
          <t>Appendix A1.1 lists this exact catch name under `SM inv`; apportioned over the region 2 and region 3 pools by model biomass; region 1 is the Maldives shelf, outside LME 34.</t>
        </is>
      </c>
    </row>
    <row r="116">
      <c r="A116" t="inlineStr">
        <is>
          <t>Escualosa thoracata</t>
        </is>
      </c>
      <c r="B116" t="inlineStr">
        <is>
          <t>White sardine</t>
        </is>
      </c>
      <c r="C116" t="inlineStr">
        <is>
          <t>Small pelagics (&lt;30 cm)</t>
        </is>
      </c>
      <c r="D116" t="inlineStr">
        <is>
          <t>Herring-likes</t>
        </is>
      </c>
      <c r="E116" s="5" t="inlineStr">
        <is>
          <t>2 S pelagics | 3 S pelagics</t>
        </is>
      </c>
      <c r="F116" t="inlineStr">
        <is>
          <t>0.298 | 0.702</t>
        </is>
      </c>
      <c r="G116" t="inlineStr">
        <is>
          <t>model_biomass</t>
        </is>
      </c>
      <c r="H116" t="inlineStr">
        <is>
          <t>medium</t>
        </is>
      </c>
      <c r="I116" t="inlineStr">
        <is>
          <t>composite_split</t>
        </is>
      </c>
      <c r="J116" t="n">
        <v>248415.168</v>
      </c>
      <c r="K116" t="n">
        <v>0.0989</v>
      </c>
      <c r="L116" s="6" t="inlineStr">
        <is>
          <t>Appendix A1.3 lists Escualosa thoracata in the `S pelagics` species list. Apportioned over the region 2 and region 3 pools by model biomass; region 1 is the Maldives shelf, outside LME 34.</t>
        </is>
      </c>
    </row>
    <row r="117">
      <c r="A117" t="inlineStr">
        <is>
          <t>Terapon</t>
        </is>
      </c>
      <c r="B117" t="inlineStr">
        <is>
          <t>Terapons</t>
        </is>
      </c>
      <c r="C117" t="inlineStr">
        <is>
          <t>Medium demersals (30 - 89 cm)</t>
        </is>
      </c>
      <c r="D117" t="inlineStr">
        <is>
          <t>Perch-likes</t>
        </is>
      </c>
      <c r="E117" s="5" t="inlineStr">
        <is>
          <t>2 SM pisc | 3 SM pisc</t>
        </is>
      </c>
      <c r="F117" t="inlineStr">
        <is>
          <t>0.306 | 0.694</t>
        </is>
      </c>
      <c r="G117" t="inlineStr">
        <is>
          <t>model_biomass</t>
        </is>
      </c>
      <c r="H117" t="inlineStr">
        <is>
          <t>medium</t>
        </is>
      </c>
      <c r="I117" t="inlineStr">
        <is>
          <t>composite_split</t>
        </is>
      </c>
      <c r="J117" t="n">
        <v>247448.655</v>
      </c>
      <c r="K117" t="n">
        <v>0.0985</v>
      </c>
      <c r="L117" s="6" t="inlineStr">
        <is>
          <t>Appendix A1.1 lists this exact catch name under `SM pisc`; apportioned over the region 2 and region 3 pools by model biomass; region 1 is the Maldives shelf, outside LME 34.</t>
        </is>
      </c>
    </row>
    <row r="118">
      <c r="A118" t="inlineStr">
        <is>
          <t>Parapenaeopsis stylifera</t>
        </is>
      </c>
      <c r="B118" t="inlineStr">
        <is>
          <t>Kiddi shrimp</t>
        </is>
      </c>
      <c r="C118" t="inlineStr">
        <is>
          <t>Shrimps</t>
        </is>
      </c>
      <c r="D118" t="inlineStr">
        <is>
          <t>Crustaceans</t>
        </is>
      </c>
      <c r="E118" s="5" t="inlineStr">
        <is>
          <t>2 Crustaceans | 3 Crustaceans</t>
        </is>
      </c>
      <c r="F118" t="inlineStr">
        <is>
          <t>0.213 | 0.787</t>
        </is>
      </c>
      <c r="G118" t="inlineStr">
        <is>
          <t>model_biomass</t>
        </is>
      </c>
      <c r="H118" t="inlineStr">
        <is>
          <t>medium</t>
        </is>
      </c>
      <c r="I118" t="inlineStr">
        <is>
          <t>composite_split</t>
        </is>
      </c>
      <c r="J118" t="n">
        <v>244867.835</v>
      </c>
      <c r="K118" t="n">
        <v>0.0975</v>
      </c>
      <c r="L118" s="6" t="inlineStr">
        <is>
          <t>Accepted-name/synonym match: Appendix A1.1 lists the genus Parapenaeopsis under `shrimps`. Apportioned over the region 2 and region 3 pools by model biomass; region 1 is the Maldives shelf, outside LME 34.</t>
        </is>
      </c>
    </row>
    <row r="119">
      <c r="A119" t="inlineStr">
        <is>
          <t>Metapenaeus tenuipes</t>
        </is>
      </c>
      <c r="B119" t="inlineStr">
        <is>
          <t>Stork shrimp</t>
        </is>
      </c>
      <c r="C119" t="inlineStr">
        <is>
          <t>Shrimps</t>
        </is>
      </c>
      <c r="D119" t="inlineStr">
        <is>
          <t>Crustaceans</t>
        </is>
      </c>
      <c r="E119" s="5" t="inlineStr">
        <is>
          <t>2 Crustaceans | 3 Crustaceans</t>
        </is>
      </c>
      <c r="F119" t="inlineStr">
        <is>
          <t>0.213 | 0.787</t>
        </is>
      </c>
      <c r="G119" t="inlineStr">
        <is>
          <t>model_biomass</t>
        </is>
      </c>
      <c r="H119" t="inlineStr">
        <is>
          <t>medium</t>
        </is>
      </c>
      <c r="I119" t="inlineStr">
        <is>
          <t>composite_split</t>
        </is>
      </c>
      <c r="J119" t="n">
        <v>243672.013</v>
      </c>
      <c r="K119" t="n">
        <v>0.097</v>
      </c>
      <c r="L119" s="6" t="inlineStr">
        <is>
          <t>Accepted-name/synonym match: Appendix A1.1 lists the genus Metapenaeus under `shrimps`. Apportioned over the region 2 and region 3 pools by model biomass; region 1 is the Maldives shelf, outside LME 34.</t>
        </is>
      </c>
    </row>
    <row r="120">
      <c r="A120" t="inlineStr">
        <is>
          <t>Penaeus monodon</t>
        </is>
      </c>
      <c r="B120" t="inlineStr">
        <is>
          <t>Giant tiger prawn</t>
        </is>
      </c>
      <c r="C120" t="inlineStr">
        <is>
          <t>Shrimps</t>
        </is>
      </c>
      <c r="D120" t="inlineStr">
        <is>
          <t>Crustaceans</t>
        </is>
      </c>
      <c r="E120" s="5" t="inlineStr">
        <is>
          <t>2 Crustaceans | 3 Crustaceans</t>
        </is>
      </c>
      <c r="F120" t="inlineStr">
        <is>
          <t>0.213 | 0.787</t>
        </is>
      </c>
      <c r="G120" t="inlineStr">
        <is>
          <t>model_biomass</t>
        </is>
      </c>
      <c r="H120" t="inlineStr">
        <is>
          <t>medium</t>
        </is>
      </c>
      <c r="I120" t="inlineStr">
        <is>
          <t>composite_split</t>
        </is>
      </c>
      <c r="J120" t="n">
        <v>238757.928</v>
      </c>
      <c r="K120" t="n">
        <v>0.0951</v>
      </c>
      <c r="L120" s="6" t="inlineStr">
        <is>
          <t>Appendix A1.1 lists this exact catch name under `shrimps`; apportioned over the region 2 and region 3 pools by model biomass; region 1 is the Maldives shelf, outside LME 34.</t>
        </is>
      </c>
    </row>
    <row r="121">
      <c r="A121" t="inlineStr">
        <is>
          <t>Lutjanus malabaricus</t>
        </is>
      </c>
      <c r="B121" t="inlineStr">
        <is>
          <t>Malabar blood snapper</t>
        </is>
      </c>
      <c r="C121" t="inlineStr">
        <is>
          <t>Medium reef assoc. fish (30 - 89 cm)</t>
        </is>
      </c>
      <c r="D121" t="inlineStr">
        <is>
          <t>Perch-likes</t>
        </is>
      </c>
      <c r="E121" s="5" t="inlineStr">
        <is>
          <t>2 L pisc comm | 3 L pisc comm</t>
        </is>
      </c>
      <c r="F121" t="inlineStr">
        <is>
          <t>0.479 | 0.521</t>
        </is>
      </c>
      <c r="G121" t="inlineStr">
        <is>
          <t>model_biomass</t>
        </is>
      </c>
      <c r="H121" t="inlineStr">
        <is>
          <t>medium</t>
        </is>
      </c>
      <c r="I121" t="inlineStr">
        <is>
          <t>composite_split</t>
        </is>
      </c>
      <c r="J121" t="n">
        <v>238118.994</v>
      </c>
      <c r="K121" t="n">
        <v>0.0948</v>
      </c>
      <c r="L121" s="6" t="inlineStr">
        <is>
          <t>Appendix A1.1 lists this exact catch name under `L pisc comm`; apportioned over the region 2 and region 3 pools by model biomass; region 1 is the Maldives shelf, outside LME 34.</t>
        </is>
      </c>
    </row>
    <row r="122">
      <c r="A122" t="inlineStr">
        <is>
          <t>Anodontostoma chacunda</t>
        </is>
      </c>
      <c r="B122" t="inlineStr">
        <is>
          <t>Chacunda gizzard shad</t>
        </is>
      </c>
      <c r="C122" t="inlineStr">
        <is>
          <t>Small pelagics (&lt;30 cm)</t>
        </is>
      </c>
      <c r="D122" t="inlineStr">
        <is>
          <t>Herring-likes</t>
        </is>
      </c>
      <c r="E122" s="5" t="inlineStr">
        <is>
          <t>2 S pelagics | 3 S pelagics</t>
        </is>
      </c>
      <c r="F122" t="inlineStr">
        <is>
          <t>0.298 | 0.702</t>
        </is>
      </c>
      <c r="G122" t="inlineStr">
        <is>
          <t>model_biomass</t>
        </is>
      </c>
      <c r="H122" t="inlineStr">
        <is>
          <t>medium</t>
        </is>
      </c>
      <c r="I122" t="inlineStr">
        <is>
          <t>composite_split</t>
        </is>
      </c>
      <c r="J122" t="n">
        <v>236010.584</v>
      </c>
      <c r="K122" t="n">
        <v>0.094</v>
      </c>
      <c r="L122" s="6" t="inlineStr">
        <is>
          <t>Appendix A1.1 lists this exact catch name under `S pelagics`; apportioned over the region 2 and region 3 pools by model biomass; region 1 is the Maldives shelf, outside LME 34.</t>
        </is>
      </c>
    </row>
    <row r="123">
      <c r="A123" t="inlineStr">
        <is>
          <t>Prionace glauca</t>
        </is>
      </c>
      <c r="B123" t="inlineStr">
        <is>
          <t>Blue shark</t>
        </is>
      </c>
      <c r="C123" t="inlineStr">
        <is>
          <t>Large sharks (&gt;=90 cm)</t>
        </is>
      </c>
      <c r="D123" t="inlineStr">
        <is>
          <t>Sharks &amp; rays</t>
        </is>
      </c>
      <c r="E123" s="7" t="inlineStr">
        <is>
          <t>Oceanic sharks</t>
        </is>
      </c>
      <c r="F123" t="inlineStr"/>
      <c r="G123" t="inlineStr"/>
      <c r="H123" t="inlineStr">
        <is>
          <t>high</t>
        </is>
      </c>
      <c r="I123" t="inlineStr">
        <is>
          <t>explicit_member</t>
        </is>
      </c>
      <c r="J123" t="n">
        <v>235298.63</v>
      </c>
      <c r="K123" t="n">
        <v>0.09370000000000001</v>
      </c>
      <c r="L123" s="6" t="inlineStr">
        <is>
          <t>Appendix A1.1 lists this exact catch name under `oceanic sharks`, a group modelled over the whole study area (Appendix A1.2).</t>
        </is>
      </c>
    </row>
    <row r="124">
      <c r="A124" t="inlineStr">
        <is>
          <t>Nemipterus hexodon</t>
        </is>
      </c>
      <c r="B124" t="inlineStr">
        <is>
          <t>Ornate threadfin bream</t>
        </is>
      </c>
      <c r="C124" t="inlineStr">
        <is>
          <t>Small demersals (&lt;30 cm)</t>
        </is>
      </c>
      <c r="D124" t="inlineStr">
        <is>
          <t>Perch-likes</t>
        </is>
      </c>
      <c r="E124" s="5" t="inlineStr">
        <is>
          <t>2 SM pisc | 3 SM pisc</t>
        </is>
      </c>
      <c r="F124" t="inlineStr">
        <is>
          <t>0.306 | 0.694</t>
        </is>
      </c>
      <c r="G124" t="inlineStr">
        <is>
          <t>model_biomass</t>
        </is>
      </c>
      <c r="H124" t="inlineStr">
        <is>
          <t>medium</t>
        </is>
      </c>
      <c r="I124" t="inlineStr">
        <is>
          <t>composite_split</t>
        </is>
      </c>
      <c r="J124" t="n">
        <v>233986.201</v>
      </c>
      <c r="K124" t="n">
        <v>0.09320000000000001</v>
      </c>
      <c r="L124" s="6" t="inlineStr">
        <is>
          <t>Appendix A1.3 lists Nemipterus hexodon in the `SM pisc` species list. Apportioned over the region 2 and region 3 pools by model biomass; region 1 is the Maldives shelf, outside LME 34.</t>
        </is>
      </c>
    </row>
    <row r="125">
      <c r="A125" t="inlineStr">
        <is>
          <t>Sillaginidae</t>
        </is>
      </c>
      <c r="B125" t="inlineStr">
        <is>
          <t>Smelt-whitings</t>
        </is>
      </c>
      <c r="C125" t="inlineStr">
        <is>
          <t>Medium demersals (30 - 89 cm)</t>
        </is>
      </c>
      <c r="D125" t="inlineStr">
        <is>
          <t>Perch-likes</t>
        </is>
      </c>
      <c r="E125" s="5" t="inlineStr">
        <is>
          <t>2 SM inv | 3 SM inv</t>
        </is>
      </c>
      <c r="F125" t="inlineStr">
        <is>
          <t>0.317 | 0.683</t>
        </is>
      </c>
      <c r="G125" t="inlineStr">
        <is>
          <t>model_biomass</t>
        </is>
      </c>
      <c r="H125" t="inlineStr">
        <is>
          <t>medium</t>
        </is>
      </c>
      <c r="I125" t="inlineStr">
        <is>
          <t>composite_split</t>
        </is>
      </c>
      <c r="J125" t="n">
        <v>232817.433</v>
      </c>
      <c r="K125" t="n">
        <v>0.0927</v>
      </c>
      <c r="L125" s="6" t="inlineStr">
        <is>
          <t>Appendix A1.1 lists this exact catch name under `SM inv`; apportioned over the region 2 and region 3 pools by model biomass; region 1 is the Maldives shelf, outside LME 34.</t>
        </is>
      </c>
    </row>
    <row r="126">
      <c r="A126" t="inlineStr">
        <is>
          <t>Placuna placenta</t>
        </is>
      </c>
      <c r="B126" t="inlineStr">
        <is>
          <t>Windowpane oyster</t>
        </is>
      </c>
      <c r="C126" t="inlineStr">
        <is>
          <t>Other demersal invertebrates</t>
        </is>
      </c>
      <c r="D126" t="inlineStr">
        <is>
          <t>Molluscs</t>
        </is>
      </c>
      <c r="E126" s="5" t="inlineStr">
        <is>
          <t>2 Macrobenthos | 3 Macrobenthos</t>
        </is>
      </c>
      <c r="F126" t="inlineStr">
        <is>
          <t>0.363 | 0.637</t>
        </is>
      </c>
      <c r="G126" t="inlineStr">
        <is>
          <t>model_biomass</t>
        </is>
      </c>
      <c r="H126" t="inlineStr">
        <is>
          <t>medium</t>
        </is>
      </c>
      <c r="I126" t="inlineStr">
        <is>
          <t>composite_split</t>
        </is>
      </c>
      <c r="J126" t="n">
        <v>229914.935</v>
      </c>
      <c r="K126" t="n">
        <v>0.0915</v>
      </c>
      <c r="L126" s="6" t="inlineStr">
        <is>
          <t>Appendix A1.1 sends Bivalvia and every named bivalve - Meretrix, Paphia, Perna, Pectinidae, Veneridae - to macrobenthos; Placuna placenta is a bivalve. Apportioned over the region 2 and region 3 pools by model biomass; region 1 is the Maldives shelf, outside LME 34.</t>
        </is>
      </c>
    </row>
    <row r="127">
      <c r="A127" t="inlineStr">
        <is>
          <t>Chondrichthyes</t>
        </is>
      </c>
      <c r="B127" t="inlineStr">
        <is>
          <t>Sharks, rays, chimaeras</t>
        </is>
      </c>
      <c r="C127" t="inlineStr">
        <is>
          <t>Large sharks (&gt;=90 cm)</t>
        </is>
      </c>
      <c r="D127" t="inlineStr">
        <is>
          <t>Sharks &amp; rays</t>
        </is>
      </c>
      <c r="E127" s="5" t="inlineStr">
        <is>
          <t>Oceanic sharks | Coastal elasmobranch</t>
        </is>
      </c>
      <c r="F127" t="inlineStr">
        <is>
          <t>0.306 | 0.694</t>
        </is>
      </c>
      <c r="G127" t="inlineStr">
        <is>
          <t>catch_composition</t>
        </is>
      </c>
      <c r="H127" t="inlineStr">
        <is>
          <t>medium</t>
        </is>
      </c>
      <c r="I127" t="inlineStr">
        <is>
          <t>composite_split</t>
        </is>
      </c>
      <c r="J127" t="n">
        <v>225557.63</v>
      </c>
      <c r="K127" t="n">
        <v>0.0898</v>
      </c>
      <c r="L127" s="6" t="inlineStr">
        <is>
          <t>Appendix A1.1 assigns `Sharks or rays and chimaeras` to oceanic and coastal sharks together; apportioned by the catch that identified sharks and rays already put on those two groups alone.</t>
        </is>
      </c>
    </row>
    <row r="128">
      <c r="A128" t="inlineStr">
        <is>
          <t>Terapon jarbua</t>
        </is>
      </c>
      <c r="B128" t="inlineStr">
        <is>
          <t>Jarbua terapon</t>
        </is>
      </c>
      <c r="C128" t="inlineStr">
        <is>
          <t>Medium demersals (30 - 89 cm)</t>
        </is>
      </c>
      <c r="D128" t="inlineStr">
        <is>
          <t>Perch-likes</t>
        </is>
      </c>
      <c r="E128" s="5" t="inlineStr">
        <is>
          <t>2 SM pisc | 3 SM pisc</t>
        </is>
      </c>
      <c r="F128" t="inlineStr">
        <is>
          <t>0.306 | 0.694</t>
        </is>
      </c>
      <c r="G128" t="inlineStr">
        <is>
          <t>model_biomass</t>
        </is>
      </c>
      <c r="H128" t="inlineStr">
        <is>
          <t>medium</t>
        </is>
      </c>
      <c r="I128" t="inlineStr">
        <is>
          <t>composite_split</t>
        </is>
      </c>
      <c r="J128" t="n">
        <v>220610.52</v>
      </c>
      <c r="K128" t="n">
        <v>0.0878</v>
      </c>
      <c r="L128" s="6" t="inlineStr">
        <is>
          <t>Appendix A1.1 lists this exact catch name under `SM pisc`; apportioned over the region 2 and region 3 pools by model biomass; region 1 is the Maldives shelf, outside LME 34.</t>
        </is>
      </c>
    </row>
    <row r="129">
      <c r="A129" t="inlineStr">
        <is>
          <t>Upeneus vittatus</t>
        </is>
      </c>
      <c r="B129" t="inlineStr">
        <is>
          <t>Yellowstriped goatfish</t>
        </is>
      </c>
      <c r="C129" t="inlineStr">
        <is>
          <t>Small reef assoc. fish (&lt;30 cm)</t>
        </is>
      </c>
      <c r="D129" t="inlineStr">
        <is>
          <t>Perch-likes</t>
        </is>
      </c>
      <c r="E129" s="5" t="inlineStr">
        <is>
          <t>2 SM inv | 3 SM inv</t>
        </is>
      </c>
      <c r="F129" t="inlineStr">
        <is>
          <t>0.317 | 0.683</t>
        </is>
      </c>
      <c r="G129" t="inlineStr">
        <is>
          <t>model_biomass</t>
        </is>
      </c>
      <c r="H129" t="inlineStr">
        <is>
          <t>medium</t>
        </is>
      </c>
      <c r="I129" t="inlineStr">
        <is>
          <t>composite_split</t>
        </is>
      </c>
      <c r="J129" t="n">
        <v>220402.414</v>
      </c>
      <c r="K129" t="n">
        <v>0.0878</v>
      </c>
      <c r="L129" s="6" t="inlineStr">
        <is>
          <t>Appendix A1.1 lists this exact catch name under `SM inv`; apportioned over the region 2 and region 3 pools by model biomass; region 1 is the Maldives shelf, outside LME 34.</t>
        </is>
      </c>
    </row>
    <row r="130">
      <c r="A130" t="inlineStr">
        <is>
          <t>Teuthida</t>
        </is>
      </c>
      <c r="B130" t="inlineStr">
        <is>
          <t>Squids</t>
        </is>
      </c>
      <c r="C130" t="inlineStr">
        <is>
          <t>Cephalopods</t>
        </is>
      </c>
      <c r="D130" t="inlineStr">
        <is>
          <t>Other fishes &amp; inverts</t>
        </is>
      </c>
      <c r="E130" s="7" t="inlineStr">
        <is>
          <t>Cephalopods</t>
        </is>
      </c>
      <c r="F130" t="inlineStr"/>
      <c r="G130" t="inlineStr"/>
      <c r="H130" t="inlineStr">
        <is>
          <t>high</t>
        </is>
      </c>
      <c r="I130" t="inlineStr">
        <is>
          <t>synonym</t>
        </is>
      </c>
      <c r="J130" t="n">
        <v>212028.219</v>
      </c>
      <c r="K130" t="n">
        <v>0.0844</v>
      </c>
      <c r="L130" s="6" t="inlineStr">
        <is>
          <t>Accepted-name/synonym match: Appendix A1.1 lists Loliginidae, Loligo and Sepioteuthis under `cephalopods`. Teuthida is the squid order those genera belong to.</t>
        </is>
      </c>
    </row>
    <row r="131">
      <c r="A131" t="inlineStr">
        <is>
          <t>Psettodidae</t>
        </is>
      </c>
      <c r="B131" t="inlineStr">
        <is>
          <t>Turbots, Indian halibuts</t>
        </is>
      </c>
      <c r="C131" t="inlineStr">
        <is>
          <t>Small to medium flatfishes (&lt;90 cm)</t>
        </is>
      </c>
      <c r="D131" t="inlineStr">
        <is>
          <t>Flatfishes</t>
        </is>
      </c>
      <c r="E131" s="5" t="inlineStr">
        <is>
          <t>2 SM pisc | 3 SM pisc</t>
        </is>
      </c>
      <c r="F131" t="inlineStr">
        <is>
          <t>0.306 | 0.694</t>
        </is>
      </c>
      <c r="G131" t="inlineStr">
        <is>
          <t>model_biomass</t>
        </is>
      </c>
      <c r="H131" t="inlineStr">
        <is>
          <t>medium</t>
        </is>
      </c>
      <c r="I131" t="inlineStr">
        <is>
          <t>composite_split</t>
        </is>
      </c>
      <c r="J131" t="n">
        <v>208994.712</v>
      </c>
      <c r="K131" t="n">
        <v>0.0832</v>
      </c>
      <c r="L131" s="6" t="inlineStr">
        <is>
          <t>Appendix A1.1 lists this exact catch name under `SM pisc`; apportioned over the region 2 and region 3 pools by model biomass; region 1 is the Maldives shelf, outside LME 34.</t>
        </is>
      </c>
    </row>
    <row r="132">
      <c r="A132" t="inlineStr">
        <is>
          <t>Tetraodontidae</t>
        </is>
      </c>
      <c r="B132" t="inlineStr">
        <is>
          <t>Puffers, tobies</t>
        </is>
      </c>
      <c r="C132" t="inlineStr">
        <is>
          <t>Large reef assoc. fish (&gt;=90 cm)</t>
        </is>
      </c>
      <c r="D132" t="inlineStr">
        <is>
          <t>Other fishes &amp; inverts</t>
        </is>
      </c>
      <c r="E132" s="5" t="inlineStr">
        <is>
          <t>2 Milkfish plus | 3 Milkfish plus | 2 SM inv | 3 SM inv</t>
        </is>
      </c>
      <c r="F132" t="inlineStr">
        <is>
          <t>0.086 | 0.110 | 0.255 | 0.549</t>
        </is>
      </c>
      <c r="G132" t="inlineStr">
        <is>
          <t>model_biomass</t>
        </is>
      </c>
      <c r="H132" t="inlineStr">
        <is>
          <t>medium</t>
        </is>
      </c>
      <c r="I132" t="inlineStr">
        <is>
          <t>composite_split</t>
        </is>
      </c>
      <c r="J132" t="n">
        <v>208536.367</v>
      </c>
      <c r="K132" t="n">
        <v>0.083</v>
      </c>
      <c r="L132" s="6" t="inlineStr">
        <is>
          <t>Appendix A1.1 lists this exact catch name under `milkfish, SM inv`; apportioned over the region 2 and region 3 pools by model biomass; region 1 is the Maldives shelf, outside LME 34.</t>
        </is>
      </c>
    </row>
    <row r="133">
      <c r="A133" t="inlineStr">
        <is>
          <t>Cephalopholis boenak</t>
        </is>
      </c>
      <c r="B133" t="inlineStr">
        <is>
          <t>Chocolate hind</t>
        </is>
      </c>
      <c r="C133" t="inlineStr">
        <is>
          <t>Small reef assoc. fish (&lt;30 cm)</t>
        </is>
      </c>
      <c r="D133" t="inlineStr">
        <is>
          <t>Perch-likes</t>
        </is>
      </c>
      <c r="E133" s="5" t="inlineStr">
        <is>
          <t>2 L pisc comm | 3 L pisc comm</t>
        </is>
      </c>
      <c r="F133" t="inlineStr">
        <is>
          <t>0.479 | 0.521</t>
        </is>
      </c>
      <c r="G133" t="inlineStr">
        <is>
          <t>model_biomass</t>
        </is>
      </c>
      <c r="H133" t="inlineStr">
        <is>
          <t>medium</t>
        </is>
      </c>
      <c r="I133" t="inlineStr">
        <is>
          <t>composite_split</t>
        </is>
      </c>
      <c r="J133" t="n">
        <v>206671.431</v>
      </c>
      <c r="K133" t="n">
        <v>0.0823</v>
      </c>
      <c r="L133" s="6" t="inlineStr">
        <is>
          <t>Appendix A1.1 lists this exact catch name under `L pisc comm`; apportioned over the region 2 and region 3 pools by model biomass; region 1 is the Maldives shelf, outside LME 34.</t>
        </is>
      </c>
    </row>
    <row r="134">
      <c r="A134" t="inlineStr">
        <is>
          <t>Muraenesox</t>
        </is>
      </c>
      <c r="B134" t="inlineStr">
        <is>
          <t>Congers</t>
        </is>
      </c>
      <c r="C134" t="inlineStr">
        <is>
          <t>Large demersals (&gt;=90 cm)</t>
        </is>
      </c>
      <c r="D134" t="inlineStr">
        <is>
          <t>Other fishes &amp; inverts</t>
        </is>
      </c>
      <c r="E134" s="5" t="inlineStr">
        <is>
          <t>2 L pisc | 3 L pisc</t>
        </is>
      </c>
      <c r="F134" t="inlineStr">
        <is>
          <t>0.450 | 0.550</t>
        </is>
      </c>
      <c r="G134" t="inlineStr">
        <is>
          <t>model_biomass</t>
        </is>
      </c>
      <c r="H134" t="inlineStr">
        <is>
          <t>medium</t>
        </is>
      </c>
      <c r="I134" t="inlineStr">
        <is>
          <t>composite_split</t>
        </is>
      </c>
      <c r="J134" t="n">
        <v>205527.597</v>
      </c>
      <c r="K134" t="n">
        <v>0.0818</v>
      </c>
      <c r="L134" s="6" t="inlineStr">
        <is>
          <t>Appendix A1.1 lists this exact catch name under `L pisc`; apportioned over the region 2 and region 3 pools by model biomass; region 1 is the Maldives shelf, outside LME 34.</t>
        </is>
      </c>
    </row>
    <row r="135">
      <c r="A135" t="inlineStr">
        <is>
          <t>Selar crumenophthalmus</t>
        </is>
      </c>
      <c r="B135" t="inlineStr">
        <is>
          <t>Bigeye scad</t>
        </is>
      </c>
      <c r="C135" t="inlineStr">
        <is>
          <t>Medium pelagics (30 - 89 cm)</t>
        </is>
      </c>
      <c r="D135" t="inlineStr">
        <is>
          <t>Perch-likes</t>
        </is>
      </c>
      <c r="E135" s="5" t="inlineStr">
        <is>
          <t>2 Carangids | 3 Carangids</t>
        </is>
      </c>
      <c r="F135" t="inlineStr">
        <is>
          <t>0.304 | 0.696</t>
        </is>
      </c>
      <c r="G135" t="inlineStr">
        <is>
          <t>model_biomass</t>
        </is>
      </c>
      <c r="H135" t="inlineStr">
        <is>
          <t>medium</t>
        </is>
      </c>
      <c r="I135" t="inlineStr">
        <is>
          <t>composite_split</t>
        </is>
      </c>
      <c r="J135" t="n">
        <v>202794.543</v>
      </c>
      <c r="K135" t="n">
        <v>0.08069999999999999</v>
      </c>
      <c r="L135" s="6" t="inlineStr">
        <is>
          <t>Appendix A1.1 lists this exact catch name under `Carangids`; apportioned over the region 2 and region 3 pools by model biomass; region 1 is the Maldives shelf, outside LME 34.</t>
        </is>
      </c>
    </row>
    <row r="136">
      <c r="A136" t="inlineStr">
        <is>
          <t>Soleidae</t>
        </is>
      </c>
      <c r="B136" t="inlineStr">
        <is>
          <t>Soles</t>
        </is>
      </c>
      <c r="C136" t="inlineStr">
        <is>
          <t>Small to medium flatfishes (&lt;90 cm)</t>
        </is>
      </c>
      <c r="D136" t="inlineStr">
        <is>
          <t>Flatfishes</t>
        </is>
      </c>
      <c r="E136" s="5" t="inlineStr">
        <is>
          <t>2 SM inv | 3 SM inv | 2 SM pisc | 3 SM pisc</t>
        </is>
      </c>
      <c r="F136" t="inlineStr">
        <is>
          <t>0.181 | 0.390 | 0.131 | 0.298</t>
        </is>
      </c>
      <c r="G136" t="inlineStr">
        <is>
          <t>model_biomass</t>
        </is>
      </c>
      <c r="H136" t="inlineStr">
        <is>
          <t>medium</t>
        </is>
      </c>
      <c r="I136" t="inlineStr">
        <is>
          <t>composite_split</t>
        </is>
      </c>
      <c r="J136" t="n">
        <v>200969.748</v>
      </c>
      <c r="K136" t="n">
        <v>0.08</v>
      </c>
      <c r="L136" s="6" t="inlineStr">
        <is>
          <t>Appendix A1.1 lists this exact catch name under `Sinv, M pisc`; apportioned over the region 2 and region 3 pools by model biomass; region 1 is the Maldives shelf, outside LME 34.</t>
        </is>
      </c>
    </row>
    <row r="137">
      <c r="A137" t="inlineStr">
        <is>
          <t>Sillago</t>
        </is>
      </c>
      <c r="B137" t="inlineStr">
        <is>
          <t>Smelt-whitings</t>
        </is>
      </c>
      <c r="C137" t="inlineStr">
        <is>
          <t>Medium demersals (30 - 89 cm)</t>
        </is>
      </c>
      <c r="D137" t="inlineStr">
        <is>
          <t>Perch-likes</t>
        </is>
      </c>
      <c r="E137" s="5" t="inlineStr">
        <is>
          <t>2 SM inv | 3 SM inv</t>
        </is>
      </c>
      <c r="F137" t="inlineStr">
        <is>
          <t>0.317 | 0.683</t>
        </is>
      </c>
      <c r="G137" t="inlineStr">
        <is>
          <t>model_biomass</t>
        </is>
      </c>
      <c r="H137" t="inlineStr">
        <is>
          <t>medium</t>
        </is>
      </c>
      <c r="I137" t="inlineStr">
        <is>
          <t>composite_split</t>
        </is>
      </c>
      <c r="J137" t="n">
        <v>200005.59</v>
      </c>
      <c r="K137" t="n">
        <v>0.0796</v>
      </c>
      <c r="L137" s="6" t="inlineStr">
        <is>
          <t>Appendix A1.1 lists this exact catch name under `SM inv`; apportioned over the region 2 and region 3 pools by model biomass; region 1 is the Maldives shelf, outside LME 34.</t>
        </is>
      </c>
    </row>
    <row r="138">
      <c r="A138" t="inlineStr">
        <is>
          <t>Veneridae</t>
        </is>
      </c>
      <c r="B138" t="inlineStr">
        <is>
          <t>Venus clams</t>
        </is>
      </c>
      <c r="C138" t="inlineStr">
        <is>
          <t>Other demersal invertebrates</t>
        </is>
      </c>
      <c r="D138" t="inlineStr">
        <is>
          <t>Molluscs</t>
        </is>
      </c>
      <c r="E138" s="5" t="inlineStr">
        <is>
          <t>2 Macrobenthos | 3 Macrobenthos</t>
        </is>
      </c>
      <c r="F138" t="inlineStr">
        <is>
          <t>0.363 | 0.637</t>
        </is>
      </c>
      <c r="G138" t="inlineStr">
        <is>
          <t>model_biomass</t>
        </is>
      </c>
      <c r="H138" t="inlineStr">
        <is>
          <t>medium</t>
        </is>
      </c>
      <c r="I138" t="inlineStr">
        <is>
          <t>composite_split</t>
        </is>
      </c>
      <c r="J138" t="n">
        <v>197902.115</v>
      </c>
      <c r="K138" t="n">
        <v>0.0788</v>
      </c>
      <c r="L138" s="6" t="inlineStr">
        <is>
          <t>Appendix A1.1 lists this exact catch name under `macrobenthos`; apportioned over the region 2 and region 3 pools by model biomass; region 1 is the Maldives shelf, outside LME 34.</t>
        </is>
      </c>
    </row>
    <row r="139">
      <c r="A139" t="inlineStr">
        <is>
          <t>Pampus chinensis</t>
        </is>
      </c>
      <c r="B139" t="inlineStr">
        <is>
          <t>Chinese silver pomfret</t>
        </is>
      </c>
      <c r="C139" t="inlineStr">
        <is>
          <t>Medium benthopelagics (30 - 89 cm)</t>
        </is>
      </c>
      <c r="D139" t="inlineStr">
        <is>
          <t>Perch-likes</t>
        </is>
      </c>
      <c r="E139" s="5" t="inlineStr">
        <is>
          <t>2 SM inv | 3 SM inv</t>
        </is>
      </c>
      <c r="F139" t="inlineStr">
        <is>
          <t>0.317 | 0.683</t>
        </is>
      </c>
      <c r="G139" t="inlineStr">
        <is>
          <t>model_biomass</t>
        </is>
      </c>
      <c r="H139" t="inlineStr">
        <is>
          <t>medium</t>
        </is>
      </c>
      <c r="I139" t="inlineStr">
        <is>
          <t>composite_split</t>
        </is>
      </c>
      <c r="J139" t="n">
        <v>195708.405</v>
      </c>
      <c r="K139" t="n">
        <v>0.0779</v>
      </c>
      <c r="L139" s="6" t="inlineStr">
        <is>
          <t>Appendix A1.1 lists this exact catch name under `SM inv`; apportioned over the region 2 and region 3 pools by model biomass; region 1 is the Maldives shelf, outside LME 34.</t>
        </is>
      </c>
    </row>
    <row r="140">
      <c r="A140" t="inlineStr">
        <is>
          <t>Hemiramphus</t>
        </is>
      </c>
      <c r="B140" t="inlineStr">
        <is>
          <t>Halfbeaks</t>
        </is>
      </c>
      <c r="C140" t="inlineStr">
        <is>
          <t>Medium pelagics (30 - 89 cm)</t>
        </is>
      </c>
      <c r="D140" t="inlineStr">
        <is>
          <t>Other fishes &amp; inverts</t>
        </is>
      </c>
      <c r="E140" s="5" t="inlineStr">
        <is>
          <t>2 S pelagics | 3 S pelagics</t>
        </is>
      </c>
      <c r="F140" t="inlineStr">
        <is>
          <t>0.298 | 0.702</t>
        </is>
      </c>
      <c r="G140" t="inlineStr">
        <is>
          <t>model_biomass</t>
        </is>
      </c>
      <c r="H140" t="inlineStr">
        <is>
          <t>medium</t>
        </is>
      </c>
      <c r="I140" t="inlineStr">
        <is>
          <t>composite_split</t>
        </is>
      </c>
      <c r="J140" t="n">
        <v>182195.046</v>
      </c>
      <c r="K140" t="n">
        <v>0.0725</v>
      </c>
      <c r="L140" s="6" t="inlineStr">
        <is>
          <t>Appendix A1.1 lists this exact catch name under `S pelagics`; apportioned over the region 2 and region 3 pools by model biomass; region 1 is the Maldives shelf, outside LME 34.</t>
        </is>
      </c>
    </row>
    <row r="141">
      <c r="A141" t="inlineStr">
        <is>
          <t>Carcharhinus falciformis</t>
        </is>
      </c>
      <c r="B141" t="inlineStr">
        <is>
          <t>Silky shark</t>
        </is>
      </c>
      <c r="C141" t="inlineStr">
        <is>
          <t>Large sharks (&gt;=90 cm)</t>
        </is>
      </c>
      <c r="D141" t="inlineStr">
        <is>
          <t>Sharks &amp; rays</t>
        </is>
      </c>
      <c r="E141" s="7" t="inlineStr">
        <is>
          <t>Oceanic sharks</t>
        </is>
      </c>
      <c r="F141" t="inlineStr"/>
      <c r="G141" t="inlineStr"/>
      <c r="H141" t="inlineStr">
        <is>
          <t>high</t>
        </is>
      </c>
      <c r="I141" t="inlineStr">
        <is>
          <t>explicit_member</t>
        </is>
      </c>
      <c r="J141" t="n">
        <v>172391.334</v>
      </c>
      <c r="K141" t="n">
        <v>0.06859999999999999</v>
      </c>
      <c r="L141" s="6" t="inlineStr">
        <is>
          <t>Appendix A1.1 lists this exact catch name under `oceanic sharks`, a group modelled over the whole study area (Appendix A1.2).</t>
        </is>
      </c>
    </row>
    <row r="142">
      <c r="A142" t="inlineStr">
        <is>
          <t>Metapenaeus brevicornis</t>
        </is>
      </c>
      <c r="B142" t="inlineStr">
        <is>
          <t>Yellow shrimp</t>
        </is>
      </c>
      <c r="C142" t="inlineStr">
        <is>
          <t>Shrimps</t>
        </is>
      </c>
      <c r="D142" t="inlineStr">
        <is>
          <t>Crustaceans</t>
        </is>
      </c>
      <c r="E142" s="5" t="inlineStr">
        <is>
          <t>2 Crustaceans | 3 Crustaceans</t>
        </is>
      </c>
      <c r="F142" t="inlineStr">
        <is>
          <t>0.213 | 0.787</t>
        </is>
      </c>
      <c r="G142" t="inlineStr">
        <is>
          <t>model_biomass</t>
        </is>
      </c>
      <c r="H142" t="inlineStr">
        <is>
          <t>medium</t>
        </is>
      </c>
      <c r="I142" t="inlineStr">
        <is>
          <t>composite_split</t>
        </is>
      </c>
      <c r="J142" t="n">
        <v>168884.276</v>
      </c>
      <c r="K142" t="n">
        <v>0.0672</v>
      </c>
      <c r="L142" s="6" t="inlineStr">
        <is>
          <t>Accepted-name/synonym match: Appendix A1.1 lists the genus Metapenaeus under `shrimps`. Apportioned over the region 2 and region 3 pools by model biomass; region 1 is the Maldives shelf, outside LME 34.</t>
        </is>
      </c>
    </row>
    <row r="143">
      <c r="A143" t="inlineStr">
        <is>
          <t>Psettodes erumei</t>
        </is>
      </c>
      <c r="B143" t="inlineStr">
        <is>
          <t>Indian halibut</t>
        </is>
      </c>
      <c r="C143" t="inlineStr">
        <is>
          <t>Small to medium flatfishes (&lt;90 cm)</t>
        </is>
      </c>
      <c r="D143" t="inlineStr">
        <is>
          <t>Flatfishes</t>
        </is>
      </c>
      <c r="E143" s="5" t="inlineStr">
        <is>
          <t>2 SM pisc | 3 SM pisc</t>
        </is>
      </c>
      <c r="F143" t="inlineStr">
        <is>
          <t>0.306 | 0.694</t>
        </is>
      </c>
      <c r="G143" t="inlineStr">
        <is>
          <t>model_biomass</t>
        </is>
      </c>
      <c r="H143" t="inlineStr">
        <is>
          <t>medium</t>
        </is>
      </c>
      <c r="I143" t="inlineStr">
        <is>
          <t>composite_split</t>
        </is>
      </c>
      <c r="J143" t="n">
        <v>163590.921</v>
      </c>
      <c r="K143" t="n">
        <v>0.06510000000000001</v>
      </c>
      <c r="L143" s="6" t="inlineStr">
        <is>
          <t>Appendix A1.1 lists this exact catch name under `SM pisc`; apportioned over the region 2 and region 3 pools by model biomass; region 1 is the Maldives shelf, outside LME 34.</t>
        </is>
      </c>
    </row>
    <row r="144">
      <c r="A144" t="inlineStr">
        <is>
          <t>Myliobatidae</t>
        </is>
      </c>
      <c r="B144" t="inlineStr">
        <is>
          <t>Eagle/manta rays</t>
        </is>
      </c>
      <c r="C144" t="inlineStr">
        <is>
          <t>Large rays (&gt;=90 cm)</t>
        </is>
      </c>
      <c r="D144" t="inlineStr">
        <is>
          <t>Sharks &amp; rays</t>
        </is>
      </c>
      <c r="E144" s="7" t="inlineStr">
        <is>
          <t>Coastal elasmobranch</t>
        </is>
      </c>
      <c r="F144" t="inlineStr"/>
      <c r="G144" t="inlineStr"/>
      <c r="H144" t="inlineStr">
        <is>
          <t>high</t>
        </is>
      </c>
      <c r="I144" t="inlineStr">
        <is>
          <t>explicit_member</t>
        </is>
      </c>
      <c r="J144" t="n">
        <v>163247.083</v>
      </c>
      <c r="K144" t="n">
        <v>0.065</v>
      </c>
      <c r="L144" s="6" t="inlineStr">
        <is>
          <t>Appendix A1.1 lists this exact catch name under `coastal elasmobranch`, modelled as one stock over every EEZ of the study area, 69 % of it (Appendix A1.2).</t>
        </is>
      </c>
    </row>
    <row r="145">
      <c r="A145" t="inlineStr">
        <is>
          <t>Acanthuridae</t>
        </is>
      </c>
      <c r="B145" t="inlineStr">
        <is>
          <t>Surgeons, tangs, unicornfishes</t>
        </is>
      </c>
      <c r="C145" t="inlineStr">
        <is>
          <t>Small reef assoc. fish (&lt;30 cm)</t>
        </is>
      </c>
      <c r="D145" t="inlineStr">
        <is>
          <t>Perch-likes</t>
        </is>
      </c>
      <c r="E145" s="5" t="inlineStr">
        <is>
          <t>2 SM inv | 3 SM inv</t>
        </is>
      </c>
      <c r="F145" t="inlineStr">
        <is>
          <t>0.317 | 0.683</t>
        </is>
      </c>
      <c r="G145" t="inlineStr">
        <is>
          <t>model_biomass</t>
        </is>
      </c>
      <c r="H145" t="inlineStr">
        <is>
          <t>medium</t>
        </is>
      </c>
      <c r="I145" t="inlineStr">
        <is>
          <t>composite_split</t>
        </is>
      </c>
      <c r="J145" t="n">
        <v>161753.83</v>
      </c>
      <c r="K145" t="n">
        <v>0.0644</v>
      </c>
      <c r="L145" s="6" t="inlineStr">
        <is>
          <t>Appendix A1.1 lists this exact catch name under `SM inv`; apportioned over the region 2 and region 3 pools by model biomass; region 1 is the Maldives shelf, outside LME 34.</t>
        </is>
      </c>
    </row>
    <row r="146">
      <c r="A146" t="inlineStr">
        <is>
          <t>Caranx sexfasciatus</t>
        </is>
      </c>
      <c r="B146" t="inlineStr">
        <is>
          <t>Bigeye trevally</t>
        </is>
      </c>
      <c r="C146" t="inlineStr">
        <is>
          <t>Large reef assoc. fish (&gt;=90 cm)</t>
        </is>
      </c>
      <c r="D146" t="inlineStr">
        <is>
          <t>Perch-likes</t>
        </is>
      </c>
      <c r="E146" s="5" t="inlineStr">
        <is>
          <t>2 Carangids | 3 Carangids</t>
        </is>
      </c>
      <c r="F146" t="inlineStr">
        <is>
          <t>0.304 | 0.696</t>
        </is>
      </c>
      <c r="G146" t="inlineStr">
        <is>
          <t>model_biomass</t>
        </is>
      </c>
      <c r="H146" t="inlineStr">
        <is>
          <t>medium</t>
        </is>
      </c>
      <c r="I146" t="inlineStr">
        <is>
          <t>composite_split</t>
        </is>
      </c>
      <c r="J146" t="n">
        <v>159700.431</v>
      </c>
      <c r="K146" t="n">
        <v>0.0636</v>
      </c>
      <c r="L146" s="6" t="inlineStr">
        <is>
          <t>Appendix A1.1 lists this exact catch name under `Carangids`; apportioned over the region 2 and region 3 pools by model biomass; region 1 is the Maldives shelf, outside LME 34.</t>
        </is>
      </c>
    </row>
    <row r="147">
      <c r="A147" t="inlineStr">
        <is>
          <t>Polynemus paradiseus</t>
        </is>
      </c>
      <c r="B147" t="inlineStr">
        <is>
          <t>Paradise threadfin</t>
        </is>
      </c>
      <c r="C147" t="inlineStr">
        <is>
          <t>Medium demersals (30 - 89 cm)</t>
        </is>
      </c>
      <c r="D147" t="inlineStr">
        <is>
          <t>Perch-likes</t>
        </is>
      </c>
      <c r="E147" s="5" t="inlineStr">
        <is>
          <t>2 SM pisc | 3 SM pisc</t>
        </is>
      </c>
      <c r="F147" t="inlineStr">
        <is>
          <t>0.306 | 0.694</t>
        </is>
      </c>
      <c r="G147" t="inlineStr">
        <is>
          <t>model_biomass</t>
        </is>
      </c>
      <c r="H147" t="inlineStr">
        <is>
          <t>medium</t>
        </is>
      </c>
      <c r="I147" t="inlineStr">
        <is>
          <t>composite_split</t>
        </is>
      </c>
      <c r="J147" t="n">
        <v>158621.785</v>
      </c>
      <c r="K147" t="n">
        <v>0.06320000000000001</v>
      </c>
      <c r="L147" s="6" t="inlineStr">
        <is>
          <t>Appendix A1.3 lists Polynemus paradiseus in the `SM pisc` species list. Apportioned over the region 2 and region 3 pools by model biomass; region 1 is the Maldives shelf, outside LME 34.</t>
        </is>
      </c>
    </row>
    <row r="148">
      <c r="A148" t="inlineStr">
        <is>
          <t>Bramidae</t>
        </is>
      </c>
      <c r="B148" t="inlineStr">
        <is>
          <t>Pomfrets</t>
        </is>
      </c>
      <c r="C148" t="inlineStr">
        <is>
          <t>Medium pelagics (30 - 89 cm)</t>
        </is>
      </c>
      <c r="D148" t="inlineStr">
        <is>
          <t>Perch-likes</t>
        </is>
      </c>
      <c r="E148" s="5" t="inlineStr">
        <is>
          <t>2 SM pisc | 3 SM pisc</t>
        </is>
      </c>
      <c r="F148" t="inlineStr">
        <is>
          <t>0.306 | 0.694</t>
        </is>
      </c>
      <c r="G148" t="inlineStr">
        <is>
          <t>model_biomass</t>
        </is>
      </c>
      <c r="H148" t="inlineStr">
        <is>
          <t>medium</t>
        </is>
      </c>
      <c r="I148" t="inlineStr">
        <is>
          <t>composite_split</t>
        </is>
      </c>
      <c r="J148" t="n">
        <v>158134.633</v>
      </c>
      <c r="K148" t="n">
        <v>0.063</v>
      </c>
      <c r="L148" s="6" t="inlineStr">
        <is>
          <t>Appendix A1.1 lists this exact catch name under `SM pisc`; apportioned over the region 2 and region 3 pools by model biomass; region 1 is the Maldives shelf, outside LME 34.</t>
        </is>
      </c>
    </row>
    <row r="149">
      <c r="A149" t="inlineStr">
        <is>
          <t>Lethrinus nebulosus</t>
        </is>
      </c>
      <c r="B149" t="inlineStr">
        <is>
          <t>Spangled emperor</t>
        </is>
      </c>
      <c r="C149" t="inlineStr">
        <is>
          <t>Medium demersals (30 - 89 cm)</t>
        </is>
      </c>
      <c r="D149" t="inlineStr">
        <is>
          <t>Perch-likes</t>
        </is>
      </c>
      <c r="E149" s="5" t="inlineStr">
        <is>
          <t>2 L pisc comm | 3 L pisc comm</t>
        </is>
      </c>
      <c r="F149" t="inlineStr">
        <is>
          <t>0.479 | 0.521</t>
        </is>
      </c>
      <c r="G149" t="inlineStr">
        <is>
          <t>model_biomass</t>
        </is>
      </c>
      <c r="H149" t="inlineStr">
        <is>
          <t>medium</t>
        </is>
      </c>
      <c r="I149" t="inlineStr">
        <is>
          <t>composite_split</t>
        </is>
      </c>
      <c r="J149" t="n">
        <v>157148.403</v>
      </c>
      <c r="K149" t="n">
        <v>0.0626</v>
      </c>
      <c r="L149" s="6" t="inlineStr">
        <is>
          <t>Appendix A1.1 lists this exact catch name under `L pisc comm`; apportioned over the region 2 and region 3 pools by model biomass; region 1 is the Maldives shelf, outside LME 34.</t>
        </is>
      </c>
    </row>
    <row r="150">
      <c r="A150" t="inlineStr">
        <is>
          <t>Caranx ignobilis</t>
        </is>
      </c>
      <c r="B150" t="inlineStr">
        <is>
          <t>Giant trevally</t>
        </is>
      </c>
      <c r="C150" t="inlineStr">
        <is>
          <t>Large reef assoc. fish (&gt;=90 cm)</t>
        </is>
      </c>
      <c r="D150" t="inlineStr">
        <is>
          <t>Perch-likes</t>
        </is>
      </c>
      <c r="E150" s="5" t="inlineStr">
        <is>
          <t>2 Carangids | 3 Carangids</t>
        </is>
      </c>
      <c r="F150" t="inlineStr">
        <is>
          <t>0.304 | 0.696</t>
        </is>
      </c>
      <c r="G150" t="inlineStr">
        <is>
          <t>model_biomass</t>
        </is>
      </c>
      <c r="H150" t="inlineStr">
        <is>
          <t>medium</t>
        </is>
      </c>
      <c r="I150" t="inlineStr">
        <is>
          <t>composite_split</t>
        </is>
      </c>
      <c r="J150" t="n">
        <v>157058.993</v>
      </c>
      <c r="K150" t="n">
        <v>0.0625</v>
      </c>
      <c r="L150" s="6" t="inlineStr">
        <is>
          <t>Appendix A1.1 lists this exact catch name under `Carangids`; apportioned over the region 2 and region 3 pools by model biomass; region 1 is the Maldives shelf, outside LME 34.</t>
        </is>
      </c>
    </row>
    <row r="151">
      <c r="A151" t="inlineStr">
        <is>
          <t>Caranx melampygus</t>
        </is>
      </c>
      <c r="B151" t="inlineStr">
        <is>
          <t>Bluefin trevally</t>
        </is>
      </c>
      <c r="C151" t="inlineStr">
        <is>
          <t>Large reef assoc. fish (&gt;=90 cm)</t>
        </is>
      </c>
      <c r="D151" t="inlineStr">
        <is>
          <t>Perch-likes</t>
        </is>
      </c>
      <c r="E151" s="5" t="inlineStr">
        <is>
          <t>2 Carangids | 3 Carangids</t>
        </is>
      </c>
      <c r="F151" t="inlineStr">
        <is>
          <t>0.304 | 0.696</t>
        </is>
      </c>
      <c r="G151" t="inlineStr">
        <is>
          <t>model_biomass</t>
        </is>
      </c>
      <c r="H151" t="inlineStr">
        <is>
          <t>medium</t>
        </is>
      </c>
      <c r="I151" t="inlineStr">
        <is>
          <t>composite_split</t>
        </is>
      </c>
      <c r="J151" t="n">
        <v>156806.571</v>
      </c>
      <c r="K151" t="n">
        <v>0.0624</v>
      </c>
      <c r="L151" s="6" t="inlineStr">
        <is>
          <t>Appendix A1.1 lists this exact catch name under `Carangids`; apportioned over the region 2 and region 3 pools by model biomass; region 1 is the Maldives shelf, outside LME 34.</t>
        </is>
      </c>
    </row>
    <row r="152">
      <c r="A152" t="inlineStr">
        <is>
          <t>Penaeus semisulcatus</t>
        </is>
      </c>
      <c r="B152" t="inlineStr">
        <is>
          <t>Green tiger prawn</t>
        </is>
      </c>
      <c r="C152" t="inlineStr">
        <is>
          <t>Shrimps</t>
        </is>
      </c>
      <c r="D152" t="inlineStr">
        <is>
          <t>Crustaceans</t>
        </is>
      </c>
      <c r="E152" s="5" t="inlineStr">
        <is>
          <t>2 Crustaceans | 3 Crustaceans</t>
        </is>
      </c>
      <c r="F152" t="inlineStr">
        <is>
          <t>0.213 | 0.787</t>
        </is>
      </c>
      <c r="G152" t="inlineStr">
        <is>
          <t>model_biomass</t>
        </is>
      </c>
      <c r="H152" t="inlineStr">
        <is>
          <t>medium</t>
        </is>
      </c>
      <c r="I152" t="inlineStr">
        <is>
          <t>composite_split</t>
        </is>
      </c>
      <c r="J152" t="n">
        <v>156013.206</v>
      </c>
      <c r="K152" t="n">
        <v>0.0621</v>
      </c>
      <c r="L152" s="6" t="inlineStr">
        <is>
          <t>Appendix A1.1 lists this exact catch name under `shrimps`; apportioned over the region 2 and region 3 pools by model biomass; region 1 is the Maldives shelf, outside LME 34.</t>
        </is>
      </c>
    </row>
    <row r="153">
      <c r="A153" t="inlineStr">
        <is>
          <t>Isurus</t>
        </is>
      </c>
      <c r="B153" t="inlineStr">
        <is>
          <t>Mako sharks</t>
        </is>
      </c>
      <c r="C153" t="inlineStr">
        <is>
          <t>Large sharks (&gt;=90 cm)</t>
        </is>
      </c>
      <c r="D153" t="inlineStr">
        <is>
          <t>Sharks &amp; rays</t>
        </is>
      </c>
      <c r="E153" s="7" t="inlineStr">
        <is>
          <t>Oceanic sharks</t>
        </is>
      </c>
      <c r="F153" t="inlineStr"/>
      <c r="G153" t="inlineStr"/>
      <c r="H153" t="inlineStr">
        <is>
          <t>high</t>
        </is>
      </c>
      <c r="I153" t="inlineStr">
        <is>
          <t>explicit_member</t>
        </is>
      </c>
      <c r="J153" t="n">
        <v>153279.515</v>
      </c>
      <c r="K153" t="n">
        <v>0.061</v>
      </c>
      <c r="L153" s="6" t="inlineStr">
        <is>
          <t>Appendix A1.1 lists this exact catch name under `oceanic sharks`, a group modelled over the whole study area (Appendix A1.2).</t>
        </is>
      </c>
    </row>
    <row r="154">
      <c r="A154" t="inlineStr">
        <is>
          <t>Nemipterus japonicus</t>
        </is>
      </c>
      <c r="B154" t="inlineStr">
        <is>
          <t>Japanese threadfin bream</t>
        </is>
      </c>
      <c r="C154" t="inlineStr">
        <is>
          <t>Small demersals (&lt;30 cm)</t>
        </is>
      </c>
      <c r="D154" t="inlineStr">
        <is>
          <t>Perch-likes</t>
        </is>
      </c>
      <c r="E154" s="5" t="inlineStr">
        <is>
          <t>2 SM pisc | 3 SM pisc</t>
        </is>
      </c>
      <c r="F154" t="inlineStr">
        <is>
          <t>0.306 | 0.694</t>
        </is>
      </c>
      <c r="G154" t="inlineStr">
        <is>
          <t>model_biomass</t>
        </is>
      </c>
      <c r="H154" t="inlineStr">
        <is>
          <t>medium</t>
        </is>
      </c>
      <c r="I154" t="inlineStr">
        <is>
          <t>composite_split</t>
        </is>
      </c>
      <c r="J154" t="n">
        <v>144788.834</v>
      </c>
      <c r="K154" t="n">
        <v>0.0577</v>
      </c>
      <c r="L154" s="6" t="inlineStr">
        <is>
          <t>Appendix A1.1 lists this exact catch name under `SM pisc`; apportioned over the region 2 and region 3 pools by model biomass; region 1 is the Maldives shelf, outside LME 34.</t>
        </is>
      </c>
    </row>
    <row r="155">
      <c r="A155" t="inlineStr">
        <is>
          <t>Penaeus latisulcatus</t>
        </is>
      </c>
      <c r="B155" t="inlineStr">
        <is>
          <t>Western king prawn</t>
        </is>
      </c>
      <c r="C155" t="inlineStr">
        <is>
          <t>Shrimps</t>
        </is>
      </c>
      <c r="D155" t="inlineStr">
        <is>
          <t>Crustaceans</t>
        </is>
      </c>
      <c r="E155" s="5" t="inlineStr">
        <is>
          <t>2 Crustaceans | 3 Crustaceans</t>
        </is>
      </c>
      <c r="F155" t="inlineStr">
        <is>
          <t>0.213 | 0.787</t>
        </is>
      </c>
      <c r="G155" t="inlineStr">
        <is>
          <t>model_biomass</t>
        </is>
      </c>
      <c r="H155" t="inlineStr">
        <is>
          <t>medium</t>
        </is>
      </c>
      <c r="I155" t="inlineStr">
        <is>
          <t>composite_split</t>
        </is>
      </c>
      <c r="J155" t="n">
        <v>143397.857</v>
      </c>
      <c r="K155" t="n">
        <v>0.0571</v>
      </c>
      <c r="L155" s="6" t="inlineStr">
        <is>
          <t>Accepted-name/synonym match: Appendix A1.1 lists Melicertus latisulcatus under `shrimps`. Apportioned over the region 2 and region 3 pools by model biomass; region 1 is the Maldives shelf, outside LME 34.</t>
        </is>
      </c>
    </row>
    <row r="156">
      <c r="A156" t="inlineStr">
        <is>
          <t>Caesio cuning</t>
        </is>
      </c>
      <c r="B156" t="inlineStr">
        <is>
          <t>Redbelly yellowtail fusilier</t>
        </is>
      </c>
      <c r="C156" t="inlineStr">
        <is>
          <t>Medium reef assoc. fish (30 - 89 cm)</t>
        </is>
      </c>
      <c r="D156" t="inlineStr">
        <is>
          <t>Perch-likes</t>
        </is>
      </c>
      <c r="E156" s="5" t="inlineStr">
        <is>
          <t>2 SM inv | 3 SM inv</t>
        </is>
      </c>
      <c r="F156" t="inlineStr">
        <is>
          <t>0.317 | 0.683</t>
        </is>
      </c>
      <c r="G156" t="inlineStr">
        <is>
          <t>model_biomass</t>
        </is>
      </c>
      <c r="H156" t="inlineStr">
        <is>
          <t>medium</t>
        </is>
      </c>
      <c r="I156" t="inlineStr">
        <is>
          <t>composite_split</t>
        </is>
      </c>
      <c r="J156" t="n">
        <v>139552.296</v>
      </c>
      <c r="K156" t="n">
        <v>0.0556</v>
      </c>
      <c r="L156" s="6" t="inlineStr">
        <is>
          <t>Appendix A1.1 lists Caesio, three Caesio species and Caesionidae under SM inv. Apportioned over the region 2 and region 3 pools by model biomass; region 1 is the Maldives shelf, outside LME 34.</t>
        </is>
      </c>
    </row>
    <row r="157">
      <c r="A157" t="inlineStr">
        <is>
          <t>Stromateidae</t>
        </is>
      </c>
      <c r="B157" t="inlineStr">
        <is>
          <t>Butterfishes</t>
        </is>
      </c>
      <c r="C157" t="inlineStr">
        <is>
          <t>Small benthopelagics (&lt;30 cm)</t>
        </is>
      </c>
      <c r="D157" t="inlineStr">
        <is>
          <t>Perch-likes</t>
        </is>
      </c>
      <c r="E157" s="5" t="inlineStr">
        <is>
          <t>2 SM inv | 3 SM inv</t>
        </is>
      </c>
      <c r="F157" t="inlineStr">
        <is>
          <t>0.317 | 0.683</t>
        </is>
      </c>
      <c r="G157" t="inlineStr">
        <is>
          <t>model_biomass</t>
        </is>
      </c>
      <c r="H157" t="inlineStr">
        <is>
          <t>medium</t>
        </is>
      </c>
      <c r="I157" t="inlineStr">
        <is>
          <t>composite_split</t>
        </is>
      </c>
      <c r="J157" t="n">
        <v>136738.43</v>
      </c>
      <c r="K157" t="n">
        <v>0.0544</v>
      </c>
      <c r="L157" s="6" t="inlineStr">
        <is>
          <t>Appendix A1.1 lists this exact catch name under `SM inv`; apportioned over the region 2 and region 3 pools by model biomass; region 1 is the Maldives shelf, outside LME 34.</t>
        </is>
      </c>
    </row>
    <row r="158">
      <c r="A158" t="inlineStr">
        <is>
          <t>Gobiidae</t>
        </is>
      </c>
      <c r="B158" t="inlineStr">
        <is>
          <t>Gobies</t>
        </is>
      </c>
      <c r="C158" t="inlineStr">
        <is>
          <t>Small reef assoc. fish (&lt;30 cm)</t>
        </is>
      </c>
      <c r="D158" t="inlineStr">
        <is>
          <t>Perch-likes</t>
        </is>
      </c>
      <c r="E158" s="5" t="inlineStr">
        <is>
          <t>2 SM inv | 3 SM inv | 2 SM pisc | 3 SM pisc</t>
        </is>
      </c>
      <c r="F158" t="inlineStr">
        <is>
          <t>0.181 | 0.390 | 0.131 | 0.298</t>
        </is>
      </c>
      <c r="G158" t="inlineStr">
        <is>
          <t>model_biomass</t>
        </is>
      </c>
      <c r="H158" t="inlineStr">
        <is>
          <t>medium</t>
        </is>
      </c>
      <c r="I158" t="inlineStr">
        <is>
          <t>composite_split</t>
        </is>
      </c>
      <c r="J158" t="n">
        <v>135347.108</v>
      </c>
      <c r="K158" t="n">
        <v>0.0539</v>
      </c>
      <c r="L158" s="6" t="inlineStr">
        <is>
          <t>Appendix A1.1 lists this exact catch name under `S inv, M pisc`; apportioned over the region 2 and region 3 pools by model biomass; region 1 is the Maldives shelf, outside LME 34.</t>
        </is>
      </c>
    </row>
    <row r="159">
      <c r="A159" t="inlineStr">
        <is>
          <t>Deveximentum insidiator</t>
        </is>
      </c>
      <c r="B159" t="inlineStr">
        <is>
          <t>Pugnose ponyfish</t>
        </is>
      </c>
      <c r="C159" t="inlineStr">
        <is>
          <t>Small pelagics (&lt;30 cm)</t>
        </is>
      </c>
      <c r="D159" t="inlineStr">
        <is>
          <t>Perch-likes</t>
        </is>
      </c>
      <c r="E159" s="5" t="inlineStr">
        <is>
          <t>2 SM inv | 3 SM inv</t>
        </is>
      </c>
      <c r="F159" t="inlineStr">
        <is>
          <t>0.317 | 0.683</t>
        </is>
      </c>
      <c r="G159" t="inlineStr">
        <is>
          <t>model_biomass</t>
        </is>
      </c>
      <c r="H159" t="inlineStr">
        <is>
          <t>medium</t>
        </is>
      </c>
      <c r="I159" t="inlineStr">
        <is>
          <t>composite_split</t>
        </is>
      </c>
      <c r="J159" t="n">
        <v>130516.01</v>
      </c>
      <c r="K159" t="n">
        <v>0.052</v>
      </c>
      <c r="L159" s="6" t="inlineStr">
        <is>
          <t>Accepted-name/synonym match: Appendix A1.1 lists Secutor insidiator (A1.3, SM inv species list) under `SM inv`. Apportioned over the region 2 and region 3 pools by model biomass; region 1 is the Maldives shelf, outside LME 34.</t>
        </is>
      </c>
    </row>
    <row r="160">
      <c r="A160" t="inlineStr">
        <is>
          <t>Plotosidae</t>
        </is>
      </c>
      <c r="B160" t="inlineStr">
        <is>
          <t>Eeltail catfishes</t>
        </is>
      </c>
      <c r="C160" t="inlineStr">
        <is>
          <t>Medium reef assoc. fish (30 - 89 cm)</t>
        </is>
      </c>
      <c r="D160" t="inlineStr">
        <is>
          <t>Other fishes &amp; inverts</t>
        </is>
      </c>
      <c r="E160" s="5" t="inlineStr">
        <is>
          <t>2 L pisc | 3 L pisc</t>
        </is>
      </c>
      <c r="F160" t="inlineStr">
        <is>
          <t>0.450 | 0.550</t>
        </is>
      </c>
      <c r="G160" t="inlineStr">
        <is>
          <t>model_biomass</t>
        </is>
      </c>
      <c r="H160" t="inlineStr">
        <is>
          <t>medium</t>
        </is>
      </c>
      <c r="I160" t="inlineStr">
        <is>
          <t>composite_split</t>
        </is>
      </c>
      <c r="J160" t="n">
        <v>130026.246</v>
      </c>
      <c r="K160" t="n">
        <v>0.0518</v>
      </c>
      <c r="L160" s="6" t="inlineStr">
        <is>
          <t>Appendix A1.1 lists this exact catch name under `L pisc`; apportioned over the region 2 and region 3 pools by model biomass; region 1 is the Maldives shelf, outside LME 34.</t>
        </is>
      </c>
    </row>
    <row r="161">
      <c r="A161" t="inlineStr">
        <is>
          <t>Xiphias gladius</t>
        </is>
      </c>
      <c r="B161" t="inlineStr">
        <is>
          <t>Swordfish</t>
        </is>
      </c>
      <c r="C161" t="inlineStr">
        <is>
          <t>Large pelagics (&gt;=90 cm)</t>
        </is>
      </c>
      <c r="D161" t="inlineStr">
        <is>
          <t>Tuna &amp; billfishes</t>
        </is>
      </c>
      <c r="E161" s="7" t="inlineStr">
        <is>
          <t>Tuna-like</t>
        </is>
      </c>
      <c r="F161" t="inlineStr"/>
      <c r="G161" t="inlineStr"/>
      <c r="H161" t="inlineStr">
        <is>
          <t>high</t>
        </is>
      </c>
      <c r="I161" t="inlineStr">
        <is>
          <t>explicit_member</t>
        </is>
      </c>
      <c r="J161" t="n">
        <v>129737.604</v>
      </c>
      <c r="K161" t="n">
        <v>0.0517</v>
      </c>
      <c r="L161" s="6" t="inlineStr">
        <is>
          <t>Appendix A1.1 lists this exact catch name under `tuna-like`, a group modelled over the whole study area (Appendix A1.2).</t>
        </is>
      </c>
    </row>
    <row r="162">
      <c r="A162" t="inlineStr">
        <is>
          <t>Malacostraca</t>
        </is>
      </c>
      <c r="B162" t="inlineStr">
        <is>
          <t>Lobsters, crabs, shrimps, krill</t>
        </is>
      </c>
      <c r="C162" t="inlineStr">
        <is>
          <t>Shrimps</t>
        </is>
      </c>
      <c r="D162" t="inlineStr">
        <is>
          <t>Crustaceans</t>
        </is>
      </c>
      <c r="E162" s="5" t="inlineStr">
        <is>
          <t>2 Crustaceans | 3 Crustaceans</t>
        </is>
      </c>
      <c r="F162" t="inlineStr">
        <is>
          <t>0.213 | 0.787</t>
        </is>
      </c>
      <c r="G162" t="inlineStr">
        <is>
          <t>model_biomass</t>
        </is>
      </c>
      <c r="H162" t="inlineStr">
        <is>
          <t>medium</t>
        </is>
      </c>
      <c r="I162" t="inlineStr">
        <is>
          <t>composite_split</t>
        </is>
      </c>
      <c r="J162" t="n">
        <v>129411.263</v>
      </c>
      <c r="K162" t="n">
        <v>0.0515</v>
      </c>
      <c r="L162" s="6" t="inlineStr">
        <is>
          <t>Sea Around Us classes this class-level record as Shrimps; Appendix A1.1 sends `Miscellaneous crustaceans` and all shrimp and crab records to the regional crustacean pool. Apportioned over the region 2 and region 3 pools by model biomass; region 1 is the Maldives shelf, outside LME 34.</t>
        </is>
      </c>
    </row>
    <row r="163">
      <c r="A163" t="inlineStr">
        <is>
          <t>Sparidae</t>
        </is>
      </c>
      <c r="B163" t="inlineStr">
        <is>
          <t>Porgies, seabreams</t>
        </is>
      </c>
      <c r="C163" t="inlineStr">
        <is>
          <t>Medium benthopelagics (30 - 89 cm)</t>
        </is>
      </c>
      <c r="D163" t="inlineStr">
        <is>
          <t>Perch-likes</t>
        </is>
      </c>
      <c r="E163" s="5" t="inlineStr">
        <is>
          <t>2 SM inv | 3 SM inv</t>
        </is>
      </c>
      <c r="F163" t="inlineStr">
        <is>
          <t>0.317 | 0.683</t>
        </is>
      </c>
      <c r="G163" t="inlineStr">
        <is>
          <t>model_biomass</t>
        </is>
      </c>
      <c r="H163" t="inlineStr">
        <is>
          <t>medium</t>
        </is>
      </c>
      <c r="I163" t="inlineStr">
        <is>
          <t>composite_split</t>
        </is>
      </c>
      <c r="J163" t="n">
        <v>125222.059</v>
      </c>
      <c r="K163" t="n">
        <v>0.0499</v>
      </c>
      <c r="L163" s="6" t="inlineStr">
        <is>
          <t>Appendix A1.1 lists this exact catch name under `SM inv`; apportioned over the region 2 and region 3 pools by model biomass; region 1 is the Maldives shelf, outside LME 34.</t>
        </is>
      </c>
    </row>
    <row r="164">
      <c r="A164" t="inlineStr">
        <is>
          <t>Bothidae</t>
        </is>
      </c>
      <c r="B164" t="inlineStr">
        <is>
          <t>Lefteye flounders</t>
        </is>
      </c>
      <c r="C164" t="inlineStr">
        <is>
          <t>Small to medium flatfishes (&lt;90 cm)</t>
        </is>
      </c>
      <c r="D164" t="inlineStr">
        <is>
          <t>Flatfishes</t>
        </is>
      </c>
      <c r="E164" s="5" t="inlineStr">
        <is>
          <t>2 SM inv | 3 SM inv</t>
        </is>
      </c>
      <c r="F164" t="inlineStr">
        <is>
          <t>0.317 | 0.683</t>
        </is>
      </c>
      <c r="G164" t="inlineStr">
        <is>
          <t>model_biomass</t>
        </is>
      </c>
      <c r="H164" t="inlineStr">
        <is>
          <t>medium</t>
        </is>
      </c>
      <c r="I164" t="inlineStr">
        <is>
          <t>composite_split</t>
        </is>
      </c>
      <c r="J164" t="n">
        <v>121829.69</v>
      </c>
      <c r="K164" t="n">
        <v>0.0485</v>
      </c>
      <c r="L164" s="6" t="inlineStr">
        <is>
          <t>Appendix A1.1 lists this exact catch name under `SM inv`; apportioned over the region 2 and region 3 pools by model biomass; region 1 is the Maldives shelf, outside LME 34.</t>
        </is>
      </c>
    </row>
    <row r="165">
      <c r="A165" t="inlineStr">
        <is>
          <t>Ganjampenaeopsis uncta</t>
        </is>
      </c>
      <c r="B165" t="inlineStr">
        <is>
          <t>Uncta shrimp</t>
        </is>
      </c>
      <c r="C165" t="inlineStr">
        <is>
          <t>Shrimps</t>
        </is>
      </c>
      <c r="D165" t="inlineStr">
        <is>
          <t>Crustaceans</t>
        </is>
      </c>
      <c r="E165" s="5" t="inlineStr">
        <is>
          <t>2 Crustaceans | 3 Crustaceans</t>
        </is>
      </c>
      <c r="F165" t="inlineStr">
        <is>
          <t>0.213 | 0.787</t>
        </is>
      </c>
      <c r="G165" t="inlineStr">
        <is>
          <t>model_biomass</t>
        </is>
      </c>
      <c r="H165" t="inlineStr">
        <is>
          <t>medium</t>
        </is>
      </c>
      <c r="I165" t="inlineStr">
        <is>
          <t>composite_split</t>
        </is>
      </c>
      <c r="J165" t="n">
        <v>118832.112</v>
      </c>
      <c r="K165" t="n">
        <v>0.0473</v>
      </c>
      <c r="L165" s="6" t="inlineStr">
        <is>
          <t>Accepted-name/synonym match: Appendix A1.1 lists the genus Parapenaeopsis under `shrimps`. Ganjampenaeopsis uncta is the former Parapenaeopsis uncta. Apportioned over the region 2 and region 3 pools by model biomass; region 1 is the Maldives shelf, outside LME 34.</t>
        </is>
      </c>
    </row>
    <row r="166">
      <c r="A166" t="inlineStr">
        <is>
          <t>Mierspenaeopsis hardwickii</t>
        </is>
      </c>
      <c r="B166" t="inlineStr">
        <is>
          <t>Spear shrimp</t>
        </is>
      </c>
      <c r="C166" t="inlineStr">
        <is>
          <t>Shrimps</t>
        </is>
      </c>
      <c r="D166" t="inlineStr">
        <is>
          <t>Crustaceans</t>
        </is>
      </c>
      <c r="E166" s="5" t="inlineStr">
        <is>
          <t>2 Crustaceans | 3 Crustaceans</t>
        </is>
      </c>
      <c r="F166" t="inlineStr">
        <is>
          <t>0.213 | 0.787</t>
        </is>
      </c>
      <c r="G166" t="inlineStr">
        <is>
          <t>model_biomass</t>
        </is>
      </c>
      <c r="H166" t="inlineStr">
        <is>
          <t>medium</t>
        </is>
      </c>
      <c r="I166" t="inlineStr">
        <is>
          <t>composite_split</t>
        </is>
      </c>
      <c r="J166" t="n">
        <v>105896.998</v>
      </c>
      <c r="K166" t="n">
        <v>0.0422</v>
      </c>
      <c r="L166" s="6" t="inlineStr">
        <is>
          <t>Accepted-name/synonym match: Appendix A1.1 lists Parapenaeopsis hardwickii under `shrimps`. Apportioned over the region 2 and region 3 pools by model biomass; region 1 is the Maldives shelf, outside LME 34.</t>
        </is>
      </c>
    </row>
    <row r="167">
      <c r="A167" t="inlineStr">
        <is>
          <t>Lutjanus johnii</t>
        </is>
      </c>
      <c r="B167" t="inlineStr">
        <is>
          <t>John's snapper</t>
        </is>
      </c>
      <c r="C167" t="inlineStr">
        <is>
          <t>Medium reef assoc. fish (30 - 89 cm)</t>
        </is>
      </c>
      <c r="D167" t="inlineStr">
        <is>
          <t>Perch-likes</t>
        </is>
      </c>
      <c r="E167" s="5" t="inlineStr">
        <is>
          <t>2 L pisc comm | 3 L pisc comm</t>
        </is>
      </c>
      <c r="F167" t="inlineStr">
        <is>
          <t>0.479 | 0.521</t>
        </is>
      </c>
      <c r="G167" t="inlineStr">
        <is>
          <t>model_biomass</t>
        </is>
      </c>
      <c r="H167" t="inlineStr">
        <is>
          <t>medium</t>
        </is>
      </c>
      <c r="I167" t="inlineStr">
        <is>
          <t>composite_split</t>
        </is>
      </c>
      <c r="J167" t="n">
        <v>103413.897</v>
      </c>
      <c r="K167" t="n">
        <v>0.0412</v>
      </c>
      <c r="L167" s="6" t="inlineStr">
        <is>
          <t>Appendix A1.1 lists this exact catch name under `L pisc comm`; apportioned over the region 2 and region 3 pools by model biomass; region 1 is the Maldives shelf, outside LME 34.</t>
        </is>
      </c>
    </row>
    <row r="168">
      <c r="A168" t="inlineStr">
        <is>
          <t>Istiophoridae</t>
        </is>
      </c>
      <c r="B168" t="inlineStr">
        <is>
          <t>Billfishes</t>
        </is>
      </c>
      <c r="C168" t="inlineStr">
        <is>
          <t>Large pelagics (&gt;=90 cm)</t>
        </is>
      </c>
      <c r="D168" t="inlineStr">
        <is>
          <t>Tuna &amp; billfishes</t>
        </is>
      </c>
      <c r="E168" s="7" t="inlineStr">
        <is>
          <t>Tuna-like</t>
        </is>
      </c>
      <c r="F168" t="inlineStr"/>
      <c r="G168" t="inlineStr"/>
      <c r="H168" t="inlineStr">
        <is>
          <t>high</t>
        </is>
      </c>
      <c r="I168" t="inlineStr">
        <is>
          <t>explicit_member</t>
        </is>
      </c>
      <c r="J168" t="n">
        <v>101863.612</v>
      </c>
      <c r="K168" t="n">
        <v>0.0406</v>
      </c>
      <c r="L168" s="6" t="inlineStr">
        <is>
          <t>Appendix A1.1 lists this exact catch name under `tuna-like`, a group modelled over the whole study area (Appendix A1.2).</t>
        </is>
      </c>
    </row>
    <row r="169">
      <c r="A169" t="inlineStr">
        <is>
          <t>Thunnus</t>
        </is>
      </c>
      <c r="B169" t="inlineStr">
        <is>
          <t>Tunas</t>
        </is>
      </c>
      <c r="C169" t="inlineStr">
        <is>
          <t>Large pelagics (&gt;=90 cm)</t>
        </is>
      </c>
      <c r="D169" t="inlineStr">
        <is>
          <t>Tuna &amp; billfishes</t>
        </is>
      </c>
      <c r="E169" s="7" t="inlineStr">
        <is>
          <t>Tuna-like</t>
        </is>
      </c>
      <c r="F169" t="inlineStr"/>
      <c r="G169" t="inlineStr"/>
      <c r="H169" t="inlineStr">
        <is>
          <t>high</t>
        </is>
      </c>
      <c r="I169" t="inlineStr">
        <is>
          <t>explicit_member</t>
        </is>
      </c>
      <c r="J169" t="n">
        <v>101264.688</v>
      </c>
      <c r="K169" t="n">
        <v>0.0403</v>
      </c>
      <c r="L169" s="6" t="inlineStr">
        <is>
          <t>Appendix A1.1 lists this exact catch name under `tuna-like`, a group modelled over the whole study area (Appendix A1.2).</t>
        </is>
      </c>
    </row>
    <row r="170">
      <c r="A170" t="inlineStr">
        <is>
          <t>Sergestidae</t>
        </is>
      </c>
      <c r="B170" t="inlineStr">
        <is>
          <t>Sergestid shrimp</t>
        </is>
      </c>
      <c r="C170" t="inlineStr">
        <is>
          <t>Shrimps</t>
        </is>
      </c>
      <c r="D170" t="inlineStr">
        <is>
          <t>Crustaceans</t>
        </is>
      </c>
      <c r="E170" s="5" t="inlineStr">
        <is>
          <t>2 Crustaceans | 3 Crustaceans</t>
        </is>
      </c>
      <c r="F170" t="inlineStr">
        <is>
          <t>0.213 | 0.787</t>
        </is>
      </c>
      <c r="G170" t="inlineStr">
        <is>
          <t>model_biomass</t>
        </is>
      </c>
      <c r="H170" t="inlineStr">
        <is>
          <t>medium</t>
        </is>
      </c>
      <c r="I170" t="inlineStr">
        <is>
          <t>composite_split</t>
        </is>
      </c>
      <c r="J170" t="n">
        <v>97361.95</v>
      </c>
      <c r="K170" t="n">
        <v>0.0388</v>
      </c>
      <c r="L170" s="6" t="inlineStr">
        <is>
          <t>Appendix A1.1 lists this exact catch name under `shrimps`; apportioned over the region 2 and region 3 pools by model biomass; region 1 is the Maldives shelf, outside LME 34.</t>
        </is>
      </c>
    </row>
    <row r="171">
      <c r="A171" t="inlineStr">
        <is>
          <t>Siganus</t>
        </is>
      </c>
      <c r="B171" t="inlineStr">
        <is>
          <t>Spinefoots</t>
        </is>
      </c>
      <c r="C171" t="inlineStr">
        <is>
          <t>Medium reef assoc. fish (30 - 89 cm)</t>
        </is>
      </c>
      <c r="D171" t="inlineStr">
        <is>
          <t>Perch-likes</t>
        </is>
      </c>
      <c r="E171" s="5" t="inlineStr">
        <is>
          <t>2 SM inv | 3 SM inv</t>
        </is>
      </c>
      <c r="F171" t="inlineStr">
        <is>
          <t>0.317 | 0.683</t>
        </is>
      </c>
      <c r="G171" t="inlineStr">
        <is>
          <t>model_biomass</t>
        </is>
      </c>
      <c r="H171" t="inlineStr">
        <is>
          <t>medium</t>
        </is>
      </c>
      <c r="I171" t="inlineStr">
        <is>
          <t>composite_split</t>
        </is>
      </c>
      <c r="J171" t="n">
        <v>94323.81299999999</v>
      </c>
      <c r="K171" t="n">
        <v>0.0376</v>
      </c>
      <c r="L171" s="6" t="inlineStr">
        <is>
          <t>Appendix A1.1 lists this exact catch name under `SM inv`; apportioned over the region 2 and region 3 pools by model biomass; region 1 is the Maldives shelf, outside LME 34.</t>
        </is>
      </c>
    </row>
    <row r="172">
      <c r="A172" t="inlineStr">
        <is>
          <t>Ilisha elongata</t>
        </is>
      </c>
      <c r="B172" t="inlineStr">
        <is>
          <t>Elongate ilisha</t>
        </is>
      </c>
      <c r="C172" t="inlineStr">
        <is>
          <t>Medium pelagics (30 - 89 cm)</t>
        </is>
      </c>
      <c r="D172" t="inlineStr">
        <is>
          <t>Herring-likes</t>
        </is>
      </c>
      <c r="E172" s="7" t="inlineStr">
        <is>
          <t>2-3 Hilsa</t>
        </is>
      </c>
      <c r="F172" t="inlineStr"/>
      <c r="G172" t="inlineStr"/>
      <c r="H172" t="inlineStr">
        <is>
          <t>high</t>
        </is>
      </c>
      <c r="I172" t="inlineStr">
        <is>
          <t>explicit_member</t>
        </is>
      </c>
      <c r="J172" t="n">
        <v>93389.476</v>
      </c>
      <c r="K172" t="n">
        <v>0.0372</v>
      </c>
      <c r="L172" s="6" t="inlineStr">
        <is>
          <t>Appendix A1.1 lists this exact catch name under `Hilsa`, which the model carries as one group straddling the shelves of regions 2 and 3 (Appendix A1.2), so no regional split applies.</t>
        </is>
      </c>
    </row>
    <row r="173">
      <c r="A173" t="inlineStr">
        <is>
          <t>Plotosus</t>
        </is>
      </c>
      <c r="B173" t="inlineStr">
        <is>
          <t>Eel catfishes</t>
        </is>
      </c>
      <c r="C173" t="inlineStr">
        <is>
          <t>Medium reef assoc. fish (30 - 89 cm)</t>
        </is>
      </c>
      <c r="D173" t="inlineStr">
        <is>
          <t>Other fishes &amp; inverts</t>
        </is>
      </c>
      <c r="E173" s="5" t="inlineStr">
        <is>
          <t>2 L pisc | 3 L pisc</t>
        </is>
      </c>
      <c r="F173" t="inlineStr">
        <is>
          <t>0.450 | 0.550</t>
        </is>
      </c>
      <c r="G173" t="inlineStr">
        <is>
          <t>model_biomass</t>
        </is>
      </c>
      <c r="H173" t="inlineStr">
        <is>
          <t>medium</t>
        </is>
      </c>
      <c r="I173" t="inlineStr">
        <is>
          <t>composite_split</t>
        </is>
      </c>
      <c r="J173" t="n">
        <v>92683.925</v>
      </c>
      <c r="K173" t="n">
        <v>0.0369</v>
      </c>
      <c r="L173" s="6" t="inlineStr">
        <is>
          <t>Appendix A1.1 lists this exact catch name under `L pisc`; apportioned over the region 2 and region 3 pools by model biomass; region 1 is the Maldives shelf, outside LME 34.</t>
        </is>
      </c>
    </row>
    <row r="174">
      <c r="A174" t="inlineStr">
        <is>
          <t>Caranx</t>
        </is>
      </c>
      <c r="B174" t="inlineStr">
        <is>
          <t>Jacks</t>
        </is>
      </c>
      <c r="C174" t="inlineStr">
        <is>
          <t>Medium reef assoc. fish (30 - 89 cm)</t>
        </is>
      </c>
      <c r="D174" t="inlineStr">
        <is>
          <t>Perch-likes</t>
        </is>
      </c>
      <c r="E174" s="5" t="inlineStr">
        <is>
          <t>2 Carangids | 3 Carangids</t>
        </is>
      </c>
      <c r="F174" t="inlineStr">
        <is>
          <t>0.304 | 0.696</t>
        </is>
      </c>
      <c r="G174" t="inlineStr">
        <is>
          <t>model_biomass</t>
        </is>
      </c>
      <c r="H174" t="inlineStr">
        <is>
          <t>medium</t>
        </is>
      </c>
      <c r="I174" t="inlineStr">
        <is>
          <t>composite_split</t>
        </is>
      </c>
      <c r="J174" t="n">
        <v>92193.705</v>
      </c>
      <c r="K174" t="n">
        <v>0.0367</v>
      </c>
      <c r="L174" s="6" t="inlineStr">
        <is>
          <t>Appendix A1.1 lists this exact catch name under `Carangids`; apportioned over the region 2 and region 3 pools by model biomass; region 1 is the Maldives shelf, outside LME 34.</t>
        </is>
      </c>
    </row>
    <row r="175">
      <c r="A175" t="inlineStr">
        <is>
          <t>Carangoides</t>
        </is>
      </c>
      <c r="B175" t="inlineStr">
        <is>
          <t>Trevallies</t>
        </is>
      </c>
      <c r="C175" t="inlineStr">
        <is>
          <t>Medium reef assoc. fish (30 - 89 cm)</t>
        </is>
      </c>
      <c r="D175" t="inlineStr">
        <is>
          <t>Perch-likes</t>
        </is>
      </c>
      <c r="E175" s="5" t="inlineStr">
        <is>
          <t>2 Carangids | 3 Carangids</t>
        </is>
      </c>
      <c r="F175" t="inlineStr">
        <is>
          <t>0.304 | 0.696</t>
        </is>
      </c>
      <c r="G175" t="inlineStr">
        <is>
          <t>model_biomass</t>
        </is>
      </c>
      <c r="H175" t="inlineStr">
        <is>
          <t>medium</t>
        </is>
      </c>
      <c r="I175" t="inlineStr">
        <is>
          <t>composite_split</t>
        </is>
      </c>
      <c r="J175" t="n">
        <v>91719.31299999999</v>
      </c>
      <c r="K175" t="n">
        <v>0.0365</v>
      </c>
      <c r="L175" s="6" t="inlineStr">
        <is>
          <t>Appendix A1.1 lists this exact catch name under `Carangids`; apportioned over the region 2 and region 3 pools by model biomass; region 1 is the Maldives shelf, outside LME 34.</t>
        </is>
      </c>
    </row>
    <row r="176">
      <c r="A176" t="inlineStr">
        <is>
          <t>Penaeus indicus</t>
        </is>
      </c>
      <c r="B176" t="inlineStr">
        <is>
          <t>Indian white prawn</t>
        </is>
      </c>
      <c r="C176" t="inlineStr">
        <is>
          <t>Shrimps</t>
        </is>
      </c>
      <c r="D176" t="inlineStr">
        <is>
          <t>Crustaceans</t>
        </is>
      </c>
      <c r="E176" s="5" t="inlineStr">
        <is>
          <t>2 Crustaceans | 3 Crustaceans</t>
        </is>
      </c>
      <c r="F176" t="inlineStr">
        <is>
          <t>0.213 | 0.787</t>
        </is>
      </c>
      <c r="G176" t="inlineStr">
        <is>
          <t>model_biomass</t>
        </is>
      </c>
      <c r="H176" t="inlineStr">
        <is>
          <t>medium</t>
        </is>
      </c>
      <c r="I176" t="inlineStr">
        <is>
          <t>composite_split</t>
        </is>
      </c>
      <c r="J176" t="n">
        <v>89530.07000000001</v>
      </c>
      <c r="K176" t="n">
        <v>0.0356</v>
      </c>
      <c r="L176" s="6" t="inlineStr">
        <is>
          <t>Accepted-name/synonym match: Appendix A1.1 lists Fenneropenaeus indicus under `shrimps`. Apportioned over the region 2 and region 3 pools by model biomass; region 1 is the Maldives shelf, outside LME 34.</t>
        </is>
      </c>
    </row>
    <row r="177">
      <c r="A177" t="inlineStr">
        <is>
          <t>Gudusia chapra</t>
        </is>
      </c>
      <c r="B177" t="inlineStr">
        <is>
          <t>Indian river shad</t>
        </is>
      </c>
      <c r="C177" t="inlineStr">
        <is>
          <t>Small pelagics (&lt;30 cm)</t>
        </is>
      </c>
      <c r="D177" t="inlineStr">
        <is>
          <t>Herring-likes</t>
        </is>
      </c>
      <c r="E177" s="7" t="inlineStr">
        <is>
          <t>2-3 Hilsa</t>
        </is>
      </c>
      <c r="F177" t="inlineStr"/>
      <c r="G177" t="inlineStr"/>
      <c r="H177" t="inlineStr">
        <is>
          <t>high</t>
        </is>
      </c>
      <c r="I177" t="inlineStr">
        <is>
          <t>explicit_member</t>
        </is>
      </c>
      <c r="J177" t="n">
        <v>79866.242</v>
      </c>
      <c r="K177" t="n">
        <v>0.0318</v>
      </c>
      <c r="L177" s="6" t="inlineStr">
        <is>
          <t>Appendix A1.3 lists Gudusia chapra in the `Hilsa` species list.</t>
        </is>
      </c>
    </row>
    <row r="178">
      <c r="A178" t="inlineStr">
        <is>
          <t>Portunus</t>
        </is>
      </c>
      <c r="B178" t="inlineStr">
        <is>
          <t>Swimmer crabs</t>
        </is>
      </c>
      <c r="C178" t="inlineStr">
        <is>
          <t>Lobsters, crabs</t>
        </is>
      </c>
      <c r="D178" t="inlineStr">
        <is>
          <t>Crustaceans</t>
        </is>
      </c>
      <c r="E178" s="5" t="inlineStr">
        <is>
          <t>2 Crustaceans | 3 Crustaceans</t>
        </is>
      </c>
      <c r="F178" t="inlineStr">
        <is>
          <t>0.213 | 0.787</t>
        </is>
      </c>
      <c r="G178" t="inlineStr">
        <is>
          <t>model_biomass</t>
        </is>
      </c>
      <c r="H178" t="inlineStr">
        <is>
          <t>medium</t>
        </is>
      </c>
      <c r="I178" t="inlineStr">
        <is>
          <t>composite_split</t>
        </is>
      </c>
      <c r="J178" t="n">
        <v>78449.216</v>
      </c>
      <c r="K178" t="n">
        <v>0.0312</v>
      </c>
      <c r="L178" s="6" t="inlineStr">
        <is>
          <t>Appendix A1.1 lists this exact catch name under `Crabs`; apportioned over the region 2 and region 3 pools by model biomass; region 1 is the Maldives shelf, outside LME 34.</t>
        </is>
      </c>
    </row>
    <row r="179">
      <c r="A179" t="inlineStr">
        <is>
          <t>Metapenaeus monoceros</t>
        </is>
      </c>
      <c r="B179" t="inlineStr">
        <is>
          <t>Speckled shrimp</t>
        </is>
      </c>
      <c r="C179" t="inlineStr">
        <is>
          <t>Shrimps</t>
        </is>
      </c>
      <c r="D179" t="inlineStr">
        <is>
          <t>Crustaceans</t>
        </is>
      </c>
      <c r="E179" s="5" t="inlineStr">
        <is>
          <t>2 Crustaceans | 3 Crustaceans</t>
        </is>
      </c>
      <c r="F179" t="inlineStr">
        <is>
          <t>0.213 | 0.787</t>
        </is>
      </c>
      <c r="G179" t="inlineStr">
        <is>
          <t>model_biomass</t>
        </is>
      </c>
      <c r="H179" t="inlineStr">
        <is>
          <t>medium</t>
        </is>
      </c>
      <c r="I179" t="inlineStr">
        <is>
          <t>composite_split</t>
        </is>
      </c>
      <c r="J179" t="n">
        <v>76203.69100000001</v>
      </c>
      <c r="K179" t="n">
        <v>0.0303</v>
      </c>
      <c r="L179" s="6" t="inlineStr">
        <is>
          <t>Appendix A1.1 lists this exact catch name under `shrimps`; apportioned over the region 2 and region 3 pools by model biomass; region 1 is the Maldives shelf, outside LME 34.</t>
        </is>
      </c>
    </row>
    <row r="180">
      <c r="A180" t="inlineStr">
        <is>
          <t>Palinuridae</t>
        </is>
      </c>
      <c r="B180" t="inlineStr">
        <is>
          <t>Spiny lobsters</t>
        </is>
      </c>
      <c r="C180" t="inlineStr">
        <is>
          <t>Lobsters, crabs</t>
        </is>
      </c>
      <c r="D180" t="inlineStr">
        <is>
          <t>Crustaceans</t>
        </is>
      </c>
      <c r="E180" s="5" t="inlineStr">
        <is>
          <t>2 Crustaceans | 3 Crustaceans</t>
        </is>
      </c>
      <c r="F180" t="inlineStr">
        <is>
          <t>0.213 | 0.787</t>
        </is>
      </c>
      <c r="G180" t="inlineStr">
        <is>
          <t>model_biomass</t>
        </is>
      </c>
      <c r="H180" t="inlineStr">
        <is>
          <t>medium</t>
        </is>
      </c>
      <c r="I180" t="inlineStr">
        <is>
          <t>composite_split</t>
        </is>
      </c>
      <c r="J180" t="n">
        <v>66111.63400000001</v>
      </c>
      <c r="K180" t="n">
        <v>0.0263</v>
      </c>
      <c r="L180" s="6" t="inlineStr">
        <is>
          <t>Appendix A1.1 lists this exact catch name under `Crabs`; apportioned over the region 2 and region 3 pools by model biomass; region 1 is the Maldives shelf, outside LME 34.</t>
        </is>
      </c>
    </row>
    <row r="181">
      <c r="A181" t="inlineStr">
        <is>
          <t>Dussumieria</t>
        </is>
      </c>
      <c r="B181" t="inlineStr">
        <is>
          <t>Rainbow sardines</t>
        </is>
      </c>
      <c r="C181" t="inlineStr">
        <is>
          <t>Small pelagics (&lt;30 cm)</t>
        </is>
      </c>
      <c r="D181" t="inlineStr">
        <is>
          <t>Herring-likes</t>
        </is>
      </c>
      <c r="E181" s="5" t="inlineStr">
        <is>
          <t>2 S pelagics | 3 S pelagics</t>
        </is>
      </c>
      <c r="F181" t="inlineStr">
        <is>
          <t>0.298 | 0.702</t>
        </is>
      </c>
      <c r="G181" t="inlineStr">
        <is>
          <t>model_biomass</t>
        </is>
      </c>
      <c r="H181" t="inlineStr">
        <is>
          <t>medium</t>
        </is>
      </c>
      <c r="I181" t="inlineStr">
        <is>
          <t>composite_split</t>
        </is>
      </c>
      <c r="J181" t="n">
        <v>65172.42</v>
      </c>
      <c r="K181" t="n">
        <v>0.026</v>
      </c>
      <c r="L181" s="6" t="inlineStr">
        <is>
          <t>Appendix A1.1 lists this exact catch name under `S pelagics`; apportioned over the region 2 and region 3 pools by model biomass; region 1 is the Maldives shelf, outside LME 34.</t>
        </is>
      </c>
    </row>
    <row r="182">
      <c r="A182" t="inlineStr">
        <is>
          <t>Sepioteuthis lessoniana</t>
        </is>
      </c>
      <c r="B182" t="inlineStr">
        <is>
          <t>Bigfin reef squid</t>
        </is>
      </c>
      <c r="C182" t="inlineStr">
        <is>
          <t>Cephalopods</t>
        </is>
      </c>
      <c r="D182" t="inlineStr">
        <is>
          <t>Other fishes &amp; inverts</t>
        </is>
      </c>
      <c r="E182" s="7" t="inlineStr">
        <is>
          <t>Cephalopods</t>
        </is>
      </c>
      <c r="F182" t="inlineStr"/>
      <c r="G182" t="inlineStr"/>
      <c r="H182" t="inlineStr">
        <is>
          <t>high</t>
        </is>
      </c>
      <c r="I182" t="inlineStr">
        <is>
          <t>explicit_member</t>
        </is>
      </c>
      <c r="J182" t="n">
        <v>65164.961</v>
      </c>
      <c r="K182" t="n">
        <v>0.0259</v>
      </c>
      <c r="L182" s="6" t="inlineStr">
        <is>
          <t>Appendix A1.1 lists this exact catch name under `cephalopods`, a group modelled over the whole study area (Appendix A1.2).</t>
        </is>
      </c>
    </row>
    <row r="183">
      <c r="A183" t="inlineStr">
        <is>
          <t>Seriolina nigrofasciata</t>
        </is>
      </c>
      <c r="B183" t="inlineStr">
        <is>
          <t>Blackbanded trevally</t>
        </is>
      </c>
      <c r="C183" t="inlineStr">
        <is>
          <t>Medium reef assoc. fish (30 - 89 cm)</t>
        </is>
      </c>
      <c r="D183" t="inlineStr">
        <is>
          <t>Perch-likes</t>
        </is>
      </c>
      <c r="E183" s="5" t="inlineStr">
        <is>
          <t>2 Carangids | 3 Carangids</t>
        </is>
      </c>
      <c r="F183" t="inlineStr">
        <is>
          <t>0.304 | 0.696</t>
        </is>
      </c>
      <c r="G183" t="inlineStr">
        <is>
          <t>model_biomass</t>
        </is>
      </c>
      <c r="H183" t="inlineStr">
        <is>
          <t>medium</t>
        </is>
      </c>
      <c r="I183" t="inlineStr">
        <is>
          <t>composite_split</t>
        </is>
      </c>
      <c r="J183" t="n">
        <v>65128.54</v>
      </c>
      <c r="K183" t="n">
        <v>0.0259</v>
      </c>
      <c r="L183" s="6" t="inlineStr">
        <is>
          <t>Appendix A1.1 lists this exact catch name under `Carangids`; apportioned over the region 2 and region 3 pools by model biomass; region 1 is the Maldives shelf, outside LME 34.</t>
        </is>
      </c>
    </row>
    <row r="184">
      <c r="A184" t="inlineStr">
        <is>
          <t>Scorpaenidae</t>
        </is>
      </c>
      <c r="B184" t="inlineStr">
        <is>
          <t>Scorpionfishes, rockfishes</t>
        </is>
      </c>
      <c r="C184" t="inlineStr">
        <is>
          <t>Large reef assoc. fish (&gt;=90 cm)</t>
        </is>
      </c>
      <c r="D184" t="inlineStr">
        <is>
          <t>Scorpionfishes</t>
        </is>
      </c>
      <c r="E184" s="5" t="inlineStr">
        <is>
          <t>2 SM pisc | 3 SM pisc</t>
        </is>
      </c>
      <c r="F184" t="inlineStr">
        <is>
          <t>0.306 | 0.694</t>
        </is>
      </c>
      <c r="G184" t="inlineStr">
        <is>
          <t>model_biomass</t>
        </is>
      </c>
      <c r="H184" t="inlineStr">
        <is>
          <t>medium</t>
        </is>
      </c>
      <c r="I184" t="inlineStr">
        <is>
          <t>composite_split</t>
        </is>
      </c>
      <c r="J184" t="n">
        <v>62260.425</v>
      </c>
      <c r="K184" t="n">
        <v>0.0248</v>
      </c>
      <c r="L184" s="6" t="inlineStr">
        <is>
          <t>Appendix A1.3 places the scorpaenids - Pterois miles, P. russelii, P. volitans, Scorpaenopsis, Dendrochirus and Scorpaenodes - in the SM pisc species list. Apportioned over the region 2 and region 3 pools by model biomass; region 1 is the Maldives shelf, outside LME 34.</t>
        </is>
      </c>
    </row>
    <row r="185">
      <c r="A185" t="inlineStr">
        <is>
          <t>Muraenesox cinereus</t>
        </is>
      </c>
      <c r="B185" t="inlineStr">
        <is>
          <t>Daggertooth pike conger</t>
        </is>
      </c>
      <c r="C185" t="inlineStr">
        <is>
          <t>Large demersals (&gt;=90 cm)</t>
        </is>
      </c>
      <c r="D185" t="inlineStr">
        <is>
          <t>Other fishes &amp; inverts</t>
        </is>
      </c>
      <c r="E185" s="5" t="inlineStr">
        <is>
          <t>2 L pisc | 3 L pisc</t>
        </is>
      </c>
      <c r="F185" t="inlineStr">
        <is>
          <t>0.450 | 0.550</t>
        </is>
      </c>
      <c r="G185" t="inlineStr">
        <is>
          <t>model_biomass</t>
        </is>
      </c>
      <c r="H185" t="inlineStr">
        <is>
          <t>medium</t>
        </is>
      </c>
      <c r="I185" t="inlineStr">
        <is>
          <t>composite_split</t>
        </is>
      </c>
      <c r="J185" t="n">
        <v>60544.18</v>
      </c>
      <c r="K185" t="n">
        <v>0.0241</v>
      </c>
      <c r="L185" s="6" t="inlineStr">
        <is>
          <t>Appendix A1.1 lists this exact catch name under `L pisc`; apportioned over the region 2 and region 3 pools by model biomass; region 1 is the Maldives shelf, outside LME 34.</t>
        </is>
      </c>
    </row>
    <row r="186">
      <c r="A186" t="inlineStr">
        <is>
          <t>Balistidae</t>
        </is>
      </c>
      <c r="B186" t="inlineStr">
        <is>
          <t>Triggerfishes</t>
        </is>
      </c>
      <c r="C186" t="inlineStr">
        <is>
          <t>Medium reef assoc. fish (30 - 89 cm)</t>
        </is>
      </c>
      <c r="D186" t="inlineStr">
        <is>
          <t>Other fishes &amp; inverts</t>
        </is>
      </c>
      <c r="E186" s="5" t="inlineStr">
        <is>
          <t>2 SM pisc | 3 SM pisc</t>
        </is>
      </c>
      <c r="F186" t="inlineStr">
        <is>
          <t>0.306 | 0.694</t>
        </is>
      </c>
      <c r="G186" t="inlineStr">
        <is>
          <t>model_biomass</t>
        </is>
      </c>
      <c r="H186" t="inlineStr">
        <is>
          <t>medium</t>
        </is>
      </c>
      <c r="I186" t="inlineStr">
        <is>
          <t>composite_split</t>
        </is>
      </c>
      <c r="J186" t="n">
        <v>59542.056</v>
      </c>
      <c r="K186" t="n">
        <v>0.0237</v>
      </c>
      <c r="L186" s="6" t="inlineStr">
        <is>
          <t>Appendix A1.1 puts the only balistid it names, Abalistes stellaris, under SM pisc; the monacanthids that A1.1 sends to SM inv are a different family. Apportioned over the region 2 and region 3 pools by model biomass; region 1 is the Maldives shelf, outside LME 34.</t>
        </is>
      </c>
    </row>
    <row r="187">
      <c r="A187" t="inlineStr">
        <is>
          <t>Coryphaena</t>
        </is>
      </c>
      <c r="B187" t="inlineStr">
        <is>
          <t>Dolphinfishes</t>
        </is>
      </c>
      <c r="C187" t="inlineStr">
        <is>
          <t>Large pelagics (&gt;=90 cm)</t>
        </is>
      </c>
      <c r="D187" t="inlineStr">
        <is>
          <t>Perch-likes</t>
        </is>
      </c>
      <c r="E187" s="5" t="inlineStr">
        <is>
          <t>2 L pisc | 3 L pisc</t>
        </is>
      </c>
      <c r="F187" t="inlineStr">
        <is>
          <t>0.450 | 0.550</t>
        </is>
      </c>
      <c r="G187" t="inlineStr">
        <is>
          <t>model_biomass</t>
        </is>
      </c>
      <c r="H187" t="inlineStr">
        <is>
          <t>medium</t>
        </is>
      </c>
      <c r="I187" t="inlineStr">
        <is>
          <t>composite_split</t>
        </is>
      </c>
      <c r="J187" t="n">
        <v>57906.019</v>
      </c>
      <c r="K187" t="n">
        <v>0.0231</v>
      </c>
      <c r="L187" s="6" t="inlineStr">
        <is>
          <t>Appendix A1.1 lists this exact catch name under `L pisc`; apportioned over the region 2 and region 3 pools by model biomass; region 1 is the Maldives shelf, outside LME 34.</t>
        </is>
      </c>
    </row>
    <row r="188">
      <c r="A188" t="inlineStr">
        <is>
          <t>Gerreidae</t>
        </is>
      </c>
      <c r="B188" t="inlineStr">
        <is>
          <t>Mojarras, silverbellies</t>
        </is>
      </c>
      <c r="C188" t="inlineStr">
        <is>
          <t>Small benthopelagics (&lt;30 cm)</t>
        </is>
      </c>
      <c r="D188" t="inlineStr">
        <is>
          <t>Perch-likes</t>
        </is>
      </c>
      <c r="E188" s="5" t="inlineStr">
        <is>
          <t>2 SM inv | 3 SM inv</t>
        </is>
      </c>
      <c r="F188" t="inlineStr">
        <is>
          <t>0.317 | 0.683</t>
        </is>
      </c>
      <c r="G188" t="inlineStr">
        <is>
          <t>model_biomass</t>
        </is>
      </c>
      <c r="H188" t="inlineStr">
        <is>
          <t>medium</t>
        </is>
      </c>
      <c r="I188" t="inlineStr">
        <is>
          <t>composite_split</t>
        </is>
      </c>
      <c r="J188" t="n">
        <v>55653.754</v>
      </c>
      <c r="K188" t="n">
        <v>0.0222</v>
      </c>
      <c r="L188" s="6" t="inlineStr">
        <is>
          <t>Appendix A1.1 lists this exact catch name under `SM inv`; apportioned over the region 2 and region 3 pools by model biomass; region 1 is the Maldives shelf, outside LME 34.</t>
        </is>
      </c>
    </row>
    <row r="189">
      <c r="A189" t="inlineStr">
        <is>
          <t>Alopias</t>
        </is>
      </c>
      <c r="B189" t="inlineStr">
        <is>
          <t>Thresher sharks</t>
        </is>
      </c>
      <c r="C189" t="inlineStr">
        <is>
          <t>Large sharks (&gt;=90 cm)</t>
        </is>
      </c>
      <c r="D189" t="inlineStr">
        <is>
          <t>Sharks &amp; rays</t>
        </is>
      </c>
      <c r="E189" s="7" t="inlineStr">
        <is>
          <t>Oceanic sharks</t>
        </is>
      </c>
      <c r="F189" t="inlineStr"/>
      <c r="G189" t="inlineStr"/>
      <c r="H189" t="inlineStr">
        <is>
          <t>high</t>
        </is>
      </c>
      <c r="I189" t="inlineStr">
        <is>
          <t>explicit_member</t>
        </is>
      </c>
      <c r="J189" t="n">
        <v>51679.254</v>
      </c>
      <c r="K189" t="n">
        <v>0.0206</v>
      </c>
      <c r="L189" s="6" t="inlineStr">
        <is>
          <t>Appendix A1.1 lists this exact catch name under `oceanic sharks`, a group modelled over the whole study area (Appendix A1.2).</t>
        </is>
      </c>
    </row>
    <row r="190">
      <c r="A190" t="inlineStr">
        <is>
          <t>Pristipomoides</t>
        </is>
      </c>
      <c r="B190" t="inlineStr">
        <is>
          <t>Jobfishes</t>
        </is>
      </c>
      <c r="C190" t="inlineStr">
        <is>
          <t>Medium demersals (30 - 89 cm)</t>
        </is>
      </c>
      <c r="D190" t="inlineStr">
        <is>
          <t>Perch-likes</t>
        </is>
      </c>
      <c r="E190" s="5" t="inlineStr">
        <is>
          <t>2 L pisc comm | 3 L pisc comm</t>
        </is>
      </c>
      <c r="F190" t="inlineStr">
        <is>
          <t>0.479 | 0.521</t>
        </is>
      </c>
      <c r="G190" t="inlineStr">
        <is>
          <t>model_biomass</t>
        </is>
      </c>
      <c r="H190" t="inlineStr">
        <is>
          <t>medium</t>
        </is>
      </c>
      <c r="I190" t="inlineStr">
        <is>
          <t>composite_split</t>
        </is>
      </c>
      <c r="J190" t="n">
        <v>50960.313</v>
      </c>
      <c r="K190" t="n">
        <v>0.0203</v>
      </c>
      <c r="L190" s="6" t="inlineStr">
        <is>
          <t>Appendix A1.1 lists this exact catch name under `L pisc comm`; apportioned over the region 2 and region 3 pools by model biomass; region 1 is the Maldives shelf, outside LME 34.</t>
        </is>
      </c>
    </row>
    <row r="191">
      <c r="A191" t="inlineStr">
        <is>
          <t>Kajikia audax</t>
        </is>
      </c>
      <c r="B191" t="inlineStr">
        <is>
          <t>Striped marlin</t>
        </is>
      </c>
      <c r="C191" t="inlineStr">
        <is>
          <t>Large pelagics (&gt;=90 cm)</t>
        </is>
      </c>
      <c r="D191" t="inlineStr">
        <is>
          <t>Tuna &amp; billfishes</t>
        </is>
      </c>
      <c r="E191" s="7" t="inlineStr">
        <is>
          <t>Marlins</t>
        </is>
      </c>
      <c r="F191" t="inlineStr"/>
      <c r="G191" t="inlineStr"/>
      <c r="H191" t="inlineStr">
        <is>
          <t>high</t>
        </is>
      </c>
      <c r="I191" t="inlineStr">
        <is>
          <t>explicit_member</t>
        </is>
      </c>
      <c r="J191" t="n">
        <v>50178.74</v>
      </c>
      <c r="K191" t="n">
        <v>0.02</v>
      </c>
      <c r="L191" s="6" t="inlineStr">
        <is>
          <t>Appendix A1.1 lists this exact catch name under `Marlins`, a group modelled over the whole study area (Appendix A1.2).</t>
        </is>
      </c>
    </row>
    <row r="192">
      <c r="A192" t="inlineStr">
        <is>
          <t>Modiolus</t>
        </is>
      </c>
      <c r="B192" t="inlineStr">
        <is>
          <t>Horse mussels</t>
        </is>
      </c>
      <c r="C192" t="inlineStr">
        <is>
          <t>Other demersal invertebrates</t>
        </is>
      </c>
      <c r="D192" t="inlineStr">
        <is>
          <t>Molluscs</t>
        </is>
      </c>
      <c r="E192" s="5" t="inlineStr">
        <is>
          <t>2 Macrobenthos | 3 Macrobenthos</t>
        </is>
      </c>
      <c r="F192" t="inlineStr">
        <is>
          <t>0.363 | 0.637</t>
        </is>
      </c>
      <c r="G192" t="inlineStr">
        <is>
          <t>model_biomass</t>
        </is>
      </c>
      <c r="H192" t="inlineStr">
        <is>
          <t>medium</t>
        </is>
      </c>
      <c r="I192" t="inlineStr">
        <is>
          <t>composite_split</t>
        </is>
      </c>
      <c r="J192" t="n">
        <v>49323.207</v>
      </c>
      <c r="K192" t="n">
        <v>0.0196</v>
      </c>
      <c r="L192" s="6" t="inlineStr">
        <is>
          <t>Appendix A1.1 lists this exact catch name under `macrobenthos`; apportioned over the region 2 and region 3 pools by model biomass; region 1 is the Maldives shelf, outside LME 34.</t>
        </is>
      </c>
    </row>
    <row r="193">
      <c r="A193" t="inlineStr">
        <is>
          <t>Scomberoides</t>
        </is>
      </c>
      <c r="B193" t="inlineStr">
        <is>
          <t>Queenfishes</t>
        </is>
      </c>
      <c r="C193" t="inlineStr">
        <is>
          <t>Medium pelagics (30 - 89 cm)</t>
        </is>
      </c>
      <c r="D193" t="inlineStr">
        <is>
          <t>Perch-likes</t>
        </is>
      </c>
      <c r="E193" s="5" t="inlineStr">
        <is>
          <t>2 Carangids | 3 Carangids</t>
        </is>
      </c>
      <c r="F193" t="inlineStr">
        <is>
          <t>0.304 | 0.696</t>
        </is>
      </c>
      <c r="G193" t="inlineStr">
        <is>
          <t>model_biomass</t>
        </is>
      </c>
      <c r="H193" t="inlineStr">
        <is>
          <t>medium</t>
        </is>
      </c>
      <c r="I193" t="inlineStr">
        <is>
          <t>composite_split</t>
        </is>
      </c>
      <c r="J193" t="n">
        <v>49296.775</v>
      </c>
      <c r="K193" t="n">
        <v>0.0196</v>
      </c>
      <c r="L193" s="6" t="inlineStr">
        <is>
          <t>Appendix A1.1 lists this exact catch name under `Carangids`; apportioned over the region 2 and region 3 pools by model biomass; region 1 is the Maldives shelf, outside LME 34.</t>
        </is>
      </c>
    </row>
    <row r="194">
      <c r="A194" t="inlineStr">
        <is>
          <t>Octopus</t>
        </is>
      </c>
      <c r="B194" t="inlineStr">
        <is>
          <t>Octopuses, pikas</t>
        </is>
      </c>
      <c r="C194" t="inlineStr">
        <is>
          <t>Cephalopods</t>
        </is>
      </c>
      <c r="D194" t="inlineStr">
        <is>
          <t>Other fishes &amp; inverts</t>
        </is>
      </c>
      <c r="E194" s="7" t="inlineStr">
        <is>
          <t>Cephalopods</t>
        </is>
      </c>
      <c r="F194" t="inlineStr"/>
      <c r="G194" t="inlineStr"/>
      <c r="H194" t="inlineStr">
        <is>
          <t>high</t>
        </is>
      </c>
      <c r="I194" t="inlineStr">
        <is>
          <t>explicit_member</t>
        </is>
      </c>
      <c r="J194" t="n">
        <v>47631.337</v>
      </c>
      <c r="K194" t="n">
        <v>0.019</v>
      </c>
      <c r="L194" s="6" t="inlineStr">
        <is>
          <t>Appendix A1.1 lists this exact catch name under `cephalopods`, a group modelled over the whole study area (Appendix A1.2).</t>
        </is>
      </c>
    </row>
    <row r="195">
      <c r="A195" t="inlineStr">
        <is>
          <t>Penaeus japonicus</t>
        </is>
      </c>
      <c r="B195" t="inlineStr">
        <is>
          <t>Kuruma prawn</t>
        </is>
      </c>
      <c r="C195" t="inlineStr">
        <is>
          <t>Shrimps</t>
        </is>
      </c>
      <c r="D195" t="inlineStr">
        <is>
          <t>Crustaceans</t>
        </is>
      </c>
      <c r="E195" s="5" t="inlineStr">
        <is>
          <t>2 Crustaceans | 3 Crustaceans</t>
        </is>
      </c>
      <c r="F195" t="inlineStr">
        <is>
          <t>0.213 | 0.787</t>
        </is>
      </c>
      <c r="G195" t="inlineStr">
        <is>
          <t>model_biomass</t>
        </is>
      </c>
      <c r="H195" t="inlineStr">
        <is>
          <t>medium</t>
        </is>
      </c>
      <c r="I195" t="inlineStr">
        <is>
          <t>composite_split</t>
        </is>
      </c>
      <c r="J195" t="n">
        <v>47053.653</v>
      </c>
      <c r="K195" t="n">
        <v>0.0187</v>
      </c>
      <c r="L195" s="6" t="inlineStr">
        <is>
          <t>Accepted-name/synonym match: Appendix A1.1 lists Marsupenaeus japonicus under `shrimps`. Apportioned over the region 2 and region 3 pools by model biomass; region 1 is the Maldives shelf, outside LME 34.</t>
        </is>
      </c>
    </row>
    <row r="196">
      <c r="A196" t="inlineStr">
        <is>
          <t>Anchoviella</t>
        </is>
      </c>
      <c r="B196" t="inlineStr">
        <is>
          <t>Anchovies</t>
        </is>
      </c>
      <c r="C196" t="inlineStr">
        <is>
          <t>Small pelagics (&lt;30 cm)</t>
        </is>
      </c>
      <c r="D196" t="inlineStr">
        <is>
          <t>Anchovies</t>
        </is>
      </c>
      <c r="E196" s="5" t="inlineStr">
        <is>
          <t>2 S pelagics | 3 S pelagics</t>
        </is>
      </c>
      <c r="F196" t="inlineStr">
        <is>
          <t>0.298 | 0.702</t>
        </is>
      </c>
      <c r="G196" t="inlineStr">
        <is>
          <t>model_biomass</t>
        </is>
      </c>
      <c r="H196" t="inlineStr">
        <is>
          <t>medium</t>
        </is>
      </c>
      <c r="I196" t="inlineStr">
        <is>
          <t>composite_split</t>
        </is>
      </c>
      <c r="J196" t="n">
        <v>46084.41</v>
      </c>
      <c r="K196" t="n">
        <v>0.0183</v>
      </c>
      <c r="L196" s="6" t="inlineStr">
        <is>
          <t>Appendix A1.1 lists this exact catch name under `S pelagics`; apportioned over the region 2 and region 3 pools by model biomass; region 1 is the Maldives shelf, outside LME 34.</t>
        </is>
      </c>
    </row>
    <row r="197">
      <c r="A197" t="inlineStr">
        <is>
          <t>Mierspenaeopsis sculptilis</t>
        </is>
      </c>
      <c r="B197" t="inlineStr">
        <is>
          <t>Rainbow shrimp</t>
        </is>
      </c>
      <c r="C197" t="inlineStr">
        <is>
          <t>Shrimps</t>
        </is>
      </c>
      <c r="D197" t="inlineStr">
        <is>
          <t>Crustaceans</t>
        </is>
      </c>
      <c r="E197" s="5" t="inlineStr">
        <is>
          <t>2 Crustaceans | 3 Crustaceans</t>
        </is>
      </c>
      <c r="F197" t="inlineStr">
        <is>
          <t>0.213 | 0.787</t>
        </is>
      </c>
      <c r="G197" t="inlineStr">
        <is>
          <t>model_biomass</t>
        </is>
      </c>
      <c r="H197" t="inlineStr">
        <is>
          <t>medium</t>
        </is>
      </c>
      <c r="I197" t="inlineStr">
        <is>
          <t>composite_split</t>
        </is>
      </c>
      <c r="J197" t="n">
        <v>43841.991</v>
      </c>
      <c r="K197" t="n">
        <v>0.0175</v>
      </c>
      <c r="L197" s="6" t="inlineStr">
        <is>
          <t>Accepted-name/synonym match: Appendix A1.1 lists Parapenaeopsis sculptilis under `shrimps`. Apportioned over the region 2 and region 3 pools by model biomass; region 1 is the Maldives shelf, outside LME 34.</t>
        </is>
      </c>
    </row>
    <row r="198">
      <c r="A198" t="inlineStr">
        <is>
          <t>Holothuroidea</t>
        </is>
      </c>
      <c r="B198" t="inlineStr">
        <is>
          <t>Sea cucumbers</t>
        </is>
      </c>
      <c r="C198" t="inlineStr">
        <is>
          <t>Other demersal invertebrates</t>
        </is>
      </c>
      <c r="D198" t="inlineStr">
        <is>
          <t>Other fishes &amp; inverts</t>
        </is>
      </c>
      <c r="E198" s="5" t="inlineStr">
        <is>
          <t>2 Macrobenthos | 3 Macrobenthos</t>
        </is>
      </c>
      <c r="F198" t="inlineStr">
        <is>
          <t>0.363 | 0.637</t>
        </is>
      </c>
      <c r="G198" t="inlineStr">
        <is>
          <t>model_biomass</t>
        </is>
      </c>
      <c r="H198" t="inlineStr">
        <is>
          <t>medium</t>
        </is>
      </c>
      <c r="I198" t="inlineStr">
        <is>
          <t>composite_split</t>
        </is>
      </c>
      <c r="J198" t="n">
        <v>41476.968</v>
      </c>
      <c r="K198" t="n">
        <v>0.0165</v>
      </c>
      <c r="L198" s="6" t="inlineStr">
        <is>
          <t>Appendix A1.1 lists this exact catch name under `macrobenthos`; apportioned over the region 2 and region 3 pools by model biomass; region 1 is the Maldives shelf, outside LME 34.</t>
        </is>
      </c>
    </row>
    <row r="199">
      <c r="A199" t="inlineStr">
        <is>
          <t>Octopoda</t>
        </is>
      </c>
      <c r="B199" t="inlineStr">
        <is>
          <t>Octopuses, argonauts</t>
        </is>
      </c>
      <c r="C199" t="inlineStr">
        <is>
          <t>Cephalopods</t>
        </is>
      </c>
      <c r="D199" t="inlineStr">
        <is>
          <t>Other fishes &amp; inverts</t>
        </is>
      </c>
      <c r="E199" s="7" t="inlineStr">
        <is>
          <t>Cephalopods</t>
        </is>
      </c>
      <c r="F199" t="inlineStr"/>
      <c r="G199" t="inlineStr"/>
      <c r="H199" t="inlineStr">
        <is>
          <t>high</t>
        </is>
      </c>
      <c r="I199" t="inlineStr">
        <is>
          <t>explicit_member</t>
        </is>
      </c>
      <c r="J199" t="n">
        <v>40940.277</v>
      </c>
      <c r="K199" t="n">
        <v>0.0163</v>
      </c>
      <c r="L199" s="6" t="inlineStr">
        <is>
          <t>Appendix A1.1 lists this exact catch name under `cephalopods`, a group modelled over the whole study area (Appendix A1.2).</t>
        </is>
      </c>
    </row>
    <row r="200">
      <c r="A200" t="inlineStr">
        <is>
          <t>Scyphozoa</t>
        </is>
      </c>
      <c r="B200" t="inlineStr">
        <is>
          <t>True jellyfishes</t>
        </is>
      </c>
      <c r="C200" t="inlineStr">
        <is>
          <t>Jellyfish</t>
        </is>
      </c>
      <c r="D200" t="inlineStr">
        <is>
          <t>Other fishes &amp; inverts</t>
        </is>
      </c>
      <c r="E200" s="7" t="inlineStr">
        <is>
          <t>Jellyfish</t>
        </is>
      </c>
      <c r="F200" t="inlineStr"/>
      <c r="G200" t="inlineStr"/>
      <c r="H200" t="inlineStr">
        <is>
          <t>high</t>
        </is>
      </c>
      <c r="I200" t="inlineStr">
        <is>
          <t>explicit_member</t>
        </is>
      </c>
      <c r="J200" t="n">
        <v>39788.082</v>
      </c>
      <c r="K200" t="n">
        <v>0.0158</v>
      </c>
      <c r="L200" s="6" t="inlineStr">
        <is>
          <t>Appendix A1.3 lists Scyphozoa, explicitly and 'based on catches', in the `jellyfish` species list.</t>
        </is>
      </c>
    </row>
    <row r="201">
      <c r="A201" t="inlineStr">
        <is>
          <t>Siganus canaliculatus</t>
        </is>
      </c>
      <c r="B201" t="inlineStr">
        <is>
          <t>White-spotted spinefoot</t>
        </is>
      </c>
      <c r="C201" t="inlineStr">
        <is>
          <t>Small reef assoc. fish (&lt;30 cm)</t>
        </is>
      </c>
      <c r="D201" t="inlineStr">
        <is>
          <t>Perch-likes</t>
        </is>
      </c>
      <c r="E201" s="5" t="inlineStr">
        <is>
          <t>2 SM inv | 3 SM inv</t>
        </is>
      </c>
      <c r="F201" t="inlineStr">
        <is>
          <t>0.317 | 0.683</t>
        </is>
      </c>
      <c r="G201" t="inlineStr">
        <is>
          <t>model_biomass</t>
        </is>
      </c>
      <c r="H201" t="inlineStr">
        <is>
          <t>medium</t>
        </is>
      </c>
      <c r="I201" t="inlineStr">
        <is>
          <t>composite_split</t>
        </is>
      </c>
      <c r="J201" t="n">
        <v>39673.039</v>
      </c>
      <c r="K201" t="n">
        <v>0.0158</v>
      </c>
      <c r="L201" s="6" t="inlineStr">
        <is>
          <t>Appendix A1.1 lists this exact catch name under `SM inv`; apportioned over the region 2 and region 3 pools by model biomass; region 1 is the Maldives shelf, outside LME 34.</t>
        </is>
      </c>
    </row>
    <row r="202">
      <c r="A202" t="inlineStr">
        <is>
          <t>Chirocentrus nudus</t>
        </is>
      </c>
      <c r="B202" t="inlineStr">
        <is>
          <t>Whitefin wolf-herring</t>
        </is>
      </c>
      <c r="C202" t="inlineStr">
        <is>
          <t>Large pelagics (&gt;=90 cm)</t>
        </is>
      </c>
      <c r="D202" t="inlineStr">
        <is>
          <t>Herring-likes</t>
        </is>
      </c>
      <c r="E202" s="5" t="inlineStr">
        <is>
          <t>2 L pisc | 3 L pisc</t>
        </is>
      </c>
      <c r="F202" t="inlineStr">
        <is>
          <t>0.450 | 0.550</t>
        </is>
      </c>
      <c r="G202" t="inlineStr">
        <is>
          <t>model_biomass</t>
        </is>
      </c>
      <c r="H202" t="inlineStr">
        <is>
          <t>medium</t>
        </is>
      </c>
      <c r="I202" t="inlineStr">
        <is>
          <t>composite_split</t>
        </is>
      </c>
      <c r="J202" t="n">
        <v>36792.298</v>
      </c>
      <c r="K202" t="n">
        <v>0.0146</v>
      </c>
      <c r="L202" s="6" t="inlineStr">
        <is>
          <t>Appendix A1.1 lists this exact catch name under `L pisc`; apportioned over the region 2 and region 3 pools by model biomass; region 1 is the Maldives shelf, outside LME 34.</t>
        </is>
      </c>
    </row>
    <row r="203">
      <c r="A203" t="inlineStr">
        <is>
          <t>Pleuronectiformes</t>
        </is>
      </c>
      <c r="B203" t="inlineStr">
        <is>
          <t>Flatfishes</t>
        </is>
      </c>
      <c r="C203" t="inlineStr">
        <is>
          <t>Small to medium flatfishes (&lt;90 cm)</t>
        </is>
      </c>
      <c r="D203" t="inlineStr">
        <is>
          <t>Flatfishes</t>
        </is>
      </c>
      <c r="E203" s="5" t="inlineStr">
        <is>
          <t>2 SM inv | 3 SM inv | 2 SM pisc | 3 SM pisc</t>
        </is>
      </c>
      <c r="F203" t="inlineStr">
        <is>
          <t>0.181 | 0.390 | 0.131 | 0.298</t>
        </is>
      </c>
      <c r="G203" t="inlineStr">
        <is>
          <t>model_biomass</t>
        </is>
      </c>
      <c r="H203" t="inlineStr">
        <is>
          <t>medium</t>
        </is>
      </c>
      <c r="I203" t="inlineStr">
        <is>
          <t>composite_split</t>
        </is>
      </c>
      <c r="J203" t="n">
        <v>35831.885</v>
      </c>
      <c r="K203" t="n">
        <v>0.0143</v>
      </c>
      <c r="L203" s="6" t="inlineStr">
        <is>
          <t>Appendix A1.1 keeps `Pleuronectiformes` as its own residual. Appendix A1.3 places the model's flatfishes in two pools - Cynoglossus, bothids and soles in SM inv, Psettodes, Pseudorhombus and Brachirus in SM pisc - so the order-level record is apportioned across those; apportioned over the region 2 and region 3 pools by model biomass; region 1 is the Maldives shelf, outside LME 34.</t>
        </is>
      </c>
    </row>
    <row r="204">
      <c r="A204" t="inlineStr">
        <is>
          <t>Elagatis bipinnulata</t>
        </is>
      </c>
      <c r="B204" t="inlineStr">
        <is>
          <t>Rainbow runner</t>
        </is>
      </c>
      <c r="C204" t="inlineStr">
        <is>
          <t>Large pelagics (&gt;=90 cm)</t>
        </is>
      </c>
      <c r="D204" t="inlineStr">
        <is>
          <t>Perch-likes</t>
        </is>
      </c>
      <c r="E204" s="5" t="inlineStr">
        <is>
          <t>2 Carangids | 3 Carangids</t>
        </is>
      </c>
      <c r="F204" t="inlineStr">
        <is>
          <t>0.304 | 0.696</t>
        </is>
      </c>
      <c r="G204" t="inlineStr">
        <is>
          <t>model_biomass</t>
        </is>
      </c>
      <c r="H204" t="inlineStr">
        <is>
          <t>medium</t>
        </is>
      </c>
      <c r="I204" t="inlineStr">
        <is>
          <t>composite_split</t>
        </is>
      </c>
      <c r="J204" t="n">
        <v>35753.043</v>
      </c>
      <c r="K204" t="n">
        <v>0.0142</v>
      </c>
      <c r="L204" s="6" t="inlineStr">
        <is>
          <t>Appendix A1.1 lists this exact catch name under `Carangids`; apportioned over the region 2 and region 3 pools by model biomass; region 1 is the Maldives shelf, outside LME 34.</t>
        </is>
      </c>
    </row>
    <row r="205">
      <c r="A205" t="inlineStr">
        <is>
          <t>Gerres</t>
        </is>
      </c>
      <c r="B205" t="inlineStr">
        <is>
          <t>Silver biddies</t>
        </is>
      </c>
      <c r="C205" t="inlineStr">
        <is>
          <t>Small benthopelagics (&lt;30 cm)</t>
        </is>
      </c>
      <c r="D205" t="inlineStr">
        <is>
          <t>Perch-likes</t>
        </is>
      </c>
      <c r="E205" s="5" t="inlineStr">
        <is>
          <t>2 SM inv | 3 SM inv</t>
        </is>
      </c>
      <c r="F205" t="inlineStr">
        <is>
          <t>0.317 | 0.683</t>
        </is>
      </c>
      <c r="G205" t="inlineStr">
        <is>
          <t>model_biomass</t>
        </is>
      </c>
      <c r="H205" t="inlineStr">
        <is>
          <t>medium</t>
        </is>
      </c>
      <c r="I205" t="inlineStr">
        <is>
          <t>composite_split</t>
        </is>
      </c>
      <c r="J205" t="n">
        <v>34998.357</v>
      </c>
      <c r="K205" t="n">
        <v>0.0139</v>
      </c>
      <c r="L205" s="6" t="inlineStr">
        <is>
          <t>Appendix A1.1 lists this exact catch name under `SM inv`; apportioned over the region 2 and region 3 pools by model biomass; region 1 is the Maldives shelf, outside LME 34.</t>
        </is>
      </c>
    </row>
    <row r="206">
      <c r="A206" t="inlineStr">
        <is>
          <t>Perna viridis</t>
        </is>
      </c>
      <c r="B206" t="inlineStr">
        <is>
          <t>Brown mussel</t>
        </is>
      </c>
      <c r="C206" t="inlineStr">
        <is>
          <t>Other demersal invertebrates</t>
        </is>
      </c>
      <c r="D206" t="inlineStr">
        <is>
          <t>Molluscs</t>
        </is>
      </c>
      <c r="E206" s="5" t="inlineStr">
        <is>
          <t>2 Macrobenthos | 3 Macrobenthos</t>
        </is>
      </c>
      <c r="F206" t="inlineStr">
        <is>
          <t>0.363 | 0.637</t>
        </is>
      </c>
      <c r="G206" t="inlineStr">
        <is>
          <t>model_biomass</t>
        </is>
      </c>
      <c r="H206" t="inlineStr">
        <is>
          <t>medium</t>
        </is>
      </c>
      <c r="I206" t="inlineStr">
        <is>
          <t>composite_split</t>
        </is>
      </c>
      <c r="J206" t="n">
        <v>33810.232</v>
      </c>
      <c r="K206" t="n">
        <v>0.0135</v>
      </c>
      <c r="L206" s="6" t="inlineStr">
        <is>
          <t>Appendix A1.1 lists this exact catch name under `macrobenthos`; apportioned over the region 2 and region 3 pools by model biomass; region 1 is the Maldives shelf, outside LME 34.</t>
        </is>
      </c>
    </row>
    <row r="207">
      <c r="A207" t="inlineStr">
        <is>
          <t>Solenocera crassicornis</t>
        </is>
      </c>
      <c r="B207" t="inlineStr">
        <is>
          <t>Coastal mud shrimp</t>
        </is>
      </c>
      <c r="C207" t="inlineStr">
        <is>
          <t>Shrimps</t>
        </is>
      </c>
      <c r="D207" t="inlineStr">
        <is>
          <t>Crustaceans</t>
        </is>
      </c>
      <c r="E207" s="5" t="inlineStr">
        <is>
          <t>2 Crustaceans | 3 Crustaceans</t>
        </is>
      </c>
      <c r="F207" t="inlineStr">
        <is>
          <t>0.213 | 0.787</t>
        </is>
      </c>
      <c r="G207" t="inlineStr">
        <is>
          <t>model_biomass</t>
        </is>
      </c>
      <c r="H207" t="inlineStr">
        <is>
          <t>medium</t>
        </is>
      </c>
      <c r="I207" t="inlineStr">
        <is>
          <t>composite_split</t>
        </is>
      </c>
      <c r="J207" t="n">
        <v>33224.588</v>
      </c>
      <c r="K207" t="n">
        <v>0.0132</v>
      </c>
      <c r="L207" s="6" t="inlineStr">
        <is>
          <t>Appendix A1.1 lists this exact catch name under `shrimps`; apportioned over the region 2 and region 3 pools by model biomass; region 1 is the Maldives shelf, outside LME 34.</t>
        </is>
      </c>
    </row>
    <row r="208">
      <c r="A208" t="inlineStr">
        <is>
          <t>Platycephalus indicus</t>
        </is>
      </c>
      <c r="B208" t="inlineStr">
        <is>
          <t>Bartail flathead</t>
        </is>
      </c>
      <c r="C208" t="inlineStr">
        <is>
          <t>Medium demersals (30 - 89 cm)</t>
        </is>
      </c>
      <c r="D208" t="inlineStr">
        <is>
          <t>Scorpionfishes</t>
        </is>
      </c>
      <c r="E208" s="5" t="inlineStr">
        <is>
          <t>2 L pisc | 3 L pisc</t>
        </is>
      </c>
      <c r="F208" t="inlineStr">
        <is>
          <t>0.450 | 0.550</t>
        </is>
      </c>
      <c r="G208" t="inlineStr">
        <is>
          <t>model_biomass</t>
        </is>
      </c>
      <c r="H208" t="inlineStr">
        <is>
          <t>medium</t>
        </is>
      </c>
      <c r="I208" t="inlineStr">
        <is>
          <t>composite_split</t>
        </is>
      </c>
      <c r="J208" t="n">
        <v>32747.118</v>
      </c>
      <c r="K208" t="n">
        <v>0.013</v>
      </c>
      <c r="L208" s="6" t="inlineStr">
        <is>
          <t>Appendix A1.1 lists this exact catch name under `L pisc`; apportioned over the region 2 and region 3 pools by model biomass; region 1 is the Maldives shelf, outside LME 34.</t>
        </is>
      </c>
    </row>
    <row r="209">
      <c r="A209" t="inlineStr">
        <is>
          <t>Scombroidei</t>
        </is>
      </c>
      <c r="B209" t="inlineStr">
        <is>
          <t>Tunas, bonitos, billfishes</t>
        </is>
      </c>
      <c r="C209" t="inlineStr">
        <is>
          <t>Large pelagics (&gt;=90 cm)</t>
        </is>
      </c>
      <c r="D209" t="inlineStr">
        <is>
          <t>Tuna &amp; billfishes</t>
        </is>
      </c>
      <c r="E209" s="5" t="inlineStr">
        <is>
          <t>Tuna-like | Coastal scombrids</t>
        </is>
      </c>
      <c r="F209" t="inlineStr">
        <is>
          <t>0.140 | 0.860</t>
        </is>
      </c>
      <c r="G209" t="inlineStr">
        <is>
          <t>catch_composition</t>
        </is>
      </c>
      <c r="H209" t="inlineStr">
        <is>
          <t>medium</t>
        </is>
      </c>
      <c r="I209" t="inlineStr">
        <is>
          <t>composite_split</t>
        </is>
      </c>
      <c r="J209" t="n">
        <v>31786.435</v>
      </c>
      <c r="K209" t="n">
        <v>0.0127</v>
      </c>
      <c r="L209" s="6" t="inlineStr">
        <is>
          <t>The text (p.10) treats Scombroidei like Scombrids. The Sea Around Us class here is large pelagics in the Tuna &amp; billfishes commercial group, which excludes Rastrelliger, so only the tuna-like and coastal scombrid pools are candidates; apportioned by the catch already on them.</t>
        </is>
      </c>
    </row>
    <row r="210">
      <c r="A210" t="inlineStr">
        <is>
          <t>Dasyatidae</t>
        </is>
      </c>
      <c r="B210" t="inlineStr">
        <is>
          <t>Whiptail stingrays</t>
        </is>
      </c>
      <c r="C210" t="inlineStr">
        <is>
          <t>Large rays (&gt;=90 cm)</t>
        </is>
      </c>
      <c r="D210" t="inlineStr">
        <is>
          <t>Sharks &amp; rays</t>
        </is>
      </c>
      <c r="E210" s="5" t="inlineStr">
        <is>
          <t>Coastal elasmobranch</t>
        </is>
      </c>
      <c r="F210" t="inlineStr"/>
      <c r="G210" t="inlineStr"/>
      <c r="H210" t="inlineStr">
        <is>
          <t>medium</t>
        </is>
      </c>
      <c r="I210" t="inlineStr">
        <is>
          <t>taxonomic_containment</t>
        </is>
      </c>
      <c r="J210" t="n">
        <v>30713.257</v>
      </c>
      <c r="K210" t="n">
        <v>0.0122</v>
      </c>
      <c r="L210" s="6" t="inlineStr">
        <is>
          <t>Appendix A1.1 sends every elasmobranch nei label to `oceanic, coastal sharks`, but Appendix A1.3 places all of the model's batoids - Rhynchobatus, Glaucostegus, Dasyatis, six Himantura, Aetobatus, Rhinoptera, two Mobula and two Aetomylaeus - in Coastal elasmobranch; the only batoid in Oceanic sharks is the oceanic pelagic stingray.</t>
        </is>
      </c>
    </row>
    <row r="211">
      <c r="A211" t="inlineStr">
        <is>
          <t>Carcharhinidae</t>
        </is>
      </c>
      <c r="B211" t="inlineStr">
        <is>
          <t>Requiem sharks</t>
        </is>
      </c>
      <c r="C211" t="inlineStr">
        <is>
          <t>Large sharks (&gt;=90 cm)</t>
        </is>
      </c>
      <c r="D211" t="inlineStr">
        <is>
          <t>Sharks &amp; rays</t>
        </is>
      </c>
      <c r="E211" s="5" t="inlineStr">
        <is>
          <t>Oceanic sharks | Coastal elasmobranch</t>
        </is>
      </c>
      <c r="F211" t="inlineStr">
        <is>
          <t>0.306 | 0.694</t>
        </is>
      </c>
      <c r="G211" t="inlineStr">
        <is>
          <t>catch_composition</t>
        </is>
      </c>
      <c r="H211" t="inlineStr">
        <is>
          <t>medium</t>
        </is>
      </c>
      <c r="I211" t="inlineStr">
        <is>
          <t>composite_split</t>
        </is>
      </c>
      <c r="J211" t="n">
        <v>28588.451</v>
      </c>
      <c r="K211" t="n">
        <v>0.0114</v>
      </c>
      <c r="L211" s="6" t="inlineStr">
        <is>
          <t>Appendix A1.1 lists this exact catch name twice, under coastal elasmobranch (Andaman species list) and under oceanic, coastal sharks; apportioned by the catch that taxa assigned to those groups alone already carry in this LME.</t>
        </is>
      </c>
    </row>
    <row r="212">
      <c r="A212" t="inlineStr">
        <is>
          <t>Holocentridae</t>
        </is>
      </c>
      <c r="B212" t="inlineStr">
        <is>
          <t>Squirrel-, soldierfishes</t>
        </is>
      </c>
      <c r="C212" t="inlineStr">
        <is>
          <t>Small reef assoc. fish (&lt;30 cm)</t>
        </is>
      </c>
      <c r="D212" t="inlineStr">
        <is>
          <t>Other fishes &amp; inverts</t>
        </is>
      </c>
      <c r="E212" s="5" t="inlineStr">
        <is>
          <t>2 SM inv | 3 SM inv | 2 SM pisc | 3 SM pisc</t>
        </is>
      </c>
      <c r="F212" t="inlineStr">
        <is>
          <t>0.181 | 0.390 | 0.131 | 0.298</t>
        </is>
      </c>
      <c r="G212" t="inlineStr">
        <is>
          <t>model_biomass</t>
        </is>
      </c>
      <c r="H212" t="inlineStr">
        <is>
          <t>medium</t>
        </is>
      </c>
      <c r="I212" t="inlineStr">
        <is>
          <t>composite_split</t>
        </is>
      </c>
      <c r="J212" t="n">
        <v>28575.868</v>
      </c>
      <c r="K212" t="n">
        <v>0.0114</v>
      </c>
      <c r="L212" s="6" t="inlineStr">
        <is>
          <t>Appendix A1.1 lists this exact catch name under `SM inv, pisc`; apportioned over the region 2 and region 3 pools by model biomass; region 1 is the Maldives shelf, outside LME 34.</t>
        </is>
      </c>
    </row>
    <row r="213">
      <c r="A213" t="inlineStr">
        <is>
          <t>Scolopsis</t>
        </is>
      </c>
      <c r="B213" t="inlineStr">
        <is>
          <t>Monocle breams</t>
        </is>
      </c>
      <c r="C213" t="inlineStr">
        <is>
          <t>Small reef assoc. fish (&lt;30 cm)</t>
        </is>
      </c>
      <c r="D213" t="inlineStr">
        <is>
          <t>Perch-likes</t>
        </is>
      </c>
      <c r="E213" s="5" t="inlineStr">
        <is>
          <t>2 SM pisc | 3 SM pisc</t>
        </is>
      </c>
      <c r="F213" t="inlineStr">
        <is>
          <t>0.306 | 0.694</t>
        </is>
      </c>
      <c r="G213" t="inlineStr">
        <is>
          <t>model_biomass</t>
        </is>
      </c>
      <c r="H213" t="inlineStr">
        <is>
          <t>medium</t>
        </is>
      </c>
      <c r="I213" t="inlineStr">
        <is>
          <t>composite_split</t>
        </is>
      </c>
      <c r="J213" t="n">
        <v>28186.14</v>
      </c>
      <c r="K213" t="n">
        <v>0.0112</v>
      </c>
      <c r="L213" s="6" t="inlineStr">
        <is>
          <t>Appendix A1.1 lists this exact catch name under `SM pisc`; apportioned over the region 2 and region 3 pools by model biomass; region 1 is the Maldives shelf, outside LME 34.</t>
        </is>
      </c>
    </row>
    <row r="214">
      <c r="A214" t="inlineStr">
        <is>
          <t>Paphia</t>
        </is>
      </c>
      <c r="B214" t="inlineStr">
        <is>
          <t>Indo-Pacific venus clams</t>
        </is>
      </c>
      <c r="C214" t="inlineStr">
        <is>
          <t>Other demersal invertebrates</t>
        </is>
      </c>
      <c r="D214" t="inlineStr">
        <is>
          <t>Molluscs</t>
        </is>
      </c>
      <c r="E214" s="5" t="inlineStr">
        <is>
          <t>2 Macrobenthos | 3 Macrobenthos</t>
        </is>
      </c>
      <c r="F214" t="inlineStr">
        <is>
          <t>0.363 | 0.637</t>
        </is>
      </c>
      <c r="G214" t="inlineStr">
        <is>
          <t>model_biomass</t>
        </is>
      </c>
      <c r="H214" t="inlineStr">
        <is>
          <t>medium</t>
        </is>
      </c>
      <c r="I214" t="inlineStr">
        <is>
          <t>composite_split</t>
        </is>
      </c>
      <c r="J214" t="n">
        <v>26218.964</v>
      </c>
      <c r="K214" t="n">
        <v>0.0104</v>
      </c>
      <c r="L214" s="6" t="inlineStr">
        <is>
          <t>Appendix A1.1 lists this exact catch name under `macrobenthos`; apportioned over the region 2 and region 3 pools by model biomass; region 1 is the Maldives shelf, outside LME 34.</t>
        </is>
      </c>
    </row>
    <row r="215">
      <c r="A215" t="inlineStr">
        <is>
          <t>Mytilidae</t>
        </is>
      </c>
      <c r="B215" t="inlineStr">
        <is>
          <t>Sea mussels</t>
        </is>
      </c>
      <c r="C215" t="inlineStr">
        <is>
          <t>Other demersal invertebrates</t>
        </is>
      </c>
      <c r="D215" t="inlineStr">
        <is>
          <t>Molluscs</t>
        </is>
      </c>
      <c r="E215" s="5" t="inlineStr">
        <is>
          <t>2 Macrobenthos | 3 Macrobenthos</t>
        </is>
      </c>
      <c r="F215" t="inlineStr">
        <is>
          <t>0.363 | 0.637</t>
        </is>
      </c>
      <c r="G215" t="inlineStr">
        <is>
          <t>model_biomass</t>
        </is>
      </c>
      <c r="H215" t="inlineStr">
        <is>
          <t>medium</t>
        </is>
      </c>
      <c r="I215" t="inlineStr">
        <is>
          <t>composite_split</t>
        </is>
      </c>
      <c r="J215" t="n">
        <v>25284.913</v>
      </c>
      <c r="K215" t="n">
        <v>0.0101</v>
      </c>
      <c r="L215" s="6" t="inlineStr">
        <is>
          <t>Appendix A1.1 lists Perna viridis and Modiolus, both mytilids, under macrobenthos. Apportioned over the region 2 and region 3 pools by model biomass; region 1 is the Maldives shelf, outside LME 34.</t>
        </is>
      </c>
    </row>
    <row r="216">
      <c r="A216" t="inlineStr">
        <is>
          <t>Gastropoda</t>
        </is>
      </c>
      <c r="B216" t="inlineStr">
        <is>
          <t>Sea snails</t>
        </is>
      </c>
      <c r="C216" t="inlineStr">
        <is>
          <t>Other demersal invertebrates</t>
        </is>
      </c>
      <c r="D216" t="inlineStr">
        <is>
          <t>Molluscs</t>
        </is>
      </c>
      <c r="E216" s="5" t="inlineStr">
        <is>
          <t>2 Macrobenthos | 3 Macrobenthos</t>
        </is>
      </c>
      <c r="F216" t="inlineStr">
        <is>
          <t>0.363 | 0.637</t>
        </is>
      </c>
      <c r="G216" t="inlineStr">
        <is>
          <t>model_biomass</t>
        </is>
      </c>
      <c r="H216" t="inlineStr">
        <is>
          <t>medium</t>
        </is>
      </c>
      <c r="I216" t="inlineStr">
        <is>
          <t>composite_split</t>
        </is>
      </c>
      <c r="J216" t="n">
        <v>24405.279</v>
      </c>
      <c r="K216" t="n">
        <v>0.0097</v>
      </c>
      <c r="L216" s="6" t="inlineStr">
        <is>
          <t>Appendix A1.1 lists this exact catch name under `macrobenthos`; apportioned over the region 2 and region 3 pools by model biomass; region 1 is the Maldives shelf, outside LME 34.</t>
        </is>
      </c>
    </row>
    <row r="217">
      <c r="A217" t="inlineStr">
        <is>
          <t>Eleutheronema tetradactylum</t>
        </is>
      </c>
      <c r="B217" t="inlineStr">
        <is>
          <t>Fourfinger threadfin</t>
        </is>
      </c>
      <c r="C217" t="inlineStr">
        <is>
          <t>Large demersals (&gt;=90 cm)</t>
        </is>
      </c>
      <c r="D217" t="inlineStr">
        <is>
          <t>Perch-likes</t>
        </is>
      </c>
      <c r="E217" s="5" t="inlineStr">
        <is>
          <t>2 L pisc | 3 L pisc</t>
        </is>
      </c>
      <c r="F217" t="inlineStr">
        <is>
          <t>0.450 | 0.550</t>
        </is>
      </c>
      <c r="G217" t="inlineStr">
        <is>
          <t>model_biomass</t>
        </is>
      </c>
      <c r="H217" t="inlineStr">
        <is>
          <t>medium</t>
        </is>
      </c>
      <c r="I217" t="inlineStr">
        <is>
          <t>composite_split</t>
        </is>
      </c>
      <c r="J217" t="n">
        <v>23392.837</v>
      </c>
      <c r="K217" t="n">
        <v>0.009299999999999999</v>
      </c>
      <c r="L217" s="6" t="inlineStr">
        <is>
          <t>Appendix A1.1 lists this exact catch name under `L pisc`; apportioned over the region 2 and region 3 pools by model biomass; region 1 is the Maldives shelf, outside LME 34.</t>
        </is>
      </c>
    </row>
    <row r="218">
      <c r="A218" t="inlineStr">
        <is>
          <t>Sphyrna</t>
        </is>
      </c>
      <c r="B218" t="inlineStr">
        <is>
          <t>Hammerhead sharks</t>
        </is>
      </c>
      <c r="C218" t="inlineStr">
        <is>
          <t>Large sharks (&gt;=90 cm)</t>
        </is>
      </c>
      <c r="D218" t="inlineStr">
        <is>
          <t>Sharks &amp; rays</t>
        </is>
      </c>
      <c r="E218" s="7" t="inlineStr">
        <is>
          <t>Oceanic sharks</t>
        </is>
      </c>
      <c r="F218" t="inlineStr"/>
      <c r="G218" t="inlineStr"/>
      <c r="H218" t="inlineStr">
        <is>
          <t>high</t>
        </is>
      </c>
      <c r="I218" t="inlineStr">
        <is>
          <t>explicit_member</t>
        </is>
      </c>
      <c r="J218" t="n">
        <v>22631.088</v>
      </c>
      <c r="K218" t="n">
        <v>0.008999999999999999</v>
      </c>
      <c r="L218" s="6" t="inlineStr">
        <is>
          <t>Appendix A1.1 lists this exact catch name under `oceanic sharks`, a group modelled over the whole study area (Appendix A1.2).</t>
        </is>
      </c>
    </row>
    <row r="219">
      <c r="A219" t="inlineStr">
        <is>
          <t>Thunnus alalunga</t>
        </is>
      </c>
      <c r="B219" t="inlineStr">
        <is>
          <t>Albacore</t>
        </is>
      </c>
      <c r="C219" t="inlineStr">
        <is>
          <t>Large pelagics (&gt;=90 cm)</t>
        </is>
      </c>
      <c r="D219" t="inlineStr">
        <is>
          <t>Tuna &amp; billfishes</t>
        </is>
      </c>
      <c r="E219" s="7" t="inlineStr">
        <is>
          <t>Tuna-like</t>
        </is>
      </c>
      <c r="F219" t="inlineStr"/>
      <c r="G219" t="inlineStr"/>
      <c r="H219" t="inlineStr">
        <is>
          <t>high</t>
        </is>
      </c>
      <c r="I219" t="inlineStr">
        <is>
          <t>explicit_member</t>
        </is>
      </c>
      <c r="J219" t="n">
        <v>22502.052</v>
      </c>
      <c r="K219" t="n">
        <v>0.008999999999999999</v>
      </c>
      <c r="L219" s="6" t="inlineStr">
        <is>
          <t>Appendix A1.1 lists this exact catch name under `tuna-like`, a group modelled over the whole study area (Appendix A1.2).</t>
        </is>
      </c>
    </row>
    <row r="220">
      <c r="A220" t="inlineStr">
        <is>
          <t>Caesio</t>
        </is>
      </c>
      <c r="B220" t="inlineStr">
        <is>
          <t>Caesios</t>
        </is>
      </c>
      <c r="C220" t="inlineStr">
        <is>
          <t>Medium reef assoc. fish (30 - 89 cm)</t>
        </is>
      </c>
      <c r="D220" t="inlineStr">
        <is>
          <t>Perch-likes</t>
        </is>
      </c>
      <c r="E220" s="5" t="inlineStr">
        <is>
          <t>2 SM inv | 3 SM inv</t>
        </is>
      </c>
      <c r="F220" t="inlineStr">
        <is>
          <t>0.317 | 0.683</t>
        </is>
      </c>
      <c r="G220" t="inlineStr">
        <is>
          <t>model_biomass</t>
        </is>
      </c>
      <c r="H220" t="inlineStr">
        <is>
          <t>medium</t>
        </is>
      </c>
      <c r="I220" t="inlineStr">
        <is>
          <t>composite_split</t>
        </is>
      </c>
      <c r="J220" t="n">
        <v>22372.031</v>
      </c>
      <c r="K220" t="n">
        <v>0.0089</v>
      </c>
      <c r="L220" s="6" t="inlineStr">
        <is>
          <t>Appendix A1.1 lists this exact catch name under `SM inv`; apportioned over the region 2 and region 3 pools by model biomass; region 1 is the Maldives shelf, outside LME 34.</t>
        </is>
      </c>
    </row>
    <row r="221">
      <c r="A221" t="inlineStr">
        <is>
          <t>Plectorhinchus</t>
        </is>
      </c>
      <c r="B221" t="inlineStr">
        <is>
          <t>Sweetlips</t>
        </is>
      </c>
      <c r="C221" t="inlineStr">
        <is>
          <t>Medium reef assoc. fish (30 - 89 cm)</t>
        </is>
      </c>
      <c r="D221" t="inlineStr">
        <is>
          <t>Perch-likes</t>
        </is>
      </c>
      <c r="E221" s="5" t="inlineStr">
        <is>
          <t>2 SM pisc | 3 SM pisc</t>
        </is>
      </c>
      <c r="F221" t="inlineStr">
        <is>
          <t>0.306 | 0.694</t>
        </is>
      </c>
      <c r="G221" t="inlineStr">
        <is>
          <t>model_biomass</t>
        </is>
      </c>
      <c r="H221" t="inlineStr">
        <is>
          <t>medium</t>
        </is>
      </c>
      <c r="I221" t="inlineStr">
        <is>
          <t>composite_split</t>
        </is>
      </c>
      <c r="J221" t="n">
        <v>22104.822</v>
      </c>
      <c r="K221" t="n">
        <v>0.008800000000000001</v>
      </c>
      <c r="L221" s="6" t="inlineStr">
        <is>
          <t>Appendix A1.1 lists this exact catch name under `SM pisc`; apportioned over the region 2 and region 3 pools by model biomass; region 1 is the Maldives shelf, outside LME 34.</t>
        </is>
      </c>
    </row>
    <row r="222">
      <c r="A222" t="inlineStr">
        <is>
          <t>Dussumieria elopsoides</t>
        </is>
      </c>
      <c r="B222" t="inlineStr">
        <is>
          <t>Slender rainbow sardine</t>
        </is>
      </c>
      <c r="C222" t="inlineStr">
        <is>
          <t>Small pelagics (&lt;30 cm)</t>
        </is>
      </c>
      <c r="D222" t="inlineStr">
        <is>
          <t>Herring-likes</t>
        </is>
      </c>
      <c r="E222" s="5" t="inlineStr">
        <is>
          <t>2 S pelagics | 3 S pelagics</t>
        </is>
      </c>
      <c r="F222" t="inlineStr">
        <is>
          <t>0.298 | 0.702</t>
        </is>
      </c>
      <c r="G222" t="inlineStr">
        <is>
          <t>model_biomass</t>
        </is>
      </c>
      <c r="H222" t="inlineStr">
        <is>
          <t>medium</t>
        </is>
      </c>
      <c r="I222" t="inlineStr">
        <is>
          <t>composite_split</t>
        </is>
      </c>
      <c r="J222" t="n">
        <v>21656.971</v>
      </c>
      <c r="K222" t="n">
        <v>0.0086</v>
      </c>
      <c r="L222" s="6" t="inlineStr">
        <is>
          <t>Appendix A1.1 lists this exact catch name under `S pelagics`; apportioned over the region 2 and region 3 pools by model biomass; region 1 is the Maldives shelf, outside LME 34.</t>
        </is>
      </c>
    </row>
    <row r="223">
      <c r="A223" t="inlineStr">
        <is>
          <t>Panulirus longipes</t>
        </is>
      </c>
      <c r="B223" t="inlineStr">
        <is>
          <t>Longlegged spiny lobster</t>
        </is>
      </c>
      <c r="C223" t="inlineStr">
        <is>
          <t>Lobsters, crabs</t>
        </is>
      </c>
      <c r="D223" t="inlineStr">
        <is>
          <t>Crustaceans</t>
        </is>
      </c>
      <c r="E223" s="5" t="inlineStr">
        <is>
          <t>2 Crustaceans | 3 Crustaceans</t>
        </is>
      </c>
      <c r="F223" t="inlineStr">
        <is>
          <t>0.213 | 0.787</t>
        </is>
      </c>
      <c r="G223" t="inlineStr">
        <is>
          <t>model_biomass</t>
        </is>
      </c>
      <c r="H223" t="inlineStr">
        <is>
          <t>medium</t>
        </is>
      </c>
      <c r="I223" t="inlineStr">
        <is>
          <t>composite_split</t>
        </is>
      </c>
      <c r="J223" t="n">
        <v>21409.267</v>
      </c>
      <c r="K223" t="n">
        <v>0.008500000000000001</v>
      </c>
      <c r="L223" s="6" t="inlineStr">
        <is>
          <t>Appendix A1.1 lists this exact catch name under `Crabs`; apportioned over the region 2 and region 3 pools by model biomass; region 1 is the Maldives shelf, outside LME 34.</t>
        </is>
      </c>
    </row>
    <row r="224">
      <c r="A224" t="inlineStr">
        <is>
          <t>Pteriomorphia</t>
        </is>
      </c>
      <c r="B224" t="inlineStr">
        <is>
          <t>Clams, cockles, arkshells</t>
        </is>
      </c>
      <c r="C224" t="inlineStr">
        <is>
          <t>Other demersal invertebrates</t>
        </is>
      </c>
      <c r="D224" t="inlineStr">
        <is>
          <t>Molluscs</t>
        </is>
      </c>
      <c r="E224" s="5" t="inlineStr">
        <is>
          <t>2 Macrobenthos | 3 Macrobenthos</t>
        </is>
      </c>
      <c r="F224" t="inlineStr">
        <is>
          <t>0.363 | 0.637</t>
        </is>
      </c>
      <c r="G224" t="inlineStr">
        <is>
          <t>model_biomass</t>
        </is>
      </c>
      <c r="H224" t="inlineStr">
        <is>
          <t>medium</t>
        </is>
      </c>
      <c r="I224" t="inlineStr">
        <is>
          <t>composite_split</t>
        </is>
      </c>
      <c r="J224" t="n">
        <v>21178.585</v>
      </c>
      <c r="K224" t="n">
        <v>0.008399999999999999</v>
      </c>
      <c r="L224" s="6" t="inlineStr">
        <is>
          <t>Appendix A1.1 sends Bivalvia and the pteriomorph genera Pinctada, Crassostrea, Saccostrea, Arcidae and Pectinidae to macrobenthos. Apportioned over the region 2 and region 3 pools by model biomass; region 1 is the Maldives shelf, outside LME 34.</t>
        </is>
      </c>
    </row>
    <row r="225">
      <c r="A225" t="inlineStr">
        <is>
          <t>Lutjanus quinquelineatus</t>
        </is>
      </c>
      <c r="B225" t="inlineStr">
        <is>
          <t>Five-lined snapper</t>
        </is>
      </c>
      <c r="C225" t="inlineStr">
        <is>
          <t>Medium reef assoc. fish (30 - 89 cm)</t>
        </is>
      </c>
      <c r="D225" t="inlineStr">
        <is>
          <t>Perch-likes</t>
        </is>
      </c>
      <c r="E225" s="5" t="inlineStr">
        <is>
          <t>2 L pisc comm | 3 L pisc comm</t>
        </is>
      </c>
      <c r="F225" t="inlineStr">
        <is>
          <t>0.479 | 0.521</t>
        </is>
      </c>
      <c r="G225" t="inlineStr">
        <is>
          <t>model_biomass</t>
        </is>
      </c>
      <c r="H225" t="inlineStr">
        <is>
          <t>medium</t>
        </is>
      </c>
      <c r="I225" t="inlineStr">
        <is>
          <t>composite_split</t>
        </is>
      </c>
      <c r="J225" t="n">
        <v>20949.826</v>
      </c>
      <c r="K225" t="n">
        <v>0.0083</v>
      </c>
      <c r="L225" s="6" t="inlineStr">
        <is>
          <t>Appendix A1.3 lists Lutjanus quinquelineatus in the `L pisc comm` species list. Apportioned over the region 2 and region 3 pools by model biomass; region 1 is the Maldives shelf, outside LME 34.</t>
        </is>
      </c>
    </row>
    <row r="226">
      <c r="A226" t="inlineStr">
        <is>
          <t>Arcidae</t>
        </is>
      </c>
      <c r="B226" t="inlineStr">
        <is>
          <t>Ark clams</t>
        </is>
      </c>
      <c r="C226" t="inlineStr">
        <is>
          <t>Other demersal invertebrates</t>
        </is>
      </c>
      <c r="D226" t="inlineStr">
        <is>
          <t>Molluscs</t>
        </is>
      </c>
      <c r="E226" s="5" t="inlineStr">
        <is>
          <t>2 Macrobenthos | 3 Macrobenthos</t>
        </is>
      </c>
      <c r="F226" t="inlineStr">
        <is>
          <t>0.363 | 0.637</t>
        </is>
      </c>
      <c r="G226" t="inlineStr">
        <is>
          <t>model_biomass</t>
        </is>
      </c>
      <c r="H226" t="inlineStr">
        <is>
          <t>medium</t>
        </is>
      </c>
      <c r="I226" t="inlineStr">
        <is>
          <t>composite_split</t>
        </is>
      </c>
      <c r="J226" t="n">
        <v>20263.742</v>
      </c>
      <c r="K226" t="n">
        <v>0.0081</v>
      </c>
      <c r="L226" s="6" t="inlineStr">
        <is>
          <t>Appendix A1.1 lists this exact catch name under `macrobenthos`; apportioned over the region 2 and region 3 pools by model biomass; region 1 is the Maldives shelf, outside LME 34.</t>
        </is>
      </c>
    </row>
    <row r="227">
      <c r="A227" t="inlineStr">
        <is>
          <t>Rachycentron canadum</t>
        </is>
      </c>
      <c r="B227" t="inlineStr">
        <is>
          <t>Cobia</t>
        </is>
      </c>
      <c r="C227" t="inlineStr">
        <is>
          <t>Large pelagics (&gt;=90 cm)</t>
        </is>
      </c>
      <c r="D227" t="inlineStr">
        <is>
          <t>Perch-likes</t>
        </is>
      </c>
      <c r="E227" s="5" t="inlineStr">
        <is>
          <t>2 L pisc | 3 L pisc</t>
        </is>
      </c>
      <c r="F227" t="inlineStr">
        <is>
          <t>0.450 | 0.550</t>
        </is>
      </c>
      <c r="G227" t="inlineStr">
        <is>
          <t>model_biomass</t>
        </is>
      </c>
      <c r="H227" t="inlineStr">
        <is>
          <t>medium</t>
        </is>
      </c>
      <c r="I227" t="inlineStr">
        <is>
          <t>composite_split</t>
        </is>
      </c>
      <c r="J227" t="n">
        <v>19310.267</v>
      </c>
      <c r="K227" t="n">
        <v>0.0077</v>
      </c>
      <c r="L227" s="6" t="inlineStr">
        <is>
          <t>Appendix A1.1 lists this exact catch name under `L pisc`; apportioned over the region 2 and region 3 pools by model biomass; region 1 is the Maldives shelf, outside LME 34.</t>
        </is>
      </c>
    </row>
    <row r="228">
      <c r="A228" t="inlineStr">
        <is>
          <t>Istiompax indica</t>
        </is>
      </c>
      <c r="B228" t="inlineStr">
        <is>
          <t>Black marlin</t>
        </is>
      </c>
      <c r="C228" t="inlineStr">
        <is>
          <t>Large pelagics (&gt;=90 cm)</t>
        </is>
      </c>
      <c r="D228" t="inlineStr">
        <is>
          <t>Tuna &amp; billfishes</t>
        </is>
      </c>
      <c r="E228" s="7" t="inlineStr">
        <is>
          <t>Tuna-like</t>
        </is>
      </c>
      <c r="F228" t="inlineStr"/>
      <c r="G228" t="inlineStr"/>
      <c r="H228" t="inlineStr">
        <is>
          <t>high</t>
        </is>
      </c>
      <c r="I228" t="inlineStr">
        <is>
          <t>explicit_member</t>
        </is>
      </c>
      <c r="J228" t="n">
        <v>17948.357</v>
      </c>
      <c r="K228" t="n">
        <v>0.0071</v>
      </c>
      <c r="L228" s="6" t="inlineStr">
        <is>
          <t>Appendix A1.1 lists this exact catch name under `tuna-like`, a group modelled over the whole study area (Appendix A1.2).</t>
        </is>
      </c>
    </row>
    <row r="229">
      <c r="A229" t="inlineStr">
        <is>
          <t>Auxis rochei</t>
        </is>
      </c>
      <c r="B229" t="inlineStr">
        <is>
          <t>Bullet tuna</t>
        </is>
      </c>
      <c r="C229" t="inlineStr">
        <is>
          <t>Medium pelagics (30 - 89 cm)</t>
        </is>
      </c>
      <c r="D229" t="inlineStr">
        <is>
          <t>Tuna &amp; billfishes</t>
        </is>
      </c>
      <c r="E229" s="7" t="inlineStr">
        <is>
          <t>Coastal scombrids</t>
        </is>
      </c>
      <c r="F229" t="inlineStr"/>
      <c r="G229" t="inlineStr"/>
      <c r="H229" t="inlineStr">
        <is>
          <t>high</t>
        </is>
      </c>
      <c r="I229" t="inlineStr">
        <is>
          <t>explicit_member</t>
        </is>
      </c>
      <c r="J229" t="n">
        <v>17302.464</v>
      </c>
      <c r="K229" t="n">
        <v>0.0069</v>
      </c>
      <c r="L229" s="6" t="inlineStr">
        <is>
          <t>Appendix A1.1 lists this exact catch name under `coastal scombrid`, modelled as one stock travelling through every EEZ of the study area, 69 % of it (Appendix A1.2).</t>
        </is>
      </c>
    </row>
    <row r="230">
      <c r="A230" t="inlineStr">
        <is>
          <t>Acanthocybium solandri</t>
        </is>
      </c>
      <c r="B230" t="inlineStr">
        <is>
          <t>Wahoo</t>
        </is>
      </c>
      <c r="C230" t="inlineStr">
        <is>
          <t>Large pelagics (&gt;=90 cm)</t>
        </is>
      </c>
      <c r="D230" t="inlineStr">
        <is>
          <t>Perch-likes</t>
        </is>
      </c>
      <c r="E230" s="7" t="inlineStr">
        <is>
          <t>Tuna-like</t>
        </is>
      </c>
      <c r="F230" t="inlineStr"/>
      <c r="G230" t="inlineStr"/>
      <c r="H230" t="inlineStr">
        <is>
          <t>high</t>
        </is>
      </c>
      <c r="I230" t="inlineStr">
        <is>
          <t>explicit_member</t>
        </is>
      </c>
      <c r="J230" t="n">
        <v>17285.48</v>
      </c>
      <c r="K230" t="n">
        <v>0.0069</v>
      </c>
      <c r="L230" s="6" t="inlineStr">
        <is>
          <t>Appendix A1.1 lists this exact catch name under `tuna-like`, a group modelled over the whole study area (Appendix A1.2).</t>
        </is>
      </c>
    </row>
    <row r="231">
      <c r="A231" t="inlineStr">
        <is>
          <t>Sarda orientalis</t>
        </is>
      </c>
      <c r="B231" t="inlineStr">
        <is>
          <t>Striped bonito</t>
        </is>
      </c>
      <c r="C231" t="inlineStr">
        <is>
          <t>Large pelagics (&gt;=90 cm)</t>
        </is>
      </c>
      <c r="D231" t="inlineStr">
        <is>
          <t>Tuna &amp; billfishes</t>
        </is>
      </c>
      <c r="E231" s="7" t="inlineStr">
        <is>
          <t>Coastal scombrids</t>
        </is>
      </c>
      <c r="F231" t="inlineStr"/>
      <c r="G231" t="inlineStr"/>
      <c r="H231" t="inlineStr">
        <is>
          <t>high</t>
        </is>
      </c>
      <c r="I231" t="inlineStr">
        <is>
          <t>explicit_member</t>
        </is>
      </c>
      <c r="J231" t="n">
        <v>16639.122</v>
      </c>
      <c r="K231" t="n">
        <v>0.0066</v>
      </c>
      <c r="L231" s="6" t="inlineStr">
        <is>
          <t>Appendix A1.3 lists Sarda orientalis in the `coastal scombrid` species list.</t>
        </is>
      </c>
    </row>
    <row r="232">
      <c r="A232" t="inlineStr">
        <is>
          <t>Sardinella fimbriata</t>
        </is>
      </c>
      <c r="B232" t="inlineStr">
        <is>
          <t>Fringescale sardinella</t>
        </is>
      </c>
      <c r="C232" t="inlineStr">
        <is>
          <t>Small pelagics (&lt;30 cm)</t>
        </is>
      </c>
      <c r="D232" t="inlineStr">
        <is>
          <t>Herring-likes</t>
        </is>
      </c>
      <c r="E232" s="5" t="inlineStr">
        <is>
          <t>2 S pelagics | 3 S pelagics</t>
        </is>
      </c>
      <c r="F232" t="inlineStr">
        <is>
          <t>0.298 | 0.702</t>
        </is>
      </c>
      <c r="G232" t="inlineStr">
        <is>
          <t>model_biomass</t>
        </is>
      </c>
      <c r="H232" t="inlineStr">
        <is>
          <t>medium</t>
        </is>
      </c>
      <c r="I232" t="inlineStr">
        <is>
          <t>composite_split</t>
        </is>
      </c>
      <c r="J232" t="n">
        <v>16259.212</v>
      </c>
      <c r="K232" t="n">
        <v>0.0065</v>
      </c>
      <c r="L232" s="6" t="inlineStr">
        <is>
          <t>Appendix A1.1 lists this exact catch name under `S pelagics`; apportioned over the region 2 and region 3 pools by model biomass; region 1 is the Maldives shelf, outside LME 34.</t>
        </is>
      </c>
    </row>
    <row r="233">
      <c r="A233" t="inlineStr">
        <is>
          <t>Gazza minuta</t>
        </is>
      </c>
      <c r="B233" t="inlineStr">
        <is>
          <t>Toothpony</t>
        </is>
      </c>
      <c r="C233" t="inlineStr">
        <is>
          <t>Small demersals (&lt;30 cm)</t>
        </is>
      </c>
      <c r="D233" t="inlineStr">
        <is>
          <t>Perch-likes</t>
        </is>
      </c>
      <c r="E233" s="5" t="inlineStr">
        <is>
          <t>2 SM inv | 3 SM inv</t>
        </is>
      </c>
      <c r="F233" t="inlineStr">
        <is>
          <t>0.317 | 0.683</t>
        </is>
      </c>
      <c r="G233" t="inlineStr">
        <is>
          <t>model_biomass</t>
        </is>
      </c>
      <c r="H233" t="inlineStr">
        <is>
          <t>medium</t>
        </is>
      </c>
      <c r="I233" t="inlineStr">
        <is>
          <t>composite_split</t>
        </is>
      </c>
      <c r="J233" t="n">
        <v>16255.975</v>
      </c>
      <c r="K233" t="n">
        <v>0.0065</v>
      </c>
      <c r="L233" s="6" t="inlineStr">
        <is>
          <t>Appendix A1.1 lists this exact catch name under `SM inv`; apportioned over the region 2 and region 3 pools by model biomass; region 1 is the Maldives shelf, outside LME 34.</t>
        </is>
      </c>
    </row>
    <row r="234">
      <c r="A234" t="inlineStr">
        <is>
          <t>Panulirus homarus</t>
        </is>
      </c>
      <c r="B234" t="inlineStr">
        <is>
          <t>Scalloped spiny lobster</t>
        </is>
      </c>
      <c r="C234" t="inlineStr">
        <is>
          <t>Lobsters, crabs</t>
        </is>
      </c>
      <c r="D234" t="inlineStr">
        <is>
          <t>Crustaceans</t>
        </is>
      </c>
      <c r="E234" s="5" t="inlineStr">
        <is>
          <t>2 Crustaceans | 3 Crustaceans</t>
        </is>
      </c>
      <c r="F234" t="inlineStr">
        <is>
          <t>0.213 | 0.787</t>
        </is>
      </c>
      <c r="G234" t="inlineStr">
        <is>
          <t>model_biomass</t>
        </is>
      </c>
      <c r="H234" t="inlineStr">
        <is>
          <t>medium</t>
        </is>
      </c>
      <c r="I234" t="inlineStr">
        <is>
          <t>composite_split</t>
        </is>
      </c>
      <c r="J234" t="n">
        <v>15895.183</v>
      </c>
      <c r="K234" t="n">
        <v>0.0063</v>
      </c>
      <c r="L234" s="6" t="inlineStr">
        <is>
          <t>Appendix A1.1 lists this exact catch name under `Crabs`; apportioned over the region 2 and region 3 pools by model biomass; region 1 is the Maldives shelf, outside LME 34.</t>
        </is>
      </c>
    </row>
    <row r="235">
      <c r="A235" t="inlineStr">
        <is>
          <t>Crassostrea</t>
        </is>
      </c>
      <c r="B235" t="inlineStr">
        <is>
          <t>Cupped oysters</t>
        </is>
      </c>
      <c r="C235" t="inlineStr">
        <is>
          <t>Other demersal invertebrates</t>
        </is>
      </c>
      <c r="D235" t="inlineStr">
        <is>
          <t>Molluscs</t>
        </is>
      </c>
      <c r="E235" s="5" t="inlineStr">
        <is>
          <t>2 Macrobenthos | 3 Macrobenthos</t>
        </is>
      </c>
      <c r="F235" t="inlineStr">
        <is>
          <t>0.363 | 0.637</t>
        </is>
      </c>
      <c r="G235" t="inlineStr">
        <is>
          <t>model_biomass</t>
        </is>
      </c>
      <c r="H235" t="inlineStr">
        <is>
          <t>medium</t>
        </is>
      </c>
      <c r="I235" t="inlineStr">
        <is>
          <t>composite_split</t>
        </is>
      </c>
      <c r="J235" t="n">
        <v>15680.364</v>
      </c>
      <c r="K235" t="n">
        <v>0.0062</v>
      </c>
      <c r="L235" s="6" t="inlineStr">
        <is>
          <t>Appendix A1.1 lists this exact catch name under `macrobenthos`; apportioned over the region 2 and region 3 pools by model biomass; region 1 is the Maldives shelf, outside LME 34.</t>
        </is>
      </c>
    </row>
    <row r="236">
      <c r="A236" t="inlineStr">
        <is>
          <t>Drepane</t>
        </is>
      </c>
      <c r="B236" t="inlineStr">
        <is>
          <t>Sicklefishes</t>
        </is>
      </c>
      <c r="C236" t="inlineStr">
        <is>
          <t>Medium benthopelagics (30 - 89 cm)</t>
        </is>
      </c>
      <c r="D236" t="inlineStr">
        <is>
          <t>Perch-likes</t>
        </is>
      </c>
      <c r="E236" s="5" t="inlineStr">
        <is>
          <t>2 SM pisc | 3 SM pisc</t>
        </is>
      </c>
      <c r="F236" t="inlineStr">
        <is>
          <t>0.306 | 0.694</t>
        </is>
      </c>
      <c r="G236" t="inlineStr">
        <is>
          <t>model_biomass</t>
        </is>
      </c>
      <c r="H236" t="inlineStr">
        <is>
          <t>medium</t>
        </is>
      </c>
      <c r="I236" t="inlineStr">
        <is>
          <t>composite_split</t>
        </is>
      </c>
      <c r="J236" t="n">
        <v>15276.586</v>
      </c>
      <c r="K236" t="n">
        <v>0.0061</v>
      </c>
      <c r="L236" s="6" t="inlineStr">
        <is>
          <t>Appendix A1.1 lists this exact catch name under `SM pisc`; apportioned over the region 2 and region 3 pools by model biomass; region 1 is the Maldives shelf, outside LME 34.</t>
        </is>
      </c>
    </row>
    <row r="237">
      <c r="A237" t="inlineStr">
        <is>
          <t>Coryphaena hippurus</t>
        </is>
      </c>
      <c r="B237" t="inlineStr">
        <is>
          <t>Common dolphinfish</t>
        </is>
      </c>
      <c r="C237" t="inlineStr">
        <is>
          <t>Large pelagics (&gt;=90 cm)</t>
        </is>
      </c>
      <c r="D237" t="inlineStr">
        <is>
          <t>Perch-likes</t>
        </is>
      </c>
      <c r="E237" s="5" t="inlineStr">
        <is>
          <t>2 L pisc | 3 L pisc</t>
        </is>
      </c>
      <c r="F237" t="inlineStr">
        <is>
          <t>0.450 | 0.550</t>
        </is>
      </c>
      <c r="G237" t="inlineStr">
        <is>
          <t>model_biomass</t>
        </is>
      </c>
      <c r="H237" t="inlineStr">
        <is>
          <t>medium</t>
        </is>
      </c>
      <c r="I237" t="inlineStr">
        <is>
          <t>composite_split</t>
        </is>
      </c>
      <c r="J237" t="n">
        <v>14895.758</v>
      </c>
      <c r="K237" t="n">
        <v>0.0059</v>
      </c>
      <c r="L237" s="6" t="inlineStr">
        <is>
          <t>Appendix A1.1 lists this exact catch name under `L pisc`; apportioned over the region 2 and region 3 pools by model biomass; region 1 is the Maldives shelf, outside LME 34.</t>
        </is>
      </c>
    </row>
    <row r="238">
      <c r="A238" t="inlineStr">
        <is>
          <t>Latidae</t>
        </is>
      </c>
      <c r="B238" t="inlineStr">
        <is>
          <t>Lates perches</t>
        </is>
      </c>
      <c r="C238" t="inlineStr">
        <is>
          <t>Large demersals (&gt;=90 cm)</t>
        </is>
      </c>
      <c r="D238" t="inlineStr">
        <is>
          <t>Perch-likes</t>
        </is>
      </c>
      <c r="E238" s="5" t="inlineStr">
        <is>
          <t>2 L pisc | 3 L pisc</t>
        </is>
      </c>
      <c r="F238" t="inlineStr">
        <is>
          <t>0.450 | 0.550</t>
        </is>
      </c>
      <c r="G238" t="inlineStr">
        <is>
          <t>model_biomass</t>
        </is>
      </c>
      <c r="H238" t="inlineStr">
        <is>
          <t>medium</t>
        </is>
      </c>
      <c r="I238" t="inlineStr">
        <is>
          <t>composite_split</t>
        </is>
      </c>
      <c r="J238" t="n">
        <v>13376.896</v>
      </c>
      <c r="K238" t="n">
        <v>0.0053</v>
      </c>
      <c r="L238" s="6" t="inlineStr">
        <is>
          <t>Appendix A1.1 lists this exact catch name under `L pisc`; apportioned over the region 2 and region 3 pools by model biomass; region 1 is the Maldives shelf, outside LME 34.</t>
        </is>
      </c>
    </row>
    <row r="239">
      <c r="A239" t="inlineStr">
        <is>
          <t>Carcharhinus longimanus</t>
        </is>
      </c>
      <c r="B239" t="inlineStr">
        <is>
          <t>Oceanic whitetip shark</t>
        </is>
      </c>
      <c r="C239" t="inlineStr">
        <is>
          <t>Large sharks (&gt;=90 cm)</t>
        </is>
      </c>
      <c r="D239" t="inlineStr">
        <is>
          <t>Sharks &amp; rays</t>
        </is>
      </c>
      <c r="E239" s="7" t="inlineStr">
        <is>
          <t>Oceanic sharks</t>
        </is>
      </c>
      <c r="F239" t="inlineStr"/>
      <c r="G239" t="inlineStr"/>
      <c r="H239" t="inlineStr">
        <is>
          <t>high</t>
        </is>
      </c>
      <c r="I239" t="inlineStr">
        <is>
          <t>explicit_member</t>
        </is>
      </c>
      <c r="J239" t="n">
        <v>13145.143</v>
      </c>
      <c r="K239" t="n">
        <v>0.0052</v>
      </c>
      <c r="L239" s="6" t="inlineStr">
        <is>
          <t>Appendix A1.1 lists this exact catch name under `oceanic sharks`, a group modelled over the whole study area (Appendix A1.2).</t>
        </is>
      </c>
    </row>
    <row r="240">
      <c r="A240" t="inlineStr">
        <is>
          <t>Thenus orientalis</t>
        </is>
      </c>
      <c r="B240" t="inlineStr">
        <is>
          <t>Flathead lobster</t>
        </is>
      </c>
      <c r="C240" t="inlineStr">
        <is>
          <t>Lobsters, crabs</t>
        </is>
      </c>
      <c r="D240" t="inlineStr">
        <is>
          <t>Crustaceans</t>
        </is>
      </c>
      <c r="E240" s="5" t="inlineStr">
        <is>
          <t>2 Crustaceans | 3 Crustaceans</t>
        </is>
      </c>
      <c r="F240" t="inlineStr">
        <is>
          <t>0.213 | 0.787</t>
        </is>
      </c>
      <c r="G240" t="inlineStr">
        <is>
          <t>model_biomass</t>
        </is>
      </c>
      <c r="H240" t="inlineStr">
        <is>
          <t>medium</t>
        </is>
      </c>
      <c r="I240" t="inlineStr">
        <is>
          <t>composite_split</t>
        </is>
      </c>
      <c r="J240" t="n">
        <v>11960.474</v>
      </c>
      <c r="K240" t="n">
        <v>0.0048</v>
      </c>
      <c r="L240" s="6" t="inlineStr">
        <is>
          <t>Appendix A1.1 lists this exact catch name under `Crabs`; apportioned over the region 2 and region 3 pools by model biomass; region 1 is the Maldives shelf, outside LME 34.</t>
        </is>
      </c>
    </row>
    <row r="241">
      <c r="A241" t="inlineStr">
        <is>
          <t>Istiophorus platypterus</t>
        </is>
      </c>
      <c r="B241" t="inlineStr">
        <is>
          <t>Indo-Pacific sailfish</t>
        </is>
      </c>
      <c r="C241" t="inlineStr">
        <is>
          <t>Large pelagics (&gt;=90 cm)</t>
        </is>
      </c>
      <c r="D241" t="inlineStr">
        <is>
          <t>Tuna &amp; billfishes</t>
        </is>
      </c>
      <c r="E241" s="7" t="inlineStr">
        <is>
          <t>Tuna-like</t>
        </is>
      </c>
      <c r="F241" t="inlineStr"/>
      <c r="G241" t="inlineStr"/>
      <c r="H241" t="inlineStr">
        <is>
          <t>high</t>
        </is>
      </c>
      <c r="I241" t="inlineStr">
        <is>
          <t>explicit_member</t>
        </is>
      </c>
      <c r="J241" t="n">
        <v>11544.258</v>
      </c>
      <c r="K241" t="n">
        <v>0.0046</v>
      </c>
      <c r="L241" s="6" t="inlineStr">
        <is>
          <t>Appendix A1.1 lists this exact catch name under `tuna-like`, a group modelled over the whole study area (Appendix A1.2).</t>
        </is>
      </c>
    </row>
    <row r="242">
      <c r="A242" t="inlineStr">
        <is>
          <t>Trochus niloticus</t>
        </is>
      </c>
      <c r="B242" t="inlineStr">
        <is>
          <t>Commercial top</t>
        </is>
      </c>
      <c r="C242" t="inlineStr">
        <is>
          <t>Other demersal invertebrates</t>
        </is>
      </c>
      <c r="D242" t="inlineStr">
        <is>
          <t>Molluscs</t>
        </is>
      </c>
      <c r="E242" s="5" t="inlineStr">
        <is>
          <t>2 Macrobenthos | 3 Macrobenthos</t>
        </is>
      </c>
      <c r="F242" t="inlineStr">
        <is>
          <t>0.363 | 0.637</t>
        </is>
      </c>
      <c r="G242" t="inlineStr">
        <is>
          <t>model_biomass</t>
        </is>
      </c>
      <c r="H242" t="inlineStr">
        <is>
          <t>medium</t>
        </is>
      </c>
      <c r="I242" t="inlineStr">
        <is>
          <t>composite_split</t>
        </is>
      </c>
      <c r="J242" t="n">
        <v>10391.687</v>
      </c>
      <c r="K242" t="n">
        <v>0.0041</v>
      </c>
      <c r="L242" s="6" t="inlineStr">
        <is>
          <t>Appendix A1.1 lists this exact catch name under `macrobenthos`; apportioned over the region 2 and region 3 pools by model biomass; region 1 is the Maldives shelf, outside LME 34.</t>
        </is>
      </c>
    </row>
    <row r="243">
      <c r="A243" t="inlineStr">
        <is>
          <t>Sillago sihama</t>
        </is>
      </c>
      <c r="B243" t="inlineStr">
        <is>
          <t>Silver sillago</t>
        </is>
      </c>
      <c r="C243" t="inlineStr">
        <is>
          <t>Medium demersals (30 - 89 cm)</t>
        </is>
      </c>
      <c r="D243" t="inlineStr">
        <is>
          <t>Perch-likes</t>
        </is>
      </c>
      <c r="E243" s="5" t="inlineStr">
        <is>
          <t>2 SM inv | 3 SM inv</t>
        </is>
      </c>
      <c r="F243" t="inlineStr">
        <is>
          <t>0.317 | 0.683</t>
        </is>
      </c>
      <c r="G243" t="inlineStr">
        <is>
          <t>model_biomass</t>
        </is>
      </c>
      <c r="H243" t="inlineStr">
        <is>
          <t>medium</t>
        </is>
      </c>
      <c r="I243" t="inlineStr">
        <is>
          <t>composite_split</t>
        </is>
      </c>
      <c r="J243" t="n">
        <v>10130.215</v>
      </c>
      <c r="K243" t="n">
        <v>0.004</v>
      </c>
      <c r="L243" s="6" t="inlineStr">
        <is>
          <t>Appendix A1.1 lists this exact catch name under `SM inv`; apportioned over the region 2 and region 3 pools by model biomass; region 1 is the Maldives shelf, outside LME 34.</t>
        </is>
      </c>
    </row>
    <row r="244">
      <c r="A244" t="inlineStr">
        <is>
          <t>Isurus oxyrinchus</t>
        </is>
      </c>
      <c r="B244" t="inlineStr">
        <is>
          <t>Shortfin mako</t>
        </is>
      </c>
      <c r="C244" t="inlineStr">
        <is>
          <t>Large sharks (&gt;=90 cm)</t>
        </is>
      </c>
      <c r="D244" t="inlineStr">
        <is>
          <t>Sharks &amp; rays</t>
        </is>
      </c>
      <c r="E244" s="7" t="inlineStr">
        <is>
          <t>Oceanic sharks</t>
        </is>
      </c>
      <c r="F244" t="inlineStr"/>
      <c r="G244" t="inlineStr"/>
      <c r="H244" t="inlineStr">
        <is>
          <t>high</t>
        </is>
      </c>
      <c r="I244" t="inlineStr">
        <is>
          <t>explicit_member</t>
        </is>
      </c>
      <c r="J244" t="n">
        <v>9988.858</v>
      </c>
      <c r="K244" t="n">
        <v>0.004</v>
      </c>
      <c r="L244" s="6" t="inlineStr">
        <is>
          <t>Appendix A1.1 lists this exact catch name under `oceanic sharks`, a group modelled over the whole study area (Appendix A1.2).</t>
        </is>
      </c>
    </row>
    <row r="245">
      <c r="A245" t="inlineStr">
        <is>
          <t>Scatophagus</t>
        </is>
      </c>
      <c r="B245" t="inlineStr">
        <is>
          <t>Scats</t>
        </is>
      </c>
      <c r="C245" t="inlineStr">
        <is>
          <t>Medium demersals (30 - 89 cm)</t>
        </is>
      </c>
      <c r="D245" t="inlineStr">
        <is>
          <t>Perch-likes</t>
        </is>
      </c>
      <c r="E245" s="5" t="inlineStr">
        <is>
          <t>2 SM inv | 3 SM inv</t>
        </is>
      </c>
      <c r="F245" t="inlineStr">
        <is>
          <t>0.317 | 0.683</t>
        </is>
      </c>
      <c r="G245" t="inlineStr">
        <is>
          <t>model_biomass</t>
        </is>
      </c>
      <c r="H245" t="inlineStr">
        <is>
          <t>medium</t>
        </is>
      </c>
      <c r="I245" t="inlineStr">
        <is>
          <t>composite_split</t>
        </is>
      </c>
      <c r="J245" t="n">
        <v>9427.513000000001</v>
      </c>
      <c r="K245" t="n">
        <v>0.0038</v>
      </c>
      <c r="L245" s="6" t="inlineStr">
        <is>
          <t>Appendix A1.1 lists Scatophagus argus, the only scatophagid in the region, under SM inv. Apportioned over the region 2 and region 3 pools by model biomass; region 1 is the Maldives shelf, outside LME 34.</t>
        </is>
      </c>
    </row>
    <row r="246">
      <c r="A246" t="inlineStr">
        <is>
          <t>Scyris indica</t>
        </is>
      </c>
      <c r="B246" t="inlineStr">
        <is>
          <t>Indian threadfish</t>
        </is>
      </c>
      <c r="C246" t="inlineStr">
        <is>
          <t>Large reef assoc. fish (&gt;=90 cm)</t>
        </is>
      </c>
      <c r="D246" t="inlineStr">
        <is>
          <t>Perch-likes</t>
        </is>
      </c>
      <c r="E246" s="5" t="inlineStr">
        <is>
          <t>2 Carangids | 3 Carangids</t>
        </is>
      </c>
      <c r="F246" t="inlineStr">
        <is>
          <t>0.304 | 0.696</t>
        </is>
      </c>
      <c r="G246" t="inlineStr">
        <is>
          <t>model_biomass</t>
        </is>
      </c>
      <c r="H246" t="inlineStr">
        <is>
          <t>medium</t>
        </is>
      </c>
      <c r="I246" t="inlineStr">
        <is>
          <t>composite_split</t>
        </is>
      </c>
      <c r="J246" t="n">
        <v>8953.004999999999</v>
      </c>
      <c r="K246" t="n">
        <v>0.0036</v>
      </c>
      <c r="L246" s="6" t="inlineStr">
        <is>
          <t>Accepted-name/synonym match: Appendix A1.1 lists Alectis indica under `Carangids`. Apportioned over the region 2 and region 3 pools by model biomass; region 1 is the Maldives shelf, outside LME 34.</t>
        </is>
      </c>
    </row>
    <row r="247">
      <c r="A247" t="inlineStr">
        <is>
          <t>Pellona ditchela</t>
        </is>
      </c>
      <c r="B247" t="inlineStr">
        <is>
          <t>Indian pellona</t>
        </is>
      </c>
      <c r="C247" t="inlineStr">
        <is>
          <t>Small pelagics (&lt;30 cm)</t>
        </is>
      </c>
      <c r="D247" t="inlineStr">
        <is>
          <t>Herring-likes</t>
        </is>
      </c>
      <c r="E247" s="5" t="inlineStr">
        <is>
          <t>2 S pelagics | 3 S pelagics</t>
        </is>
      </c>
      <c r="F247" t="inlineStr">
        <is>
          <t>0.298 | 0.702</t>
        </is>
      </c>
      <c r="G247" t="inlineStr">
        <is>
          <t>model_biomass</t>
        </is>
      </c>
      <c r="H247" t="inlineStr">
        <is>
          <t>medium</t>
        </is>
      </c>
      <c r="I247" t="inlineStr">
        <is>
          <t>composite_split</t>
        </is>
      </c>
      <c r="J247" t="n">
        <v>8525.981</v>
      </c>
      <c r="K247" t="n">
        <v>0.0034</v>
      </c>
      <c r="L247" s="6" t="inlineStr">
        <is>
          <t>Appendix A1.1 lists this exact catch name under `S pelagics`; apportioned over the region 2 and region 3 pools by model biomass; region 1 is the Maldives shelf, outside LME 34.</t>
        </is>
      </c>
    </row>
    <row r="248">
      <c r="A248" t="inlineStr">
        <is>
          <t>Panulirus</t>
        </is>
      </c>
      <c r="B248" t="inlineStr">
        <is>
          <t>Spiny lobsters</t>
        </is>
      </c>
      <c r="C248" t="inlineStr">
        <is>
          <t>Lobsters, crabs</t>
        </is>
      </c>
      <c r="D248" t="inlineStr">
        <is>
          <t>Crustaceans</t>
        </is>
      </c>
      <c r="E248" s="5" t="inlineStr">
        <is>
          <t>2 Crustaceans | 3 Crustaceans</t>
        </is>
      </c>
      <c r="F248" t="inlineStr">
        <is>
          <t>0.213 | 0.787</t>
        </is>
      </c>
      <c r="G248" t="inlineStr">
        <is>
          <t>model_biomass</t>
        </is>
      </c>
      <c r="H248" t="inlineStr">
        <is>
          <t>medium</t>
        </is>
      </c>
      <c r="I248" t="inlineStr">
        <is>
          <t>composite_split</t>
        </is>
      </c>
      <c r="J248" t="n">
        <v>8480.27</v>
      </c>
      <c r="K248" t="n">
        <v>0.0034</v>
      </c>
      <c r="L248" s="6" t="inlineStr">
        <is>
          <t>Appendix A1.1 lists this exact catch name under `Crabs`; apportioned over the region 2 and region 3 pools by model biomass; region 1 is the Maldives shelf, outside LME 34.</t>
        </is>
      </c>
    </row>
    <row r="249">
      <c r="A249" t="inlineStr">
        <is>
          <t>Lamniformes</t>
        </is>
      </c>
      <c r="B249" t="inlineStr">
        <is>
          <t>Mackerel sharks</t>
        </is>
      </c>
      <c r="C249" t="inlineStr">
        <is>
          <t>Large sharks (&gt;=90 cm)</t>
        </is>
      </c>
      <c r="D249" t="inlineStr">
        <is>
          <t>Sharks &amp; rays</t>
        </is>
      </c>
      <c r="E249" s="5" t="inlineStr">
        <is>
          <t>Oceanic sharks | Coastal elasmobranch</t>
        </is>
      </c>
      <c r="F249" t="inlineStr">
        <is>
          <t>0.306 | 0.694</t>
        </is>
      </c>
      <c r="G249" t="inlineStr">
        <is>
          <t>catch_composition</t>
        </is>
      </c>
      <c r="H249" t="inlineStr">
        <is>
          <t>medium</t>
        </is>
      </c>
      <c r="I249" t="inlineStr">
        <is>
          <t>composite_split</t>
        </is>
      </c>
      <c r="J249" t="n">
        <v>7511.152</v>
      </c>
      <c r="K249" t="n">
        <v>0.003</v>
      </c>
      <c r="L249" s="6" t="inlineStr">
        <is>
          <t>Appendix A1.1 lists this exact catch name under `oceanic, coastal sharks`; apportioned by the catch that taxa assigned to those groups alone already carry in this LME.</t>
        </is>
      </c>
    </row>
    <row r="250">
      <c r="A250" t="inlineStr">
        <is>
          <t>Siganidae</t>
        </is>
      </c>
      <c r="B250" t="inlineStr">
        <is>
          <t>Rabbitfishes</t>
        </is>
      </c>
      <c r="C250" t="inlineStr">
        <is>
          <t>Medium reef assoc. fish (30 - 89 cm)</t>
        </is>
      </c>
      <c r="D250" t="inlineStr">
        <is>
          <t>Perch-likes</t>
        </is>
      </c>
      <c r="E250" s="5" t="inlineStr">
        <is>
          <t>2 SM inv | 3 SM inv</t>
        </is>
      </c>
      <c r="F250" t="inlineStr">
        <is>
          <t>0.317 | 0.683</t>
        </is>
      </c>
      <c r="G250" t="inlineStr">
        <is>
          <t>model_biomass</t>
        </is>
      </c>
      <c r="H250" t="inlineStr">
        <is>
          <t>medium</t>
        </is>
      </c>
      <c r="I250" t="inlineStr">
        <is>
          <t>composite_split</t>
        </is>
      </c>
      <c r="J250" t="n">
        <v>6976.849</v>
      </c>
      <c r="K250" t="n">
        <v>0.0028</v>
      </c>
      <c r="L250" s="6" t="inlineStr">
        <is>
          <t>Appendix A1.1 lists this exact catch name under `SM inv`; apportioned over the region 2 and region 3 pools by model biomass; region 1 is the Maldives shelf, outside LME 34.</t>
        </is>
      </c>
    </row>
    <row r="251">
      <c r="A251" t="inlineStr">
        <is>
          <t>Holothuriidae</t>
        </is>
      </c>
      <c r="B251" t="inlineStr">
        <is>
          <t>Fleshy sea cucumbers</t>
        </is>
      </c>
      <c r="C251" t="inlineStr">
        <is>
          <t>Other demersal invertebrates</t>
        </is>
      </c>
      <c r="D251" t="inlineStr">
        <is>
          <t>Other fishes &amp; inverts</t>
        </is>
      </c>
      <c r="E251" s="5" t="inlineStr">
        <is>
          <t>2 Macrobenthos | 3 Macrobenthos</t>
        </is>
      </c>
      <c r="F251" t="inlineStr">
        <is>
          <t>0.363 | 0.637</t>
        </is>
      </c>
      <c r="G251" t="inlineStr">
        <is>
          <t>model_biomass</t>
        </is>
      </c>
      <c r="H251" t="inlineStr">
        <is>
          <t>medium</t>
        </is>
      </c>
      <c r="I251" t="inlineStr">
        <is>
          <t>composite_split</t>
        </is>
      </c>
      <c r="J251" t="n">
        <v>6933.362</v>
      </c>
      <c r="K251" t="n">
        <v>0.0028</v>
      </c>
      <c r="L251" s="6" t="inlineStr">
        <is>
          <t>Appendix A1.1 lists this exact catch name under `macrobenthos`; apportioned over the region 2 and region 3 pools by model biomass; region 1 is the Maldives shelf, outside LME 34.</t>
        </is>
      </c>
    </row>
    <row r="252">
      <c r="A252" t="inlineStr">
        <is>
          <t>Holothuria leucospilota</t>
        </is>
      </c>
      <c r="B252" t="inlineStr">
        <is>
          <t>White threads fish</t>
        </is>
      </c>
      <c r="C252" t="inlineStr">
        <is>
          <t>Other demersal invertebrates</t>
        </is>
      </c>
      <c r="D252" t="inlineStr">
        <is>
          <t>Other fishes &amp; inverts</t>
        </is>
      </c>
      <c r="E252" s="5" t="inlineStr">
        <is>
          <t>2 Macrobenthos | 3 Macrobenthos</t>
        </is>
      </c>
      <c r="F252" t="inlineStr">
        <is>
          <t>0.363 | 0.637</t>
        </is>
      </c>
      <c r="G252" t="inlineStr">
        <is>
          <t>model_biomass</t>
        </is>
      </c>
      <c r="H252" t="inlineStr">
        <is>
          <t>medium</t>
        </is>
      </c>
      <c r="I252" t="inlineStr">
        <is>
          <t>composite_split</t>
        </is>
      </c>
      <c r="J252" t="n">
        <v>6913.626</v>
      </c>
      <c r="K252" t="n">
        <v>0.0028</v>
      </c>
      <c r="L252" s="6" t="inlineStr">
        <is>
          <t>Appendix A1.1 lists Holothuriidae, Holothuroidea and three Holothuria species under macrobenthos. Apportioned over the region 2 and region 3 pools by model biomass; region 1 is the Maldives shelf, outside LME 34.</t>
        </is>
      </c>
    </row>
    <row r="253">
      <c r="A253" t="inlineStr">
        <is>
          <t>Caesionidae</t>
        </is>
      </c>
      <c r="B253" t="inlineStr">
        <is>
          <t>Fusiliers</t>
        </is>
      </c>
      <c r="C253" t="inlineStr">
        <is>
          <t>Medium reef assoc. fish (30 - 89 cm)</t>
        </is>
      </c>
      <c r="D253" t="inlineStr">
        <is>
          <t>Perch-likes</t>
        </is>
      </c>
      <c r="E253" s="5" t="inlineStr">
        <is>
          <t>2 SM inv | 3 SM inv</t>
        </is>
      </c>
      <c r="F253" t="inlineStr">
        <is>
          <t>0.317 | 0.683</t>
        </is>
      </c>
      <c r="G253" t="inlineStr">
        <is>
          <t>model_biomass</t>
        </is>
      </c>
      <c r="H253" t="inlineStr">
        <is>
          <t>medium</t>
        </is>
      </c>
      <c r="I253" t="inlineStr">
        <is>
          <t>composite_split</t>
        </is>
      </c>
      <c r="J253" t="n">
        <v>6893.68</v>
      </c>
      <c r="K253" t="n">
        <v>0.0027</v>
      </c>
      <c r="L253" s="6" t="inlineStr">
        <is>
          <t>Appendix A1.1 lists this exact catch name under `SM inv`; apportioned over the region 2 and region 3 pools by model biomass; region 1 is the Maldives shelf, outside LME 34.</t>
        </is>
      </c>
    </row>
    <row r="254">
      <c r="A254" t="inlineStr">
        <is>
          <t>Scomberomorus lineolatus</t>
        </is>
      </c>
      <c r="B254" t="inlineStr">
        <is>
          <t>Streaked seerfish</t>
        </is>
      </c>
      <c r="C254" t="inlineStr">
        <is>
          <t>Large pelagics (&gt;=90 cm)</t>
        </is>
      </c>
      <c r="D254" t="inlineStr">
        <is>
          <t>Perch-likes</t>
        </is>
      </c>
      <c r="E254" s="7" t="inlineStr">
        <is>
          <t>Coastal scombrids</t>
        </is>
      </c>
      <c r="F254" t="inlineStr"/>
      <c r="G254" t="inlineStr"/>
      <c r="H254" t="inlineStr">
        <is>
          <t>high</t>
        </is>
      </c>
      <c r="I254" t="inlineStr">
        <is>
          <t>explicit_member</t>
        </is>
      </c>
      <c r="J254" t="n">
        <v>6307.401</v>
      </c>
      <c r="K254" t="n">
        <v>0.0025</v>
      </c>
      <c r="L254" s="6" t="inlineStr">
        <is>
          <t>Appendix A1.3 lists Scomberomorus lineolatus in the `coastal scombrid` species list.</t>
        </is>
      </c>
    </row>
    <row r="255">
      <c r="A255" t="inlineStr">
        <is>
          <t>Stichopus</t>
        </is>
      </c>
      <c r="B255" t="inlineStr">
        <is>
          <t>Boxed sea cucumbers</t>
        </is>
      </c>
      <c r="C255" t="inlineStr">
        <is>
          <t>Other demersal invertebrates</t>
        </is>
      </c>
      <c r="D255" t="inlineStr">
        <is>
          <t>Other fishes &amp; inverts</t>
        </is>
      </c>
      <c r="E255" s="5" t="inlineStr">
        <is>
          <t>2 Macrobenthos | 3 Macrobenthos</t>
        </is>
      </c>
      <c r="F255" t="inlineStr">
        <is>
          <t>0.363 | 0.637</t>
        </is>
      </c>
      <c r="G255" t="inlineStr">
        <is>
          <t>model_biomass</t>
        </is>
      </c>
      <c r="H255" t="inlineStr">
        <is>
          <t>medium</t>
        </is>
      </c>
      <c r="I255" t="inlineStr">
        <is>
          <t>composite_split</t>
        </is>
      </c>
      <c r="J255" t="n">
        <v>5680.072</v>
      </c>
      <c r="K255" t="n">
        <v>0.0023</v>
      </c>
      <c r="L255" s="6" t="inlineStr">
        <is>
          <t>Appendix A1.1 lists this exact catch name under `macrobenthos`; apportioned over the region 2 and region 3 pools by model biomass; region 1 is the Maldives shelf, outside LME 34.</t>
        </is>
      </c>
    </row>
    <row r="256">
      <c r="A256" t="inlineStr">
        <is>
          <t>Sphyrnidae</t>
        </is>
      </c>
      <c r="B256" t="inlineStr">
        <is>
          <t>Hammer, bonnet, scoophead sharks</t>
        </is>
      </c>
      <c r="C256" t="inlineStr">
        <is>
          <t>Large sharks (&gt;=90 cm)</t>
        </is>
      </c>
      <c r="D256" t="inlineStr">
        <is>
          <t>Sharks &amp; rays</t>
        </is>
      </c>
      <c r="E256" s="7" t="inlineStr">
        <is>
          <t>Oceanic sharks</t>
        </is>
      </c>
      <c r="F256" t="inlineStr"/>
      <c r="G256" t="inlineStr"/>
      <c r="H256" t="inlineStr">
        <is>
          <t>high</t>
        </is>
      </c>
      <c r="I256" t="inlineStr">
        <is>
          <t>explicit_member</t>
        </is>
      </c>
      <c r="J256" t="n">
        <v>5574.426</v>
      </c>
      <c r="K256" t="n">
        <v>0.0022</v>
      </c>
      <c r="L256" s="6" t="inlineStr">
        <is>
          <t>Appendix A1.1 lists this exact catch name under `oceanic sharks`, a group modelled over the whole study area (Appendix A1.2).</t>
        </is>
      </c>
    </row>
    <row r="257">
      <c r="A257" t="inlineStr">
        <is>
          <t>Platycaranx malabaricus</t>
        </is>
      </c>
      <c r="B257" t="inlineStr">
        <is>
          <t>Malabar trevally</t>
        </is>
      </c>
      <c r="C257" t="inlineStr">
        <is>
          <t>Medium reef assoc. fish (30 - 89 cm)</t>
        </is>
      </c>
      <c r="D257" t="inlineStr">
        <is>
          <t>Perch-likes</t>
        </is>
      </c>
      <c r="E257" s="5" t="inlineStr">
        <is>
          <t>2 Carangids | 3 Carangids</t>
        </is>
      </c>
      <c r="F257" t="inlineStr">
        <is>
          <t>0.304 | 0.696</t>
        </is>
      </c>
      <c r="G257" t="inlineStr">
        <is>
          <t>model_biomass</t>
        </is>
      </c>
      <c r="H257" t="inlineStr">
        <is>
          <t>medium</t>
        </is>
      </c>
      <c r="I257" t="inlineStr">
        <is>
          <t>composite_split</t>
        </is>
      </c>
      <c r="J257" t="n">
        <v>5423.849</v>
      </c>
      <c r="K257" t="n">
        <v>0.0022</v>
      </c>
      <c r="L257" s="6" t="inlineStr">
        <is>
          <t>Accepted-name/synonym match: Appendix A1.1 lists Carangoides malabaricus under `Carangids`. Apportioned over the region 2 and region 3 pools by model biomass; region 1 is the Maldives shelf, outside LME 34.</t>
        </is>
      </c>
    </row>
    <row r="258">
      <c r="A258" t="inlineStr">
        <is>
          <t>Priacanthidae</t>
        </is>
      </c>
      <c r="B258" t="inlineStr">
        <is>
          <t>Bigeyes, catalufas</t>
        </is>
      </c>
      <c r="C258" t="inlineStr">
        <is>
          <t>Medium reef assoc. fish (30 - 89 cm)</t>
        </is>
      </c>
      <c r="D258" t="inlineStr">
        <is>
          <t>Perch-likes</t>
        </is>
      </c>
      <c r="E258" s="5" t="inlineStr">
        <is>
          <t>2 SM pisc | 3 SM pisc</t>
        </is>
      </c>
      <c r="F258" t="inlineStr">
        <is>
          <t>0.306 | 0.694</t>
        </is>
      </c>
      <c r="G258" t="inlineStr">
        <is>
          <t>model_biomass</t>
        </is>
      </c>
      <c r="H258" t="inlineStr">
        <is>
          <t>medium</t>
        </is>
      </c>
      <c r="I258" t="inlineStr">
        <is>
          <t>composite_split</t>
        </is>
      </c>
      <c r="J258" t="n">
        <v>5378.071</v>
      </c>
      <c r="K258" t="n">
        <v>0.0021</v>
      </c>
      <c r="L258" s="6" t="inlineStr">
        <is>
          <t>Appendix A1.1 lists the genus Priacanthus under SM pisc and A1.3 names P. macracanthus, P. tayenus and P. hamrur there. Apportioned over the region 2 and region 3 pools by model biomass; region 1 is the Maldives shelf, outside LME 34.</t>
        </is>
      </c>
    </row>
    <row r="259">
      <c r="A259" t="inlineStr">
        <is>
          <t>Alopias vulpinus</t>
        </is>
      </c>
      <c r="B259" t="inlineStr">
        <is>
          <t>Thresher</t>
        </is>
      </c>
      <c r="C259" t="inlineStr">
        <is>
          <t>Large sharks (&gt;=90 cm)</t>
        </is>
      </c>
      <c r="D259" t="inlineStr">
        <is>
          <t>Sharks &amp; rays</t>
        </is>
      </c>
      <c r="E259" s="7" t="inlineStr">
        <is>
          <t>Oceanic sharks</t>
        </is>
      </c>
      <c r="F259" t="inlineStr"/>
      <c r="G259" t="inlineStr"/>
      <c r="H259" t="inlineStr">
        <is>
          <t>high</t>
        </is>
      </c>
      <c r="I259" t="inlineStr">
        <is>
          <t>explicit_member</t>
        </is>
      </c>
      <c r="J259" t="n">
        <v>5260.447</v>
      </c>
      <c r="K259" t="n">
        <v>0.0021</v>
      </c>
      <c r="L259" s="6" t="inlineStr">
        <is>
          <t>Appendix A1.1 lists this exact catch name under `oceanic sharks`, a group modelled over the whole study area (Appendix A1.2).</t>
        </is>
      </c>
    </row>
    <row r="260">
      <c r="A260" t="inlineStr">
        <is>
          <t>Alopias pelagicus</t>
        </is>
      </c>
      <c r="B260" t="inlineStr">
        <is>
          <t>Pelagic thresher</t>
        </is>
      </c>
      <c r="C260" t="inlineStr">
        <is>
          <t>Large sharks (&gt;=90 cm)</t>
        </is>
      </c>
      <c r="D260" t="inlineStr">
        <is>
          <t>Sharks &amp; rays</t>
        </is>
      </c>
      <c r="E260" s="7" t="inlineStr">
        <is>
          <t>Oceanic sharks</t>
        </is>
      </c>
      <c r="F260" t="inlineStr"/>
      <c r="G260" t="inlineStr"/>
      <c r="H260" t="inlineStr">
        <is>
          <t>high</t>
        </is>
      </c>
      <c r="I260" t="inlineStr">
        <is>
          <t>explicit_member</t>
        </is>
      </c>
      <c r="J260" t="n">
        <v>5260.17</v>
      </c>
      <c r="K260" t="n">
        <v>0.0021</v>
      </c>
      <c r="L260" s="6" t="inlineStr">
        <is>
          <t>Appendix A1.1 lists this exact catch name under `oceanic sharks`, a group modelled over the whole study area (Appendix A1.2).</t>
        </is>
      </c>
    </row>
    <row r="261">
      <c r="A261" t="inlineStr">
        <is>
          <t>Alopias superciliosus</t>
        </is>
      </c>
      <c r="B261" t="inlineStr">
        <is>
          <t>Bigeye thresher</t>
        </is>
      </c>
      <c r="C261" t="inlineStr">
        <is>
          <t>Large sharks (&gt;=90 cm)</t>
        </is>
      </c>
      <c r="D261" t="inlineStr">
        <is>
          <t>Sharks &amp; rays</t>
        </is>
      </c>
      <c r="E261" s="7" t="inlineStr">
        <is>
          <t>Oceanic sharks</t>
        </is>
      </c>
      <c r="F261" t="inlineStr"/>
      <c r="G261" t="inlineStr"/>
      <c r="H261" t="inlineStr">
        <is>
          <t>high</t>
        </is>
      </c>
      <c r="I261" t="inlineStr">
        <is>
          <t>explicit_member</t>
        </is>
      </c>
      <c r="J261" t="n">
        <v>5259.934</v>
      </c>
      <c r="K261" t="n">
        <v>0.0021</v>
      </c>
      <c r="L261" s="6" t="inlineStr">
        <is>
          <t>Appendix A1.1 lists this exact catch name under `oceanic sharks`, a group modelled over the whole study area (Appendix A1.2).</t>
        </is>
      </c>
    </row>
    <row r="262">
      <c r="A262" t="inlineStr">
        <is>
          <t>Tridacna</t>
        </is>
      </c>
      <c r="B262" t="inlineStr">
        <is>
          <t>Tridacnid clams</t>
        </is>
      </c>
      <c r="C262" t="inlineStr">
        <is>
          <t>Other demersal invertebrates</t>
        </is>
      </c>
      <c r="D262" t="inlineStr">
        <is>
          <t>Molluscs</t>
        </is>
      </c>
      <c r="E262" s="5" t="inlineStr">
        <is>
          <t>2 Macrobenthos | 3 Macrobenthos</t>
        </is>
      </c>
      <c r="F262" t="inlineStr">
        <is>
          <t>0.363 | 0.637</t>
        </is>
      </c>
      <c r="G262" t="inlineStr">
        <is>
          <t>model_biomass</t>
        </is>
      </c>
      <c r="H262" t="inlineStr">
        <is>
          <t>medium</t>
        </is>
      </c>
      <c r="I262" t="inlineStr">
        <is>
          <t>composite_split</t>
        </is>
      </c>
      <c r="J262" t="n">
        <v>4823.271</v>
      </c>
      <c r="K262" t="n">
        <v>0.0019</v>
      </c>
      <c r="L262" s="6" t="inlineStr">
        <is>
          <t>Appendix A1.1 lists this exact catch name under `macrobenthos`; apportioned over the region 2 and region 3 pools by model biomass; region 1 is the Maldives shelf, outside LME 34.</t>
        </is>
      </c>
    </row>
    <row r="263">
      <c r="A263" t="inlineStr">
        <is>
          <t>Chanos chanos</t>
        </is>
      </c>
      <c r="B263" t="inlineStr">
        <is>
          <t>Milkfish</t>
        </is>
      </c>
      <c r="C263" t="inlineStr">
        <is>
          <t>Large benthopelagics (&gt;=90 cm)</t>
        </is>
      </c>
      <c r="D263" t="inlineStr">
        <is>
          <t>Other fishes &amp; inverts</t>
        </is>
      </c>
      <c r="E263" s="5" t="inlineStr">
        <is>
          <t>2 Milkfish plus | 3 Milkfish plus</t>
        </is>
      </c>
      <c r="F263" t="inlineStr">
        <is>
          <t>0.439 | 0.561</t>
        </is>
      </c>
      <c r="G263" t="inlineStr">
        <is>
          <t>model_biomass</t>
        </is>
      </c>
      <c r="H263" t="inlineStr">
        <is>
          <t>medium</t>
        </is>
      </c>
      <c r="I263" t="inlineStr">
        <is>
          <t>composite_split</t>
        </is>
      </c>
      <c r="J263" t="n">
        <v>4622.736</v>
      </c>
      <c r="K263" t="n">
        <v>0.0018</v>
      </c>
      <c r="L263" s="6" t="inlineStr">
        <is>
          <t>Appendix A1.1 lists this exact catch name under `Milkfish plus`; apportioned over the region 2 and region 3 pools by model biomass; region 1 is the Maldives shelf, outside LME 34.</t>
        </is>
      </c>
    </row>
    <row r="264">
      <c r="A264" t="inlineStr">
        <is>
          <t>Muraenesocidae</t>
        </is>
      </c>
      <c r="B264" t="inlineStr">
        <is>
          <t>Pike congers</t>
        </is>
      </c>
      <c r="C264" t="inlineStr">
        <is>
          <t>Large demersals (&gt;=90 cm)</t>
        </is>
      </c>
      <c r="D264" t="inlineStr">
        <is>
          <t>Other fishes &amp; inverts</t>
        </is>
      </c>
      <c r="E264" s="5" t="inlineStr">
        <is>
          <t>2 L pisc | 3 L pisc</t>
        </is>
      </c>
      <c r="F264" t="inlineStr">
        <is>
          <t>0.450 | 0.550</t>
        </is>
      </c>
      <c r="G264" t="inlineStr">
        <is>
          <t>model_biomass</t>
        </is>
      </c>
      <c r="H264" t="inlineStr">
        <is>
          <t>medium</t>
        </is>
      </c>
      <c r="I264" t="inlineStr">
        <is>
          <t>composite_split</t>
        </is>
      </c>
      <c r="J264" t="n">
        <v>4608.269</v>
      </c>
      <c r="K264" t="n">
        <v>0.0018</v>
      </c>
      <c r="L264" s="6" t="inlineStr">
        <is>
          <t>Appendix A1.1 lists this exact catch name under `L pisc`; apportioned over the region 2 and region 3 pools by model biomass; region 1 is the Maldives shelf, outside LME 34.</t>
        </is>
      </c>
    </row>
    <row r="265">
      <c r="A265" t="inlineStr">
        <is>
          <t>Aluterus</t>
        </is>
      </c>
      <c r="B265" t="inlineStr">
        <is>
          <t>Aluterid filefishes</t>
        </is>
      </c>
      <c r="C265" t="inlineStr">
        <is>
          <t>Large reef assoc. fish (&gt;=90 cm)</t>
        </is>
      </c>
      <c r="D265" t="inlineStr">
        <is>
          <t>Other fishes &amp; inverts</t>
        </is>
      </c>
      <c r="E265" s="5" t="inlineStr">
        <is>
          <t>2 SM inv | 3 SM inv</t>
        </is>
      </c>
      <c r="F265" t="inlineStr">
        <is>
          <t>0.317 | 0.683</t>
        </is>
      </c>
      <c r="G265" t="inlineStr">
        <is>
          <t>model_biomass</t>
        </is>
      </c>
      <c r="H265" t="inlineStr">
        <is>
          <t>medium</t>
        </is>
      </c>
      <c r="I265" t="inlineStr">
        <is>
          <t>composite_split</t>
        </is>
      </c>
      <c r="J265" t="n">
        <v>4343.005</v>
      </c>
      <c r="K265" t="n">
        <v>0.0017</v>
      </c>
      <c r="L265" s="6" t="inlineStr">
        <is>
          <t>Appendix A1.1 lists this exact catch name under `SM inv`; apportioned over the region 2 and region 3 pools by model biomass; region 1 is the Maldives shelf, outside LME 34.</t>
        </is>
      </c>
    </row>
    <row r="266">
      <c r="A266" t="inlineStr">
        <is>
          <t>Panulirus penicillatus</t>
        </is>
      </c>
      <c r="B266" t="inlineStr">
        <is>
          <t>Pronghorn spiny lobster</t>
        </is>
      </c>
      <c r="C266" t="inlineStr">
        <is>
          <t>Lobsters, crabs</t>
        </is>
      </c>
      <c r="D266" t="inlineStr">
        <is>
          <t>Crustaceans</t>
        </is>
      </c>
      <c r="E266" s="5" t="inlineStr">
        <is>
          <t>2 Crustaceans | 3 Crustaceans</t>
        </is>
      </c>
      <c r="F266" t="inlineStr">
        <is>
          <t>0.213 | 0.787</t>
        </is>
      </c>
      <c r="G266" t="inlineStr">
        <is>
          <t>model_biomass</t>
        </is>
      </c>
      <c r="H266" t="inlineStr">
        <is>
          <t>medium</t>
        </is>
      </c>
      <c r="I266" t="inlineStr">
        <is>
          <t>composite_split</t>
        </is>
      </c>
      <c r="J266" t="n">
        <v>4257.642</v>
      </c>
      <c r="K266" t="n">
        <v>0.0017</v>
      </c>
      <c r="L266" s="6" t="inlineStr">
        <is>
          <t>Appendix A1.1 lists this exact catch name under `Crabs`; apportioned over the region 2 and region 3 pools by model biomass; region 1 is the Maldives shelf, outside LME 34.</t>
        </is>
      </c>
    </row>
    <row r="267">
      <c r="A267" t="inlineStr">
        <is>
          <t>Panulirus versicolor</t>
        </is>
      </c>
      <c r="B267" t="inlineStr">
        <is>
          <t>Painted spiny lobster</t>
        </is>
      </c>
      <c r="C267" t="inlineStr">
        <is>
          <t>Lobsters, crabs</t>
        </is>
      </c>
      <c r="D267" t="inlineStr">
        <is>
          <t>Crustaceans</t>
        </is>
      </c>
      <c r="E267" s="5" t="inlineStr">
        <is>
          <t>2 Crustaceans | 3 Crustaceans</t>
        </is>
      </c>
      <c r="F267" t="inlineStr">
        <is>
          <t>0.213 | 0.787</t>
        </is>
      </c>
      <c r="G267" t="inlineStr">
        <is>
          <t>model_biomass</t>
        </is>
      </c>
      <c r="H267" t="inlineStr">
        <is>
          <t>medium</t>
        </is>
      </c>
      <c r="I267" t="inlineStr">
        <is>
          <t>composite_split</t>
        </is>
      </c>
      <c r="J267" t="n">
        <v>4231.949</v>
      </c>
      <c r="K267" t="n">
        <v>0.0017</v>
      </c>
      <c r="L267" s="6" t="inlineStr">
        <is>
          <t>Appendix A1.1 lists this exact catch name under `Crabs`; apportioned over the region 2 and region 3 pools by model biomass; region 1 is the Maldives shelf, outside LME 34.</t>
        </is>
      </c>
    </row>
    <row r="268">
      <c r="A268" t="inlineStr">
        <is>
          <t>Carcharhinus sorrah</t>
        </is>
      </c>
      <c r="B268" t="inlineStr">
        <is>
          <t>Spottail shark</t>
        </is>
      </c>
      <c r="C268" t="inlineStr">
        <is>
          <t>Large sharks (&gt;=90 cm)</t>
        </is>
      </c>
      <c r="D268" t="inlineStr">
        <is>
          <t>Sharks &amp; rays</t>
        </is>
      </c>
      <c r="E268" s="7" t="inlineStr">
        <is>
          <t>Coastal elasmobranch</t>
        </is>
      </c>
      <c r="F268" t="inlineStr"/>
      <c r="G268" t="inlineStr"/>
      <c r="H268" t="inlineStr">
        <is>
          <t>high</t>
        </is>
      </c>
      <c r="I268" t="inlineStr">
        <is>
          <t>explicit_member</t>
        </is>
      </c>
      <c r="J268" t="n">
        <v>4201.738</v>
      </c>
      <c r="K268" t="n">
        <v>0.0017</v>
      </c>
      <c r="L268" s="6" t="inlineStr">
        <is>
          <t>Appendix A1.1 lists this exact catch name under `coastal elasmobranch`, modelled as one stock over every EEZ of the study area, 69 % of it (Appendix A1.2).</t>
        </is>
      </c>
    </row>
    <row r="269">
      <c r="A269" t="inlineStr">
        <is>
          <t>Carcharhinus limbatus</t>
        </is>
      </c>
      <c r="B269" t="inlineStr">
        <is>
          <t>Blacktip shark</t>
        </is>
      </c>
      <c r="C269" t="inlineStr">
        <is>
          <t>Large sharks (&gt;=90 cm)</t>
        </is>
      </c>
      <c r="D269" t="inlineStr">
        <is>
          <t>Sharks &amp; rays</t>
        </is>
      </c>
      <c r="E269" s="7" t="inlineStr">
        <is>
          <t>Coastal elasmobranch</t>
        </is>
      </c>
      <c r="F269" t="inlineStr"/>
      <c r="G269" t="inlineStr"/>
      <c r="H269" t="inlineStr">
        <is>
          <t>high</t>
        </is>
      </c>
      <c r="I269" t="inlineStr">
        <is>
          <t>explicit_member</t>
        </is>
      </c>
      <c r="J269" t="n">
        <v>4160.535</v>
      </c>
      <c r="K269" t="n">
        <v>0.0017</v>
      </c>
      <c r="L269" s="6" t="inlineStr">
        <is>
          <t>Appendix A1.1 lists this exact catch name under `coastal elasmobranch`, modelled as one stock over every EEZ of the study area, 69 % of it (Appendix A1.2).</t>
        </is>
      </c>
    </row>
    <row r="270">
      <c r="A270" t="inlineStr">
        <is>
          <t>Carcharhinus albimarginatus</t>
        </is>
      </c>
      <c r="B270" t="inlineStr">
        <is>
          <t>Silvertip shark</t>
        </is>
      </c>
      <c r="C270" t="inlineStr">
        <is>
          <t>Large sharks (&gt;=90 cm)</t>
        </is>
      </c>
      <c r="D270" t="inlineStr">
        <is>
          <t>Sharks &amp; rays</t>
        </is>
      </c>
      <c r="E270" s="7" t="inlineStr">
        <is>
          <t>Coastal elasmobranch</t>
        </is>
      </c>
      <c r="F270" t="inlineStr"/>
      <c r="G270" t="inlineStr"/>
      <c r="H270" t="inlineStr">
        <is>
          <t>high</t>
        </is>
      </c>
      <c r="I270" t="inlineStr">
        <is>
          <t>explicit_member</t>
        </is>
      </c>
      <c r="J270" t="n">
        <v>4159.253</v>
      </c>
      <c r="K270" t="n">
        <v>0.0017</v>
      </c>
      <c r="L270" s="6" t="inlineStr">
        <is>
          <t>Appendix A1.1 lists this exact catch name under `coastal elasmobranch`, modelled as one stock over every EEZ of the study area, 69 % of it (Appendix A1.2).</t>
        </is>
      </c>
    </row>
    <row r="271">
      <c r="A271" t="inlineStr">
        <is>
          <t>Carcharhinus melanopterus</t>
        </is>
      </c>
      <c r="B271" t="inlineStr">
        <is>
          <t>Blacktip reef shark</t>
        </is>
      </c>
      <c r="C271" t="inlineStr">
        <is>
          <t>Large sharks (&gt;=90 cm)</t>
        </is>
      </c>
      <c r="D271" t="inlineStr">
        <is>
          <t>Sharks &amp; rays</t>
        </is>
      </c>
      <c r="E271" s="7" t="inlineStr">
        <is>
          <t>Coastal elasmobranch</t>
        </is>
      </c>
      <c r="F271" t="inlineStr"/>
      <c r="G271" t="inlineStr"/>
      <c r="H271" t="inlineStr">
        <is>
          <t>high</t>
        </is>
      </c>
      <c r="I271" t="inlineStr">
        <is>
          <t>explicit_member</t>
        </is>
      </c>
      <c r="J271" t="n">
        <v>4159.23</v>
      </c>
      <c r="K271" t="n">
        <v>0.0017</v>
      </c>
      <c r="L271" s="6" t="inlineStr">
        <is>
          <t>Appendix A1.1 lists this exact catch name under `coastal elasmobranch`, modelled as one stock over every EEZ of the study area, 69 % of it (Appendix A1.2).</t>
        </is>
      </c>
    </row>
    <row r="272">
      <c r="A272" t="inlineStr">
        <is>
          <t>Carcharhinus amblyrhynchos</t>
        </is>
      </c>
      <c r="B272" t="inlineStr">
        <is>
          <t>Blacktail reef shark</t>
        </is>
      </c>
      <c r="C272" t="inlineStr">
        <is>
          <t>Large sharks (&gt;=90 cm)</t>
        </is>
      </c>
      <c r="D272" t="inlineStr">
        <is>
          <t>Sharks &amp; rays</t>
        </is>
      </c>
      <c r="E272" s="7" t="inlineStr">
        <is>
          <t>Coastal elasmobranch</t>
        </is>
      </c>
      <c r="F272" t="inlineStr"/>
      <c r="G272" t="inlineStr"/>
      <c r="H272" t="inlineStr">
        <is>
          <t>high</t>
        </is>
      </c>
      <c r="I272" t="inlineStr">
        <is>
          <t>explicit_member</t>
        </is>
      </c>
      <c r="J272" t="n">
        <v>4158.912</v>
      </c>
      <c r="K272" t="n">
        <v>0.0017</v>
      </c>
      <c r="L272" s="6" t="inlineStr">
        <is>
          <t>Appendix A1.1 lists this exact catch name under `coastal elasmobranch`, modelled as one stock over every EEZ of the study area, 69 % of it (Appendix A1.2).</t>
        </is>
      </c>
    </row>
    <row r="273">
      <c r="A273" t="inlineStr">
        <is>
          <t>Galeocerdo cuvier</t>
        </is>
      </c>
      <c r="B273" t="inlineStr">
        <is>
          <t>Tiger shark</t>
        </is>
      </c>
      <c r="C273" t="inlineStr">
        <is>
          <t>Large sharks (&gt;=90 cm)</t>
        </is>
      </c>
      <c r="D273" t="inlineStr">
        <is>
          <t>Sharks &amp; rays</t>
        </is>
      </c>
      <c r="E273" s="7" t="inlineStr">
        <is>
          <t>Coastal elasmobranch</t>
        </is>
      </c>
      <c r="F273" t="inlineStr"/>
      <c r="G273" t="inlineStr"/>
      <c r="H273" t="inlineStr">
        <is>
          <t>high</t>
        </is>
      </c>
      <c r="I273" t="inlineStr">
        <is>
          <t>explicit_member</t>
        </is>
      </c>
      <c r="J273" t="n">
        <v>4097.243</v>
      </c>
      <c r="K273" t="n">
        <v>0.0016</v>
      </c>
      <c r="L273" s="6" t="inlineStr">
        <is>
          <t>Appendix A1.1 lists this exact catch name under `coastal elasmobranch`, modelled as one stock over every EEZ of the study area, 69 % of it (Appendix A1.2).</t>
        </is>
      </c>
    </row>
    <row r="274">
      <c r="A274" t="inlineStr">
        <is>
          <t>Istiophorus</t>
        </is>
      </c>
      <c r="B274" t="inlineStr">
        <is>
          <t>Sailfishes</t>
        </is>
      </c>
      <c r="C274" t="inlineStr">
        <is>
          <t>Large pelagics (&gt;=90 cm)</t>
        </is>
      </c>
      <c r="D274" t="inlineStr">
        <is>
          <t>Tuna &amp; billfishes</t>
        </is>
      </c>
      <c r="E274" s="7" t="inlineStr">
        <is>
          <t>Tuna-like</t>
        </is>
      </c>
      <c r="F274" t="inlineStr"/>
      <c r="G274" t="inlineStr"/>
      <c r="H274" t="inlineStr">
        <is>
          <t>high</t>
        </is>
      </c>
      <c r="I274" t="inlineStr">
        <is>
          <t>explicit_member</t>
        </is>
      </c>
      <c r="J274" t="n">
        <v>3534.153</v>
      </c>
      <c r="K274" t="n">
        <v>0.0014</v>
      </c>
      <c r="L274" s="6" t="inlineStr">
        <is>
          <t>Appendix A1.1 lists this exact catch name under `tuna-like`, a group modelled over the whole study area (Appendix A1.2).</t>
        </is>
      </c>
    </row>
    <row r="275">
      <c r="A275" t="inlineStr">
        <is>
          <t>Hyporhamphus</t>
        </is>
      </c>
      <c r="B275" t="inlineStr">
        <is>
          <t>Sea garfishes</t>
        </is>
      </c>
      <c r="C275" t="inlineStr">
        <is>
          <t>Small reef assoc. fish (&lt;30 cm)</t>
        </is>
      </c>
      <c r="D275" t="inlineStr">
        <is>
          <t>Other fishes &amp; inverts</t>
        </is>
      </c>
      <c r="E275" s="5" t="inlineStr">
        <is>
          <t>2 S pelagics | 3 S pelagics</t>
        </is>
      </c>
      <c r="F275" t="inlineStr">
        <is>
          <t>0.298 | 0.702</t>
        </is>
      </c>
      <c r="G275" t="inlineStr">
        <is>
          <t>model_biomass</t>
        </is>
      </c>
      <c r="H275" t="inlineStr">
        <is>
          <t>medium</t>
        </is>
      </c>
      <c r="I275" t="inlineStr">
        <is>
          <t>composite_split</t>
        </is>
      </c>
      <c r="J275" t="n">
        <v>3515.63</v>
      </c>
      <c r="K275" t="n">
        <v>0.0014</v>
      </c>
      <c r="L275" s="6" t="inlineStr">
        <is>
          <t>Appendix A1.1 lists this exact catch name under `S pelagics`; apportioned over the region 2 and region 3 pools by model biomass; region 1 is the Maldives shelf, outside LME 34.</t>
        </is>
      </c>
    </row>
    <row r="276">
      <c r="A276" t="inlineStr">
        <is>
          <t>Lethrinus</t>
        </is>
      </c>
      <c r="B276" t="inlineStr">
        <is>
          <t>Emperors</t>
        </is>
      </c>
      <c r="C276" t="inlineStr">
        <is>
          <t>Medium reef assoc. fish (30 - 89 cm)</t>
        </is>
      </c>
      <c r="D276" t="inlineStr">
        <is>
          <t>Perch-likes</t>
        </is>
      </c>
      <c r="E276" s="5" t="inlineStr">
        <is>
          <t>2 L pisc comm | 3 L pisc comm</t>
        </is>
      </c>
      <c r="F276" t="inlineStr">
        <is>
          <t>0.479 | 0.521</t>
        </is>
      </c>
      <c r="G276" t="inlineStr">
        <is>
          <t>model_biomass</t>
        </is>
      </c>
      <c r="H276" t="inlineStr">
        <is>
          <t>medium</t>
        </is>
      </c>
      <c r="I276" t="inlineStr">
        <is>
          <t>composite_split</t>
        </is>
      </c>
      <c r="J276" t="n">
        <v>3407.404</v>
      </c>
      <c r="K276" t="n">
        <v>0.0014</v>
      </c>
      <c r="L276" s="6" t="inlineStr">
        <is>
          <t>Appendix A1.1 lists this exact catch name under `L pisc comm`; apportioned over the region 2 and region 3 pools by model biomass; region 1 is the Maldives shelf, outside LME 34.</t>
        </is>
      </c>
    </row>
    <row r="277">
      <c r="A277" t="inlineStr">
        <is>
          <t>Sphyrna zygaena</t>
        </is>
      </c>
      <c r="B277" t="inlineStr">
        <is>
          <t>Smooth hammerhead</t>
        </is>
      </c>
      <c r="C277" t="inlineStr">
        <is>
          <t>Large sharks (&gt;=90 cm)</t>
        </is>
      </c>
      <c r="D277" t="inlineStr">
        <is>
          <t>Sharks &amp; rays</t>
        </is>
      </c>
      <c r="E277" s="7" t="inlineStr">
        <is>
          <t>Oceanic sharks</t>
        </is>
      </c>
      <c r="F277" t="inlineStr"/>
      <c r="G277" t="inlineStr"/>
      <c r="H277" t="inlineStr">
        <is>
          <t>high</t>
        </is>
      </c>
      <c r="I277" t="inlineStr">
        <is>
          <t>explicit_member</t>
        </is>
      </c>
      <c r="J277" t="n">
        <v>3323.229</v>
      </c>
      <c r="K277" t="n">
        <v>0.0013</v>
      </c>
      <c r="L277" s="6" t="inlineStr">
        <is>
          <t>Appendix A1.1 lists this exact catch name under `oceanic sharks`, a group modelled over the whole study area (Appendix A1.2).</t>
        </is>
      </c>
    </row>
    <row r="278">
      <c r="A278" t="inlineStr">
        <is>
          <t>Sphyrna lewini</t>
        </is>
      </c>
      <c r="B278" t="inlineStr">
        <is>
          <t>Scalloped hammerhead</t>
        </is>
      </c>
      <c r="C278" t="inlineStr">
        <is>
          <t>Large sharks (&gt;=90 cm)</t>
        </is>
      </c>
      <c r="D278" t="inlineStr">
        <is>
          <t>Sharks &amp; rays</t>
        </is>
      </c>
      <c r="E278" s="7" t="inlineStr">
        <is>
          <t>Oceanic sharks</t>
        </is>
      </c>
      <c r="F278" t="inlineStr"/>
      <c r="G278" t="inlineStr"/>
      <c r="H278" t="inlineStr">
        <is>
          <t>high</t>
        </is>
      </c>
      <c r="I278" t="inlineStr">
        <is>
          <t>explicit_member</t>
        </is>
      </c>
      <c r="J278" t="n">
        <v>3305.878</v>
      </c>
      <c r="K278" t="n">
        <v>0.0013</v>
      </c>
      <c r="L278" s="6" t="inlineStr">
        <is>
          <t>Appendix A1.1 lists this exact catch name under `oceanic sharks`, a group modelled over the whole study area (Appendix A1.2).</t>
        </is>
      </c>
    </row>
    <row r="279">
      <c r="A279" t="inlineStr">
        <is>
          <t>Sphyrna mokarran</t>
        </is>
      </c>
      <c r="B279" t="inlineStr">
        <is>
          <t>Great hammerhead</t>
        </is>
      </c>
      <c r="C279" t="inlineStr">
        <is>
          <t>Large sharks (&gt;=90 cm)</t>
        </is>
      </c>
      <c r="D279" t="inlineStr">
        <is>
          <t>Sharks &amp; rays</t>
        </is>
      </c>
      <c r="E279" s="7" t="inlineStr">
        <is>
          <t>Oceanic sharks</t>
        </is>
      </c>
      <c r="F279" t="inlineStr"/>
      <c r="G279" t="inlineStr"/>
      <c r="H279" t="inlineStr">
        <is>
          <t>high</t>
        </is>
      </c>
      <c r="I279" t="inlineStr">
        <is>
          <t>explicit_member</t>
        </is>
      </c>
      <c r="J279" t="n">
        <v>3254.798</v>
      </c>
      <c r="K279" t="n">
        <v>0.0013</v>
      </c>
      <c r="L279" s="6" t="inlineStr">
        <is>
          <t>Appendix A1.1 lists this exact catch name under `oceanic sharks`, a group modelled over the whole study area (Appendix A1.2).</t>
        </is>
      </c>
    </row>
    <row r="280">
      <c r="A280" t="inlineStr">
        <is>
          <t>Acanthurus</t>
        </is>
      </c>
      <c r="B280" t="inlineStr">
        <is>
          <t>Surgeonfishes</t>
        </is>
      </c>
      <c r="C280" t="inlineStr">
        <is>
          <t>Small reef assoc. fish (&lt;30 cm)</t>
        </is>
      </c>
      <c r="D280" t="inlineStr">
        <is>
          <t>Perch-likes</t>
        </is>
      </c>
      <c r="E280" s="5" t="inlineStr">
        <is>
          <t>2 SM inv | 3 SM inv</t>
        </is>
      </c>
      <c r="F280" t="inlineStr">
        <is>
          <t>0.317 | 0.683</t>
        </is>
      </c>
      <c r="G280" t="inlineStr">
        <is>
          <t>model_biomass</t>
        </is>
      </c>
      <c r="H280" t="inlineStr">
        <is>
          <t>medium</t>
        </is>
      </c>
      <c r="I280" t="inlineStr">
        <is>
          <t>composite_split</t>
        </is>
      </c>
      <c r="J280" t="n">
        <v>3228.44</v>
      </c>
      <c r="K280" t="n">
        <v>0.0013</v>
      </c>
      <c r="L280" s="6" t="inlineStr">
        <is>
          <t>Appendix A1.1 lists this exact catch name under `SM inv`; apportioned over the region 2 and region 3 pools by model biomass; region 1 is the Maldives shelf, outside LME 34.</t>
        </is>
      </c>
    </row>
    <row r="281">
      <c r="A281" t="inlineStr">
        <is>
          <t>Carcharhinus macloti</t>
        </is>
      </c>
      <c r="B281" t="inlineStr">
        <is>
          <t>Hardnose shark</t>
        </is>
      </c>
      <c r="C281" t="inlineStr">
        <is>
          <t>Small to medium sharks (&lt;90 cm)</t>
        </is>
      </c>
      <c r="D281" t="inlineStr">
        <is>
          <t>Sharks &amp; rays</t>
        </is>
      </c>
      <c r="E281" s="7" t="inlineStr">
        <is>
          <t>Coastal elasmobranch</t>
        </is>
      </c>
      <c r="F281" t="inlineStr"/>
      <c r="G281" t="inlineStr"/>
      <c r="H281" t="inlineStr">
        <is>
          <t>high</t>
        </is>
      </c>
      <c r="I281" t="inlineStr">
        <is>
          <t>explicit_member</t>
        </is>
      </c>
      <c r="J281" t="n">
        <v>3101.874</v>
      </c>
      <c r="K281" t="n">
        <v>0.0012</v>
      </c>
      <c r="L281" s="6" t="inlineStr">
        <is>
          <t>Appendix A1.3 lists Carcharhinus macloti in the `coastal elasmobranch` species list.</t>
        </is>
      </c>
    </row>
    <row r="282">
      <c r="A282" t="inlineStr">
        <is>
          <t>Turbo marmoratus</t>
        </is>
      </c>
      <c r="B282" t="inlineStr">
        <is>
          <t>Green turban</t>
        </is>
      </c>
      <c r="C282" t="inlineStr">
        <is>
          <t>Other demersal invertebrates</t>
        </is>
      </c>
      <c r="D282" t="inlineStr">
        <is>
          <t>Molluscs</t>
        </is>
      </c>
      <c r="E282" s="5" t="inlineStr">
        <is>
          <t>2 Macrobenthos | 3 Macrobenthos</t>
        </is>
      </c>
      <c r="F282" t="inlineStr">
        <is>
          <t>0.363 | 0.637</t>
        </is>
      </c>
      <c r="G282" t="inlineStr">
        <is>
          <t>model_biomass</t>
        </is>
      </c>
      <c r="H282" t="inlineStr">
        <is>
          <t>medium</t>
        </is>
      </c>
      <c r="I282" t="inlineStr">
        <is>
          <t>composite_split</t>
        </is>
      </c>
      <c r="J282" t="n">
        <v>2967.737</v>
      </c>
      <c r="K282" t="n">
        <v>0.0012</v>
      </c>
      <c r="L282" s="6" t="inlineStr">
        <is>
          <t>Appendix A1.1 lists the genus Turbo under macrobenthos. Apportioned over the region 2 and region 3 pools by model biomass; region 1 is the Maldives shelf, outside LME 34.</t>
        </is>
      </c>
    </row>
    <row r="283">
      <c r="A283" t="inlineStr">
        <is>
          <t>Makaira</t>
        </is>
      </c>
      <c r="B283" t="inlineStr">
        <is>
          <t>Blue marlins</t>
        </is>
      </c>
      <c r="C283" t="inlineStr">
        <is>
          <t>Large pelagics (&gt;=90 cm)</t>
        </is>
      </c>
      <c r="D283" t="inlineStr">
        <is>
          <t>Tuna &amp; billfishes</t>
        </is>
      </c>
      <c r="E283" s="7" t="inlineStr">
        <is>
          <t>Tuna-like</t>
        </is>
      </c>
      <c r="F283" t="inlineStr"/>
      <c r="G283" t="inlineStr"/>
      <c r="H283" t="inlineStr">
        <is>
          <t>high</t>
        </is>
      </c>
      <c r="I283" t="inlineStr">
        <is>
          <t>explicit_member</t>
        </is>
      </c>
      <c r="J283" t="n">
        <v>2581.544</v>
      </c>
      <c r="K283" t="n">
        <v>0.001</v>
      </c>
      <c r="L283" s="6" t="inlineStr">
        <is>
          <t>Appendix A1.1 lists this exact catch name under `tuna-like`, a group modelled over the whole study area (Appendix A1.2).</t>
        </is>
      </c>
    </row>
    <row r="284">
      <c r="A284" t="inlineStr">
        <is>
          <t>Tetrapturus angustirostris</t>
        </is>
      </c>
      <c r="B284" t="inlineStr">
        <is>
          <t>Shortbill spearfish</t>
        </is>
      </c>
      <c r="C284" t="inlineStr">
        <is>
          <t>Large pelagics (&gt;=90 cm)</t>
        </is>
      </c>
      <c r="D284" t="inlineStr">
        <is>
          <t>Tuna &amp; billfishes</t>
        </is>
      </c>
      <c r="E284" s="7" t="inlineStr">
        <is>
          <t>Tuna-like</t>
        </is>
      </c>
      <c r="F284" t="inlineStr"/>
      <c r="G284" t="inlineStr"/>
      <c r="H284" t="inlineStr">
        <is>
          <t>high</t>
        </is>
      </c>
      <c r="I284" t="inlineStr">
        <is>
          <t>explicit_member</t>
        </is>
      </c>
      <c r="J284" t="n">
        <v>2265.749</v>
      </c>
      <c r="K284" t="n">
        <v>0.0009</v>
      </c>
      <c r="L284" s="6" t="inlineStr">
        <is>
          <t>Appendix A1.1 lists this exact catch name under `tuna-like`, a group modelled over the whole study area (Appendix A1.2).</t>
        </is>
      </c>
    </row>
    <row r="285">
      <c r="A285" t="inlineStr">
        <is>
          <t>Scarus</t>
        </is>
      </c>
      <c r="B285" t="inlineStr">
        <is>
          <t>Parrots</t>
        </is>
      </c>
      <c r="C285" t="inlineStr">
        <is>
          <t>Medium reef assoc. fish (30 - 89 cm)</t>
        </is>
      </c>
      <c r="D285" t="inlineStr">
        <is>
          <t>Perch-likes</t>
        </is>
      </c>
      <c r="E285" s="5" t="inlineStr">
        <is>
          <t>2 SM inv | 3 SM inv</t>
        </is>
      </c>
      <c r="F285" t="inlineStr">
        <is>
          <t>0.317 | 0.683</t>
        </is>
      </c>
      <c r="G285" t="inlineStr">
        <is>
          <t>model_biomass</t>
        </is>
      </c>
      <c r="H285" t="inlineStr">
        <is>
          <t>medium</t>
        </is>
      </c>
      <c r="I285" t="inlineStr">
        <is>
          <t>composite_split</t>
        </is>
      </c>
      <c r="J285" t="n">
        <v>2206.454</v>
      </c>
      <c r="K285" t="n">
        <v>0.0009</v>
      </c>
      <c r="L285" s="6" t="inlineStr">
        <is>
          <t>Appendix A1.1 lists this exact catch name under `SM inv`; apportioned over the region 2 and region 3 pools by model biomass; region 1 is the Maldives shelf, outside LME 34.</t>
        </is>
      </c>
    </row>
    <row r="286">
      <c r="A286" t="inlineStr">
        <is>
          <t>Holothuria atra</t>
        </is>
      </c>
      <c r="B286" t="inlineStr">
        <is>
          <t>Lollyfish</t>
        </is>
      </c>
      <c r="C286" t="inlineStr">
        <is>
          <t>Other demersal invertebrates</t>
        </is>
      </c>
      <c r="D286" t="inlineStr">
        <is>
          <t>Other fishes &amp; inverts</t>
        </is>
      </c>
      <c r="E286" s="5" t="inlineStr">
        <is>
          <t>2 Macrobenthos | 3 Macrobenthos</t>
        </is>
      </c>
      <c r="F286" t="inlineStr">
        <is>
          <t>0.363 | 0.637</t>
        </is>
      </c>
      <c r="G286" t="inlineStr">
        <is>
          <t>model_biomass</t>
        </is>
      </c>
      <c r="H286" t="inlineStr">
        <is>
          <t>medium</t>
        </is>
      </c>
      <c r="I286" t="inlineStr">
        <is>
          <t>composite_split</t>
        </is>
      </c>
      <c r="J286" t="n">
        <v>2096.13</v>
      </c>
      <c r="K286" t="n">
        <v>0.0008</v>
      </c>
      <c r="L286" s="6" t="inlineStr">
        <is>
          <t>Appendix A1.1 lists this exact catch name under `macrobenthos`; apportioned over the region 2 and region 3 pools by model biomass; region 1 is the Maldives shelf, outside LME 34.</t>
        </is>
      </c>
    </row>
    <row r="287">
      <c r="A287" t="inlineStr">
        <is>
          <t>Holothuria edulis</t>
        </is>
      </c>
      <c r="B287" t="inlineStr">
        <is>
          <t>Pinkfish</t>
        </is>
      </c>
      <c r="C287" t="inlineStr">
        <is>
          <t>Other demersal invertebrates</t>
        </is>
      </c>
      <c r="D287" t="inlineStr">
        <is>
          <t>Other fishes &amp; inverts</t>
        </is>
      </c>
      <c r="E287" s="5" t="inlineStr">
        <is>
          <t>2 Macrobenthos | 3 Macrobenthos</t>
        </is>
      </c>
      <c r="F287" t="inlineStr">
        <is>
          <t>0.363 | 0.637</t>
        </is>
      </c>
      <c r="G287" t="inlineStr">
        <is>
          <t>model_biomass</t>
        </is>
      </c>
      <c r="H287" t="inlineStr">
        <is>
          <t>medium</t>
        </is>
      </c>
      <c r="I287" t="inlineStr">
        <is>
          <t>composite_split</t>
        </is>
      </c>
      <c r="J287" t="n">
        <v>2091.225</v>
      </c>
      <c r="K287" t="n">
        <v>0.0008</v>
      </c>
      <c r="L287" s="6" t="inlineStr">
        <is>
          <t>Appendix A1.1 lists this exact catch name under `macrobenthos`; apportioned over the region 2 and region 3 pools by model biomass; region 1 is the Maldives shelf, outside LME 34.</t>
        </is>
      </c>
    </row>
    <row r="288">
      <c r="A288" t="inlineStr">
        <is>
          <t>Bohadschia marmorata</t>
        </is>
      </c>
      <c r="B288" t="inlineStr">
        <is>
          <t>Chalky cucumber</t>
        </is>
      </c>
      <c r="C288" t="inlineStr">
        <is>
          <t>Other demersal invertebrates</t>
        </is>
      </c>
      <c r="D288" t="inlineStr">
        <is>
          <t>Other fishes &amp; inverts</t>
        </is>
      </c>
      <c r="E288" s="5" t="inlineStr">
        <is>
          <t>2 Macrobenthos | 3 Macrobenthos</t>
        </is>
      </c>
      <c r="F288" t="inlineStr">
        <is>
          <t>0.363 | 0.637</t>
        </is>
      </c>
      <c r="G288" t="inlineStr">
        <is>
          <t>model_biomass</t>
        </is>
      </c>
      <c r="H288" t="inlineStr">
        <is>
          <t>medium</t>
        </is>
      </c>
      <c r="I288" t="inlineStr">
        <is>
          <t>composite_split</t>
        </is>
      </c>
      <c r="J288" t="n">
        <v>2077.579</v>
      </c>
      <c r="K288" t="n">
        <v>0.0008</v>
      </c>
      <c r="L288" s="6" t="inlineStr">
        <is>
          <t>Appendix A1.1 lists this exact catch name under `macrobenthos`; apportioned over the region 2 and region 3 pools by model biomass; region 1 is the Maldives shelf, outside LME 34.</t>
        </is>
      </c>
    </row>
    <row r="289">
      <c r="A289" t="inlineStr">
        <is>
          <t>Makaira mazara</t>
        </is>
      </c>
      <c r="B289" t="inlineStr">
        <is>
          <t>Indo-Pacific blue marlin</t>
        </is>
      </c>
      <c r="C289" t="inlineStr">
        <is>
          <t>Large pelagics (&gt;=90 cm)</t>
        </is>
      </c>
      <c r="D289" t="inlineStr">
        <is>
          <t>Tuna &amp; billfishes</t>
        </is>
      </c>
      <c r="E289" s="7" t="inlineStr">
        <is>
          <t>Marlins</t>
        </is>
      </c>
      <c r="F289" t="inlineStr"/>
      <c r="G289" t="inlineStr"/>
      <c r="H289" t="inlineStr">
        <is>
          <t>high</t>
        </is>
      </c>
      <c r="I289" t="inlineStr">
        <is>
          <t>explicit_member</t>
        </is>
      </c>
      <c r="J289" t="n">
        <v>1896.956</v>
      </c>
      <c r="K289" t="n">
        <v>0.0008</v>
      </c>
      <c r="L289" s="6" t="inlineStr">
        <is>
          <t>Appendix A1.1 lists this exact catch name under `Marlins`, a group modelled over the whole study area (Appendix A1.2).</t>
        </is>
      </c>
    </row>
    <row r="290">
      <c r="A290" t="inlineStr">
        <is>
          <t>Hilsa kelee</t>
        </is>
      </c>
      <c r="B290" t="inlineStr">
        <is>
          <t>Kelee shad</t>
        </is>
      </c>
      <c r="C290" t="inlineStr">
        <is>
          <t>Small pelagics (&lt;30 cm)</t>
        </is>
      </c>
      <c r="D290" t="inlineStr">
        <is>
          <t>Herring-likes</t>
        </is>
      </c>
      <c r="E290" s="7" t="inlineStr">
        <is>
          <t>2-3 Hilsa</t>
        </is>
      </c>
      <c r="F290" t="inlineStr"/>
      <c r="G290" t="inlineStr"/>
      <c r="H290" t="inlineStr">
        <is>
          <t>high</t>
        </is>
      </c>
      <c r="I290" t="inlineStr">
        <is>
          <t>explicit_member</t>
        </is>
      </c>
      <c r="J290" t="n">
        <v>1711.091</v>
      </c>
      <c r="K290" t="n">
        <v>0.0007</v>
      </c>
      <c r="L290" s="6" t="inlineStr">
        <is>
          <t>Appendix A1.1 lists this exact catch name under `Hilsa`, which the model carries as one group straddling the shelves of regions 2 and 3 (Appendix A1.2), so no regional split applies.</t>
        </is>
      </c>
    </row>
    <row r="291">
      <c r="A291" t="inlineStr">
        <is>
          <t>Tenualosa toli</t>
        </is>
      </c>
      <c r="B291" t="inlineStr">
        <is>
          <t>Toli shad</t>
        </is>
      </c>
      <c r="C291" t="inlineStr">
        <is>
          <t>Medium pelagics (30 - 89 cm)</t>
        </is>
      </c>
      <c r="D291" t="inlineStr">
        <is>
          <t>Herring-likes</t>
        </is>
      </c>
      <c r="E291" s="7" t="inlineStr">
        <is>
          <t>2-3 Hilsa</t>
        </is>
      </c>
      <c r="F291" t="inlineStr"/>
      <c r="G291" t="inlineStr"/>
      <c r="H291" t="inlineStr">
        <is>
          <t>high</t>
        </is>
      </c>
      <c r="I291" t="inlineStr">
        <is>
          <t>explicit_member</t>
        </is>
      </c>
      <c r="J291" t="n">
        <v>1566.141</v>
      </c>
      <c r="K291" t="n">
        <v>0.0005999999999999999</v>
      </c>
      <c r="L291" s="6" t="inlineStr">
        <is>
          <t>Appendix A1.1 lists this exact catch name under `Hilsa`, which the model carries as one group straddling the shelves of regions 2 and 3 (Appendix A1.2), so no regional split applies.</t>
        </is>
      </c>
    </row>
    <row r="292">
      <c r="A292" t="inlineStr">
        <is>
          <t>Scatophagus argus</t>
        </is>
      </c>
      <c r="B292" t="inlineStr">
        <is>
          <t>Spotted scat</t>
        </is>
      </c>
      <c r="C292" t="inlineStr">
        <is>
          <t>Medium demersals (30 - 89 cm)</t>
        </is>
      </c>
      <c r="D292" t="inlineStr">
        <is>
          <t>Perch-likes</t>
        </is>
      </c>
      <c r="E292" s="5" t="inlineStr">
        <is>
          <t>2 SM inv | 3 SM inv</t>
        </is>
      </c>
      <c r="F292" t="inlineStr">
        <is>
          <t>0.317 | 0.683</t>
        </is>
      </c>
      <c r="G292" t="inlineStr">
        <is>
          <t>model_biomass</t>
        </is>
      </c>
      <c r="H292" t="inlineStr">
        <is>
          <t>medium</t>
        </is>
      </c>
      <c r="I292" t="inlineStr">
        <is>
          <t>composite_split</t>
        </is>
      </c>
      <c r="J292" t="n">
        <v>1412.578</v>
      </c>
      <c r="K292" t="n">
        <v>0.0005999999999999999</v>
      </c>
      <c r="L292" s="6" t="inlineStr">
        <is>
          <t>Appendix A1.1 lists this exact catch name under `SM inv`; apportioned over the region 2 and region 3 pools by model biomass; region 1 is the Maldives shelf, outside LME 34.</t>
        </is>
      </c>
    </row>
    <row r="293">
      <c r="A293" t="inlineStr">
        <is>
          <t>Lobotes surinamensis</t>
        </is>
      </c>
      <c r="B293" t="inlineStr">
        <is>
          <t>Tripletail</t>
        </is>
      </c>
      <c r="C293" t="inlineStr">
        <is>
          <t>Large benthopelagics (&gt;=90 cm)</t>
        </is>
      </c>
      <c r="D293" t="inlineStr">
        <is>
          <t>Perch-likes</t>
        </is>
      </c>
      <c r="E293" s="5" t="inlineStr">
        <is>
          <t>2 L pisc | 3 L pisc</t>
        </is>
      </c>
      <c r="F293" t="inlineStr">
        <is>
          <t>0.450 | 0.550</t>
        </is>
      </c>
      <c r="G293" t="inlineStr">
        <is>
          <t>model_biomass</t>
        </is>
      </c>
      <c r="H293" t="inlineStr">
        <is>
          <t>medium</t>
        </is>
      </c>
      <c r="I293" t="inlineStr">
        <is>
          <t>composite_split</t>
        </is>
      </c>
      <c r="J293" t="n">
        <v>1305.306</v>
      </c>
      <c r="K293" t="n">
        <v>0.0005</v>
      </c>
      <c r="L293" s="6" t="inlineStr">
        <is>
          <t>Appendix A1.1 lists this exact catch name under `L pisc`; apportioned over the region 2 and region 3 pools by model biomass; region 1 is the Maldives shelf, outside LME 34.</t>
        </is>
      </c>
    </row>
    <row r="294">
      <c r="A294" t="inlineStr">
        <is>
          <t>Megalops cyprinoides</t>
        </is>
      </c>
      <c r="B294" t="inlineStr">
        <is>
          <t>Indo-Pacific tarpon</t>
        </is>
      </c>
      <c r="C294" t="inlineStr">
        <is>
          <t>Large pelagics (&gt;=90 cm)</t>
        </is>
      </c>
      <c r="D294" t="inlineStr">
        <is>
          <t>Other fishes &amp; inverts</t>
        </is>
      </c>
      <c r="E294" s="5" t="inlineStr">
        <is>
          <t>2 L pisc | 3 L pisc</t>
        </is>
      </c>
      <c r="F294" t="inlineStr">
        <is>
          <t>0.450 | 0.550</t>
        </is>
      </c>
      <c r="G294" t="inlineStr">
        <is>
          <t>model_biomass</t>
        </is>
      </c>
      <c r="H294" t="inlineStr">
        <is>
          <t>medium</t>
        </is>
      </c>
      <c r="I294" t="inlineStr">
        <is>
          <t>composite_split</t>
        </is>
      </c>
      <c r="J294" t="n">
        <v>1190.199</v>
      </c>
      <c r="K294" t="n">
        <v>0.0005</v>
      </c>
      <c r="L294" s="6" t="inlineStr">
        <is>
          <t>Appendix A1.1 lists this exact catch name under `L pisc`; apportioned over the region 2 and region 3 pools by model biomass; region 1 is the Maldives shelf, outside LME 34.</t>
        </is>
      </c>
    </row>
    <row r="295">
      <c r="A295" t="inlineStr">
        <is>
          <t>Hemiramphidae</t>
        </is>
      </c>
      <c r="B295" t="inlineStr">
        <is>
          <t>Halfbeaks, garfishes</t>
        </is>
      </c>
      <c r="C295" t="inlineStr">
        <is>
          <t>Medium pelagics (30 - 89 cm)</t>
        </is>
      </c>
      <c r="D295" t="inlineStr">
        <is>
          <t>Other fishes &amp; inverts</t>
        </is>
      </c>
      <c r="E295" s="5" t="inlineStr">
        <is>
          <t>2 S pelagics | 3 S pelagics</t>
        </is>
      </c>
      <c r="F295" t="inlineStr">
        <is>
          <t>0.298 | 0.702</t>
        </is>
      </c>
      <c r="G295" t="inlineStr">
        <is>
          <t>model_biomass</t>
        </is>
      </c>
      <c r="H295" t="inlineStr">
        <is>
          <t>medium</t>
        </is>
      </c>
      <c r="I295" t="inlineStr">
        <is>
          <t>composite_split</t>
        </is>
      </c>
      <c r="J295" t="n">
        <v>870.384</v>
      </c>
      <c r="K295" t="n">
        <v>0.0003</v>
      </c>
      <c r="L295" s="6" t="inlineStr">
        <is>
          <t>Appendix A1.1 lists this exact catch name under `S pelagics`; apportioned over the region 2 and region 3 pools by model biomass; region 1 is the Maldives shelf, outside LME 34.</t>
        </is>
      </c>
    </row>
    <row r="296">
      <c r="A296" t="inlineStr">
        <is>
          <t>Sphyraena jello</t>
        </is>
      </c>
      <c r="B296" t="inlineStr">
        <is>
          <t>Pickhandle barracuda</t>
        </is>
      </c>
      <c r="C296" t="inlineStr">
        <is>
          <t>Large reef assoc. fish (&gt;=90 cm)</t>
        </is>
      </c>
      <c r="D296" t="inlineStr">
        <is>
          <t>Perch-likes</t>
        </is>
      </c>
      <c r="E296" s="5" t="inlineStr">
        <is>
          <t>2 L pisc | 3 L pisc</t>
        </is>
      </c>
      <c r="F296" t="inlineStr">
        <is>
          <t>0.450 | 0.550</t>
        </is>
      </c>
      <c r="G296" t="inlineStr">
        <is>
          <t>model_biomass</t>
        </is>
      </c>
      <c r="H296" t="inlineStr">
        <is>
          <t>medium</t>
        </is>
      </c>
      <c r="I296" t="inlineStr">
        <is>
          <t>composite_split</t>
        </is>
      </c>
      <c r="J296" t="n">
        <v>818.529</v>
      </c>
      <c r="K296" t="n">
        <v>0.0003</v>
      </c>
      <c r="L296" s="6" t="inlineStr">
        <is>
          <t>Appendix A1.1 lists this exact catch name under `L pisc`; apportioned over the region 2 and region 3 pools by model biomass; region 1 is the Maldives shelf, outside LME 34.</t>
        </is>
      </c>
    </row>
    <row r="297">
      <c r="A297" t="inlineStr">
        <is>
          <t>Gnathanodon speciosus</t>
        </is>
      </c>
      <c r="B297" t="inlineStr">
        <is>
          <t>Golden trevally</t>
        </is>
      </c>
      <c r="C297" t="inlineStr">
        <is>
          <t>Large reef assoc. fish (&gt;=90 cm)</t>
        </is>
      </c>
      <c r="D297" t="inlineStr">
        <is>
          <t>Perch-likes</t>
        </is>
      </c>
      <c r="E297" s="5" t="inlineStr">
        <is>
          <t>2 Carangids | 3 Carangids</t>
        </is>
      </c>
      <c r="F297" t="inlineStr">
        <is>
          <t>0.304 | 0.696</t>
        </is>
      </c>
      <c r="G297" t="inlineStr">
        <is>
          <t>model_biomass</t>
        </is>
      </c>
      <c r="H297" t="inlineStr">
        <is>
          <t>medium</t>
        </is>
      </c>
      <c r="I297" t="inlineStr">
        <is>
          <t>composite_split</t>
        </is>
      </c>
      <c r="J297" t="n">
        <v>483.716</v>
      </c>
      <c r="K297" t="n">
        <v>0.0002</v>
      </c>
      <c r="L297" s="6" t="inlineStr">
        <is>
          <t>Appendix A1.1 lists this exact catch name under `Carangids`; apportioned over the region 2 and region 3 pools by model biomass; region 1 is the Maldives shelf, outside LME 34.</t>
        </is>
      </c>
    </row>
    <row r="298">
      <c r="A298" t="inlineStr">
        <is>
          <t>Bregmaceros mcclellandi</t>
        </is>
      </c>
      <c r="B298" t="inlineStr">
        <is>
          <t>Unicorn cod</t>
        </is>
      </c>
      <c r="C298" t="inlineStr">
        <is>
          <t>Small pelagics (&lt;30 cm)</t>
        </is>
      </c>
      <c r="D298" t="inlineStr">
        <is>
          <t>Cod-likes</t>
        </is>
      </c>
      <c r="E298" s="5" t="inlineStr">
        <is>
          <t>2 S pelagics | 3 S pelagics</t>
        </is>
      </c>
      <c r="F298" t="inlineStr">
        <is>
          <t>0.298 | 0.702</t>
        </is>
      </c>
      <c r="G298" t="inlineStr">
        <is>
          <t>model_biomass</t>
        </is>
      </c>
      <c r="H298" t="inlineStr">
        <is>
          <t>medium</t>
        </is>
      </c>
      <c r="I298" t="inlineStr">
        <is>
          <t>composite_split</t>
        </is>
      </c>
      <c r="J298" t="n">
        <v>255.081</v>
      </c>
      <c r="K298" t="n">
        <v>0.0001</v>
      </c>
      <c r="L298" s="6" t="inlineStr">
        <is>
          <t>Appendix A1.1 lists this exact catch name under `S pelagics`; apportioned over the region 2 and region 3 pools by model biomass; region 1 is the Maldives shelf, outside LME 34.</t>
        </is>
      </c>
    </row>
    <row r="299">
      <c r="A299" t="inlineStr">
        <is>
          <t>Lutjanus argentimaculatus</t>
        </is>
      </c>
      <c r="B299" t="inlineStr">
        <is>
          <t>Mangrove red snapper</t>
        </is>
      </c>
      <c r="C299" t="inlineStr">
        <is>
          <t>Large reef assoc. fish (&gt;=90 cm)</t>
        </is>
      </c>
      <c r="D299" t="inlineStr">
        <is>
          <t>Perch-likes</t>
        </is>
      </c>
      <c r="E299" s="5" t="inlineStr">
        <is>
          <t>2 L pisc comm | 3 L pisc comm</t>
        </is>
      </c>
      <c r="F299" t="inlineStr">
        <is>
          <t>0.479 | 0.521</t>
        </is>
      </c>
      <c r="G299" t="inlineStr">
        <is>
          <t>model_biomass</t>
        </is>
      </c>
      <c r="H299" t="inlineStr">
        <is>
          <t>medium</t>
        </is>
      </c>
      <c r="I299" t="inlineStr">
        <is>
          <t>composite_split</t>
        </is>
      </c>
      <c r="J299" t="n">
        <v>231.181</v>
      </c>
      <c r="K299" t="n">
        <v>0.0001</v>
      </c>
      <c r="L299" s="6" t="inlineStr">
        <is>
          <t>Appendix A1.1 lists this exact catch name under `L pisc comm`; apportioned over the region 2 and region 3 pools by model biomass; region 1 is the Maldives shelf, outside LME 34.</t>
        </is>
      </c>
    </row>
    <row r="300">
      <c r="A300" t="inlineStr">
        <is>
          <t>Trochus</t>
        </is>
      </c>
      <c r="B300" t="inlineStr">
        <is>
          <t>Trochus</t>
        </is>
      </c>
      <c r="C300" t="inlineStr">
        <is>
          <t>Other demersal invertebrates</t>
        </is>
      </c>
      <c r="D300" t="inlineStr">
        <is>
          <t>Molluscs</t>
        </is>
      </c>
      <c r="E300" s="5" t="inlineStr">
        <is>
          <t>2 Macrobenthos | 3 Macrobenthos</t>
        </is>
      </c>
      <c r="F300" t="inlineStr">
        <is>
          <t>0.363 | 0.637</t>
        </is>
      </c>
      <c r="G300" t="inlineStr">
        <is>
          <t>model_biomass</t>
        </is>
      </c>
      <c r="H300" t="inlineStr">
        <is>
          <t>medium</t>
        </is>
      </c>
      <c r="I300" t="inlineStr">
        <is>
          <t>composite_split</t>
        </is>
      </c>
      <c r="J300" t="n">
        <v>230.468</v>
      </c>
      <c r="K300" t="n">
        <v>0.0001</v>
      </c>
      <c r="L300" s="6" t="inlineStr">
        <is>
          <t>Appendix A1.1 lists this exact catch name under `macrobenthos`; apportioned over the region 2 and region 3 pools by model biomass; region 1 is the Maldives shelf, outside LME 34.</t>
        </is>
      </c>
    </row>
    <row r="301">
      <c r="A301" t="inlineStr">
        <is>
          <t>Saccostrea cuccullata</t>
        </is>
      </c>
      <c r="B301" t="inlineStr">
        <is>
          <t>Hooded oyster</t>
        </is>
      </c>
      <c r="C301" t="inlineStr">
        <is>
          <t>Other demersal invertebrates</t>
        </is>
      </c>
      <c r="D301" t="inlineStr">
        <is>
          <t>Molluscs</t>
        </is>
      </c>
      <c r="E301" s="5" t="inlineStr">
        <is>
          <t>2 Macrobenthos | 3 Macrobenthos</t>
        </is>
      </c>
      <c r="F301" t="inlineStr">
        <is>
          <t>0.363 | 0.637</t>
        </is>
      </c>
      <c r="G301" t="inlineStr">
        <is>
          <t>model_biomass</t>
        </is>
      </c>
      <c r="H301" t="inlineStr">
        <is>
          <t>medium</t>
        </is>
      </c>
      <c r="I301" t="inlineStr">
        <is>
          <t>composite_split</t>
        </is>
      </c>
      <c r="J301" t="n">
        <v>212.899</v>
      </c>
      <c r="K301" t="n">
        <v>0.0001</v>
      </c>
      <c r="L301" s="6" t="inlineStr">
        <is>
          <t>Appendix A1.1 lists this exact catch name under `macrobenthos`; apportioned over the region 2 and region 3 pools by model biomass; region 1 is the Maldives shelf, outside LME 34.</t>
        </is>
      </c>
    </row>
    <row r="302">
      <c r="A302" t="inlineStr">
        <is>
          <t>Lambis lambis</t>
        </is>
      </c>
      <c r="B302" t="inlineStr">
        <is>
          <t>Common spider conch</t>
        </is>
      </c>
      <c r="C302" t="inlineStr">
        <is>
          <t>Other demersal invertebrates</t>
        </is>
      </c>
      <c r="D302" t="inlineStr">
        <is>
          <t>Molluscs</t>
        </is>
      </c>
      <c r="E302" s="5" t="inlineStr">
        <is>
          <t>2 Macrobenthos | 3 Macrobenthos</t>
        </is>
      </c>
      <c r="F302" t="inlineStr">
        <is>
          <t>0.363 | 0.637</t>
        </is>
      </c>
      <c r="G302" t="inlineStr">
        <is>
          <t>model_biomass</t>
        </is>
      </c>
      <c r="H302" t="inlineStr">
        <is>
          <t>medium</t>
        </is>
      </c>
      <c r="I302" t="inlineStr">
        <is>
          <t>composite_split</t>
        </is>
      </c>
      <c r="J302" t="n">
        <v>212.788</v>
      </c>
      <c r="K302" t="n">
        <v>0.0001</v>
      </c>
      <c r="L302" s="6" t="inlineStr">
        <is>
          <t>Appendix A1.1 lists this exact catch name under `macrobenthos`; apportioned over the region 2 and region 3 pools by model biomass; region 1 is the Maldives shelf, outside LME 34.</t>
        </is>
      </c>
    </row>
    <row r="303">
      <c r="A303" t="inlineStr">
        <is>
          <t>Menidae</t>
        </is>
      </c>
      <c r="B303" t="inlineStr">
        <is>
          <t>Moonfishes</t>
        </is>
      </c>
      <c r="C303" t="inlineStr">
        <is>
          <t>Medium reef assoc. fish (30 - 89 cm)</t>
        </is>
      </c>
      <c r="D303" t="inlineStr">
        <is>
          <t>Perch-likes</t>
        </is>
      </c>
      <c r="E303" s="5" t="inlineStr">
        <is>
          <t>2 SM inv | 3 SM inv</t>
        </is>
      </c>
      <c r="F303" t="inlineStr">
        <is>
          <t>0.317 | 0.683</t>
        </is>
      </c>
      <c r="G303" t="inlineStr">
        <is>
          <t>model_biomass</t>
        </is>
      </c>
      <c r="H303" t="inlineStr">
        <is>
          <t>medium</t>
        </is>
      </c>
      <c r="I303" t="inlineStr">
        <is>
          <t>composite_split</t>
        </is>
      </c>
      <c r="J303" t="n">
        <v>154.076</v>
      </c>
      <c r="K303" t="n">
        <v>0.0001</v>
      </c>
      <c r="L303" s="6" t="inlineStr">
        <is>
          <t>Appendix A1.3 lists Mene maculata, the single Indo-Pacific menid, in the SM inv species list. Apportioned over the region 2 and region 3 pools by model biomass; region 1 is the Maldives shelf, outside LME 34.</t>
        </is>
      </c>
    </row>
    <row r="304">
      <c r="A304" t="inlineStr">
        <is>
          <t>Scyllaridae</t>
        </is>
      </c>
      <c r="B304" t="inlineStr">
        <is>
          <t>Slipper lobsters</t>
        </is>
      </c>
      <c r="C304" t="inlineStr">
        <is>
          <t>Lobsters, crabs</t>
        </is>
      </c>
      <c r="D304" t="inlineStr">
        <is>
          <t>Crustaceans</t>
        </is>
      </c>
      <c r="E304" s="5" t="inlineStr">
        <is>
          <t>2 Crustaceans | 3 Crustaceans</t>
        </is>
      </c>
      <c r="F304" t="inlineStr">
        <is>
          <t>0.213 | 0.787</t>
        </is>
      </c>
      <c r="G304" t="inlineStr">
        <is>
          <t>model_biomass</t>
        </is>
      </c>
      <c r="H304" t="inlineStr">
        <is>
          <t>medium</t>
        </is>
      </c>
      <c r="I304" t="inlineStr">
        <is>
          <t>composite_split</t>
        </is>
      </c>
      <c r="J304" t="n">
        <v>153.675</v>
      </c>
      <c r="K304" t="n">
        <v>0.0001</v>
      </c>
      <c r="L304" s="6" t="inlineStr">
        <is>
          <t>Appendix A1.1 puts Thenus orientalis - a scyllarid - and `Homaridae and Palinuridae` under Crabs. Apportioned over the region 2 and region 3 pools by model biomass; region 1 is the Maldives shelf, outside LME 34.</t>
        </is>
      </c>
    </row>
    <row r="305">
      <c r="A305" t="inlineStr">
        <is>
          <t>Pomadasys argenteus</t>
        </is>
      </c>
      <c r="B305" t="inlineStr">
        <is>
          <t>Silver grunt</t>
        </is>
      </c>
      <c r="C305" t="inlineStr">
        <is>
          <t>Medium demersals (30 - 89 cm)</t>
        </is>
      </c>
      <c r="D305" t="inlineStr">
        <is>
          <t>Perch-likes</t>
        </is>
      </c>
      <c r="E305" s="5" t="inlineStr">
        <is>
          <t>2 SM pisc | 3 SM pisc</t>
        </is>
      </c>
      <c r="F305" t="inlineStr">
        <is>
          <t>0.306 | 0.694</t>
        </is>
      </c>
      <c r="G305" t="inlineStr">
        <is>
          <t>model_biomass</t>
        </is>
      </c>
      <c r="H305" t="inlineStr">
        <is>
          <t>medium</t>
        </is>
      </c>
      <c r="I305" t="inlineStr">
        <is>
          <t>composite_split</t>
        </is>
      </c>
      <c r="J305" t="n">
        <v>152.166</v>
      </c>
      <c r="K305" t="n">
        <v>0.0001</v>
      </c>
      <c r="L305" s="6" t="inlineStr">
        <is>
          <t>Appendix A1.1 lists this exact catch name under `SM pisc`; apportioned over the region 2 and region 3 pools by model biomass; region 1 is the Maldives shelf, outside LME 34.</t>
        </is>
      </c>
    </row>
    <row r="306">
      <c r="A306" t="inlineStr">
        <is>
          <t>Echinodermata</t>
        </is>
      </c>
      <c r="B306" t="inlineStr">
        <is>
          <t>Sea urchins, stars, cucumbers</t>
        </is>
      </c>
      <c r="C306" t="inlineStr">
        <is>
          <t>Other demersal invertebrates</t>
        </is>
      </c>
      <c r="D306" t="inlineStr">
        <is>
          <t>Other fishes &amp; inverts</t>
        </is>
      </c>
      <c r="E306" s="5" t="inlineStr">
        <is>
          <t>2 Macrobenthos | 3 Macrobenthos</t>
        </is>
      </c>
      <c r="F306" t="inlineStr">
        <is>
          <t>0.363 | 0.637</t>
        </is>
      </c>
      <c r="G306" t="inlineStr">
        <is>
          <t>model_biomass</t>
        </is>
      </c>
      <c r="H306" t="inlineStr">
        <is>
          <t>medium</t>
        </is>
      </c>
      <c r="I306" t="inlineStr">
        <is>
          <t>composite_split</t>
        </is>
      </c>
      <c r="J306" t="n">
        <v>139.415</v>
      </c>
      <c r="K306" t="n">
        <v>0.0001</v>
      </c>
      <c r="L306" s="6" t="inlineStr">
        <is>
          <t>Appendix A1.1 sends Holothuroidea, Holothuriidae and Stichopus - the only echinoderms in the catch - to macrobenthos. Apportioned over the region 2 and region 3 pools by model biomass; region 1 is the Maldives shelf, outside LME 34.</t>
        </is>
      </c>
    </row>
    <row r="307">
      <c r="A307" t="inlineStr">
        <is>
          <t>Panulirus polyphagus</t>
        </is>
      </c>
      <c r="B307" t="inlineStr">
        <is>
          <t>Mud spiny lobster</t>
        </is>
      </c>
      <c r="C307" t="inlineStr">
        <is>
          <t>Lobsters, crabs</t>
        </is>
      </c>
      <c r="D307" t="inlineStr">
        <is>
          <t>Crustaceans</t>
        </is>
      </c>
      <c r="E307" s="5" t="inlineStr">
        <is>
          <t>2 Crustaceans | 3 Crustaceans</t>
        </is>
      </c>
      <c r="F307" t="inlineStr">
        <is>
          <t>0.213 | 0.787</t>
        </is>
      </c>
      <c r="G307" t="inlineStr">
        <is>
          <t>model_biomass</t>
        </is>
      </c>
      <c r="H307" t="inlineStr">
        <is>
          <t>medium</t>
        </is>
      </c>
      <c r="I307" t="inlineStr">
        <is>
          <t>composite_split</t>
        </is>
      </c>
      <c r="J307" t="n">
        <v>104.265</v>
      </c>
      <c r="K307" t="n">
        <v>0</v>
      </c>
      <c r="L307" s="6" t="inlineStr">
        <is>
          <t>Appendix A1.1 lists Panulirus and six of its species under Crabs. Apportioned over the region 2 and region 3 pools by model biomass; region 1 is the Maldives shelf, outside LME 34.</t>
        </is>
      </c>
    </row>
    <row r="308">
      <c r="A308" t="inlineStr">
        <is>
          <t>Carcharhinus obscurus</t>
        </is>
      </c>
      <c r="B308" t="inlineStr">
        <is>
          <t>Dusky shark</t>
        </is>
      </c>
      <c r="C308" t="inlineStr">
        <is>
          <t>Large sharks (&gt;=90 cm)</t>
        </is>
      </c>
      <c r="D308" t="inlineStr">
        <is>
          <t>Sharks &amp; rays</t>
        </is>
      </c>
      <c r="E308" s="7" t="inlineStr">
        <is>
          <t>Coastal elasmobranch</t>
        </is>
      </c>
      <c r="F308" t="inlineStr"/>
      <c r="G308" t="inlineStr"/>
      <c r="H308" t="inlineStr">
        <is>
          <t>high</t>
        </is>
      </c>
      <c r="I308" t="inlineStr">
        <is>
          <t>explicit_member</t>
        </is>
      </c>
      <c r="J308" t="n">
        <v>74.998</v>
      </c>
      <c r="K308" t="n">
        <v>0</v>
      </c>
      <c r="L308" s="6" t="inlineStr">
        <is>
          <t>Appendix A1.1 lists this exact catch name under `coastal elasmobranch`, modelled as one stock over every EEZ of the study area, 69 % of it (Appendix A1.2).</t>
        </is>
      </c>
    </row>
    <row r="309">
      <c r="A309" t="inlineStr">
        <is>
          <t>Labridae</t>
        </is>
      </c>
      <c r="B309" t="inlineStr">
        <is>
          <t>Wrasses, gropers, tuskfishes</t>
        </is>
      </c>
      <c r="C309" t="inlineStr">
        <is>
          <t>Medium reef assoc. fish (30 - 89 cm)</t>
        </is>
      </c>
      <c r="D309" t="inlineStr">
        <is>
          <t>Perch-likes</t>
        </is>
      </c>
      <c r="E309" s="5" t="inlineStr">
        <is>
          <t>2 L pisc | 3 L pisc</t>
        </is>
      </c>
      <c r="F309" t="inlineStr">
        <is>
          <t>0.450 | 0.550</t>
        </is>
      </c>
      <c r="G309" t="inlineStr">
        <is>
          <t>model_biomass</t>
        </is>
      </c>
      <c r="H309" t="inlineStr">
        <is>
          <t>medium</t>
        </is>
      </c>
      <c r="I309" t="inlineStr">
        <is>
          <t>composite_split</t>
        </is>
      </c>
      <c r="J309" t="n">
        <v>67.274</v>
      </c>
      <c r="K309" t="n">
        <v>0</v>
      </c>
      <c r="L309" s="6" t="inlineStr">
        <is>
          <t>Appendix A1.1 lists this exact catch name under `L pisc`; apportioned over the region 2 and region 3 pools by model biomass; region 1 is the Maldives shelf, outside LME 34.</t>
        </is>
      </c>
    </row>
    <row r="310">
      <c r="A310" t="inlineStr">
        <is>
          <t>Polynemus</t>
        </is>
      </c>
      <c r="B310" t="inlineStr">
        <is>
          <t>Paradise fishes</t>
        </is>
      </c>
      <c r="C310" t="inlineStr">
        <is>
          <t>Small demersals (&lt;30 cm)</t>
        </is>
      </c>
      <c r="D310" t="inlineStr">
        <is>
          <t>Perch-likes</t>
        </is>
      </c>
      <c r="E310" s="5" t="inlineStr">
        <is>
          <t>2 L pisc | 3 L pisc | 2 SM inv | 3 SM inv</t>
        </is>
      </c>
      <c r="F310" t="inlineStr">
        <is>
          <t>0.092 | 0.113 | 0.252 | 0.543</t>
        </is>
      </c>
      <c r="G310" t="inlineStr">
        <is>
          <t>model_biomass</t>
        </is>
      </c>
      <c r="H310" t="inlineStr">
        <is>
          <t>medium</t>
        </is>
      </c>
      <c r="I310" t="inlineStr">
        <is>
          <t>composite_split</t>
        </is>
      </c>
      <c r="J310" t="n">
        <v>56.255</v>
      </c>
      <c r="K310" t="n">
        <v>0</v>
      </c>
      <c r="L310" s="6" t="inlineStr">
        <is>
          <t>Appendix A1.1 lists this exact catch name under `L pisc, SM inv`; apportioned over the region 2 and region 3 pools by model biomass; region 1 is the Maldives shelf, outside LME 34.</t>
        </is>
      </c>
    </row>
    <row r="311">
      <c r="A311" t="inlineStr">
        <is>
          <t>Decapterus macarellus</t>
        </is>
      </c>
      <c r="B311" t="inlineStr">
        <is>
          <t>Mackerel scad</t>
        </is>
      </c>
      <c r="C311" t="inlineStr">
        <is>
          <t>Medium pelagics (30 - 89 cm)</t>
        </is>
      </c>
      <c r="D311" t="inlineStr">
        <is>
          <t>Perch-likes</t>
        </is>
      </c>
      <c r="E311" s="5" t="inlineStr">
        <is>
          <t>2 Carangids | 3 Carangids</t>
        </is>
      </c>
      <c r="F311" t="inlineStr">
        <is>
          <t>0.304 | 0.696</t>
        </is>
      </c>
      <c r="G311" t="inlineStr">
        <is>
          <t>model_biomass</t>
        </is>
      </c>
      <c r="H311" t="inlineStr">
        <is>
          <t>medium</t>
        </is>
      </c>
      <c r="I311" t="inlineStr">
        <is>
          <t>composite_split</t>
        </is>
      </c>
      <c r="J311" t="n">
        <v>23.574</v>
      </c>
      <c r="K311" t="n">
        <v>0</v>
      </c>
      <c r="L311" s="6" t="inlineStr">
        <is>
          <t>Appendix A1.1 lists Decapterus and D. russelli under Carangids, and A1.3 names D. macrosoma and D. russelli in that species list. Apportioned over the region 2 and region 3 pools by model biomass; region 1 is the Maldives shelf, outside LME 34.</t>
        </is>
      </c>
    </row>
    <row r="312">
      <c r="A312" t="inlineStr">
        <is>
          <t>Carcharhinus brachyurus</t>
        </is>
      </c>
      <c r="B312" t="inlineStr">
        <is>
          <t>Copper shark</t>
        </is>
      </c>
      <c r="C312" t="inlineStr">
        <is>
          <t>Large sharks (&gt;=90 cm)</t>
        </is>
      </c>
      <c r="D312" t="inlineStr">
        <is>
          <t>Sharks &amp; rays</t>
        </is>
      </c>
      <c r="E312" s="5" t="inlineStr">
        <is>
          <t>Coastal elasmobranch</t>
        </is>
      </c>
      <c r="F312" t="inlineStr"/>
      <c r="G312" t="inlineStr"/>
      <c r="H312" t="inlineStr">
        <is>
          <t>medium</t>
        </is>
      </c>
      <c r="I312" t="inlineStr">
        <is>
          <t>taxonomic_containment</t>
        </is>
      </c>
      <c r="J312" t="n">
        <v>2.775</v>
      </c>
      <c r="K312" t="n">
        <v>0</v>
      </c>
      <c r="L312" s="6" t="inlineStr">
        <is>
          <t>Appendix A1.1 assigns the genus Carcharhinus to coastal elasmobranch on the Andaman species list, and A1.3 places every shelf Carcharhinus there; the copper shark is a shelf species.</t>
        </is>
      </c>
    </row>
    <row r="313">
      <c r="A313" t="inlineStr">
        <is>
          <t>Epinephelus tauvina</t>
        </is>
      </c>
      <c r="B313" t="inlineStr">
        <is>
          <t>Greasy grouper</t>
        </is>
      </c>
      <c r="C313" t="inlineStr">
        <is>
          <t>Medium reef assoc. fish (30 - 89 cm)</t>
        </is>
      </c>
      <c r="D313" t="inlineStr">
        <is>
          <t>Perch-likes</t>
        </is>
      </c>
      <c r="E313" s="5" t="inlineStr">
        <is>
          <t>2 L pisc comm | 3 L pisc comm</t>
        </is>
      </c>
      <c r="F313" t="inlineStr">
        <is>
          <t>0.479 | 0.521</t>
        </is>
      </c>
      <c r="G313" t="inlineStr">
        <is>
          <t>model_biomass</t>
        </is>
      </c>
      <c r="H313" t="inlineStr">
        <is>
          <t>medium</t>
        </is>
      </c>
      <c r="I313" t="inlineStr">
        <is>
          <t>composite_split</t>
        </is>
      </c>
      <c r="J313" t="n">
        <v>2.122</v>
      </c>
      <c r="K313" t="n">
        <v>0</v>
      </c>
      <c r="L313" s="6" t="inlineStr">
        <is>
          <t>Appendix A1.1 lists this exact catch name under `L pisc comm`; apportioned over the region 2 and region 3 pools by model biomass; region 1 is the Maldives shelf, outside LME 34.</t>
        </is>
      </c>
    </row>
    <row r="314">
      <c r="A314" t="inlineStr">
        <is>
          <t>Rajiformes</t>
        </is>
      </c>
      <c r="B314" t="inlineStr">
        <is>
          <t>Skates and rays</t>
        </is>
      </c>
      <c r="C314" t="inlineStr">
        <is>
          <t>Large rays (&gt;=90 cm)</t>
        </is>
      </c>
      <c r="D314" t="inlineStr">
        <is>
          <t>Sharks &amp; rays</t>
        </is>
      </c>
      <c r="E314" s="5" t="inlineStr">
        <is>
          <t>Coastal elasmobranch</t>
        </is>
      </c>
      <c r="F314" t="inlineStr"/>
      <c r="G314" t="inlineStr"/>
      <c r="H314" t="inlineStr">
        <is>
          <t>medium</t>
        </is>
      </c>
      <c r="I314" t="inlineStr">
        <is>
          <t>taxonomic_containment</t>
        </is>
      </c>
      <c r="J314" t="n">
        <v>0.897</v>
      </c>
      <c r="K314" t="n">
        <v>0</v>
      </c>
      <c r="L314" s="6" t="inlineStr">
        <is>
          <t>Appendix A1.1 sends every elasmobranch nei label to `oceanic, coastal sharks`, but Appendix A1.3 places all of the model's batoids - Rhynchobatus, Glaucostegus, Dasyatis, six Himantura, Aetobatus, Rhinoptera, two Mobula and two Aetomylaeus - in Coastal elasmobranch; the only batoid in Oceanic sharks is the oceanic pelagic stingray.</t>
        </is>
      </c>
    </row>
    <row r="315">
      <c r="A315" t="inlineStr">
        <is>
          <t>Lepidocybium flavobrunneum</t>
        </is>
      </c>
      <c r="B315" t="inlineStr">
        <is>
          <t>Escolar</t>
        </is>
      </c>
      <c r="C315" t="inlineStr">
        <is>
          <t>Large bathypelagics (&gt;=90 cm)</t>
        </is>
      </c>
      <c r="D315" t="inlineStr">
        <is>
          <t>Perch-likes</t>
        </is>
      </c>
      <c r="E315" s="8" t="inlineStr">
        <is>
          <t>ML bathy</t>
        </is>
      </c>
      <c r="F315" t="inlineStr"/>
      <c r="G315" t="inlineStr"/>
      <c r="H315" t="inlineStr">
        <is>
          <t>low</t>
        </is>
      </c>
      <c r="I315" t="inlineStr">
        <is>
          <t>analogue</t>
        </is>
      </c>
      <c r="J315" t="n">
        <v>0.512</v>
      </c>
      <c r="K315" t="n">
        <v>0</v>
      </c>
      <c r="L315" s="6" t="inlineStr">
        <is>
          <t>Sea Around Us classes the escolar as a large bathypelagic. The model's only deep-water fish pools are S bathy (myctophids and other small mesopelagics) and ML bathy, whose A1.3 list of medium-to-large deep-water fishes - Alepisaurus, Lampris, Nemichthys, Trachipterus - is the analogue for a large gempylid.</t>
        </is>
      </c>
    </row>
    <row r="316">
      <c r="A316" t="inlineStr">
        <is>
          <t>Carcharhinus plumbeus</t>
        </is>
      </c>
      <c r="B316" t="inlineStr">
        <is>
          <t>Sandbar shark</t>
        </is>
      </c>
      <c r="C316" t="inlineStr">
        <is>
          <t>Large sharks (&gt;=90 cm)</t>
        </is>
      </c>
      <c r="D316" t="inlineStr">
        <is>
          <t>Sharks &amp; rays</t>
        </is>
      </c>
      <c r="E316" s="5" t="inlineStr">
        <is>
          <t>Coastal elasmobranch</t>
        </is>
      </c>
      <c r="F316" t="inlineStr"/>
      <c r="G316" t="inlineStr"/>
      <c r="H316" t="inlineStr">
        <is>
          <t>medium</t>
        </is>
      </c>
      <c r="I316" t="inlineStr">
        <is>
          <t>taxonomic_containment</t>
        </is>
      </c>
      <c r="J316" t="n">
        <v>0.183</v>
      </c>
      <c r="K316" t="n">
        <v>0</v>
      </c>
      <c r="L316" s="6" t="inlineStr">
        <is>
          <t>Appendix A1.1 assigns the genus Carcharhinus to coastal elasmobranch on the Andaman species list; the sandbar shark is a shelf species. No catch is recorded for it in this LME.</t>
        </is>
      </c>
    </row>
    <row r="317">
      <c r="A317" t="inlineStr">
        <is>
          <t>Mobula birostris</t>
        </is>
      </c>
      <c r="B317" t="inlineStr">
        <is>
          <t>Giant manta</t>
        </is>
      </c>
      <c r="C317" t="inlineStr">
        <is>
          <t>Large rays (&gt;=90 cm)</t>
        </is>
      </c>
      <c r="D317" t="inlineStr">
        <is>
          <t>Sharks &amp; rays</t>
        </is>
      </c>
      <c r="E317" s="5" t="inlineStr">
        <is>
          <t>Coastal elasmobranch</t>
        </is>
      </c>
      <c r="F317" t="inlineStr"/>
      <c r="G317" t="inlineStr"/>
      <c r="H317" t="inlineStr">
        <is>
          <t>medium</t>
        </is>
      </c>
      <c r="I317" t="inlineStr">
        <is>
          <t>taxonomic_containment</t>
        </is>
      </c>
      <c r="J317" t="n">
        <v>0.079</v>
      </c>
      <c r="K317" t="n">
        <v>0</v>
      </c>
      <c r="L317" s="6" t="inlineStr">
        <is>
          <t>Appendix A1.3 lists Mobula japonica and M. eregoodootenkee in Coastal elasmobranch; this congener follows them. No catch is recorded for it in this LME.</t>
        </is>
      </c>
    </row>
    <row r="318">
      <c r="A318" t="inlineStr">
        <is>
          <t>Mene maculata</t>
        </is>
      </c>
      <c r="B318" t="inlineStr">
        <is>
          <t>Moonfish</t>
        </is>
      </c>
      <c r="C318" t="inlineStr">
        <is>
          <t>Medium reef assoc. fish (30 - 89 cm)</t>
        </is>
      </c>
      <c r="D318" t="inlineStr">
        <is>
          <t>Perch-likes</t>
        </is>
      </c>
      <c r="E318" s="5" t="inlineStr">
        <is>
          <t>2 SM inv | 3 SM inv</t>
        </is>
      </c>
      <c r="F318" t="inlineStr">
        <is>
          <t>0.317 | 0.683</t>
        </is>
      </c>
      <c r="G318" t="inlineStr">
        <is>
          <t>model_biomass</t>
        </is>
      </c>
      <c r="H318" t="inlineStr">
        <is>
          <t>medium</t>
        </is>
      </c>
      <c r="I318" t="inlineStr">
        <is>
          <t>composite_split</t>
        </is>
      </c>
      <c r="J318" t="n">
        <v>0.022</v>
      </c>
      <c r="K318" t="n">
        <v>0</v>
      </c>
      <c r="L318" s="6" t="inlineStr">
        <is>
          <t>Appendix A1.3 lists Mene maculata in the `SM inv` species list. Apportioned over the region 2 and region 3 pools by model biomass; region 1 is the Maldives shelf, outside LME 34.</t>
        </is>
      </c>
    </row>
    <row r="319">
      <c r="A319" t="inlineStr">
        <is>
          <t>Lampris guttatus</t>
        </is>
      </c>
      <c r="B319" t="inlineStr">
        <is>
          <t>Opah</t>
        </is>
      </c>
      <c r="C319" t="inlineStr">
        <is>
          <t>Large bathypelagics (&gt;=90 cm)</t>
        </is>
      </c>
      <c r="D319" t="inlineStr">
        <is>
          <t>Other fishes &amp; inverts</t>
        </is>
      </c>
      <c r="E319" s="7" t="inlineStr">
        <is>
          <t>ML bathy</t>
        </is>
      </c>
      <c r="F319" t="inlineStr"/>
      <c r="G319" t="inlineStr"/>
      <c r="H319" t="inlineStr">
        <is>
          <t>high</t>
        </is>
      </c>
      <c r="I319" t="inlineStr">
        <is>
          <t>explicit_member</t>
        </is>
      </c>
      <c r="J319" t="n">
        <v>0.006</v>
      </c>
      <c r="K319" t="n">
        <v>0</v>
      </c>
      <c r="L319" s="6" t="inlineStr">
        <is>
          <t>Appendix A1.3 lists Lampris guttatus in the `ML bathy` species list.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9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46" customWidth="1" min="2" max="2"/>
    <col width="30" customWidth="1" min="3" max="3"/>
    <col width="23" customWidth="1" min="4" max="4"/>
    <col width="27" customWidth="1" min="5" max="5"/>
    <col width="24" customWidth="1" min="6" max="6"/>
    <col width="35" customWidth="1" min="7" max="7"/>
    <col width="23" customWidth="1" min="8" max="8"/>
    <col width="22" customWidth="1" min="9" max="9"/>
    <col width="14" customWidth="1" min="10" max="10"/>
    <col width="24" customWidth="1" min="11" max="11"/>
    <col width="95" customWidth="1" min="12" max="12"/>
    <col width="18" customWidth="1" min="13" max="13"/>
  </cols>
  <sheetData>
    <row r="1">
      <c r="A1" s="1" t="inlineStr">
        <is>
          <t>Final taxon-to-group mappings, identified separately for each Ecopath model</t>
        </is>
      </c>
    </row>
    <row r="2">
      <c r="A2" t="inlineStr">
        <is>
          <t>One row per taxon/group assignment; numeric weights are the exact values used to calculate SPPR.</t>
        </is>
      </c>
    </row>
    <row r="3">
      <c r="A3" t="inlineStr">
        <is>
          <t>Unresolved taxa retain a row with a blank weight. Catch tonnes repeat across a taxon's assignments; do not sum these rows.</t>
        </is>
      </c>
    </row>
    <row r="4">
      <c r="A4" s="2" t="inlineStr">
        <is>
          <t>unit_id</t>
        </is>
      </c>
      <c r="B4" s="2" t="inlineStr">
        <is>
          <t>model_id</t>
        </is>
      </c>
      <c r="C4" s="2" t="inlineStr">
        <is>
          <t>taxon</t>
        </is>
      </c>
      <c r="D4" s="2" t="inlineStr">
        <is>
          <t>common_name</t>
        </is>
      </c>
      <c r="E4" s="2" t="inlineStr">
        <is>
          <t>SAU functional group</t>
        </is>
      </c>
      <c r="F4" s="2" t="inlineStr">
        <is>
          <t>SAU commercial group</t>
        </is>
      </c>
      <c r="G4" s="2" t="inlineStr">
        <is>
          <t>group</t>
        </is>
      </c>
      <c r="H4" s="2" t="inlineStr">
        <is>
          <t>weight</t>
        </is>
      </c>
      <c r="I4" s="2" t="inlineStr">
        <is>
          <t>weight_basis</t>
        </is>
      </c>
      <c r="J4" s="2" t="inlineStr">
        <is>
          <t>confidence</t>
        </is>
      </c>
      <c r="K4" s="2" t="inlineStr">
        <is>
          <t>evidence</t>
        </is>
      </c>
      <c r="L4" s="2" t="inlineStr">
        <is>
          <t>explanation</t>
        </is>
      </c>
      <c r="M4" s="2" t="inlineStr">
        <is>
          <t>catch_tonnes</t>
        </is>
      </c>
    </row>
    <row r="5" ht="81" customHeight="1">
      <c r="A5" s="9" t="inlineStr">
        <is>
          <t>LME_034</t>
        </is>
      </c>
      <c r="B5" s="10" t="inlineStr">
        <is>
          <t>34_1_Bay_of_Bengal_(1978)</t>
        </is>
      </c>
      <c r="C5" s="10" t="inlineStr">
        <is>
          <t>Marine fishes not identified</t>
        </is>
      </c>
      <c r="D5" s="9" t="inlineStr">
        <is>
          <t>Marine fishes nei</t>
        </is>
      </c>
      <c r="E5" s="9" t="inlineStr">
        <is>
          <t>Medium demersals (30 - 89 cm)</t>
        </is>
      </c>
      <c r="F5" s="9" t="inlineStr">
        <is>
          <t>Other fishes &amp; inverts</t>
        </is>
      </c>
      <c r="G5" s="10" t="inlineStr">
        <is>
          <t>2 L pisc comm</t>
        </is>
      </c>
      <c r="H5" s="11" t="n">
        <v>0.05133551592398462</v>
      </c>
      <c r="I5" s="9" t="inlineStr">
        <is>
          <t>model_biomass</t>
        </is>
      </c>
      <c r="J5" s="12" t="inlineStr">
        <is>
          <t>medium</t>
        </is>
      </c>
      <c r="K5" s="9" t="inlineStr">
        <is>
          <t>composite_split</t>
        </is>
      </c>
      <c r="L5" s="10" t="inlineStr">
        <is>
          <t>Appendix A1.1 sends this exact catch name to the paper's own residual `Miscellaneous fishes`, which the text (p.10) spreads over the fish groups of the region it was caught in. Sea Around Us classes the pile as medium demersals, so the candidate set is the model's four demersal/benthic finfish pools rather than every fish group; apportioned over the region 2 and region 3 pools by model biomass; region 1 is the Maldives shelf, outside LME 34.</t>
        </is>
      </c>
      <c r="M5" s="9" t="n">
        <v>46450017.782</v>
      </c>
    </row>
    <row r="6" ht="81" customHeight="1">
      <c r="A6" s="9" t="inlineStr">
        <is>
          <t>LME_034</t>
        </is>
      </c>
      <c r="B6" s="10" t="inlineStr">
        <is>
          <t>34_1_Bay_of_Bengal_(1978)</t>
        </is>
      </c>
      <c r="C6" s="10" t="inlineStr">
        <is>
          <t>Marine fishes not identified</t>
        </is>
      </c>
      <c r="D6" s="9" t="inlineStr">
        <is>
          <t>Marine fishes nei</t>
        </is>
      </c>
      <c r="E6" s="9" t="inlineStr">
        <is>
          <t>Medium demersals (30 - 89 cm)</t>
        </is>
      </c>
      <c r="F6" s="9" t="inlineStr">
        <is>
          <t>Other fishes &amp; inverts</t>
        </is>
      </c>
      <c r="G6" s="10" t="inlineStr">
        <is>
          <t>3 L pisc comm</t>
        </is>
      </c>
      <c r="H6" s="11" t="n">
        <v>0.05581456360029077</v>
      </c>
      <c r="I6" s="9" t="inlineStr">
        <is>
          <t>model_biomass</t>
        </is>
      </c>
      <c r="J6" s="12" t="inlineStr">
        <is>
          <t>medium</t>
        </is>
      </c>
      <c r="K6" s="9" t="inlineStr">
        <is>
          <t>composite_split</t>
        </is>
      </c>
      <c r="L6" s="10" t="inlineStr">
        <is>
          <t>Appendix A1.1 sends this exact catch name to the paper's own residual `Miscellaneous fishes`, which the text (p.10) spreads over the fish groups of the region it was caught in. Sea Around Us classes the pile as medium demersals, so the candidate set is the model's four demersal/benthic finfish pools rather than every fish group; apportioned over the region 2 and region 3 pools by model biomass; region 1 is the Maldives shelf, outside LME 34.</t>
        </is>
      </c>
      <c r="M6" s="9" t="n">
        <v>46450017.782</v>
      </c>
    </row>
    <row r="7" ht="81" customHeight="1">
      <c r="A7" s="9" t="inlineStr">
        <is>
          <t>LME_034</t>
        </is>
      </c>
      <c r="B7" s="10" t="inlineStr">
        <is>
          <t>34_1_Bay_of_Bengal_(1978)</t>
        </is>
      </c>
      <c r="C7" s="10" t="inlineStr">
        <is>
          <t>Marine fishes not identified</t>
        </is>
      </c>
      <c r="D7" s="9" t="inlineStr">
        <is>
          <t>Marine fishes nei</t>
        </is>
      </c>
      <c r="E7" s="9" t="inlineStr">
        <is>
          <t>Medium demersals (30 - 89 cm)</t>
        </is>
      </c>
      <c r="F7" s="9" t="inlineStr">
        <is>
          <t>Other fishes &amp; inverts</t>
        </is>
      </c>
      <c r="G7" s="10" t="inlineStr">
        <is>
          <t>2 SM pisc</t>
        </is>
      </c>
      <c r="H7" s="11" t="n">
        <v>0.1021251564523975</v>
      </c>
      <c r="I7" s="9" t="inlineStr">
        <is>
          <t>model_biomass</t>
        </is>
      </c>
      <c r="J7" s="12" t="inlineStr">
        <is>
          <t>medium</t>
        </is>
      </c>
      <c r="K7" s="9" t="inlineStr">
        <is>
          <t>composite_split</t>
        </is>
      </c>
      <c r="L7" s="10" t="inlineStr">
        <is>
          <t>Appendix A1.1 sends this exact catch name to the paper's own residual `Miscellaneous fishes`, which the text (p.10) spreads over the fish groups of the region it was caught in. Sea Around Us classes the pile as medium demersals, so the candidate set is the model's four demersal/benthic finfish pools rather than every fish group; apportioned over the region 2 and region 3 pools by model biomass; region 1 is the Maldives shelf, outside LME 34.</t>
        </is>
      </c>
      <c r="M7" s="9" t="n">
        <v>46450017.782</v>
      </c>
    </row>
    <row r="8" ht="81" customHeight="1">
      <c r="A8" s="9" t="inlineStr">
        <is>
          <t>LME_034</t>
        </is>
      </c>
      <c r="B8" s="10" t="inlineStr">
        <is>
          <t>34_1_Bay_of_Bengal_(1978)</t>
        </is>
      </c>
      <c r="C8" s="10" t="inlineStr">
        <is>
          <t>Marine fishes not identified</t>
        </is>
      </c>
      <c r="D8" s="9" t="inlineStr">
        <is>
          <t>Marine fishes nei</t>
        </is>
      </c>
      <c r="E8" s="9" t="inlineStr">
        <is>
          <t>Medium demersals (30 - 89 cm)</t>
        </is>
      </c>
      <c r="F8" s="9" t="inlineStr">
        <is>
          <t>Other fishes &amp; inverts</t>
        </is>
      </c>
      <c r="G8" s="10" t="inlineStr">
        <is>
          <t>3 SM pisc</t>
        </is>
      </c>
      <c r="H8" s="11" t="n">
        <v>0.2320551149686002</v>
      </c>
      <c r="I8" s="9" t="inlineStr">
        <is>
          <t>model_biomass</t>
        </is>
      </c>
      <c r="J8" s="12" t="inlineStr">
        <is>
          <t>medium</t>
        </is>
      </c>
      <c r="K8" s="9" t="inlineStr">
        <is>
          <t>composite_split</t>
        </is>
      </c>
      <c r="L8" s="10" t="inlineStr">
        <is>
          <t>Appendix A1.1 sends this exact catch name to the paper's own residual `Miscellaneous fishes`, which the text (p.10) spreads over the fish groups of the region it was caught in. Sea Around Us classes the pile as medium demersals, so the candidate set is the model's four demersal/benthic finfish pools rather than every fish group; apportioned over the region 2 and region 3 pools by model biomass; region 1 is the Maldives shelf, outside LME 34.</t>
        </is>
      </c>
      <c r="M8" s="9" t="n">
        <v>46450017.782</v>
      </c>
    </row>
    <row r="9" ht="81" customHeight="1">
      <c r="A9" s="9" t="inlineStr">
        <is>
          <t>LME_034</t>
        </is>
      </c>
      <c r="B9" s="10" t="inlineStr">
        <is>
          <t>34_1_Bay_of_Bengal_(1978)</t>
        </is>
      </c>
      <c r="C9" s="10" t="inlineStr">
        <is>
          <t>Marine fishes not identified</t>
        </is>
      </c>
      <c r="D9" s="9" t="inlineStr">
        <is>
          <t>Marine fishes nei</t>
        </is>
      </c>
      <c r="E9" s="9" t="inlineStr">
        <is>
          <t>Medium demersals (30 - 89 cm)</t>
        </is>
      </c>
      <c r="F9" s="9" t="inlineStr">
        <is>
          <t>Other fishes &amp; inverts</t>
        </is>
      </c>
      <c r="G9" s="10" t="inlineStr">
        <is>
          <t>2 SM inv</t>
        </is>
      </c>
      <c r="H9" s="11" t="n">
        <v>0.1408474664276384</v>
      </c>
      <c r="I9" s="9" t="inlineStr">
        <is>
          <t>model_biomass</t>
        </is>
      </c>
      <c r="J9" s="12" t="inlineStr">
        <is>
          <t>medium</t>
        </is>
      </c>
      <c r="K9" s="9" t="inlineStr">
        <is>
          <t>composite_split</t>
        </is>
      </c>
      <c r="L9" s="10" t="inlineStr">
        <is>
          <t>Appendix A1.1 sends this exact catch name to the paper's own residual `Miscellaneous fishes`, which the text (p.10) spreads over the fish groups of the region it was caught in. Sea Around Us classes the pile as medium demersals, so the candidate set is the model's four demersal/benthic finfish pools rather than every fish group; apportioned over the region 2 and region 3 pools by model biomass; region 1 is the Maldives shelf, outside LME 34.</t>
        </is>
      </c>
      <c r="M9" s="9" t="n">
        <v>46450017.782</v>
      </c>
    </row>
    <row r="10" ht="81" customHeight="1">
      <c r="A10" s="9" t="inlineStr">
        <is>
          <t>LME_034</t>
        </is>
      </c>
      <c r="B10" s="10" t="inlineStr">
        <is>
          <t>34_1_Bay_of_Bengal_(1978)</t>
        </is>
      </c>
      <c r="C10" s="10" t="inlineStr">
        <is>
          <t>Marine fishes not identified</t>
        </is>
      </c>
      <c r="D10" s="9" t="inlineStr">
        <is>
          <t>Marine fishes nei</t>
        </is>
      </c>
      <c r="E10" s="9" t="inlineStr">
        <is>
          <t>Medium demersals (30 - 89 cm)</t>
        </is>
      </c>
      <c r="F10" s="9" t="inlineStr">
        <is>
          <t>Other fishes &amp; inverts</t>
        </is>
      </c>
      <c r="G10" s="10" t="inlineStr">
        <is>
          <t>3 SM inv</t>
        </is>
      </c>
      <c r="H10" s="11" t="n">
        <v>0.3033400195667976</v>
      </c>
      <c r="I10" s="9" t="inlineStr">
        <is>
          <t>model_biomass</t>
        </is>
      </c>
      <c r="J10" s="12" t="inlineStr">
        <is>
          <t>medium</t>
        </is>
      </c>
      <c r="K10" s="9" t="inlineStr">
        <is>
          <t>composite_split</t>
        </is>
      </c>
      <c r="L10" s="10" t="inlineStr">
        <is>
          <t>Appendix A1.1 sends this exact catch name to the paper's own residual `Miscellaneous fishes`, which the text (p.10) spreads over the fish groups of the region it was caught in. Sea Around Us classes the pile as medium demersals, so the candidate set is the model's four demersal/benthic finfish pools rather than every fish group; apportioned over the region 2 and region 3 pools by model biomass; region 1 is the Maldives shelf, outside LME 34.</t>
        </is>
      </c>
      <c r="M10" s="9" t="n">
        <v>46450017.782</v>
      </c>
    </row>
    <row r="11" ht="81" customHeight="1">
      <c r="A11" s="9" t="inlineStr">
        <is>
          <t>LME_034</t>
        </is>
      </c>
      <c r="B11" s="10" t="inlineStr">
        <is>
          <t>34_1_Bay_of_Bengal_(1978)</t>
        </is>
      </c>
      <c r="C11" s="10" t="inlineStr">
        <is>
          <t>Marine fishes not identified</t>
        </is>
      </c>
      <c r="D11" s="9" t="inlineStr">
        <is>
          <t>Marine fishes nei</t>
        </is>
      </c>
      <c r="E11" s="9" t="inlineStr">
        <is>
          <t>Medium demersals (30 - 89 cm)</t>
        </is>
      </c>
      <c r="F11" s="9" t="inlineStr">
        <is>
          <t>Other fishes &amp; inverts</t>
        </is>
      </c>
      <c r="G11" s="10" t="inlineStr">
        <is>
          <t>2 L pisc</t>
        </is>
      </c>
      <c r="H11" s="11" t="n">
        <v>0.05146327399528866</v>
      </c>
      <c r="I11" s="9" t="inlineStr">
        <is>
          <t>model_biomass</t>
        </is>
      </c>
      <c r="J11" s="12" t="inlineStr">
        <is>
          <t>medium</t>
        </is>
      </c>
      <c r="K11" s="9" t="inlineStr">
        <is>
          <t>composite_split</t>
        </is>
      </c>
      <c r="L11" s="10" t="inlineStr">
        <is>
          <t>Appendix A1.1 sends this exact catch name to the paper's own residual `Miscellaneous fishes`, which the text (p.10) spreads over the fish groups of the region it was caught in. Sea Around Us classes the pile as medium demersals, so the candidate set is the model's four demersal/benthic finfish pools rather than every fish group; apportioned over the region 2 and region 3 pools by model biomass; region 1 is the Maldives shelf, outside LME 34.</t>
        </is>
      </c>
      <c r="M11" s="9" t="n">
        <v>46450017.782</v>
      </c>
    </row>
    <row r="12" ht="81" customHeight="1">
      <c r="A12" s="9" t="inlineStr">
        <is>
          <t>LME_034</t>
        </is>
      </c>
      <c r="B12" s="10" t="inlineStr">
        <is>
          <t>34_1_Bay_of_Bengal_(1978)</t>
        </is>
      </c>
      <c r="C12" s="10" t="inlineStr">
        <is>
          <t>Marine fishes not identified</t>
        </is>
      </c>
      <c r="D12" s="9" t="inlineStr">
        <is>
          <t>Marine fishes nei</t>
        </is>
      </c>
      <c r="E12" s="9" t="inlineStr">
        <is>
          <t>Medium demersals (30 - 89 cm)</t>
        </is>
      </c>
      <c r="F12" s="9" t="inlineStr">
        <is>
          <t>Other fishes &amp; inverts</t>
        </is>
      </c>
      <c r="G12" s="10" t="inlineStr">
        <is>
          <t>3 L pisc</t>
        </is>
      </c>
      <c r="H12" s="11" t="n">
        <v>0.06301888906500221</v>
      </c>
      <c r="I12" s="9" t="inlineStr">
        <is>
          <t>model_biomass</t>
        </is>
      </c>
      <c r="J12" s="12" t="inlineStr">
        <is>
          <t>medium</t>
        </is>
      </c>
      <c r="K12" s="9" t="inlineStr">
        <is>
          <t>composite_split</t>
        </is>
      </c>
      <c r="L12" s="10" t="inlineStr">
        <is>
          <t>Appendix A1.1 sends this exact catch name to the paper's own residual `Miscellaneous fishes`, which the text (p.10) spreads over the fish groups of the region it was caught in. Sea Around Us classes the pile as medium demersals, so the candidate set is the model's four demersal/benthic finfish pools rather than every fish group; apportioned over the region 2 and region 3 pools by model biomass; region 1 is the Maldives shelf, outside LME 34.</t>
        </is>
      </c>
      <c r="M12" s="9" t="n">
        <v>46450017.782</v>
      </c>
    </row>
    <row r="13" ht="36" customHeight="1">
      <c r="A13" s="9" t="inlineStr">
        <is>
          <t>LME_034</t>
        </is>
      </c>
      <c r="B13" s="10" t="inlineStr">
        <is>
          <t>34_1_Bay_of_Bengal_(1978)</t>
        </is>
      </c>
      <c r="C13" s="10" t="inlineStr">
        <is>
          <t>Penaeidae</t>
        </is>
      </c>
      <c r="D13" s="9" t="inlineStr">
        <is>
          <t>Commercial shrimps and prawns</t>
        </is>
      </c>
      <c r="E13" s="9" t="inlineStr">
        <is>
          <t>Shrimps</t>
        </is>
      </c>
      <c r="F13" s="9" t="inlineStr">
        <is>
          <t>Crustaceans</t>
        </is>
      </c>
      <c r="G13" s="10" t="inlineStr">
        <is>
          <t>2 Crustaceans</t>
        </is>
      </c>
      <c r="H13" s="11" t="n">
        <v>0.2129992169146437</v>
      </c>
      <c r="I13" s="9" t="inlineStr">
        <is>
          <t>model_biomass</t>
        </is>
      </c>
      <c r="J13" s="12" t="inlineStr">
        <is>
          <t>medium</t>
        </is>
      </c>
      <c r="K13" s="9" t="inlineStr">
        <is>
          <t>composite_split</t>
        </is>
      </c>
      <c r="L13" s="10" t="inlineStr">
        <is>
          <t>Appendix A1.1 lists this exact catch name under `shrimps`; apportioned over the region 2 and region 3 pools by model biomass; region 1 is the Maldives shelf, outside LME 34.</t>
        </is>
      </c>
      <c r="M13" s="9" t="n">
        <v>9145945.699999999</v>
      </c>
    </row>
    <row r="14" ht="36" customHeight="1">
      <c r="A14" s="9" t="inlineStr">
        <is>
          <t>LME_034</t>
        </is>
      </c>
      <c r="B14" s="10" t="inlineStr">
        <is>
          <t>34_1_Bay_of_Bengal_(1978)</t>
        </is>
      </c>
      <c r="C14" s="10" t="inlineStr">
        <is>
          <t>Penaeidae</t>
        </is>
      </c>
      <c r="D14" s="9" t="inlineStr">
        <is>
          <t>Commercial shrimps and prawns</t>
        </is>
      </c>
      <c r="E14" s="9" t="inlineStr">
        <is>
          <t>Shrimps</t>
        </is>
      </c>
      <c r="F14" s="9" t="inlineStr">
        <is>
          <t>Crustaceans</t>
        </is>
      </c>
      <c r="G14" s="10" t="inlineStr">
        <is>
          <t>3 Crustaceans</t>
        </is>
      </c>
      <c r="H14" s="11" t="n">
        <v>0.7870007830853563</v>
      </c>
      <c r="I14" s="9" t="inlineStr">
        <is>
          <t>model_biomass</t>
        </is>
      </c>
      <c r="J14" s="12" t="inlineStr">
        <is>
          <t>medium</t>
        </is>
      </c>
      <c r="K14" s="9" t="inlineStr">
        <is>
          <t>composite_split</t>
        </is>
      </c>
      <c r="L14" s="10" t="inlineStr">
        <is>
          <t>Appendix A1.1 lists this exact catch name under `shrimps`; apportioned over the region 2 and region 3 pools by model biomass; region 1 is the Maldives shelf, outside LME 34.</t>
        </is>
      </c>
      <c r="M14" s="9" t="n">
        <v>9145945.699999999</v>
      </c>
    </row>
    <row r="15" ht="36" customHeight="1">
      <c r="A15" s="9" t="inlineStr">
        <is>
          <t>LME_034</t>
        </is>
      </c>
      <c r="B15" s="10" t="inlineStr">
        <is>
          <t>34_1_Bay_of_Bengal_(1978)</t>
        </is>
      </c>
      <c r="C15" s="10" t="inlineStr">
        <is>
          <t>Tenualosa ilisha</t>
        </is>
      </c>
      <c r="D15" s="9" t="inlineStr">
        <is>
          <t>Hilsa shad</t>
        </is>
      </c>
      <c r="E15" s="9" t="inlineStr">
        <is>
          <t>Medium pelagics (30 - 89 cm)</t>
        </is>
      </c>
      <c r="F15" s="9" t="inlineStr">
        <is>
          <t>Herring-likes</t>
        </is>
      </c>
      <c r="G15" s="10" t="inlineStr">
        <is>
          <t>2-3 Hilsa</t>
        </is>
      </c>
      <c r="H15" s="11" t="n">
        <v>1</v>
      </c>
      <c r="I15" s="9" t="inlineStr">
        <is>
          <t>single</t>
        </is>
      </c>
      <c r="J15" s="13" t="inlineStr">
        <is>
          <t>high</t>
        </is>
      </c>
      <c r="K15" s="9" t="inlineStr">
        <is>
          <t>explicit_member</t>
        </is>
      </c>
      <c r="L15" s="10" t="inlineStr">
        <is>
          <t>Appendix A1.1 lists this exact catch name under `Hilsa`, which the model carries as one group straddling the shelves of regions 2 and 3 (Appendix A1.2), so no regional split applies.</t>
        </is>
      </c>
      <c r="M15" s="9" t="n">
        <v>9072007.856000001</v>
      </c>
    </row>
    <row r="16" ht="36" customHeight="1">
      <c r="A16" s="9" t="inlineStr">
        <is>
          <t>LME_034</t>
        </is>
      </c>
      <c r="B16" s="10" t="inlineStr">
        <is>
          <t>34_1_Bay_of_Bengal_(1978)</t>
        </is>
      </c>
      <c r="C16" s="10" t="inlineStr">
        <is>
          <t>Sciaenidae</t>
        </is>
      </c>
      <c r="D16" s="9" t="inlineStr">
        <is>
          <t>Drums, croakers</t>
        </is>
      </c>
      <c r="E16" s="9" t="inlineStr">
        <is>
          <t>Medium demersals (30 - 89 cm)</t>
        </is>
      </c>
      <c r="F16" s="9" t="inlineStr">
        <is>
          <t>Perch-likes</t>
        </is>
      </c>
      <c r="G16" s="10" t="inlineStr">
        <is>
          <t>2 L pisc comm</t>
        </is>
      </c>
      <c r="H16" s="11" t="n">
        <v>0.4790991864112831</v>
      </c>
      <c r="I16" s="9" t="inlineStr">
        <is>
          <t>model_biomass</t>
        </is>
      </c>
      <c r="J16" s="12" t="inlineStr">
        <is>
          <t>medium</t>
        </is>
      </c>
      <c r="K16" s="9" t="inlineStr">
        <is>
          <t>composite_split</t>
        </is>
      </c>
      <c r="L16" s="10" t="inlineStr">
        <is>
          <t>Appendix A1.1 lists this exact catch name under `L pisc comm`; apportioned over the region 2 and region 3 pools by model biomass; region 1 is the Maldives shelf, outside LME 34.</t>
        </is>
      </c>
      <c r="M16" s="9" t="n">
        <v>8988585.908</v>
      </c>
    </row>
    <row r="17" ht="36" customHeight="1">
      <c r="A17" s="9" t="inlineStr">
        <is>
          <t>LME_034</t>
        </is>
      </c>
      <c r="B17" s="10" t="inlineStr">
        <is>
          <t>34_1_Bay_of_Bengal_(1978)</t>
        </is>
      </c>
      <c r="C17" s="10" t="inlineStr">
        <is>
          <t>Sciaenidae</t>
        </is>
      </c>
      <c r="D17" s="9" t="inlineStr">
        <is>
          <t>Drums, croakers</t>
        </is>
      </c>
      <c r="E17" s="9" t="inlineStr">
        <is>
          <t>Medium demersals (30 - 89 cm)</t>
        </is>
      </c>
      <c r="F17" s="9" t="inlineStr">
        <is>
          <t>Perch-likes</t>
        </is>
      </c>
      <c r="G17" s="10" t="inlineStr">
        <is>
          <t>3 L pisc comm</t>
        </is>
      </c>
      <c r="H17" s="11" t="n">
        <v>0.5209008135887169</v>
      </c>
      <c r="I17" s="9" t="inlineStr">
        <is>
          <t>model_biomass</t>
        </is>
      </c>
      <c r="J17" s="12" t="inlineStr">
        <is>
          <t>medium</t>
        </is>
      </c>
      <c r="K17" s="9" t="inlineStr">
        <is>
          <t>composite_split</t>
        </is>
      </c>
      <c r="L17" s="10" t="inlineStr">
        <is>
          <t>Appendix A1.1 lists this exact catch name under `L pisc comm`; apportioned over the region 2 and region 3 pools by model biomass; region 1 is the Maldives shelf, outside LME 34.</t>
        </is>
      </c>
      <c r="M17" s="9" t="n">
        <v>8988585.908</v>
      </c>
    </row>
    <row r="18" ht="51" customHeight="1">
      <c r="A18" s="9" t="inlineStr">
        <is>
          <t>LME_034</t>
        </is>
      </c>
      <c r="B18" s="10" t="inlineStr">
        <is>
          <t>34_1_Bay_of_Bengal_(1978)</t>
        </is>
      </c>
      <c r="C18" s="10" t="inlineStr">
        <is>
          <t>Rastrelliger</t>
        </is>
      </c>
      <c r="D18" s="9" t="inlineStr">
        <is>
          <t>Indian mackerels</t>
        </is>
      </c>
      <c r="E18" s="9" t="inlineStr">
        <is>
          <t>Medium pelagics (30 - 89 cm)</t>
        </is>
      </c>
      <c r="F18" s="9" t="inlineStr">
        <is>
          <t>Perch-likes</t>
        </is>
      </c>
      <c r="G18" s="10" t="inlineStr">
        <is>
          <t>2-3 Indian mackerel</t>
        </is>
      </c>
      <c r="H18" s="11" t="n">
        <v>1</v>
      </c>
      <c r="I18" s="9" t="inlineStr">
        <is>
          <t>single</t>
        </is>
      </c>
      <c r="J18" s="13" t="inlineStr">
        <is>
          <t>high</t>
        </is>
      </c>
      <c r="K18" s="9" t="inlineStr">
        <is>
          <t>explicit_member</t>
        </is>
      </c>
      <c r="L18" s="10" t="inlineStr">
        <is>
          <t>Appendix A1.1 lists this exact catch name under `Indian mackerel`, which the model carries as one group straddling the shelves of regions 2 and 3 (Appendix A1.2), so no regional split applies.</t>
        </is>
      </c>
      <c r="M18" s="9" t="n">
        <v>8738155.436000001</v>
      </c>
    </row>
    <row r="19" ht="36" customHeight="1">
      <c r="A19" s="9" t="inlineStr">
        <is>
          <t>LME_034</t>
        </is>
      </c>
      <c r="B19" s="10" t="inlineStr">
        <is>
          <t>34_1_Bay_of_Bengal_(1978)</t>
        </is>
      </c>
      <c r="C19" s="10" t="inlineStr">
        <is>
          <t>Leiognathidae</t>
        </is>
      </c>
      <c r="D19" s="9" t="inlineStr">
        <is>
          <t>Slipmouths, ponyfishes</t>
        </is>
      </c>
      <c r="E19" s="9" t="inlineStr">
        <is>
          <t>Small benthopelagics (&lt;30 cm)</t>
        </is>
      </c>
      <c r="F19" s="9" t="inlineStr">
        <is>
          <t>Perch-likes</t>
        </is>
      </c>
      <c r="G19" s="10" t="inlineStr">
        <is>
          <t>2 SM inv</t>
        </is>
      </c>
      <c r="H19" s="11" t="n">
        <v>0.3170901271842734</v>
      </c>
      <c r="I19" s="9" t="inlineStr">
        <is>
          <t>model_biomass</t>
        </is>
      </c>
      <c r="J19" s="12" t="inlineStr">
        <is>
          <t>medium</t>
        </is>
      </c>
      <c r="K19" s="9" t="inlineStr">
        <is>
          <t>composite_split</t>
        </is>
      </c>
      <c r="L19" s="10" t="inlineStr">
        <is>
          <t>Appendix A1.1 lists this exact catch name under `SM inv`; apportioned over the region 2 and region 3 pools by model biomass; region 1 is the Maldives shelf, outside LME 34.</t>
        </is>
      </c>
      <c r="M19" s="9" t="n">
        <v>8387512.028</v>
      </c>
    </row>
    <row r="20" ht="36" customHeight="1">
      <c r="A20" s="9" t="inlineStr">
        <is>
          <t>LME_034</t>
        </is>
      </c>
      <c r="B20" s="10" t="inlineStr">
        <is>
          <t>34_1_Bay_of_Bengal_(1978)</t>
        </is>
      </c>
      <c r="C20" s="10" t="inlineStr">
        <is>
          <t>Leiognathidae</t>
        </is>
      </c>
      <c r="D20" s="9" t="inlineStr">
        <is>
          <t>Slipmouths, ponyfishes</t>
        </is>
      </c>
      <c r="E20" s="9" t="inlineStr">
        <is>
          <t>Small benthopelagics (&lt;30 cm)</t>
        </is>
      </c>
      <c r="F20" s="9" t="inlineStr">
        <is>
          <t>Perch-likes</t>
        </is>
      </c>
      <c r="G20" s="10" t="inlineStr">
        <is>
          <t>3 SM inv</t>
        </is>
      </c>
      <c r="H20" s="11" t="n">
        <v>0.6829098728157266</v>
      </c>
      <c r="I20" s="9" t="inlineStr">
        <is>
          <t>model_biomass</t>
        </is>
      </c>
      <c r="J20" s="12" t="inlineStr">
        <is>
          <t>medium</t>
        </is>
      </c>
      <c r="K20" s="9" t="inlineStr">
        <is>
          <t>composite_split</t>
        </is>
      </c>
      <c r="L20" s="10" t="inlineStr">
        <is>
          <t>Appendix A1.1 lists this exact catch name under `SM inv`; apportioned over the region 2 and region 3 pools by model biomass; region 1 is the Maldives shelf, outside LME 34.</t>
        </is>
      </c>
      <c r="M20" s="9" t="n">
        <v>8387512.028</v>
      </c>
    </row>
    <row r="21" ht="36" customHeight="1">
      <c r="A21" s="9" t="inlineStr">
        <is>
          <t>LME_034</t>
        </is>
      </c>
      <c r="B21" s="10" t="inlineStr">
        <is>
          <t>34_1_Bay_of_Bengal_(1978)</t>
        </is>
      </c>
      <c r="C21" s="10" t="inlineStr">
        <is>
          <t>Clupeiformes</t>
        </is>
      </c>
      <c r="D21" s="9" t="inlineStr">
        <is>
          <t>Herrings, shads, anchovies</t>
        </is>
      </c>
      <c r="E21" s="9" t="inlineStr">
        <is>
          <t>Small pelagics (&lt;30 cm)</t>
        </is>
      </c>
      <c r="F21" s="9" t="inlineStr">
        <is>
          <t>Other fishes &amp; inverts</t>
        </is>
      </c>
      <c r="G21" s="10" t="inlineStr">
        <is>
          <t>2 S pelagics</t>
        </is>
      </c>
      <c r="H21" s="11" t="n">
        <v>0.2975985463815478</v>
      </c>
      <c r="I21" s="9" t="inlineStr">
        <is>
          <t>model_biomass</t>
        </is>
      </c>
      <c r="J21" s="12" t="inlineStr">
        <is>
          <t>medium</t>
        </is>
      </c>
      <c r="K21" s="9" t="inlineStr">
        <is>
          <t>composite_split</t>
        </is>
      </c>
      <c r="L21" s="10" t="inlineStr">
        <is>
          <t>Appendix A1.1 lists this exact catch name under `S pelagics`; apportioned over the region 2 and region 3 pools by model biomass; region 1 is the Maldives shelf, outside LME 34.</t>
        </is>
      </c>
      <c r="M21" s="9" t="n">
        <v>7644206.843</v>
      </c>
    </row>
    <row r="22" ht="36" customHeight="1">
      <c r="A22" s="9" t="inlineStr">
        <is>
          <t>LME_034</t>
        </is>
      </c>
      <c r="B22" s="10" t="inlineStr">
        <is>
          <t>34_1_Bay_of_Bengal_(1978)</t>
        </is>
      </c>
      <c r="C22" s="10" t="inlineStr">
        <is>
          <t>Clupeiformes</t>
        </is>
      </c>
      <c r="D22" s="9" t="inlineStr">
        <is>
          <t>Herrings, shads, anchovies</t>
        </is>
      </c>
      <c r="E22" s="9" t="inlineStr">
        <is>
          <t>Small pelagics (&lt;30 cm)</t>
        </is>
      </c>
      <c r="F22" s="9" t="inlineStr">
        <is>
          <t>Other fishes &amp; inverts</t>
        </is>
      </c>
      <c r="G22" s="10" t="inlineStr">
        <is>
          <t>3 S pelagics</t>
        </is>
      </c>
      <c r="H22" s="11" t="n">
        <v>0.7024014536184523</v>
      </c>
      <c r="I22" s="9" t="inlineStr">
        <is>
          <t>model_biomass</t>
        </is>
      </c>
      <c r="J22" s="12" t="inlineStr">
        <is>
          <t>medium</t>
        </is>
      </c>
      <c r="K22" s="9" t="inlineStr">
        <is>
          <t>composite_split</t>
        </is>
      </c>
      <c r="L22" s="10" t="inlineStr">
        <is>
          <t>Appendix A1.1 lists this exact catch name under `S pelagics`; apportioned over the region 2 and region 3 pools by model biomass; region 1 is the Maldives shelf, outside LME 34.</t>
        </is>
      </c>
      <c r="M22" s="9" t="n">
        <v>7644206.843</v>
      </c>
    </row>
    <row r="23" ht="36" customHeight="1">
      <c r="A23" s="9" t="inlineStr">
        <is>
          <t>LME_034</t>
        </is>
      </c>
      <c r="B23" s="10" t="inlineStr">
        <is>
          <t>34_1_Bay_of_Bengal_(1978)</t>
        </is>
      </c>
      <c r="C23" s="10" t="inlineStr">
        <is>
          <t>Carangidae</t>
        </is>
      </c>
      <c r="D23" s="9" t="inlineStr">
        <is>
          <t>Jacks, pompanos</t>
        </is>
      </c>
      <c r="E23" s="9" t="inlineStr">
        <is>
          <t>Medium pelagics (30 - 89 cm)</t>
        </is>
      </c>
      <c r="F23" s="9" t="inlineStr">
        <is>
          <t>Perch-likes</t>
        </is>
      </c>
      <c r="G23" s="10" t="inlineStr">
        <is>
          <t>2 Carangids</t>
        </is>
      </c>
      <c r="H23" s="11" t="n">
        <v>0.3043867502238138</v>
      </c>
      <c r="I23" s="9" t="inlineStr">
        <is>
          <t>model_biomass</t>
        </is>
      </c>
      <c r="J23" s="12" t="inlineStr">
        <is>
          <t>medium</t>
        </is>
      </c>
      <c r="K23" s="9" t="inlineStr">
        <is>
          <t>composite_split</t>
        </is>
      </c>
      <c r="L23" s="10" t="inlineStr">
        <is>
          <t>Appendix A1.1 lists this exact catch name under `Carangids`; apportioned over the region 2 and region 3 pools by model biomass; region 1 is the Maldives shelf, outside LME 34.</t>
        </is>
      </c>
      <c r="M23" s="9" t="n">
        <v>6814147.848</v>
      </c>
    </row>
    <row r="24" ht="36" customHeight="1">
      <c r="A24" s="9" t="inlineStr">
        <is>
          <t>LME_034</t>
        </is>
      </c>
      <c r="B24" s="10" t="inlineStr">
        <is>
          <t>34_1_Bay_of_Bengal_(1978)</t>
        </is>
      </c>
      <c r="C24" s="10" t="inlineStr">
        <is>
          <t>Carangidae</t>
        </is>
      </c>
      <c r="D24" s="9" t="inlineStr">
        <is>
          <t>Jacks, pompanos</t>
        </is>
      </c>
      <c r="E24" s="9" t="inlineStr">
        <is>
          <t>Medium pelagics (30 - 89 cm)</t>
        </is>
      </c>
      <c r="F24" s="9" t="inlineStr">
        <is>
          <t>Perch-likes</t>
        </is>
      </c>
      <c r="G24" s="10" t="inlineStr">
        <is>
          <t>3 Carangids</t>
        </is>
      </c>
      <c r="H24" s="11" t="n">
        <v>0.6956132497761862</v>
      </c>
      <c r="I24" s="9" t="inlineStr">
        <is>
          <t>model_biomass</t>
        </is>
      </c>
      <c r="J24" s="12" t="inlineStr">
        <is>
          <t>medium</t>
        </is>
      </c>
      <c r="K24" s="9" t="inlineStr">
        <is>
          <t>composite_split</t>
        </is>
      </c>
      <c r="L24" s="10" t="inlineStr">
        <is>
          <t>Appendix A1.1 lists this exact catch name under `Carangids`; apportioned over the region 2 and region 3 pools by model biomass; region 1 is the Maldives shelf, outside LME 34.</t>
        </is>
      </c>
      <c r="M24" s="9" t="n">
        <v>6814147.848</v>
      </c>
    </row>
    <row r="25" ht="36" customHeight="1">
      <c r="A25" s="9" t="inlineStr">
        <is>
          <t>LME_034</t>
        </is>
      </c>
      <c r="B25" s="10" t="inlineStr">
        <is>
          <t>34_1_Bay_of_Bengal_(1978)</t>
        </is>
      </c>
      <c r="C25" s="10" t="inlineStr">
        <is>
          <t>Nemipteridae</t>
        </is>
      </c>
      <c r="D25" s="9" t="inlineStr">
        <is>
          <t>Threadfins, whiptail breams</t>
        </is>
      </c>
      <c r="E25" s="9" t="inlineStr">
        <is>
          <t>Small demersals (&lt;30 cm)</t>
        </is>
      </c>
      <c r="F25" s="9" t="inlineStr">
        <is>
          <t>Perch-likes</t>
        </is>
      </c>
      <c r="G25" s="10" t="inlineStr">
        <is>
          <t>2 SM pisc</t>
        </is>
      </c>
      <c r="H25" s="11" t="n">
        <v>0.3055989990616202</v>
      </c>
      <c r="I25" s="9" t="inlineStr">
        <is>
          <t>model_biomass</t>
        </is>
      </c>
      <c r="J25" s="12" t="inlineStr">
        <is>
          <t>medium</t>
        </is>
      </c>
      <c r="K25" s="9" t="inlineStr">
        <is>
          <t>composite_split</t>
        </is>
      </c>
      <c r="L25" s="10" t="inlineStr">
        <is>
          <t>Appendix A1.1 lists this exact catch name under `SM pisc`; apportioned over the region 2 and region 3 pools by model biomass; region 1 is the Maldives shelf, outside LME 34.</t>
        </is>
      </c>
      <c r="M25" s="9" t="n">
        <v>6572743.84</v>
      </c>
    </row>
    <row r="26" ht="36" customHeight="1">
      <c r="A26" s="9" t="inlineStr">
        <is>
          <t>LME_034</t>
        </is>
      </c>
      <c r="B26" s="10" t="inlineStr">
        <is>
          <t>34_1_Bay_of_Bengal_(1978)</t>
        </is>
      </c>
      <c r="C26" s="10" t="inlineStr">
        <is>
          <t>Nemipteridae</t>
        </is>
      </c>
      <c r="D26" s="9" t="inlineStr">
        <is>
          <t>Threadfins, whiptail breams</t>
        </is>
      </c>
      <c r="E26" s="9" t="inlineStr">
        <is>
          <t>Small demersals (&lt;30 cm)</t>
        </is>
      </c>
      <c r="F26" s="9" t="inlineStr">
        <is>
          <t>Perch-likes</t>
        </is>
      </c>
      <c r="G26" s="10" t="inlineStr">
        <is>
          <t>3 SM pisc</t>
        </is>
      </c>
      <c r="H26" s="11" t="n">
        <v>0.6944010009383798</v>
      </c>
      <c r="I26" s="9" t="inlineStr">
        <is>
          <t>model_biomass</t>
        </is>
      </c>
      <c r="J26" s="12" t="inlineStr">
        <is>
          <t>medium</t>
        </is>
      </c>
      <c r="K26" s="9" t="inlineStr">
        <is>
          <t>composite_split</t>
        </is>
      </c>
      <c r="L26" s="10" t="inlineStr">
        <is>
          <t>Appendix A1.1 lists this exact catch name under `SM pisc`; apportioned over the region 2 and region 3 pools by model biomass; region 1 is the Maldives shelf, outside LME 34.</t>
        </is>
      </c>
      <c r="M26" s="9" t="n">
        <v>6572743.84</v>
      </c>
    </row>
    <row r="27" ht="36" customHeight="1">
      <c r="A27" s="9" t="inlineStr">
        <is>
          <t>LME_034</t>
        </is>
      </c>
      <c r="B27" s="10" t="inlineStr">
        <is>
          <t>34_1_Bay_of_Bengal_(1978)</t>
        </is>
      </c>
      <c r="C27" s="10" t="inlineStr">
        <is>
          <t>Clupeidae</t>
        </is>
      </c>
      <c r="D27" s="9" t="inlineStr">
        <is>
          <t>Herrings, sardines, menhadens</t>
        </is>
      </c>
      <c r="E27" s="9" t="inlineStr">
        <is>
          <t>Small pelagics (&lt;30 cm)</t>
        </is>
      </c>
      <c r="F27" s="9" t="inlineStr">
        <is>
          <t>Herring-likes</t>
        </is>
      </c>
      <c r="G27" s="10" t="inlineStr">
        <is>
          <t>2 S pelagics</t>
        </is>
      </c>
      <c r="H27" s="11" t="n">
        <v>0.2975985463815478</v>
      </c>
      <c r="I27" s="9" t="inlineStr">
        <is>
          <t>model_biomass</t>
        </is>
      </c>
      <c r="J27" s="12" t="inlineStr">
        <is>
          <t>medium</t>
        </is>
      </c>
      <c r="K27" s="9" t="inlineStr">
        <is>
          <t>composite_split</t>
        </is>
      </c>
      <c r="L27" s="10" t="inlineStr">
        <is>
          <t>Appendix A1.1 lists this exact catch name under `S pelagics`; apportioned over the region 2 and region 3 pools by model biomass; region 1 is the Maldives shelf, outside LME 34.</t>
        </is>
      </c>
      <c r="M27" s="9" t="n">
        <v>6399798.319</v>
      </c>
    </row>
    <row r="28" ht="36" customHeight="1">
      <c r="A28" s="9" t="inlineStr">
        <is>
          <t>LME_034</t>
        </is>
      </c>
      <c r="B28" s="10" t="inlineStr">
        <is>
          <t>34_1_Bay_of_Bengal_(1978)</t>
        </is>
      </c>
      <c r="C28" s="10" t="inlineStr">
        <is>
          <t>Clupeidae</t>
        </is>
      </c>
      <c r="D28" s="9" t="inlineStr">
        <is>
          <t>Herrings, sardines, menhadens</t>
        </is>
      </c>
      <c r="E28" s="9" t="inlineStr">
        <is>
          <t>Small pelagics (&lt;30 cm)</t>
        </is>
      </c>
      <c r="F28" s="9" t="inlineStr">
        <is>
          <t>Herring-likes</t>
        </is>
      </c>
      <c r="G28" s="10" t="inlineStr">
        <is>
          <t>3 S pelagics</t>
        </is>
      </c>
      <c r="H28" s="11" t="n">
        <v>0.7024014536184523</v>
      </c>
      <c r="I28" s="9" t="inlineStr">
        <is>
          <t>model_biomass</t>
        </is>
      </c>
      <c r="J28" s="12" t="inlineStr">
        <is>
          <t>medium</t>
        </is>
      </c>
      <c r="K28" s="9" t="inlineStr">
        <is>
          <t>composite_split</t>
        </is>
      </c>
      <c r="L28" s="10" t="inlineStr">
        <is>
          <t>Appendix A1.1 lists this exact catch name under `S pelagics`; apportioned over the region 2 and region 3 pools by model biomass; region 1 is the Maldives shelf, outside LME 34.</t>
        </is>
      </c>
      <c r="M28" s="9" t="n">
        <v>6399798.319</v>
      </c>
    </row>
    <row r="29" ht="51" customHeight="1">
      <c r="A29" s="9" t="inlineStr">
        <is>
          <t>LME_034</t>
        </is>
      </c>
      <c r="B29" s="10" t="inlineStr">
        <is>
          <t>34_1_Bay_of_Bengal_(1978)</t>
        </is>
      </c>
      <c r="C29" s="10" t="inlineStr">
        <is>
          <t>Rastrelliger kanagurta</t>
        </is>
      </c>
      <c r="D29" s="9" t="inlineStr">
        <is>
          <t>Indian mackerel</t>
        </is>
      </c>
      <c r="E29" s="9" t="inlineStr">
        <is>
          <t>Medium pelagics (30 - 89 cm)</t>
        </is>
      </c>
      <c r="F29" s="9" t="inlineStr">
        <is>
          <t>Perch-likes</t>
        </is>
      </c>
      <c r="G29" s="10" t="inlineStr">
        <is>
          <t>2-3 Indian mackerel</t>
        </is>
      </c>
      <c r="H29" s="11" t="n">
        <v>1</v>
      </c>
      <c r="I29" s="9" t="inlineStr">
        <is>
          <t>single</t>
        </is>
      </c>
      <c r="J29" s="13" t="inlineStr">
        <is>
          <t>high</t>
        </is>
      </c>
      <c r="K29" s="9" t="inlineStr">
        <is>
          <t>explicit_member</t>
        </is>
      </c>
      <c r="L29" s="10" t="inlineStr">
        <is>
          <t>Appendix A1.1 lists this exact catch name under `Indian mackerel`, which the model carries as one group straddling the shelves of regions 2 and 3 (Appendix A1.2), so no regional split applies.</t>
        </is>
      </c>
      <c r="M29" s="9" t="n">
        <v>6008430.752</v>
      </c>
    </row>
    <row r="30" ht="36" customHeight="1">
      <c r="A30" s="9" t="inlineStr">
        <is>
          <t>LME_034</t>
        </is>
      </c>
      <c r="B30" s="10" t="inlineStr">
        <is>
          <t>34_1_Bay_of_Bengal_(1978)</t>
        </is>
      </c>
      <c r="C30" s="10" t="inlineStr">
        <is>
          <t>Stolephorus</t>
        </is>
      </c>
      <c r="D30" s="9" t="inlineStr">
        <is>
          <t>Garment anchovies</t>
        </is>
      </c>
      <c r="E30" s="9" t="inlineStr">
        <is>
          <t>Small pelagics (&lt;30 cm)</t>
        </is>
      </c>
      <c r="F30" s="9" t="inlineStr">
        <is>
          <t>Anchovies</t>
        </is>
      </c>
      <c r="G30" s="10" t="inlineStr">
        <is>
          <t>2 S pelagics</t>
        </is>
      </c>
      <c r="H30" s="11" t="n">
        <v>0.2975985463815478</v>
      </c>
      <c r="I30" s="9" t="inlineStr">
        <is>
          <t>model_biomass</t>
        </is>
      </c>
      <c r="J30" s="12" t="inlineStr">
        <is>
          <t>medium</t>
        </is>
      </c>
      <c r="K30" s="9" t="inlineStr">
        <is>
          <t>composite_split</t>
        </is>
      </c>
      <c r="L30" s="10" t="inlineStr">
        <is>
          <t>Appendix A1.1 lists this exact catch name under `S pelagics`; apportioned over the region 2 and region 3 pools by model biomass; region 1 is the Maldives shelf, outside LME 34.</t>
        </is>
      </c>
      <c r="M30" s="9" t="n">
        <v>5184156.296</v>
      </c>
    </row>
    <row r="31" ht="36" customHeight="1">
      <c r="A31" s="9" t="inlineStr">
        <is>
          <t>LME_034</t>
        </is>
      </c>
      <c r="B31" s="10" t="inlineStr">
        <is>
          <t>34_1_Bay_of_Bengal_(1978)</t>
        </is>
      </c>
      <c r="C31" s="10" t="inlineStr">
        <is>
          <t>Stolephorus</t>
        </is>
      </c>
      <c r="D31" s="9" t="inlineStr">
        <is>
          <t>Garment anchovies</t>
        </is>
      </c>
      <c r="E31" s="9" t="inlineStr">
        <is>
          <t>Small pelagics (&lt;30 cm)</t>
        </is>
      </c>
      <c r="F31" s="9" t="inlineStr">
        <is>
          <t>Anchovies</t>
        </is>
      </c>
      <c r="G31" s="10" t="inlineStr">
        <is>
          <t>3 S pelagics</t>
        </is>
      </c>
      <c r="H31" s="11" t="n">
        <v>0.7024014536184523</v>
      </c>
      <c r="I31" s="9" t="inlineStr">
        <is>
          <t>model_biomass</t>
        </is>
      </c>
      <c r="J31" s="12" t="inlineStr">
        <is>
          <t>medium</t>
        </is>
      </c>
      <c r="K31" s="9" t="inlineStr">
        <is>
          <t>composite_split</t>
        </is>
      </c>
      <c r="L31" s="10" t="inlineStr">
        <is>
          <t>Appendix A1.1 lists this exact catch name under `S pelagics`; apportioned over the region 2 and region 3 pools by model biomass; region 1 is the Maldives shelf, outside LME 34.</t>
        </is>
      </c>
      <c r="M31" s="9" t="n">
        <v>5184156.296</v>
      </c>
    </row>
    <row r="32" ht="36" customHeight="1">
      <c r="A32" s="9" t="inlineStr">
        <is>
          <t>LME_034</t>
        </is>
      </c>
      <c r="B32" s="10" t="inlineStr">
        <is>
          <t>34_1_Bay_of_Bengal_(1978)</t>
        </is>
      </c>
      <c r="C32" s="10" t="inlineStr">
        <is>
          <t>Harpadon nehereus</t>
        </is>
      </c>
      <c r="D32" s="9" t="inlineStr">
        <is>
          <t>Bombay-duck</t>
        </is>
      </c>
      <c r="E32" s="9" t="inlineStr">
        <is>
          <t>Medium benthopelagics (30 - 89 cm)</t>
        </is>
      </c>
      <c r="F32" s="9" t="inlineStr">
        <is>
          <t>Other fishes &amp; inverts</t>
        </is>
      </c>
      <c r="G32" s="10" t="inlineStr">
        <is>
          <t>2 L pisc comm</t>
        </is>
      </c>
      <c r="H32" s="11" t="n">
        <v>0.4790991864112831</v>
      </c>
      <c r="I32" s="9" t="inlineStr">
        <is>
          <t>model_biomass</t>
        </is>
      </c>
      <c r="J32" s="12" t="inlineStr">
        <is>
          <t>medium</t>
        </is>
      </c>
      <c r="K32" s="9" t="inlineStr">
        <is>
          <t>composite_split</t>
        </is>
      </c>
      <c r="L32" s="10" t="inlineStr">
        <is>
          <t>Appendix A1.1 lists this exact catch name under `L pisc comm`; apportioned over the region 2 and region 3 pools by model biomass; region 1 is the Maldives shelf, outside LME 34.</t>
        </is>
      </c>
      <c r="M32" s="9" t="n">
        <v>4476654.833</v>
      </c>
    </row>
    <row r="33" ht="36" customHeight="1">
      <c r="A33" s="9" t="inlineStr">
        <is>
          <t>LME_034</t>
        </is>
      </c>
      <c r="B33" s="10" t="inlineStr">
        <is>
          <t>34_1_Bay_of_Bengal_(1978)</t>
        </is>
      </c>
      <c r="C33" s="10" t="inlineStr">
        <is>
          <t>Harpadon nehereus</t>
        </is>
      </c>
      <c r="D33" s="9" t="inlineStr">
        <is>
          <t>Bombay-duck</t>
        </is>
      </c>
      <c r="E33" s="9" t="inlineStr">
        <is>
          <t>Medium benthopelagics (30 - 89 cm)</t>
        </is>
      </c>
      <c r="F33" s="9" t="inlineStr">
        <is>
          <t>Other fishes &amp; inverts</t>
        </is>
      </c>
      <c r="G33" s="10" t="inlineStr">
        <is>
          <t>3 L pisc comm</t>
        </is>
      </c>
      <c r="H33" s="11" t="n">
        <v>0.5209008135887169</v>
      </c>
      <c r="I33" s="9" t="inlineStr">
        <is>
          <t>model_biomass</t>
        </is>
      </c>
      <c r="J33" s="12" t="inlineStr">
        <is>
          <t>medium</t>
        </is>
      </c>
      <c r="K33" s="9" t="inlineStr">
        <is>
          <t>composite_split</t>
        </is>
      </c>
      <c r="L33" s="10" t="inlineStr">
        <is>
          <t>Appendix A1.1 lists this exact catch name under `L pisc comm`; apportioned over the region 2 and region 3 pools by model biomass; region 1 is the Maldives shelf, outside LME 34.</t>
        </is>
      </c>
      <c r="M33" s="9" t="n">
        <v>4476654.833</v>
      </c>
    </row>
    <row r="34" ht="36" customHeight="1">
      <c r="A34" s="9" t="inlineStr">
        <is>
          <t>LME_034</t>
        </is>
      </c>
      <c r="B34" s="10" t="inlineStr">
        <is>
          <t>34_1_Bay_of_Bengal_(1978)</t>
        </is>
      </c>
      <c r="C34" s="10" t="inlineStr">
        <is>
          <t>Engraulidae</t>
        </is>
      </c>
      <c r="D34" s="9" t="inlineStr">
        <is>
          <t>Anchovies, round herrings</t>
        </is>
      </c>
      <c r="E34" s="9" t="inlineStr">
        <is>
          <t>Small pelagics (&lt;30 cm)</t>
        </is>
      </c>
      <c r="F34" s="9" t="inlineStr">
        <is>
          <t>Anchovies</t>
        </is>
      </c>
      <c r="G34" s="10" t="inlineStr">
        <is>
          <t>2 S pelagics</t>
        </is>
      </c>
      <c r="H34" s="11" t="n">
        <v>0.2975985463815478</v>
      </c>
      <c r="I34" s="9" t="inlineStr">
        <is>
          <t>model_biomass</t>
        </is>
      </c>
      <c r="J34" s="12" t="inlineStr">
        <is>
          <t>medium</t>
        </is>
      </c>
      <c r="K34" s="9" t="inlineStr">
        <is>
          <t>composite_split</t>
        </is>
      </c>
      <c r="L34" s="10" t="inlineStr">
        <is>
          <t>Appendix A1.1 lists this exact catch name under `S pelagics`; apportioned over the region 2 and region 3 pools by model biomass; region 1 is the Maldives shelf, outside LME 34.</t>
        </is>
      </c>
      <c r="M34" s="9" t="n">
        <v>3917971.016</v>
      </c>
    </row>
    <row r="35" ht="36" customHeight="1">
      <c r="A35" s="9" t="inlineStr">
        <is>
          <t>LME_034</t>
        </is>
      </c>
      <c r="B35" s="10" t="inlineStr">
        <is>
          <t>34_1_Bay_of_Bengal_(1978)</t>
        </is>
      </c>
      <c r="C35" s="10" t="inlineStr">
        <is>
          <t>Engraulidae</t>
        </is>
      </c>
      <c r="D35" s="9" t="inlineStr">
        <is>
          <t>Anchovies, round herrings</t>
        </is>
      </c>
      <c r="E35" s="9" t="inlineStr">
        <is>
          <t>Small pelagics (&lt;30 cm)</t>
        </is>
      </c>
      <c r="F35" s="9" t="inlineStr">
        <is>
          <t>Anchovies</t>
        </is>
      </c>
      <c r="G35" s="10" t="inlineStr">
        <is>
          <t>3 S pelagics</t>
        </is>
      </c>
      <c r="H35" s="11" t="n">
        <v>0.7024014536184523</v>
      </c>
      <c r="I35" s="9" t="inlineStr">
        <is>
          <t>model_biomass</t>
        </is>
      </c>
      <c r="J35" s="12" t="inlineStr">
        <is>
          <t>medium</t>
        </is>
      </c>
      <c r="K35" s="9" t="inlineStr">
        <is>
          <t>composite_split</t>
        </is>
      </c>
      <c r="L35" s="10" t="inlineStr">
        <is>
          <t>Appendix A1.1 lists this exact catch name under `S pelagics`; apportioned over the region 2 and region 3 pools by model biomass; region 1 is the Maldives shelf, outside LME 34.</t>
        </is>
      </c>
      <c r="M35" s="9" t="n">
        <v>3917971.016</v>
      </c>
    </row>
    <row r="36" ht="36" customHeight="1">
      <c r="A36" s="9" t="inlineStr">
        <is>
          <t>LME_034</t>
        </is>
      </c>
      <c r="B36" s="10" t="inlineStr">
        <is>
          <t>34_1_Bay_of_Bengal_(1978)</t>
        </is>
      </c>
      <c r="C36" s="10" t="inlineStr">
        <is>
          <t>Acetes</t>
        </is>
      </c>
      <c r="D36" s="9" t="inlineStr">
        <is>
          <t>Acetes shrimps</t>
        </is>
      </c>
      <c r="E36" s="9" t="inlineStr">
        <is>
          <t>Shrimps</t>
        </is>
      </c>
      <c r="F36" s="9" t="inlineStr">
        <is>
          <t>Crustaceans</t>
        </is>
      </c>
      <c r="G36" s="10" t="inlineStr">
        <is>
          <t>2 Crustaceans</t>
        </is>
      </c>
      <c r="H36" s="11" t="n">
        <v>0.2129992169146437</v>
      </c>
      <c r="I36" s="9" t="inlineStr">
        <is>
          <t>model_biomass</t>
        </is>
      </c>
      <c r="J36" s="12" t="inlineStr">
        <is>
          <t>medium</t>
        </is>
      </c>
      <c r="K36" s="9" t="inlineStr">
        <is>
          <t>composite_split</t>
        </is>
      </c>
      <c r="L36" s="10" t="inlineStr">
        <is>
          <t>Appendix A1.1 lists this exact catch name under `shrimps`; apportioned over the region 2 and region 3 pools by model biomass; region 1 is the Maldives shelf, outside LME 34.</t>
        </is>
      </c>
      <c r="M36" s="9" t="n">
        <v>3679006.792</v>
      </c>
    </row>
    <row r="37" ht="36" customHeight="1">
      <c r="A37" s="9" t="inlineStr">
        <is>
          <t>LME_034</t>
        </is>
      </c>
      <c r="B37" s="10" t="inlineStr">
        <is>
          <t>34_1_Bay_of_Bengal_(1978)</t>
        </is>
      </c>
      <c r="C37" s="10" t="inlineStr">
        <is>
          <t>Acetes</t>
        </is>
      </c>
      <c r="D37" s="9" t="inlineStr">
        <is>
          <t>Acetes shrimps</t>
        </is>
      </c>
      <c r="E37" s="9" t="inlineStr">
        <is>
          <t>Shrimps</t>
        </is>
      </c>
      <c r="F37" s="9" t="inlineStr">
        <is>
          <t>Crustaceans</t>
        </is>
      </c>
      <c r="G37" s="10" t="inlineStr">
        <is>
          <t>3 Crustaceans</t>
        </is>
      </c>
      <c r="H37" s="11" t="n">
        <v>0.7870007830853563</v>
      </c>
      <c r="I37" s="9" t="inlineStr">
        <is>
          <t>model_biomass</t>
        </is>
      </c>
      <c r="J37" s="12" t="inlineStr">
        <is>
          <t>medium</t>
        </is>
      </c>
      <c r="K37" s="9" t="inlineStr">
        <is>
          <t>composite_split</t>
        </is>
      </c>
      <c r="L37" s="10" t="inlineStr">
        <is>
          <t>Appendix A1.1 lists this exact catch name under `shrimps`; apportioned over the region 2 and region 3 pools by model biomass; region 1 is the Maldives shelf, outside LME 34.</t>
        </is>
      </c>
      <c r="M37" s="9" t="n">
        <v>3679006.792</v>
      </c>
    </row>
    <row r="38" ht="36" customHeight="1">
      <c r="A38" s="9" t="inlineStr">
        <is>
          <t>LME_034</t>
        </is>
      </c>
      <c r="B38" s="10" t="inlineStr">
        <is>
          <t>34_1_Bay_of_Bengal_(1978)</t>
        </is>
      </c>
      <c r="C38" s="10" t="inlineStr">
        <is>
          <t>Elasmobranchii</t>
        </is>
      </c>
      <c r="D38" s="9" t="inlineStr">
        <is>
          <t>Sharks, rays, skates</t>
        </is>
      </c>
      <c r="E38" s="9" t="inlineStr">
        <is>
          <t>Large sharks (&gt;=90 cm)</t>
        </is>
      </c>
      <c r="F38" s="9" t="inlineStr">
        <is>
          <t>Sharks &amp; rays</t>
        </is>
      </c>
      <c r="G38" s="10" t="inlineStr">
        <is>
          <t>Oceanic sharks</t>
        </is>
      </c>
      <c r="H38" s="11" t="n">
        <v>0.305730644284871</v>
      </c>
      <c r="I38" s="9" t="inlineStr">
        <is>
          <t>catch_composition</t>
        </is>
      </c>
      <c r="J38" s="12" t="inlineStr">
        <is>
          <t>medium</t>
        </is>
      </c>
      <c r="K38" s="9" t="inlineStr">
        <is>
          <t>composite_split</t>
        </is>
      </c>
      <c r="L38" s="10" t="inlineStr">
        <is>
          <t>Appendix A1.1 lists this exact catch name under `oceanic, coastal sharks`; apportioned by the catch that taxa assigned to those groups alone already carry in this LME.</t>
        </is>
      </c>
      <c r="M38" s="9" t="n">
        <v>3438804.023</v>
      </c>
    </row>
    <row r="39" ht="36" customHeight="1">
      <c r="A39" s="9" t="inlineStr">
        <is>
          <t>LME_034</t>
        </is>
      </c>
      <c r="B39" s="10" t="inlineStr">
        <is>
          <t>34_1_Bay_of_Bengal_(1978)</t>
        </is>
      </c>
      <c r="C39" s="10" t="inlineStr">
        <is>
          <t>Elasmobranchii</t>
        </is>
      </c>
      <c r="D39" s="9" t="inlineStr">
        <is>
          <t>Sharks, rays, skates</t>
        </is>
      </c>
      <c r="E39" s="9" t="inlineStr">
        <is>
          <t>Large sharks (&gt;=90 cm)</t>
        </is>
      </c>
      <c r="F39" s="9" t="inlineStr">
        <is>
          <t>Sharks &amp; rays</t>
        </is>
      </c>
      <c r="G39" s="10" t="inlineStr">
        <is>
          <t>Coastal elasmobranch</t>
        </is>
      </c>
      <c r="H39" s="11" t="n">
        <v>0.694269355715129</v>
      </c>
      <c r="I39" s="9" t="inlineStr">
        <is>
          <t>catch_composition</t>
        </is>
      </c>
      <c r="J39" s="12" t="inlineStr">
        <is>
          <t>medium</t>
        </is>
      </c>
      <c r="K39" s="9" t="inlineStr">
        <is>
          <t>composite_split</t>
        </is>
      </c>
      <c r="L39" s="10" t="inlineStr">
        <is>
          <t>Appendix A1.1 lists this exact catch name under `oceanic, coastal sharks`; apportioned by the catch that taxa assigned to those groups alone already carry in this LME.</t>
        </is>
      </c>
      <c r="M39" s="9" t="n">
        <v>3438804.023</v>
      </c>
    </row>
    <row r="40" ht="36" customHeight="1">
      <c r="A40" s="9" t="inlineStr">
        <is>
          <t>LME_034</t>
        </is>
      </c>
      <c r="B40" s="10" t="inlineStr">
        <is>
          <t>34_1_Bay_of_Bengal_(1978)</t>
        </is>
      </c>
      <c r="C40" s="10" t="inlineStr">
        <is>
          <t>Ariidae</t>
        </is>
      </c>
      <c r="D40" s="9" t="inlineStr">
        <is>
          <t>Sea catfishes, coblers</t>
        </is>
      </c>
      <c r="E40" s="9" t="inlineStr">
        <is>
          <t>Medium demersals (30 - 89 cm)</t>
        </is>
      </c>
      <c r="F40" s="9" t="inlineStr">
        <is>
          <t>Other fishes &amp; inverts</t>
        </is>
      </c>
      <c r="G40" s="10" t="inlineStr">
        <is>
          <t>2 Milkfish plus</t>
        </is>
      </c>
      <c r="H40" s="11" t="n">
        <v>0.05374665855218051</v>
      </c>
      <c r="I40" s="9" t="inlineStr">
        <is>
          <t>model_biomass</t>
        </is>
      </c>
      <c r="J40" s="12" t="inlineStr">
        <is>
          <t>medium</t>
        </is>
      </c>
      <c r="K40" s="9" t="inlineStr">
        <is>
          <t>composite_split</t>
        </is>
      </c>
      <c r="L40" s="10" t="inlineStr">
        <is>
          <t>Appendix A1.1 lists this exact catch name under `Milkfish, Minv Mpisc`; apportioned over the region 2 and region 3 pools by model biomass; region 1 is the Maldives shelf, outside LME 34.</t>
        </is>
      </c>
      <c r="M40" s="9" t="n">
        <v>3328321.516</v>
      </c>
    </row>
    <row r="41" ht="36" customHeight="1">
      <c r="A41" s="9" t="inlineStr">
        <is>
          <t>LME_034</t>
        </is>
      </c>
      <c r="B41" s="10" t="inlineStr">
        <is>
          <t>34_1_Bay_of_Bengal_(1978)</t>
        </is>
      </c>
      <c r="C41" s="10" t="inlineStr">
        <is>
          <t>Ariidae</t>
        </is>
      </c>
      <c r="D41" s="9" t="inlineStr">
        <is>
          <t>Sea catfishes, coblers</t>
        </is>
      </c>
      <c r="E41" s="9" t="inlineStr">
        <is>
          <t>Medium demersals (30 - 89 cm)</t>
        </is>
      </c>
      <c r="F41" s="9" t="inlineStr">
        <is>
          <t>Other fishes &amp; inverts</t>
        </is>
      </c>
      <c r="G41" s="10" t="inlineStr">
        <is>
          <t>3 Milkfish plus</t>
        </is>
      </c>
      <c r="H41" s="11" t="n">
        <v>0.06857922023896648</v>
      </c>
      <c r="I41" s="9" t="inlineStr">
        <is>
          <t>model_biomass</t>
        </is>
      </c>
      <c r="J41" s="12" t="inlineStr">
        <is>
          <t>medium</t>
        </is>
      </c>
      <c r="K41" s="9" t="inlineStr">
        <is>
          <t>composite_split</t>
        </is>
      </c>
      <c r="L41" s="10" t="inlineStr">
        <is>
          <t>Appendix A1.1 lists this exact catch name under `Milkfish, Minv Mpisc`; apportioned over the region 2 and region 3 pools by model biomass; region 1 is the Maldives shelf, outside LME 34.</t>
        </is>
      </c>
      <c r="M41" s="9" t="n">
        <v>3328321.516</v>
      </c>
    </row>
    <row r="42" ht="36" customHeight="1">
      <c r="A42" s="9" t="inlineStr">
        <is>
          <t>LME_034</t>
        </is>
      </c>
      <c r="B42" s="10" t="inlineStr">
        <is>
          <t>34_1_Bay_of_Bengal_(1978)</t>
        </is>
      </c>
      <c r="C42" s="10" t="inlineStr">
        <is>
          <t>Ariidae</t>
        </is>
      </c>
      <c r="D42" s="9" t="inlineStr">
        <is>
          <t>Sea catfishes, coblers</t>
        </is>
      </c>
      <c r="E42" s="9" t="inlineStr">
        <is>
          <t>Medium demersals (30 - 89 cm)</t>
        </is>
      </c>
      <c r="F42" s="9" t="inlineStr">
        <is>
          <t>Other fishes &amp; inverts</t>
        </is>
      </c>
      <c r="G42" s="10" t="inlineStr">
        <is>
          <t>2 SM inv</t>
        </is>
      </c>
      <c r="H42" s="11" t="n">
        <v>0.1588171852490968</v>
      </c>
      <c r="I42" s="9" t="inlineStr">
        <is>
          <t>model_biomass</t>
        </is>
      </c>
      <c r="J42" s="12" t="inlineStr">
        <is>
          <t>medium</t>
        </is>
      </c>
      <c r="K42" s="9" t="inlineStr">
        <is>
          <t>composite_split</t>
        </is>
      </c>
      <c r="L42" s="10" t="inlineStr">
        <is>
          <t>Appendix A1.1 lists this exact catch name under `Milkfish, Minv Mpisc`; apportioned over the region 2 and region 3 pools by model biomass; region 1 is the Maldives shelf, outside LME 34.</t>
        </is>
      </c>
      <c r="M42" s="9" t="n">
        <v>3328321.516</v>
      </c>
    </row>
    <row r="43" ht="36" customHeight="1">
      <c r="A43" s="9" t="inlineStr">
        <is>
          <t>LME_034</t>
        </is>
      </c>
      <c r="B43" s="10" t="inlineStr">
        <is>
          <t>34_1_Bay_of_Bengal_(1978)</t>
        </is>
      </c>
      <c r="C43" s="10" t="inlineStr">
        <is>
          <t>Ariidae</t>
        </is>
      </c>
      <c r="D43" s="9" t="inlineStr">
        <is>
          <t>Sea catfishes, coblers</t>
        </is>
      </c>
      <c r="E43" s="9" t="inlineStr">
        <is>
          <t>Medium demersals (30 - 89 cm)</t>
        </is>
      </c>
      <c r="F43" s="9" t="inlineStr">
        <is>
          <t>Other fishes &amp; inverts</t>
        </is>
      </c>
      <c r="G43" s="10" t="inlineStr">
        <is>
          <t>3 SM inv</t>
        </is>
      </c>
      <c r="H43" s="11" t="n">
        <v>0.3420409986980872</v>
      </c>
      <c r="I43" s="9" t="inlineStr">
        <is>
          <t>model_biomass</t>
        </is>
      </c>
      <c r="J43" s="12" t="inlineStr">
        <is>
          <t>medium</t>
        </is>
      </c>
      <c r="K43" s="9" t="inlineStr">
        <is>
          <t>composite_split</t>
        </is>
      </c>
      <c r="L43" s="10" t="inlineStr">
        <is>
          <t>Appendix A1.1 lists this exact catch name under `Milkfish, Minv Mpisc`; apportioned over the region 2 and region 3 pools by model biomass; region 1 is the Maldives shelf, outside LME 34.</t>
        </is>
      </c>
      <c r="M43" s="9" t="n">
        <v>3328321.516</v>
      </c>
    </row>
    <row r="44" ht="36" customHeight="1">
      <c r="A44" s="9" t="inlineStr">
        <is>
          <t>LME_034</t>
        </is>
      </c>
      <c r="B44" s="10" t="inlineStr">
        <is>
          <t>34_1_Bay_of_Bengal_(1978)</t>
        </is>
      </c>
      <c r="C44" s="10" t="inlineStr">
        <is>
          <t>Ariidae</t>
        </is>
      </c>
      <c r="D44" s="9" t="inlineStr">
        <is>
          <t>Sea catfishes, coblers</t>
        </is>
      </c>
      <c r="E44" s="9" t="inlineStr">
        <is>
          <t>Medium demersals (30 - 89 cm)</t>
        </is>
      </c>
      <c r="F44" s="9" t="inlineStr">
        <is>
          <t>Other fishes &amp; inverts</t>
        </is>
      </c>
      <c r="G44" s="10" t="inlineStr">
        <is>
          <t>2 SM pisc</t>
        </is>
      </c>
      <c r="H44" s="11" t="n">
        <v>0.1151545732576324</v>
      </c>
      <c r="I44" s="9" t="inlineStr">
        <is>
          <t>model_biomass</t>
        </is>
      </c>
      <c r="J44" s="12" t="inlineStr">
        <is>
          <t>medium</t>
        </is>
      </c>
      <c r="K44" s="9" t="inlineStr">
        <is>
          <t>composite_split</t>
        </is>
      </c>
      <c r="L44" s="10" t="inlineStr">
        <is>
          <t>Appendix A1.1 lists this exact catch name under `Milkfish, Minv Mpisc`; apportioned over the region 2 and region 3 pools by model biomass; region 1 is the Maldives shelf, outside LME 34.</t>
        </is>
      </c>
      <c r="M44" s="9" t="n">
        <v>3328321.516</v>
      </c>
    </row>
    <row r="45" ht="36" customHeight="1">
      <c r="A45" s="9" t="inlineStr">
        <is>
          <t>LME_034</t>
        </is>
      </c>
      <c r="B45" s="10" t="inlineStr">
        <is>
          <t>34_1_Bay_of_Bengal_(1978)</t>
        </is>
      </c>
      <c r="C45" s="10" t="inlineStr">
        <is>
          <t>Ariidae</t>
        </is>
      </c>
      <c r="D45" s="9" t="inlineStr">
        <is>
          <t>Sea catfishes, coblers</t>
        </is>
      </c>
      <c r="E45" s="9" t="inlineStr">
        <is>
          <t>Medium demersals (30 - 89 cm)</t>
        </is>
      </c>
      <c r="F45" s="9" t="inlineStr">
        <is>
          <t>Other fishes &amp; inverts</t>
        </is>
      </c>
      <c r="G45" s="10" t="inlineStr">
        <is>
          <t>3 SM pisc</t>
        </is>
      </c>
      <c r="H45" s="11" t="n">
        <v>0.2616613640040367</v>
      </c>
      <c r="I45" s="9" t="inlineStr">
        <is>
          <t>model_biomass</t>
        </is>
      </c>
      <c r="J45" s="12" t="inlineStr">
        <is>
          <t>medium</t>
        </is>
      </c>
      <c r="K45" s="9" t="inlineStr">
        <is>
          <t>composite_split</t>
        </is>
      </c>
      <c r="L45" s="10" t="inlineStr">
        <is>
          <t>Appendix A1.1 lists this exact catch name under `Milkfish, Minv Mpisc`; apportioned over the region 2 and region 3 pools by model biomass; region 1 is the Maldives shelf, outside LME 34.</t>
        </is>
      </c>
      <c r="M45" s="9" t="n">
        <v>3328321.516</v>
      </c>
    </row>
    <row r="46" ht="36" customHeight="1">
      <c r="A46" s="9" t="inlineStr">
        <is>
          <t>LME_034</t>
        </is>
      </c>
      <c r="B46" s="10" t="inlineStr">
        <is>
          <t>34_1_Bay_of_Bengal_(1978)</t>
        </is>
      </c>
      <c r="C46" s="10" t="inlineStr">
        <is>
          <t>Decapterus</t>
        </is>
      </c>
      <c r="D46" s="9" t="inlineStr">
        <is>
          <t>Scads</t>
        </is>
      </c>
      <c r="E46" s="9" t="inlineStr">
        <is>
          <t>Medium pelagics (30 - 89 cm)</t>
        </is>
      </c>
      <c r="F46" s="9" t="inlineStr">
        <is>
          <t>Perch-likes</t>
        </is>
      </c>
      <c r="G46" s="10" t="inlineStr">
        <is>
          <t>2 Carangids</t>
        </is>
      </c>
      <c r="H46" s="11" t="n">
        <v>0.3043867502238138</v>
      </c>
      <c r="I46" s="9" t="inlineStr">
        <is>
          <t>model_biomass</t>
        </is>
      </c>
      <c r="J46" s="12" t="inlineStr">
        <is>
          <t>medium</t>
        </is>
      </c>
      <c r="K46" s="9" t="inlineStr">
        <is>
          <t>composite_split</t>
        </is>
      </c>
      <c r="L46" s="10" t="inlineStr">
        <is>
          <t>Appendix A1.1 lists this exact catch name under `Carangids`; apportioned over the region 2 and region 3 pools by model biomass; region 1 is the Maldives shelf, outside LME 34.</t>
        </is>
      </c>
      <c r="M46" s="9" t="n">
        <v>3208280.538</v>
      </c>
    </row>
    <row r="47" ht="36" customHeight="1">
      <c r="A47" s="9" t="inlineStr">
        <is>
          <t>LME_034</t>
        </is>
      </c>
      <c r="B47" s="10" t="inlineStr">
        <is>
          <t>34_1_Bay_of_Bengal_(1978)</t>
        </is>
      </c>
      <c r="C47" s="10" t="inlineStr">
        <is>
          <t>Decapterus</t>
        </is>
      </c>
      <c r="D47" s="9" t="inlineStr">
        <is>
          <t>Scads</t>
        </is>
      </c>
      <c r="E47" s="9" t="inlineStr">
        <is>
          <t>Medium pelagics (30 - 89 cm)</t>
        </is>
      </c>
      <c r="F47" s="9" t="inlineStr">
        <is>
          <t>Perch-likes</t>
        </is>
      </c>
      <c r="G47" s="10" t="inlineStr">
        <is>
          <t>3 Carangids</t>
        </is>
      </c>
      <c r="H47" s="11" t="n">
        <v>0.6956132497761862</v>
      </c>
      <c r="I47" s="9" t="inlineStr">
        <is>
          <t>model_biomass</t>
        </is>
      </c>
      <c r="J47" s="12" t="inlineStr">
        <is>
          <t>medium</t>
        </is>
      </c>
      <c r="K47" s="9" t="inlineStr">
        <is>
          <t>composite_split</t>
        </is>
      </c>
      <c r="L47" s="10" t="inlineStr">
        <is>
          <t>Appendix A1.1 lists this exact catch name under `Carangids`; apportioned over the region 2 and region 3 pools by model biomass; region 1 is the Maldives shelf, outside LME 34.</t>
        </is>
      </c>
      <c r="M47" s="9" t="n">
        <v>3208280.538</v>
      </c>
    </row>
    <row r="48" ht="36" customHeight="1">
      <c r="A48" s="9" t="inlineStr">
        <is>
          <t>LME_034</t>
        </is>
      </c>
      <c r="B48" s="10" t="inlineStr">
        <is>
          <t>34_1_Bay_of_Bengal_(1978)</t>
        </is>
      </c>
      <c r="C48" s="10" t="inlineStr">
        <is>
          <t>Synodontidae</t>
        </is>
      </c>
      <c r="D48" s="9" t="inlineStr">
        <is>
          <t>Lizardfishes, sauries</t>
        </is>
      </c>
      <c r="E48" s="9" t="inlineStr">
        <is>
          <t>Medium demersals (30 - 89 cm)</t>
        </is>
      </c>
      <c r="F48" s="9" t="inlineStr">
        <is>
          <t>Other fishes &amp; inverts</t>
        </is>
      </c>
      <c r="G48" s="10" t="inlineStr">
        <is>
          <t>2 L pisc comm</t>
        </is>
      </c>
      <c r="H48" s="11" t="n">
        <v>0.4790991864112831</v>
      </c>
      <c r="I48" s="9" t="inlineStr">
        <is>
          <t>model_biomass</t>
        </is>
      </c>
      <c r="J48" s="12" t="inlineStr">
        <is>
          <t>medium</t>
        </is>
      </c>
      <c r="K48" s="9" t="inlineStr">
        <is>
          <t>composite_split</t>
        </is>
      </c>
      <c r="L48" s="10" t="inlineStr">
        <is>
          <t>Appendix A1.1 lists this exact catch name under `L pisc comm`; apportioned over the region 2 and region 3 pools by model biomass; region 1 is the Maldives shelf, outside LME 34.</t>
        </is>
      </c>
      <c r="M48" s="9" t="n">
        <v>3163994.122</v>
      </c>
    </row>
    <row r="49" ht="36" customHeight="1">
      <c r="A49" s="9" t="inlineStr">
        <is>
          <t>LME_034</t>
        </is>
      </c>
      <c r="B49" s="10" t="inlineStr">
        <is>
          <t>34_1_Bay_of_Bengal_(1978)</t>
        </is>
      </c>
      <c r="C49" s="10" t="inlineStr">
        <is>
          <t>Synodontidae</t>
        </is>
      </c>
      <c r="D49" s="9" t="inlineStr">
        <is>
          <t>Lizardfishes, sauries</t>
        </is>
      </c>
      <c r="E49" s="9" t="inlineStr">
        <is>
          <t>Medium demersals (30 - 89 cm)</t>
        </is>
      </c>
      <c r="F49" s="9" t="inlineStr">
        <is>
          <t>Other fishes &amp; inverts</t>
        </is>
      </c>
      <c r="G49" s="10" t="inlineStr">
        <is>
          <t>3 L pisc comm</t>
        </is>
      </c>
      <c r="H49" s="11" t="n">
        <v>0.5209008135887169</v>
      </c>
      <c r="I49" s="9" t="inlineStr">
        <is>
          <t>model_biomass</t>
        </is>
      </c>
      <c r="J49" s="12" t="inlineStr">
        <is>
          <t>medium</t>
        </is>
      </c>
      <c r="K49" s="9" t="inlineStr">
        <is>
          <t>composite_split</t>
        </is>
      </c>
      <c r="L49" s="10" t="inlineStr">
        <is>
          <t>Appendix A1.1 lists this exact catch name under `L pisc comm`; apportioned over the region 2 and region 3 pools by model biomass; region 1 is the Maldives shelf, outside LME 34.</t>
        </is>
      </c>
      <c r="M49" s="9" t="n">
        <v>3163994.122</v>
      </c>
    </row>
    <row r="50" ht="36" customHeight="1">
      <c r="A50" s="9" t="inlineStr">
        <is>
          <t>LME_034</t>
        </is>
      </c>
      <c r="B50" s="10" t="inlineStr">
        <is>
          <t>34_1_Bay_of_Bengal_(1978)</t>
        </is>
      </c>
      <c r="C50" s="10" t="inlineStr">
        <is>
          <t>Sardinella</t>
        </is>
      </c>
      <c r="D50" s="9" t="inlineStr">
        <is>
          <t>Sardinellas</t>
        </is>
      </c>
      <c r="E50" s="9" t="inlineStr">
        <is>
          <t>Small pelagics (&lt;30 cm)</t>
        </is>
      </c>
      <c r="F50" s="9" t="inlineStr">
        <is>
          <t>Herring-likes</t>
        </is>
      </c>
      <c r="G50" s="10" t="inlineStr">
        <is>
          <t>2 S pelagics</t>
        </is>
      </c>
      <c r="H50" s="11" t="n">
        <v>0.2975985463815478</v>
      </c>
      <c r="I50" s="9" t="inlineStr">
        <is>
          <t>model_biomass</t>
        </is>
      </c>
      <c r="J50" s="12" t="inlineStr">
        <is>
          <t>medium</t>
        </is>
      </c>
      <c r="K50" s="9" t="inlineStr">
        <is>
          <t>composite_split</t>
        </is>
      </c>
      <c r="L50" s="10" t="inlineStr">
        <is>
          <t>Appendix A1.1 lists this exact catch name under `S pelagics`; apportioned over the region 2 and region 3 pools by model biomass; region 1 is the Maldives shelf, outside LME 34.</t>
        </is>
      </c>
      <c r="M50" s="9" t="n">
        <v>3037468.245</v>
      </c>
    </row>
    <row r="51" ht="36" customHeight="1">
      <c r="A51" s="9" t="inlineStr">
        <is>
          <t>LME_034</t>
        </is>
      </c>
      <c r="B51" s="10" t="inlineStr">
        <is>
          <t>34_1_Bay_of_Bengal_(1978)</t>
        </is>
      </c>
      <c r="C51" s="10" t="inlineStr">
        <is>
          <t>Sardinella</t>
        </is>
      </c>
      <c r="D51" s="9" t="inlineStr">
        <is>
          <t>Sardinellas</t>
        </is>
      </c>
      <c r="E51" s="9" t="inlineStr">
        <is>
          <t>Small pelagics (&lt;30 cm)</t>
        </is>
      </c>
      <c r="F51" s="9" t="inlineStr">
        <is>
          <t>Herring-likes</t>
        </is>
      </c>
      <c r="G51" s="10" t="inlineStr">
        <is>
          <t>3 S pelagics</t>
        </is>
      </c>
      <c r="H51" s="11" t="n">
        <v>0.7024014536184523</v>
      </c>
      <c r="I51" s="9" t="inlineStr">
        <is>
          <t>model_biomass</t>
        </is>
      </c>
      <c r="J51" s="12" t="inlineStr">
        <is>
          <t>medium</t>
        </is>
      </c>
      <c r="K51" s="9" t="inlineStr">
        <is>
          <t>composite_split</t>
        </is>
      </c>
      <c r="L51" s="10" t="inlineStr">
        <is>
          <t>Appendix A1.1 lists this exact catch name under `S pelagics`; apportioned over the region 2 and region 3 pools by model biomass; region 1 is the Maldives shelf, outside LME 34.</t>
        </is>
      </c>
      <c r="M51" s="9" t="n">
        <v>3037468.245</v>
      </c>
    </row>
    <row r="52" ht="36" customHeight="1">
      <c r="A52" s="9" t="inlineStr">
        <is>
          <t>LME_034</t>
        </is>
      </c>
      <c r="B52" s="10" t="inlineStr">
        <is>
          <t>34_1_Bay_of_Bengal_(1978)</t>
        </is>
      </c>
      <c r="C52" s="10" t="inlineStr">
        <is>
          <t>Sardinella longiceps</t>
        </is>
      </c>
      <c r="D52" s="9" t="inlineStr">
        <is>
          <t>Indian oil sardine</t>
        </is>
      </c>
      <c r="E52" s="9" t="inlineStr">
        <is>
          <t>Small pelagics (&lt;30 cm)</t>
        </is>
      </c>
      <c r="F52" s="9" t="inlineStr">
        <is>
          <t>Herring-likes</t>
        </is>
      </c>
      <c r="G52" s="10" t="inlineStr">
        <is>
          <t>2 S pelagics</t>
        </is>
      </c>
      <c r="H52" s="11" t="n">
        <v>0.2975985463815478</v>
      </c>
      <c r="I52" s="9" t="inlineStr">
        <is>
          <t>model_biomass</t>
        </is>
      </c>
      <c r="J52" s="12" t="inlineStr">
        <is>
          <t>medium</t>
        </is>
      </c>
      <c r="K52" s="9" t="inlineStr">
        <is>
          <t>composite_split</t>
        </is>
      </c>
      <c r="L52" s="10" t="inlineStr">
        <is>
          <t>Appendix A1.1 lists this exact catch name under `S pelagics`; apportioned over the region 2 and region 3 pools by model biomass; region 1 is the Maldives shelf, outside LME 34.</t>
        </is>
      </c>
      <c r="M52" s="9" t="n">
        <v>2515038.179</v>
      </c>
    </row>
    <row r="53" ht="36" customHeight="1">
      <c r="A53" s="9" t="inlineStr">
        <is>
          <t>LME_034</t>
        </is>
      </c>
      <c r="B53" s="10" t="inlineStr">
        <is>
          <t>34_1_Bay_of_Bengal_(1978)</t>
        </is>
      </c>
      <c r="C53" s="10" t="inlineStr">
        <is>
          <t>Sardinella longiceps</t>
        </is>
      </c>
      <c r="D53" s="9" t="inlineStr">
        <is>
          <t>Indian oil sardine</t>
        </is>
      </c>
      <c r="E53" s="9" t="inlineStr">
        <is>
          <t>Small pelagics (&lt;30 cm)</t>
        </is>
      </c>
      <c r="F53" s="9" t="inlineStr">
        <is>
          <t>Herring-likes</t>
        </is>
      </c>
      <c r="G53" s="10" t="inlineStr">
        <is>
          <t>3 S pelagics</t>
        </is>
      </c>
      <c r="H53" s="11" t="n">
        <v>0.7024014536184523</v>
      </c>
      <c r="I53" s="9" t="inlineStr">
        <is>
          <t>model_biomass</t>
        </is>
      </c>
      <c r="J53" s="12" t="inlineStr">
        <is>
          <t>medium</t>
        </is>
      </c>
      <c r="K53" s="9" t="inlineStr">
        <is>
          <t>composite_split</t>
        </is>
      </c>
      <c r="L53" s="10" t="inlineStr">
        <is>
          <t>Appendix A1.1 lists this exact catch name under `S pelagics`; apportioned over the region 2 and region 3 pools by model biomass; region 1 is the Maldives shelf, outside LME 34.</t>
        </is>
      </c>
      <c r="M53" s="9" t="n">
        <v>2515038.179</v>
      </c>
    </row>
    <row r="54" ht="51" customHeight="1">
      <c r="A54" s="9" t="inlineStr">
        <is>
          <t>LME_034</t>
        </is>
      </c>
      <c r="B54" s="10" t="inlineStr">
        <is>
          <t>34_1_Bay_of_Bengal_(1978)</t>
        </is>
      </c>
      <c r="C54" s="10" t="inlineStr">
        <is>
          <t>Scombridae</t>
        </is>
      </c>
      <c r="D54" s="9" t="inlineStr">
        <is>
          <t>Mackerels, tunas, bonitos</t>
        </is>
      </c>
      <c r="E54" s="9" t="inlineStr">
        <is>
          <t>Medium pelagics (30 - 89 cm)</t>
        </is>
      </c>
      <c r="F54" s="9" t="inlineStr">
        <is>
          <t>Perch-likes</t>
        </is>
      </c>
      <c r="G54" s="10" t="inlineStr">
        <is>
          <t>Tuna-like</t>
        </is>
      </c>
      <c r="H54" s="11" t="n">
        <v>0.0436372450676447</v>
      </c>
      <c r="I54" s="9" t="inlineStr">
        <is>
          <t>catch_composition</t>
        </is>
      </c>
      <c r="J54" s="12" t="inlineStr">
        <is>
          <t>medium</t>
        </is>
      </c>
      <c r="K54" s="9" t="inlineStr">
        <is>
          <t>composite_split</t>
        </is>
      </c>
      <c r="L54" s="10" t="inlineStr">
        <is>
          <t>The text (p.10) states that catches labelled Scombrids were attributed to tuna-like, coastal scombrids and Indian mackerel; apportioned by the catch that taxa assigned to those three groups alone already carry in this LME.</t>
        </is>
      </c>
      <c r="M54" s="9" t="n">
        <v>2457177.022</v>
      </c>
    </row>
    <row r="55" ht="51" customHeight="1">
      <c r="A55" s="9" t="inlineStr">
        <is>
          <t>LME_034</t>
        </is>
      </c>
      <c r="B55" s="10" t="inlineStr">
        <is>
          <t>34_1_Bay_of_Bengal_(1978)</t>
        </is>
      </c>
      <c r="C55" s="10" t="inlineStr">
        <is>
          <t>Scombridae</t>
        </is>
      </c>
      <c r="D55" s="9" t="inlineStr">
        <is>
          <t>Mackerels, tunas, bonitos</t>
        </is>
      </c>
      <c r="E55" s="9" t="inlineStr">
        <is>
          <t>Medium pelagics (30 - 89 cm)</t>
        </is>
      </c>
      <c r="F55" s="9" t="inlineStr">
        <is>
          <t>Perch-likes</t>
        </is>
      </c>
      <c r="G55" s="10" t="inlineStr">
        <is>
          <t>Coastal scombrids</t>
        </is>
      </c>
      <c r="H55" s="11" t="n">
        <v>0.2674192625181963</v>
      </c>
      <c r="I55" s="9" t="inlineStr">
        <is>
          <t>catch_composition</t>
        </is>
      </c>
      <c r="J55" s="12" t="inlineStr">
        <is>
          <t>medium</t>
        </is>
      </c>
      <c r="K55" s="9" t="inlineStr">
        <is>
          <t>composite_split</t>
        </is>
      </c>
      <c r="L55" s="10" t="inlineStr">
        <is>
          <t>The text (p.10) states that catches labelled Scombrids were attributed to tuna-like, coastal scombrids and Indian mackerel; apportioned by the catch that taxa assigned to those three groups alone already carry in this LME.</t>
        </is>
      </c>
      <c r="M55" s="9" t="n">
        <v>2457177.022</v>
      </c>
    </row>
    <row r="56" ht="51" customHeight="1">
      <c r="A56" s="9" t="inlineStr">
        <is>
          <t>LME_034</t>
        </is>
      </c>
      <c r="B56" s="10" t="inlineStr">
        <is>
          <t>34_1_Bay_of_Bengal_(1978)</t>
        </is>
      </c>
      <c r="C56" s="10" t="inlineStr">
        <is>
          <t>Scombridae</t>
        </is>
      </c>
      <c r="D56" s="9" t="inlineStr">
        <is>
          <t>Mackerels, tunas, bonitos</t>
        </is>
      </c>
      <c r="E56" s="9" t="inlineStr">
        <is>
          <t>Medium pelagics (30 - 89 cm)</t>
        </is>
      </c>
      <c r="F56" s="9" t="inlineStr">
        <is>
          <t>Perch-likes</t>
        </is>
      </c>
      <c r="G56" s="10" t="inlineStr">
        <is>
          <t>2-3 Indian mackerel</t>
        </is>
      </c>
      <c r="H56" s="11" t="n">
        <v>0.6889434924141591</v>
      </c>
      <c r="I56" s="9" t="inlineStr">
        <is>
          <t>catch_composition</t>
        </is>
      </c>
      <c r="J56" s="12" t="inlineStr">
        <is>
          <t>medium</t>
        </is>
      </c>
      <c r="K56" s="9" t="inlineStr">
        <is>
          <t>composite_split</t>
        </is>
      </c>
      <c r="L56" s="10" t="inlineStr">
        <is>
          <t>The text (p.10) states that catches labelled Scombrids were attributed to tuna-like, coastal scombrids and Indian mackerel; apportioned by the catch that taxa assigned to those three groups alone already carry in this LME.</t>
        </is>
      </c>
      <c r="M56" s="9" t="n">
        <v>2457177.022</v>
      </c>
    </row>
    <row r="57" ht="36" customHeight="1">
      <c r="A57" s="9" t="inlineStr">
        <is>
          <t>LME_034</t>
        </is>
      </c>
      <c r="B57" s="10" t="inlineStr">
        <is>
          <t>34_1_Bay_of_Bengal_(1978)</t>
        </is>
      </c>
      <c r="C57" s="10" t="inlineStr">
        <is>
          <t>Anguilliformes</t>
        </is>
      </c>
      <c r="D57" s="9" t="inlineStr">
        <is>
          <t>Eels, morays</t>
        </is>
      </c>
      <c r="E57" s="9" t="inlineStr">
        <is>
          <t>Large demersals (&gt;=90 cm)</t>
        </is>
      </c>
      <c r="F57" s="9" t="inlineStr">
        <is>
          <t>Other fishes &amp; inverts</t>
        </is>
      </c>
      <c r="G57" s="10" t="inlineStr">
        <is>
          <t>2 L pisc</t>
        </is>
      </c>
      <c r="H57" s="11" t="n">
        <v>0.449530936694357</v>
      </c>
      <c r="I57" s="9" t="inlineStr">
        <is>
          <t>model_biomass</t>
        </is>
      </c>
      <c r="J57" s="12" t="inlineStr">
        <is>
          <t>medium</t>
        </is>
      </c>
      <c r="K57" s="9" t="inlineStr">
        <is>
          <t>composite_split</t>
        </is>
      </c>
      <c r="L57" s="10" t="inlineStr">
        <is>
          <t>Appendix A1.1 lists this exact catch name under `L pisc`; apportioned over the region 2 and region 3 pools by model biomass; region 1 is the Maldives shelf, outside LME 34.</t>
        </is>
      </c>
      <c r="M57" s="9" t="n">
        <v>2067419.18</v>
      </c>
    </row>
    <row r="58" ht="36" customHeight="1">
      <c r="A58" s="9" t="inlineStr">
        <is>
          <t>LME_034</t>
        </is>
      </c>
      <c r="B58" s="10" t="inlineStr">
        <is>
          <t>34_1_Bay_of_Bengal_(1978)</t>
        </is>
      </c>
      <c r="C58" s="10" t="inlineStr">
        <is>
          <t>Anguilliformes</t>
        </is>
      </c>
      <c r="D58" s="9" t="inlineStr">
        <is>
          <t>Eels, morays</t>
        </is>
      </c>
      <c r="E58" s="9" t="inlineStr">
        <is>
          <t>Large demersals (&gt;=90 cm)</t>
        </is>
      </c>
      <c r="F58" s="9" t="inlineStr">
        <is>
          <t>Other fishes &amp; inverts</t>
        </is>
      </c>
      <c r="G58" s="10" t="inlineStr">
        <is>
          <t>3 L pisc</t>
        </is>
      </c>
      <c r="H58" s="11" t="n">
        <v>0.5504690633056432</v>
      </c>
      <c r="I58" s="9" t="inlineStr">
        <is>
          <t>model_biomass</t>
        </is>
      </c>
      <c r="J58" s="12" t="inlineStr">
        <is>
          <t>medium</t>
        </is>
      </c>
      <c r="K58" s="9" t="inlineStr">
        <is>
          <t>composite_split</t>
        </is>
      </c>
      <c r="L58" s="10" t="inlineStr">
        <is>
          <t>Appendix A1.1 lists this exact catch name under `L pisc`; apportioned over the region 2 and region 3 pools by model biomass; region 1 is the Maldives shelf, outside LME 34.</t>
        </is>
      </c>
      <c r="M58" s="9" t="n">
        <v>2067419.18</v>
      </c>
    </row>
    <row r="59" ht="36" customHeight="1">
      <c r="A59" s="9" t="inlineStr">
        <is>
          <t>LME_034</t>
        </is>
      </c>
      <c r="B59" s="10" t="inlineStr">
        <is>
          <t>34_1_Bay_of_Bengal_(1978)</t>
        </is>
      </c>
      <c r="C59" s="10" t="inlineStr">
        <is>
          <t>Decapoda</t>
        </is>
      </c>
      <c r="D59" s="9" t="inlineStr">
        <is>
          <t>Crabs, lobsters, shrimps</t>
        </is>
      </c>
      <c r="E59" s="9" t="inlineStr">
        <is>
          <t>Lobsters, crabs</t>
        </is>
      </c>
      <c r="F59" s="9" t="inlineStr">
        <is>
          <t>Crustaceans</t>
        </is>
      </c>
      <c r="G59" s="10" t="inlineStr">
        <is>
          <t>2 Crustaceans</t>
        </is>
      </c>
      <c r="H59" s="11" t="n">
        <v>0.2129992169146437</v>
      </c>
      <c r="I59" s="9" t="inlineStr">
        <is>
          <t>model_biomass</t>
        </is>
      </c>
      <c r="J59" s="12" t="inlineStr">
        <is>
          <t>medium</t>
        </is>
      </c>
      <c r="K59" s="9" t="inlineStr">
        <is>
          <t>composite_split</t>
        </is>
      </c>
      <c r="L59" s="10" t="inlineStr">
        <is>
          <t>Appendix A1.1 lists this exact catch name under `crab, shrimp`; apportioned over the region 2 and region 3 pools by model biomass; region 1 is the Maldives shelf, outside LME 34.</t>
        </is>
      </c>
      <c r="M59" s="9" t="n">
        <v>2028963.557</v>
      </c>
    </row>
    <row r="60" ht="36" customHeight="1">
      <c r="A60" s="9" t="inlineStr">
        <is>
          <t>LME_034</t>
        </is>
      </c>
      <c r="B60" s="10" t="inlineStr">
        <is>
          <t>34_1_Bay_of_Bengal_(1978)</t>
        </is>
      </c>
      <c r="C60" s="10" t="inlineStr">
        <is>
          <t>Decapoda</t>
        </is>
      </c>
      <c r="D60" s="9" t="inlineStr">
        <is>
          <t>Crabs, lobsters, shrimps</t>
        </is>
      </c>
      <c r="E60" s="9" t="inlineStr">
        <is>
          <t>Lobsters, crabs</t>
        </is>
      </c>
      <c r="F60" s="9" t="inlineStr">
        <is>
          <t>Crustaceans</t>
        </is>
      </c>
      <c r="G60" s="10" t="inlineStr">
        <is>
          <t>3 Crustaceans</t>
        </is>
      </c>
      <c r="H60" s="11" t="n">
        <v>0.7870007830853563</v>
      </c>
      <c r="I60" s="9" t="inlineStr">
        <is>
          <t>model_biomass</t>
        </is>
      </c>
      <c r="J60" s="12" t="inlineStr">
        <is>
          <t>medium</t>
        </is>
      </c>
      <c r="K60" s="9" t="inlineStr">
        <is>
          <t>composite_split</t>
        </is>
      </c>
      <c r="L60" s="10" t="inlineStr">
        <is>
          <t>Appendix A1.1 lists this exact catch name under `crab, shrimp`; apportioned over the region 2 and region 3 pools by model biomass; region 1 is the Maldives shelf, outside LME 34.</t>
        </is>
      </c>
      <c r="M60" s="9" t="n">
        <v>2028963.557</v>
      </c>
    </row>
    <row r="61" ht="36" customHeight="1">
      <c r="A61" s="9" t="inlineStr">
        <is>
          <t>LME_034</t>
        </is>
      </c>
      <c r="B61" s="10" t="inlineStr">
        <is>
          <t>34_1_Bay_of_Bengal_(1978)</t>
        </is>
      </c>
      <c r="C61" s="10" t="inlineStr">
        <is>
          <t>Megalaspis cordyla</t>
        </is>
      </c>
      <c r="D61" s="9" t="inlineStr">
        <is>
          <t>Torpedo scad</t>
        </is>
      </c>
      <c r="E61" s="9" t="inlineStr">
        <is>
          <t>Medium pelagics (30 - 89 cm)</t>
        </is>
      </c>
      <c r="F61" s="9" t="inlineStr">
        <is>
          <t>Perch-likes</t>
        </is>
      </c>
      <c r="G61" s="10" t="inlineStr">
        <is>
          <t>2 Carangids</t>
        </is>
      </c>
      <c r="H61" s="11" t="n">
        <v>0.3043867502238138</v>
      </c>
      <c r="I61" s="9" t="inlineStr">
        <is>
          <t>model_biomass</t>
        </is>
      </c>
      <c r="J61" s="12" t="inlineStr">
        <is>
          <t>medium</t>
        </is>
      </c>
      <c r="K61" s="9" t="inlineStr">
        <is>
          <t>composite_split</t>
        </is>
      </c>
      <c r="L61" s="10" t="inlineStr">
        <is>
          <t>Appendix A1.1 lists this exact catch name under `Carangids`; apportioned over the region 2 and region 3 pools by model biomass; region 1 is the Maldives shelf, outside LME 34.</t>
        </is>
      </c>
      <c r="M61" s="9" t="n">
        <v>1971088.777</v>
      </c>
    </row>
    <row r="62" ht="36" customHeight="1">
      <c r="A62" s="9" t="inlineStr">
        <is>
          <t>LME_034</t>
        </is>
      </c>
      <c r="B62" s="10" t="inlineStr">
        <is>
          <t>34_1_Bay_of_Bengal_(1978)</t>
        </is>
      </c>
      <c r="C62" s="10" t="inlineStr">
        <is>
          <t>Megalaspis cordyla</t>
        </is>
      </c>
      <c r="D62" s="9" t="inlineStr">
        <is>
          <t>Torpedo scad</t>
        </is>
      </c>
      <c r="E62" s="9" t="inlineStr">
        <is>
          <t>Medium pelagics (30 - 89 cm)</t>
        </is>
      </c>
      <c r="F62" s="9" t="inlineStr">
        <is>
          <t>Perch-likes</t>
        </is>
      </c>
      <c r="G62" s="10" t="inlineStr">
        <is>
          <t>3 Carangids</t>
        </is>
      </c>
      <c r="H62" s="11" t="n">
        <v>0.6956132497761862</v>
      </c>
      <c r="I62" s="9" t="inlineStr">
        <is>
          <t>model_biomass</t>
        </is>
      </c>
      <c r="J62" s="12" t="inlineStr">
        <is>
          <t>medium</t>
        </is>
      </c>
      <c r="K62" s="9" t="inlineStr">
        <is>
          <t>composite_split</t>
        </is>
      </c>
      <c r="L62" s="10" t="inlineStr">
        <is>
          <t>Appendix A1.1 lists this exact catch name under `Carangids`; apportioned over the region 2 and region 3 pools by model biomass; region 1 is the Maldives shelf, outside LME 34.</t>
        </is>
      </c>
      <c r="M62" s="9" t="n">
        <v>1971088.777</v>
      </c>
    </row>
    <row r="63" ht="36" customHeight="1">
      <c r="A63" s="9" t="inlineStr">
        <is>
          <t>LME_034</t>
        </is>
      </c>
      <c r="B63" s="10" t="inlineStr">
        <is>
          <t>34_1_Bay_of_Bengal_(1978)</t>
        </is>
      </c>
      <c r="C63" s="10" t="inlineStr">
        <is>
          <t>Pampus argenteus</t>
        </is>
      </c>
      <c r="D63" s="9" t="inlineStr">
        <is>
          <t>Silver pomfret</t>
        </is>
      </c>
      <c r="E63" s="9" t="inlineStr">
        <is>
          <t>Medium benthopelagics (30 - 89 cm)</t>
        </is>
      </c>
      <c r="F63" s="9" t="inlineStr">
        <is>
          <t>Perch-likes</t>
        </is>
      </c>
      <c r="G63" s="10" t="inlineStr">
        <is>
          <t>2 SM inv</t>
        </is>
      </c>
      <c r="H63" s="11" t="n">
        <v>0.3170901271842734</v>
      </c>
      <c r="I63" s="9" t="inlineStr">
        <is>
          <t>model_biomass</t>
        </is>
      </c>
      <c r="J63" s="12" t="inlineStr">
        <is>
          <t>medium</t>
        </is>
      </c>
      <c r="K63" s="9" t="inlineStr">
        <is>
          <t>composite_split</t>
        </is>
      </c>
      <c r="L63" s="10" t="inlineStr">
        <is>
          <t>Appendix A1.1 lists this exact catch name under `SM inv`; apportioned over the region 2 and region 3 pools by model biomass; region 1 is the Maldives shelf, outside LME 34.</t>
        </is>
      </c>
      <c r="M63" s="9" t="n">
        <v>1934944.327</v>
      </c>
    </row>
    <row r="64" ht="36" customHeight="1">
      <c r="A64" s="9" t="inlineStr">
        <is>
          <t>LME_034</t>
        </is>
      </c>
      <c r="B64" s="10" t="inlineStr">
        <is>
          <t>34_1_Bay_of_Bengal_(1978)</t>
        </is>
      </c>
      <c r="C64" s="10" t="inlineStr">
        <is>
          <t>Pampus argenteus</t>
        </is>
      </c>
      <c r="D64" s="9" t="inlineStr">
        <is>
          <t>Silver pomfret</t>
        </is>
      </c>
      <c r="E64" s="9" t="inlineStr">
        <is>
          <t>Medium benthopelagics (30 - 89 cm)</t>
        </is>
      </c>
      <c r="F64" s="9" t="inlineStr">
        <is>
          <t>Perch-likes</t>
        </is>
      </c>
      <c r="G64" s="10" t="inlineStr">
        <is>
          <t>3 SM inv</t>
        </is>
      </c>
      <c r="H64" s="11" t="n">
        <v>0.6829098728157266</v>
      </c>
      <c r="I64" s="9" t="inlineStr">
        <is>
          <t>model_biomass</t>
        </is>
      </c>
      <c r="J64" s="12" t="inlineStr">
        <is>
          <t>medium</t>
        </is>
      </c>
      <c r="K64" s="9" t="inlineStr">
        <is>
          <t>composite_split</t>
        </is>
      </c>
      <c r="L64" s="10" t="inlineStr">
        <is>
          <t>Appendix A1.1 lists this exact catch name under `SM inv`; apportioned over the region 2 and region 3 pools by model biomass; region 1 is the Maldives shelf, outside LME 34.</t>
        </is>
      </c>
      <c r="M64" s="9" t="n">
        <v>1934944.327</v>
      </c>
    </row>
    <row r="65" ht="36" customHeight="1">
      <c r="A65" s="9" t="inlineStr">
        <is>
          <t>LME_034</t>
        </is>
      </c>
      <c r="B65" s="10" t="inlineStr">
        <is>
          <t>34_1_Bay_of_Bengal_(1978)</t>
        </is>
      </c>
      <c r="C65" s="10" t="inlineStr">
        <is>
          <t>Bivalvia</t>
        </is>
      </c>
      <c r="D65" s="9" t="inlineStr">
        <is>
          <t>Clams</t>
        </is>
      </c>
      <c r="E65" s="9" t="inlineStr">
        <is>
          <t>Other demersal invertebrates</t>
        </is>
      </c>
      <c r="F65" s="9" t="inlineStr">
        <is>
          <t>Molluscs</t>
        </is>
      </c>
      <c r="G65" s="10" t="inlineStr">
        <is>
          <t>2 Macrobenthos</t>
        </is>
      </c>
      <c r="H65" s="11" t="n">
        <v>0.363210995759614</v>
      </c>
      <c r="I65" s="9" t="inlineStr">
        <is>
          <t>model_biomass</t>
        </is>
      </c>
      <c r="J65" s="12" t="inlineStr">
        <is>
          <t>medium</t>
        </is>
      </c>
      <c r="K65" s="9" t="inlineStr">
        <is>
          <t>composite_split</t>
        </is>
      </c>
      <c r="L65" s="10" t="inlineStr">
        <is>
          <t>Appendix A1.1 lists this exact catch name under `macrobenthos`; apportioned over the region 2 and region 3 pools by model biomass; region 1 is the Maldives shelf, outside LME 34.</t>
        </is>
      </c>
      <c r="M65" s="9" t="n">
        <v>1834436.86</v>
      </c>
    </row>
    <row r="66" ht="36" customHeight="1">
      <c r="A66" s="9" t="inlineStr">
        <is>
          <t>LME_034</t>
        </is>
      </c>
      <c r="B66" s="10" t="inlineStr">
        <is>
          <t>34_1_Bay_of_Bengal_(1978)</t>
        </is>
      </c>
      <c r="C66" s="10" t="inlineStr">
        <is>
          <t>Bivalvia</t>
        </is>
      </c>
      <c r="D66" s="9" t="inlineStr">
        <is>
          <t>Clams</t>
        </is>
      </c>
      <c r="E66" s="9" t="inlineStr">
        <is>
          <t>Other demersal invertebrates</t>
        </is>
      </c>
      <c r="F66" s="9" t="inlineStr">
        <is>
          <t>Molluscs</t>
        </is>
      </c>
      <c r="G66" s="10" t="inlineStr">
        <is>
          <t>3 Macrobenthos</t>
        </is>
      </c>
      <c r="H66" s="11" t="n">
        <v>0.6367890042403861</v>
      </c>
      <c r="I66" s="9" t="inlineStr">
        <is>
          <t>model_biomass</t>
        </is>
      </c>
      <c r="J66" s="12" t="inlineStr">
        <is>
          <t>medium</t>
        </is>
      </c>
      <c r="K66" s="9" t="inlineStr">
        <is>
          <t>composite_split</t>
        </is>
      </c>
      <c r="L66" s="10" t="inlineStr">
        <is>
          <t>Appendix A1.1 lists this exact catch name under `macrobenthos`; apportioned over the region 2 and region 3 pools by model biomass; region 1 is the Maldives shelf, outside LME 34.</t>
        </is>
      </c>
      <c r="M66" s="9" t="n">
        <v>1834436.86</v>
      </c>
    </row>
    <row r="67" ht="36" customHeight="1">
      <c r="A67" s="9" t="inlineStr">
        <is>
          <t>LME_034</t>
        </is>
      </c>
      <c r="B67" s="10" t="inlineStr">
        <is>
          <t>34_1_Bay_of_Bengal_(1978)</t>
        </is>
      </c>
      <c r="C67" s="10" t="inlineStr">
        <is>
          <t>Cephalopoda</t>
        </is>
      </c>
      <c r="D67" s="9" t="inlineStr">
        <is>
          <t>Squids, cuttlefishes, octopuses</t>
        </is>
      </c>
      <c r="E67" s="9" t="inlineStr">
        <is>
          <t>Cephalopods</t>
        </is>
      </c>
      <c r="F67" s="9" t="inlineStr">
        <is>
          <t>Other fishes &amp; inverts</t>
        </is>
      </c>
      <c r="G67" s="10" t="inlineStr">
        <is>
          <t>Cephalopods</t>
        </is>
      </c>
      <c r="H67" s="11" t="n">
        <v>1</v>
      </c>
      <c r="I67" s="9" t="inlineStr">
        <is>
          <t>single</t>
        </is>
      </c>
      <c r="J67" s="13" t="inlineStr">
        <is>
          <t>high</t>
        </is>
      </c>
      <c r="K67" s="9" t="inlineStr">
        <is>
          <t>explicit_member</t>
        </is>
      </c>
      <c r="L67" s="10" t="inlineStr">
        <is>
          <t>Appendix A1.1 lists this exact catch name under `cephalopods`, a group modelled over the whole study area (Appendix A1.2).</t>
        </is>
      </c>
      <c r="M67" s="9" t="n">
        <v>1777527.135</v>
      </c>
    </row>
    <row r="68" ht="36" customHeight="1">
      <c r="A68" s="9" t="inlineStr">
        <is>
          <t>LME_034</t>
        </is>
      </c>
      <c r="B68" s="10" t="inlineStr">
        <is>
          <t>34_1_Bay_of_Bengal_(1978)</t>
        </is>
      </c>
      <c r="C68" s="10" t="inlineStr">
        <is>
          <t>Cephea</t>
        </is>
      </c>
      <c r="D68" s="9" t="inlineStr">
        <is>
          <t>Cepheid jellyfishes</t>
        </is>
      </c>
      <c r="E68" s="9" t="inlineStr">
        <is>
          <t>Jellyfish</t>
        </is>
      </c>
      <c r="F68" s="9" t="inlineStr">
        <is>
          <t>Other fishes &amp; inverts</t>
        </is>
      </c>
      <c r="G68" s="10" t="inlineStr">
        <is>
          <t>Jellyfish</t>
        </is>
      </c>
      <c r="H68" s="11" t="n">
        <v>1</v>
      </c>
      <c r="I68" s="9" t="inlineStr">
        <is>
          <t>single</t>
        </is>
      </c>
      <c r="J68" s="13" t="inlineStr">
        <is>
          <t>high</t>
        </is>
      </c>
      <c r="K68" s="9" t="inlineStr">
        <is>
          <t>explicit_member</t>
        </is>
      </c>
      <c r="L68" s="10" t="inlineStr">
        <is>
          <t>Appendix A1.1 lists this exact catch name under `jellyfish`, a group modelled over the whole study area (Appendix A1.2).</t>
        </is>
      </c>
      <c r="M68" s="9" t="n">
        <v>1735545.282</v>
      </c>
    </row>
    <row r="69" ht="36" customHeight="1">
      <c r="A69" s="9" t="inlineStr">
        <is>
          <t>LME_034</t>
        </is>
      </c>
      <c r="B69" s="10" t="inlineStr">
        <is>
          <t>34_1_Bay_of_Bengal_(1978)</t>
        </is>
      </c>
      <c r="C69" s="10" t="inlineStr">
        <is>
          <t>Miscellaneous marine crustaceans</t>
        </is>
      </c>
      <c r="D69" s="9" t="inlineStr">
        <is>
          <t>Marine crabs, shrimps, lobsters nei</t>
        </is>
      </c>
      <c r="E69" s="9" t="inlineStr">
        <is>
          <t>Shrimps</t>
        </is>
      </c>
      <c r="F69" s="9" t="inlineStr">
        <is>
          <t>Crustaceans</t>
        </is>
      </c>
      <c r="G69" s="10" t="inlineStr">
        <is>
          <t>2 Crustaceans</t>
        </is>
      </c>
      <c r="H69" s="11" t="n">
        <v>0.2129992169146437</v>
      </c>
      <c r="I69" s="9" t="inlineStr">
        <is>
          <t>model_biomass</t>
        </is>
      </c>
      <c r="J69" s="12" t="inlineStr">
        <is>
          <t>medium</t>
        </is>
      </c>
      <c r="K69" s="9" t="inlineStr">
        <is>
          <t>composite_split</t>
        </is>
      </c>
      <c r="L69" s="10" t="inlineStr">
        <is>
          <t>Appendix A1.1 lists this exact catch name under `crab, shrimp`; apportioned over the region 2 and region 3 pools by model biomass; region 1 is the Maldives shelf, outside LME 34.</t>
        </is>
      </c>
      <c r="M69" s="9" t="n">
        <v>1685351.739</v>
      </c>
    </row>
    <row r="70" ht="36" customHeight="1">
      <c r="A70" s="9" t="inlineStr">
        <is>
          <t>LME_034</t>
        </is>
      </c>
      <c r="B70" s="10" t="inlineStr">
        <is>
          <t>34_1_Bay_of_Bengal_(1978)</t>
        </is>
      </c>
      <c r="C70" s="10" t="inlineStr">
        <is>
          <t>Miscellaneous marine crustaceans</t>
        </is>
      </c>
      <c r="D70" s="9" t="inlineStr">
        <is>
          <t>Marine crabs, shrimps, lobsters nei</t>
        </is>
      </c>
      <c r="E70" s="9" t="inlineStr">
        <is>
          <t>Shrimps</t>
        </is>
      </c>
      <c r="F70" s="9" t="inlineStr">
        <is>
          <t>Crustaceans</t>
        </is>
      </c>
      <c r="G70" s="10" t="inlineStr">
        <is>
          <t>3 Crustaceans</t>
        </is>
      </c>
      <c r="H70" s="11" t="n">
        <v>0.7870007830853563</v>
      </c>
      <c r="I70" s="9" t="inlineStr">
        <is>
          <t>model_biomass</t>
        </is>
      </c>
      <c r="J70" s="12" t="inlineStr">
        <is>
          <t>medium</t>
        </is>
      </c>
      <c r="K70" s="9" t="inlineStr">
        <is>
          <t>composite_split</t>
        </is>
      </c>
      <c r="L70" s="10" t="inlineStr">
        <is>
          <t>Appendix A1.1 lists this exact catch name under `crab, shrimp`; apportioned over the region 2 and region 3 pools by model biomass; region 1 is the Maldives shelf, outside LME 34.</t>
        </is>
      </c>
      <c r="M70" s="9" t="n">
        <v>1685351.739</v>
      </c>
    </row>
    <row r="71" ht="51" customHeight="1">
      <c r="A71" s="9" t="inlineStr">
        <is>
          <t>LME_034</t>
        </is>
      </c>
      <c r="B71" s="10" t="inlineStr">
        <is>
          <t>34_1_Bay_of_Bengal_(1978)</t>
        </is>
      </c>
      <c r="C71" s="10" t="inlineStr">
        <is>
          <t>Scomberomorus</t>
        </is>
      </c>
      <c r="D71" s="9" t="inlineStr">
        <is>
          <t>Spanish mackerels</t>
        </is>
      </c>
      <c r="E71" s="9" t="inlineStr">
        <is>
          <t>Large pelagics (&gt;=90 cm)</t>
        </is>
      </c>
      <c r="F71" s="9" t="inlineStr">
        <is>
          <t>Perch-likes</t>
        </is>
      </c>
      <c r="G71" s="10" t="inlineStr">
        <is>
          <t>Coastal scombrids</t>
        </is>
      </c>
      <c r="H71" s="11" t="n">
        <v>1</v>
      </c>
      <c r="I71" s="9" t="inlineStr">
        <is>
          <t>single</t>
        </is>
      </c>
      <c r="J71" s="13" t="inlineStr">
        <is>
          <t>high</t>
        </is>
      </c>
      <c r="K71" s="9" t="inlineStr">
        <is>
          <t>taxonomic_containment</t>
        </is>
      </c>
      <c r="L71" s="10" t="inlineStr">
        <is>
          <t>Appendix A1.1 puts the tribe Scomberomorini under coastal scombrid and A1.3 lists S. commerson, S. guttatus and S. lineolatus there, so the genus record is contained by the group.</t>
        </is>
      </c>
      <c r="M71" s="9" t="n">
        <v>1623823.677</v>
      </c>
    </row>
    <row r="72" ht="36" customHeight="1">
      <c r="A72" s="9" t="inlineStr">
        <is>
          <t>LME_034</t>
        </is>
      </c>
      <c r="B72" s="10" t="inlineStr">
        <is>
          <t>34_1_Bay_of_Bengal_(1978)</t>
        </is>
      </c>
      <c r="C72" s="10" t="inlineStr">
        <is>
          <t>Platycephalidae</t>
        </is>
      </c>
      <c r="D72" s="9" t="inlineStr">
        <is>
          <t>Flatheads</t>
        </is>
      </c>
      <c r="E72" s="9" t="inlineStr">
        <is>
          <t>Medium demersals (30 - 89 cm)</t>
        </is>
      </c>
      <c r="F72" s="9" t="inlineStr">
        <is>
          <t>Scorpionfishes</t>
        </is>
      </c>
      <c r="G72" s="10" t="inlineStr">
        <is>
          <t>2 L pisc</t>
        </is>
      </c>
      <c r="H72" s="11" t="n">
        <v>0.449530936694357</v>
      </c>
      <c r="I72" s="9" t="inlineStr">
        <is>
          <t>model_biomass</t>
        </is>
      </c>
      <c r="J72" s="12" t="inlineStr">
        <is>
          <t>medium</t>
        </is>
      </c>
      <c r="K72" s="9" t="inlineStr">
        <is>
          <t>composite_split</t>
        </is>
      </c>
      <c r="L72" s="10" t="inlineStr">
        <is>
          <t>Appendix A1.1 lists this exact catch name under `L pisc`; apportioned over the region 2 and region 3 pools by model biomass; region 1 is the Maldives shelf, outside LME 34.</t>
        </is>
      </c>
      <c r="M72" s="9" t="n">
        <v>1494166.727</v>
      </c>
    </row>
    <row r="73" ht="36" customHeight="1">
      <c r="A73" s="9" t="inlineStr">
        <is>
          <t>LME_034</t>
        </is>
      </c>
      <c r="B73" s="10" t="inlineStr">
        <is>
          <t>34_1_Bay_of_Bengal_(1978)</t>
        </is>
      </c>
      <c r="C73" s="10" t="inlineStr">
        <is>
          <t>Platycephalidae</t>
        </is>
      </c>
      <c r="D73" s="9" t="inlineStr">
        <is>
          <t>Flatheads</t>
        </is>
      </c>
      <c r="E73" s="9" t="inlineStr">
        <is>
          <t>Medium demersals (30 - 89 cm)</t>
        </is>
      </c>
      <c r="F73" s="9" t="inlineStr">
        <is>
          <t>Scorpionfishes</t>
        </is>
      </c>
      <c r="G73" s="10" t="inlineStr">
        <is>
          <t>3 L pisc</t>
        </is>
      </c>
      <c r="H73" s="11" t="n">
        <v>0.5504690633056432</v>
      </c>
      <c r="I73" s="9" t="inlineStr">
        <is>
          <t>model_biomass</t>
        </is>
      </c>
      <c r="J73" s="12" t="inlineStr">
        <is>
          <t>medium</t>
        </is>
      </c>
      <c r="K73" s="9" t="inlineStr">
        <is>
          <t>composite_split</t>
        </is>
      </c>
      <c r="L73" s="10" t="inlineStr">
        <is>
          <t>Appendix A1.1 lists this exact catch name under `L pisc`; apportioned over the region 2 and region 3 pools by model biomass; region 1 is the Maldives shelf, outside LME 34.</t>
        </is>
      </c>
      <c r="M73" s="9" t="n">
        <v>1494166.727</v>
      </c>
    </row>
    <row r="74" ht="36" customHeight="1">
      <c r="A74" s="9" t="inlineStr">
        <is>
          <t>LME_034</t>
        </is>
      </c>
      <c r="B74" s="10" t="inlineStr">
        <is>
          <t>34_1_Bay_of_Bengal_(1978)</t>
        </is>
      </c>
      <c r="C74" s="10" t="inlineStr">
        <is>
          <t>Selaroides leptolepis</t>
        </is>
      </c>
      <c r="D74" s="9" t="inlineStr">
        <is>
          <t>Yellowstripe scad</t>
        </is>
      </c>
      <c r="E74" s="9" t="inlineStr">
        <is>
          <t>Small pelagics (&lt;30 cm)</t>
        </is>
      </c>
      <c r="F74" s="9" t="inlineStr">
        <is>
          <t>Perch-likes</t>
        </is>
      </c>
      <c r="G74" s="10" t="inlineStr">
        <is>
          <t>2 SM inv</t>
        </is>
      </c>
      <c r="H74" s="11" t="n">
        <v>0.3170901271842734</v>
      </c>
      <c r="I74" s="9" t="inlineStr">
        <is>
          <t>model_biomass</t>
        </is>
      </c>
      <c r="J74" s="12" t="inlineStr">
        <is>
          <t>medium</t>
        </is>
      </c>
      <c r="K74" s="9" t="inlineStr">
        <is>
          <t>composite_split</t>
        </is>
      </c>
      <c r="L74" s="10" t="inlineStr">
        <is>
          <t>Appendix A1.1 lists this exact catch name under `SM inv`; apportioned over the region 2 and region 3 pools by model biomass; region 1 is the Maldives shelf, outside LME 34.</t>
        </is>
      </c>
      <c r="M74" s="9" t="n">
        <v>1411036.217</v>
      </c>
    </row>
    <row r="75" ht="36" customHeight="1">
      <c r="A75" s="9" t="inlineStr">
        <is>
          <t>LME_034</t>
        </is>
      </c>
      <c r="B75" s="10" t="inlineStr">
        <is>
          <t>34_1_Bay_of_Bengal_(1978)</t>
        </is>
      </c>
      <c r="C75" s="10" t="inlineStr">
        <is>
          <t>Selaroides leptolepis</t>
        </is>
      </c>
      <c r="D75" s="9" t="inlineStr">
        <is>
          <t>Yellowstripe scad</t>
        </is>
      </c>
      <c r="E75" s="9" t="inlineStr">
        <is>
          <t>Small pelagics (&lt;30 cm)</t>
        </is>
      </c>
      <c r="F75" s="9" t="inlineStr">
        <is>
          <t>Perch-likes</t>
        </is>
      </c>
      <c r="G75" s="10" t="inlineStr">
        <is>
          <t>3 SM inv</t>
        </is>
      </c>
      <c r="H75" s="11" t="n">
        <v>0.6829098728157266</v>
      </c>
      <c r="I75" s="9" t="inlineStr">
        <is>
          <t>model_biomass</t>
        </is>
      </c>
      <c r="J75" s="12" t="inlineStr">
        <is>
          <t>medium</t>
        </is>
      </c>
      <c r="K75" s="9" t="inlineStr">
        <is>
          <t>composite_split</t>
        </is>
      </c>
      <c r="L75" s="10" t="inlineStr">
        <is>
          <t>Appendix A1.1 lists this exact catch name under `SM inv`; apportioned over the region 2 and region 3 pools by model biomass; region 1 is the Maldives shelf, outside LME 34.</t>
        </is>
      </c>
      <c r="M75" s="9" t="n">
        <v>1411036.217</v>
      </c>
    </row>
    <row r="76" ht="36" customHeight="1">
      <c r="A76" s="9" t="inlineStr">
        <is>
          <t>LME_034</t>
        </is>
      </c>
      <c r="B76" s="10" t="inlineStr">
        <is>
          <t>34_1_Bay_of_Bengal_(1978)</t>
        </is>
      </c>
      <c r="C76" s="10" t="inlineStr">
        <is>
          <t>Parastromateus niger</t>
        </is>
      </c>
      <c r="D76" s="9" t="inlineStr">
        <is>
          <t>Black pomfret</t>
        </is>
      </c>
      <c r="E76" s="9" t="inlineStr">
        <is>
          <t>Medium benthopelagics (30 - 89 cm)</t>
        </is>
      </c>
      <c r="F76" s="9" t="inlineStr">
        <is>
          <t>Perch-likes</t>
        </is>
      </c>
      <c r="G76" s="10" t="inlineStr">
        <is>
          <t>2 Carangids</t>
        </is>
      </c>
      <c r="H76" s="11" t="n">
        <v>0.3043867502238138</v>
      </c>
      <c r="I76" s="9" t="inlineStr">
        <is>
          <t>model_biomass</t>
        </is>
      </c>
      <c r="J76" s="12" t="inlineStr">
        <is>
          <t>medium</t>
        </is>
      </c>
      <c r="K76" s="9" t="inlineStr">
        <is>
          <t>composite_split</t>
        </is>
      </c>
      <c r="L76" s="10" t="inlineStr">
        <is>
          <t>Appendix A1.1 lists this exact catch name under `Carangids`; apportioned over the region 2 and region 3 pools by model biomass; region 1 is the Maldives shelf, outside LME 34.</t>
        </is>
      </c>
      <c r="M76" s="9" t="n">
        <v>1374356.049</v>
      </c>
    </row>
    <row r="77" ht="36" customHeight="1">
      <c r="A77" s="9" t="inlineStr">
        <is>
          <t>LME_034</t>
        </is>
      </c>
      <c r="B77" s="10" t="inlineStr">
        <is>
          <t>34_1_Bay_of_Bengal_(1978)</t>
        </is>
      </c>
      <c r="C77" s="10" t="inlineStr">
        <is>
          <t>Parastromateus niger</t>
        </is>
      </c>
      <c r="D77" s="9" t="inlineStr">
        <is>
          <t>Black pomfret</t>
        </is>
      </c>
      <c r="E77" s="9" t="inlineStr">
        <is>
          <t>Medium benthopelagics (30 - 89 cm)</t>
        </is>
      </c>
      <c r="F77" s="9" t="inlineStr">
        <is>
          <t>Perch-likes</t>
        </is>
      </c>
      <c r="G77" s="10" t="inlineStr">
        <is>
          <t>3 Carangids</t>
        </is>
      </c>
      <c r="H77" s="11" t="n">
        <v>0.6956132497761862</v>
      </c>
      <c r="I77" s="9" t="inlineStr">
        <is>
          <t>model_biomass</t>
        </is>
      </c>
      <c r="J77" s="12" t="inlineStr">
        <is>
          <t>medium</t>
        </is>
      </c>
      <c r="K77" s="9" t="inlineStr">
        <is>
          <t>composite_split</t>
        </is>
      </c>
      <c r="L77" s="10" t="inlineStr">
        <is>
          <t>Appendix A1.1 lists this exact catch name under `Carangids`; apportioned over the region 2 and region 3 pools by model biomass; region 1 is the Maldives shelf, outside LME 34.</t>
        </is>
      </c>
      <c r="M77" s="9" t="n">
        <v>1374356.049</v>
      </c>
    </row>
    <row r="78" ht="36" customHeight="1">
      <c r="A78" s="9" t="inlineStr">
        <is>
          <t>LME_034</t>
        </is>
      </c>
      <c r="B78" s="10" t="inlineStr">
        <is>
          <t>34_1_Bay_of_Bengal_(1978)</t>
        </is>
      </c>
      <c r="C78" s="10" t="inlineStr">
        <is>
          <t>Nemipterus</t>
        </is>
      </c>
      <c r="D78" s="9" t="inlineStr">
        <is>
          <t>Threadfin breams</t>
        </is>
      </c>
      <c r="E78" s="9" t="inlineStr">
        <is>
          <t>Small demersals (&lt;30 cm)</t>
        </is>
      </c>
      <c r="F78" s="9" t="inlineStr">
        <is>
          <t>Perch-likes</t>
        </is>
      </c>
      <c r="G78" s="10" t="inlineStr">
        <is>
          <t>2 SM pisc</t>
        </is>
      </c>
      <c r="H78" s="11" t="n">
        <v>0.3055989990616202</v>
      </c>
      <c r="I78" s="9" t="inlineStr">
        <is>
          <t>model_biomass</t>
        </is>
      </c>
      <c r="J78" s="12" t="inlineStr">
        <is>
          <t>medium</t>
        </is>
      </c>
      <c r="K78" s="9" t="inlineStr">
        <is>
          <t>composite_split</t>
        </is>
      </c>
      <c r="L78" s="10" t="inlineStr">
        <is>
          <t>Appendix A1.1 lists this exact catch name under `SM pisc`; apportioned over the region 2 and region 3 pools by model biomass; region 1 is the Maldives shelf, outside LME 34.</t>
        </is>
      </c>
      <c r="M78" s="9" t="n">
        <v>1366535.89</v>
      </c>
    </row>
    <row r="79" ht="36" customHeight="1">
      <c r="A79" s="9" t="inlineStr">
        <is>
          <t>LME_034</t>
        </is>
      </c>
      <c r="B79" s="10" t="inlineStr">
        <is>
          <t>34_1_Bay_of_Bengal_(1978)</t>
        </is>
      </c>
      <c r="C79" s="10" t="inlineStr">
        <is>
          <t>Nemipterus</t>
        </is>
      </c>
      <c r="D79" s="9" t="inlineStr">
        <is>
          <t>Threadfin breams</t>
        </is>
      </c>
      <c r="E79" s="9" t="inlineStr">
        <is>
          <t>Small demersals (&lt;30 cm)</t>
        </is>
      </c>
      <c r="F79" s="9" t="inlineStr">
        <is>
          <t>Perch-likes</t>
        </is>
      </c>
      <c r="G79" s="10" t="inlineStr">
        <is>
          <t>3 SM pisc</t>
        </is>
      </c>
      <c r="H79" s="11" t="n">
        <v>0.6944010009383798</v>
      </c>
      <c r="I79" s="9" t="inlineStr">
        <is>
          <t>model_biomass</t>
        </is>
      </c>
      <c r="J79" s="12" t="inlineStr">
        <is>
          <t>medium</t>
        </is>
      </c>
      <c r="K79" s="9" t="inlineStr">
        <is>
          <t>composite_split</t>
        </is>
      </c>
      <c r="L79" s="10" t="inlineStr">
        <is>
          <t>Appendix A1.1 lists this exact catch name under `SM pisc`; apportioned over the region 2 and region 3 pools by model biomass; region 1 is the Maldives shelf, outside LME 34.</t>
        </is>
      </c>
      <c r="M79" s="9" t="n">
        <v>1366535.89</v>
      </c>
    </row>
    <row r="80" ht="36" customHeight="1">
      <c r="A80" s="9" t="inlineStr">
        <is>
          <t>LME_034</t>
        </is>
      </c>
      <c r="B80" s="10" t="inlineStr">
        <is>
          <t>34_1_Bay_of_Bengal_(1978)</t>
        </is>
      </c>
      <c r="C80" s="10" t="inlineStr">
        <is>
          <t>Chirocentrus</t>
        </is>
      </c>
      <c r="D80" s="9" t="inlineStr">
        <is>
          <t>Wolf herrings</t>
        </is>
      </c>
      <c r="E80" s="9" t="inlineStr">
        <is>
          <t>Large pelagics (&gt;=90 cm)</t>
        </is>
      </c>
      <c r="F80" s="9" t="inlineStr">
        <is>
          <t>Herring-likes</t>
        </is>
      </c>
      <c r="G80" s="10" t="inlineStr">
        <is>
          <t>2 L pisc</t>
        </is>
      </c>
      <c r="H80" s="11" t="n">
        <v>0.449530936694357</v>
      </c>
      <c r="I80" s="9" t="inlineStr">
        <is>
          <t>model_biomass</t>
        </is>
      </c>
      <c r="J80" s="12" t="inlineStr">
        <is>
          <t>medium</t>
        </is>
      </c>
      <c r="K80" s="9" t="inlineStr">
        <is>
          <t>composite_split</t>
        </is>
      </c>
      <c r="L80" s="10" t="inlineStr">
        <is>
          <t>Appendix A1.1 lists this exact catch name under `L pisc`; apportioned over the region 2 and region 3 pools by model biomass; region 1 is the Maldives shelf, outside LME 34.</t>
        </is>
      </c>
      <c r="M80" s="9" t="n">
        <v>1352517.744</v>
      </c>
    </row>
    <row r="81" ht="36" customHeight="1">
      <c r="A81" s="9" t="inlineStr">
        <is>
          <t>LME_034</t>
        </is>
      </c>
      <c r="B81" s="10" t="inlineStr">
        <is>
          <t>34_1_Bay_of_Bengal_(1978)</t>
        </is>
      </c>
      <c r="C81" s="10" t="inlineStr">
        <is>
          <t>Chirocentrus</t>
        </is>
      </c>
      <c r="D81" s="9" t="inlineStr">
        <is>
          <t>Wolf herrings</t>
        </is>
      </c>
      <c r="E81" s="9" t="inlineStr">
        <is>
          <t>Large pelagics (&gt;=90 cm)</t>
        </is>
      </c>
      <c r="F81" s="9" t="inlineStr">
        <is>
          <t>Herring-likes</t>
        </is>
      </c>
      <c r="G81" s="10" t="inlineStr">
        <is>
          <t>3 L pisc</t>
        </is>
      </c>
      <c r="H81" s="11" t="n">
        <v>0.5504690633056432</v>
      </c>
      <c r="I81" s="9" t="inlineStr">
        <is>
          <t>model_biomass</t>
        </is>
      </c>
      <c r="J81" s="12" t="inlineStr">
        <is>
          <t>medium</t>
        </is>
      </c>
      <c r="K81" s="9" t="inlineStr">
        <is>
          <t>composite_split</t>
        </is>
      </c>
      <c r="L81" s="10" t="inlineStr">
        <is>
          <t>Appendix A1.1 lists this exact catch name under `L pisc`; apportioned over the region 2 and region 3 pools by model biomass; region 1 is the Maldives shelf, outside LME 34.</t>
        </is>
      </c>
      <c r="M81" s="9" t="n">
        <v>1352517.744</v>
      </c>
    </row>
    <row r="82" ht="36" customHeight="1">
      <c r="A82" s="9" t="inlineStr">
        <is>
          <t>LME_034</t>
        </is>
      </c>
      <c r="B82" s="10" t="inlineStr">
        <is>
          <t>34_1_Bay_of_Bengal_(1978)</t>
        </is>
      </c>
      <c r="C82" s="10" t="inlineStr">
        <is>
          <t>Siluriformes</t>
        </is>
      </c>
      <c r="D82" s="9" t="inlineStr">
        <is>
          <t>Catfishes</t>
        </is>
      </c>
      <c r="E82" s="9" t="inlineStr">
        <is>
          <t>Medium demersals (30 - 89 cm)</t>
        </is>
      </c>
      <c r="F82" s="9" t="inlineStr">
        <is>
          <t>Other fishes &amp; inverts</t>
        </is>
      </c>
      <c r="G82" s="10" t="inlineStr">
        <is>
          <t>2 Milkfish plus</t>
        </is>
      </c>
      <c r="H82" s="11" t="n">
        <v>0.05374665855218051</v>
      </c>
      <c r="I82" s="9" t="inlineStr">
        <is>
          <t>model_biomass</t>
        </is>
      </c>
      <c r="J82" s="12" t="inlineStr">
        <is>
          <t>medium</t>
        </is>
      </c>
      <c r="K82" s="9" t="inlineStr">
        <is>
          <t>composite_split</t>
        </is>
      </c>
      <c r="L82" s="10" t="inlineStr">
        <is>
          <t>Appendix A1.1 lists this exact catch name under `Milkfish, Minv Mpisc`; apportioned over the region 2 and region 3 pools by model biomass; region 1 is the Maldives shelf, outside LME 34.</t>
        </is>
      </c>
      <c r="M82" s="9" t="n">
        <v>1315369.492</v>
      </c>
    </row>
    <row r="83" ht="36" customHeight="1">
      <c r="A83" s="9" t="inlineStr">
        <is>
          <t>LME_034</t>
        </is>
      </c>
      <c r="B83" s="10" t="inlineStr">
        <is>
          <t>34_1_Bay_of_Bengal_(1978)</t>
        </is>
      </c>
      <c r="C83" s="10" t="inlineStr">
        <is>
          <t>Siluriformes</t>
        </is>
      </c>
      <c r="D83" s="9" t="inlineStr">
        <is>
          <t>Catfishes</t>
        </is>
      </c>
      <c r="E83" s="9" t="inlineStr">
        <is>
          <t>Medium demersals (30 - 89 cm)</t>
        </is>
      </c>
      <c r="F83" s="9" t="inlineStr">
        <is>
          <t>Other fishes &amp; inverts</t>
        </is>
      </c>
      <c r="G83" s="10" t="inlineStr">
        <is>
          <t>3 Milkfish plus</t>
        </is>
      </c>
      <c r="H83" s="11" t="n">
        <v>0.06857922023896648</v>
      </c>
      <c r="I83" s="9" t="inlineStr">
        <is>
          <t>model_biomass</t>
        </is>
      </c>
      <c r="J83" s="12" t="inlineStr">
        <is>
          <t>medium</t>
        </is>
      </c>
      <c r="K83" s="9" t="inlineStr">
        <is>
          <t>composite_split</t>
        </is>
      </c>
      <c r="L83" s="10" t="inlineStr">
        <is>
          <t>Appendix A1.1 lists this exact catch name under `Milkfish, Minv Mpisc`; apportioned over the region 2 and region 3 pools by model biomass; region 1 is the Maldives shelf, outside LME 34.</t>
        </is>
      </c>
      <c r="M83" s="9" t="n">
        <v>1315369.492</v>
      </c>
    </row>
    <row r="84" ht="36" customHeight="1">
      <c r="A84" s="9" t="inlineStr">
        <is>
          <t>LME_034</t>
        </is>
      </c>
      <c r="B84" s="10" t="inlineStr">
        <is>
          <t>34_1_Bay_of_Bengal_(1978)</t>
        </is>
      </c>
      <c r="C84" s="10" t="inlineStr">
        <is>
          <t>Siluriformes</t>
        </is>
      </c>
      <c r="D84" s="9" t="inlineStr">
        <is>
          <t>Catfishes</t>
        </is>
      </c>
      <c r="E84" s="9" t="inlineStr">
        <is>
          <t>Medium demersals (30 - 89 cm)</t>
        </is>
      </c>
      <c r="F84" s="9" t="inlineStr">
        <is>
          <t>Other fishes &amp; inverts</t>
        </is>
      </c>
      <c r="G84" s="10" t="inlineStr">
        <is>
          <t>2 SM inv</t>
        </is>
      </c>
      <c r="H84" s="11" t="n">
        <v>0.1588171852490968</v>
      </c>
      <c r="I84" s="9" t="inlineStr">
        <is>
          <t>model_biomass</t>
        </is>
      </c>
      <c r="J84" s="12" t="inlineStr">
        <is>
          <t>medium</t>
        </is>
      </c>
      <c r="K84" s="9" t="inlineStr">
        <is>
          <t>composite_split</t>
        </is>
      </c>
      <c r="L84" s="10" t="inlineStr">
        <is>
          <t>Appendix A1.1 lists this exact catch name under `Milkfish, Minv Mpisc`; apportioned over the region 2 and region 3 pools by model biomass; region 1 is the Maldives shelf, outside LME 34.</t>
        </is>
      </c>
      <c r="M84" s="9" t="n">
        <v>1315369.492</v>
      </c>
    </row>
    <row r="85" ht="36" customHeight="1">
      <c r="A85" s="9" t="inlineStr">
        <is>
          <t>LME_034</t>
        </is>
      </c>
      <c r="B85" s="10" t="inlineStr">
        <is>
          <t>34_1_Bay_of_Bengal_(1978)</t>
        </is>
      </c>
      <c r="C85" s="10" t="inlineStr">
        <is>
          <t>Siluriformes</t>
        </is>
      </c>
      <c r="D85" s="9" t="inlineStr">
        <is>
          <t>Catfishes</t>
        </is>
      </c>
      <c r="E85" s="9" t="inlineStr">
        <is>
          <t>Medium demersals (30 - 89 cm)</t>
        </is>
      </c>
      <c r="F85" s="9" t="inlineStr">
        <is>
          <t>Other fishes &amp; inverts</t>
        </is>
      </c>
      <c r="G85" s="10" t="inlineStr">
        <is>
          <t>3 SM inv</t>
        </is>
      </c>
      <c r="H85" s="11" t="n">
        <v>0.3420409986980872</v>
      </c>
      <c r="I85" s="9" t="inlineStr">
        <is>
          <t>model_biomass</t>
        </is>
      </c>
      <c r="J85" s="12" t="inlineStr">
        <is>
          <t>medium</t>
        </is>
      </c>
      <c r="K85" s="9" t="inlineStr">
        <is>
          <t>composite_split</t>
        </is>
      </c>
      <c r="L85" s="10" t="inlineStr">
        <is>
          <t>Appendix A1.1 lists this exact catch name under `Milkfish, Minv Mpisc`; apportioned over the region 2 and region 3 pools by model biomass; region 1 is the Maldives shelf, outside LME 34.</t>
        </is>
      </c>
      <c r="M85" s="9" t="n">
        <v>1315369.492</v>
      </c>
    </row>
    <row r="86" ht="36" customHeight="1">
      <c r="A86" s="9" t="inlineStr">
        <is>
          <t>LME_034</t>
        </is>
      </c>
      <c r="B86" s="10" t="inlineStr">
        <is>
          <t>34_1_Bay_of_Bengal_(1978)</t>
        </is>
      </c>
      <c r="C86" s="10" t="inlineStr">
        <is>
          <t>Siluriformes</t>
        </is>
      </c>
      <c r="D86" s="9" t="inlineStr">
        <is>
          <t>Catfishes</t>
        </is>
      </c>
      <c r="E86" s="9" t="inlineStr">
        <is>
          <t>Medium demersals (30 - 89 cm)</t>
        </is>
      </c>
      <c r="F86" s="9" t="inlineStr">
        <is>
          <t>Other fishes &amp; inverts</t>
        </is>
      </c>
      <c r="G86" s="10" t="inlineStr">
        <is>
          <t>2 SM pisc</t>
        </is>
      </c>
      <c r="H86" s="11" t="n">
        <v>0.1151545732576324</v>
      </c>
      <c r="I86" s="9" t="inlineStr">
        <is>
          <t>model_biomass</t>
        </is>
      </c>
      <c r="J86" s="12" t="inlineStr">
        <is>
          <t>medium</t>
        </is>
      </c>
      <c r="K86" s="9" t="inlineStr">
        <is>
          <t>composite_split</t>
        </is>
      </c>
      <c r="L86" s="10" t="inlineStr">
        <is>
          <t>Appendix A1.1 lists this exact catch name under `Milkfish, Minv Mpisc`; apportioned over the region 2 and region 3 pools by model biomass; region 1 is the Maldives shelf, outside LME 34.</t>
        </is>
      </c>
      <c r="M86" s="9" t="n">
        <v>1315369.492</v>
      </c>
    </row>
    <row r="87" ht="36" customHeight="1">
      <c r="A87" s="9" t="inlineStr">
        <is>
          <t>LME_034</t>
        </is>
      </c>
      <c r="B87" s="10" t="inlineStr">
        <is>
          <t>34_1_Bay_of_Bengal_(1978)</t>
        </is>
      </c>
      <c r="C87" s="10" t="inlineStr">
        <is>
          <t>Siluriformes</t>
        </is>
      </c>
      <c r="D87" s="9" t="inlineStr">
        <is>
          <t>Catfishes</t>
        </is>
      </c>
      <c r="E87" s="9" t="inlineStr">
        <is>
          <t>Medium demersals (30 - 89 cm)</t>
        </is>
      </c>
      <c r="F87" s="9" t="inlineStr">
        <is>
          <t>Other fishes &amp; inverts</t>
        </is>
      </c>
      <c r="G87" s="10" t="inlineStr">
        <is>
          <t>3 SM pisc</t>
        </is>
      </c>
      <c r="H87" s="11" t="n">
        <v>0.2616613640040367</v>
      </c>
      <c r="I87" s="9" t="inlineStr">
        <is>
          <t>model_biomass</t>
        </is>
      </c>
      <c r="J87" s="12" t="inlineStr">
        <is>
          <t>medium</t>
        </is>
      </c>
      <c r="K87" s="9" t="inlineStr">
        <is>
          <t>composite_split</t>
        </is>
      </c>
      <c r="L87" s="10" t="inlineStr">
        <is>
          <t>Appendix A1.1 lists this exact catch name under `Milkfish, Minv Mpisc`; apportioned over the region 2 and region 3 pools by model biomass; region 1 is the Maldives shelf, outside LME 34.</t>
        </is>
      </c>
      <c r="M87" s="9" t="n">
        <v>1315369.492</v>
      </c>
    </row>
    <row r="88" ht="66" customHeight="1">
      <c r="A88" s="9" t="inlineStr">
        <is>
          <t>LME_034</t>
        </is>
      </c>
      <c r="B88" s="10" t="inlineStr">
        <is>
          <t>34_1_Bay_of_Bengal_(1978)</t>
        </is>
      </c>
      <c r="C88" s="10" t="inlineStr">
        <is>
          <t>Dendrobranchiata</t>
        </is>
      </c>
      <c r="D88" s="9" t="inlineStr">
        <is>
          <t>Shrimps and prawns</t>
        </is>
      </c>
      <c r="E88" s="9" t="inlineStr">
        <is>
          <t>Shrimps</t>
        </is>
      </c>
      <c r="F88" s="9" t="inlineStr">
        <is>
          <t>Crustaceans</t>
        </is>
      </c>
      <c r="G88" s="10" t="inlineStr">
        <is>
          <t>2 Crustaceans</t>
        </is>
      </c>
      <c r="H88" s="11" t="n">
        <v>0.2129992169146437</v>
      </c>
      <c r="I88" s="9" t="inlineStr">
        <is>
          <t>model_biomass</t>
        </is>
      </c>
      <c r="J88" s="12" t="inlineStr">
        <is>
          <t>medium</t>
        </is>
      </c>
      <c r="K88" s="9" t="inlineStr">
        <is>
          <t>composite_split</t>
        </is>
      </c>
      <c r="L88" s="10" t="inlineStr">
        <is>
          <t>Appendix A1.1 sends `Shrimps and prawns` and every penaeid genus to shrimps; Dendrobranchiata is the suborder that contains them, and Sea Around Us classes this record as Shrimps. Apportioned over the region 2 and region 3 pools by model biomass; region 1 is the Maldives shelf, outside LME 34.</t>
        </is>
      </c>
      <c r="M88" s="9" t="n">
        <v>1245323.298</v>
      </c>
    </row>
    <row r="89" ht="66" customHeight="1">
      <c r="A89" s="9" t="inlineStr">
        <is>
          <t>LME_034</t>
        </is>
      </c>
      <c r="B89" s="10" t="inlineStr">
        <is>
          <t>34_1_Bay_of_Bengal_(1978)</t>
        </is>
      </c>
      <c r="C89" s="10" t="inlineStr">
        <is>
          <t>Dendrobranchiata</t>
        </is>
      </c>
      <c r="D89" s="9" t="inlineStr">
        <is>
          <t>Shrimps and prawns</t>
        </is>
      </c>
      <c r="E89" s="9" t="inlineStr">
        <is>
          <t>Shrimps</t>
        </is>
      </c>
      <c r="F89" s="9" t="inlineStr">
        <is>
          <t>Crustaceans</t>
        </is>
      </c>
      <c r="G89" s="10" t="inlineStr">
        <is>
          <t>3 Crustaceans</t>
        </is>
      </c>
      <c r="H89" s="11" t="n">
        <v>0.7870007830853563</v>
      </c>
      <c r="I89" s="9" t="inlineStr">
        <is>
          <t>model_biomass</t>
        </is>
      </c>
      <c r="J89" s="12" t="inlineStr">
        <is>
          <t>medium</t>
        </is>
      </c>
      <c r="K89" s="9" t="inlineStr">
        <is>
          <t>composite_split</t>
        </is>
      </c>
      <c r="L89" s="10" t="inlineStr">
        <is>
          <t>Appendix A1.1 sends `Shrimps and prawns` and every penaeid genus to shrimps; Dendrobranchiata is the suborder that contains them, and Sea Around Us classes this record as Shrimps. Apportioned over the region 2 and region 3 pools by model biomass; region 1 is the Maldives shelf, outside LME 34.</t>
        </is>
      </c>
      <c r="M89" s="9" t="n">
        <v>1245323.298</v>
      </c>
    </row>
    <row r="90" ht="36" customHeight="1">
      <c r="A90" s="9" t="inlineStr">
        <is>
          <t>LME_034</t>
        </is>
      </c>
      <c r="B90" s="10" t="inlineStr">
        <is>
          <t>34_1_Bay_of_Bengal_(1978)</t>
        </is>
      </c>
      <c r="C90" s="10" t="inlineStr">
        <is>
          <t>Pennahia</t>
        </is>
      </c>
      <c r="D90" s="9" t="inlineStr">
        <is>
          <t>Pennah croakers</t>
        </is>
      </c>
      <c r="E90" s="9" t="inlineStr">
        <is>
          <t>Medium benthopelagics (30 - 89 cm)</t>
        </is>
      </c>
      <c r="F90" s="9" t="inlineStr">
        <is>
          <t>Perch-likes</t>
        </is>
      </c>
      <c r="G90" s="10" t="inlineStr">
        <is>
          <t>2 L pisc comm</t>
        </is>
      </c>
      <c r="H90" s="11" t="n">
        <v>0.4790991864112831</v>
      </c>
      <c r="I90" s="9" t="inlineStr">
        <is>
          <t>model_biomass</t>
        </is>
      </c>
      <c r="J90" s="12" t="inlineStr">
        <is>
          <t>medium</t>
        </is>
      </c>
      <c r="K90" s="9" t="inlineStr">
        <is>
          <t>composite_split</t>
        </is>
      </c>
      <c r="L90" s="10" t="inlineStr">
        <is>
          <t>Appendix A1.1 lists this exact catch name under `L pisc comm`; apportioned over the region 2 and region 3 pools by model biomass; region 1 is the Maldives shelf, outside LME 34.</t>
        </is>
      </c>
      <c r="M90" s="9" t="n">
        <v>1240233.6</v>
      </c>
    </row>
    <row r="91" ht="36" customHeight="1">
      <c r="A91" s="9" t="inlineStr">
        <is>
          <t>LME_034</t>
        </is>
      </c>
      <c r="B91" s="10" t="inlineStr">
        <is>
          <t>34_1_Bay_of_Bengal_(1978)</t>
        </is>
      </c>
      <c r="C91" s="10" t="inlineStr">
        <is>
          <t>Pennahia</t>
        </is>
      </c>
      <c r="D91" s="9" t="inlineStr">
        <is>
          <t>Pennah croakers</t>
        </is>
      </c>
      <c r="E91" s="9" t="inlineStr">
        <is>
          <t>Medium benthopelagics (30 - 89 cm)</t>
        </is>
      </c>
      <c r="F91" s="9" t="inlineStr">
        <is>
          <t>Perch-likes</t>
        </is>
      </c>
      <c r="G91" s="10" t="inlineStr">
        <is>
          <t>3 L pisc comm</t>
        </is>
      </c>
      <c r="H91" s="11" t="n">
        <v>0.5209008135887169</v>
      </c>
      <c r="I91" s="9" t="inlineStr">
        <is>
          <t>model_biomass</t>
        </is>
      </c>
      <c r="J91" s="12" t="inlineStr">
        <is>
          <t>medium</t>
        </is>
      </c>
      <c r="K91" s="9" t="inlineStr">
        <is>
          <t>composite_split</t>
        </is>
      </c>
      <c r="L91" s="10" t="inlineStr">
        <is>
          <t>Appendix A1.1 lists this exact catch name under `L pisc comm`; apportioned over the region 2 and region 3 pools by model biomass; region 1 is the Maldives shelf, outside LME 34.</t>
        </is>
      </c>
      <c r="M91" s="9" t="n">
        <v>1240233.6</v>
      </c>
    </row>
    <row r="92" ht="36" customHeight="1">
      <c r="A92" s="9" t="inlineStr">
        <is>
          <t>LME_034</t>
        </is>
      </c>
      <c r="B92" s="10" t="inlineStr">
        <is>
          <t>34_1_Bay_of_Bengal_(1978)</t>
        </is>
      </c>
      <c r="C92" s="10" t="inlineStr">
        <is>
          <t>Trichiuridae</t>
        </is>
      </c>
      <c r="D92" s="9" t="inlineStr">
        <is>
          <t>Cutlassfishes</t>
        </is>
      </c>
      <c r="E92" s="9" t="inlineStr">
        <is>
          <t>Large benthopelagics (&gt;=90 cm)</t>
        </is>
      </c>
      <c r="F92" s="9" t="inlineStr">
        <is>
          <t>Perch-likes</t>
        </is>
      </c>
      <c r="G92" s="10" t="inlineStr">
        <is>
          <t>2 L pisc</t>
        </is>
      </c>
      <c r="H92" s="11" t="n">
        <v>0.449530936694357</v>
      </c>
      <c r="I92" s="9" t="inlineStr">
        <is>
          <t>model_biomass</t>
        </is>
      </c>
      <c r="J92" s="12" t="inlineStr">
        <is>
          <t>medium</t>
        </is>
      </c>
      <c r="K92" s="9" t="inlineStr">
        <is>
          <t>composite_split</t>
        </is>
      </c>
      <c r="L92" s="10" t="inlineStr">
        <is>
          <t>Appendix A1.1 lists this exact catch name under `L pisc`; apportioned over the region 2 and region 3 pools by model biomass; region 1 is the Maldives shelf, outside LME 34.</t>
        </is>
      </c>
      <c r="M92" s="9" t="n">
        <v>1220501.009</v>
      </c>
    </row>
    <row r="93" ht="36" customHeight="1">
      <c r="A93" s="9" t="inlineStr">
        <is>
          <t>LME_034</t>
        </is>
      </c>
      <c r="B93" s="10" t="inlineStr">
        <is>
          <t>34_1_Bay_of_Bengal_(1978)</t>
        </is>
      </c>
      <c r="C93" s="10" t="inlineStr">
        <is>
          <t>Trichiuridae</t>
        </is>
      </c>
      <c r="D93" s="9" t="inlineStr">
        <is>
          <t>Cutlassfishes</t>
        </is>
      </c>
      <c r="E93" s="9" t="inlineStr">
        <is>
          <t>Large benthopelagics (&gt;=90 cm)</t>
        </is>
      </c>
      <c r="F93" s="9" t="inlineStr">
        <is>
          <t>Perch-likes</t>
        </is>
      </c>
      <c r="G93" s="10" t="inlineStr">
        <is>
          <t>3 L pisc</t>
        </is>
      </c>
      <c r="H93" s="11" t="n">
        <v>0.5504690633056432</v>
      </c>
      <c r="I93" s="9" t="inlineStr">
        <is>
          <t>model_biomass</t>
        </is>
      </c>
      <c r="J93" s="12" t="inlineStr">
        <is>
          <t>medium</t>
        </is>
      </c>
      <c r="K93" s="9" t="inlineStr">
        <is>
          <t>composite_split</t>
        </is>
      </c>
      <c r="L93" s="10" t="inlineStr">
        <is>
          <t>Appendix A1.1 lists this exact catch name under `L pisc`; apportioned over the region 2 and region 3 pools by model biomass; region 1 is the Maldives shelf, outside LME 34.</t>
        </is>
      </c>
      <c r="M93" s="9" t="n">
        <v>1220501.009</v>
      </c>
    </row>
    <row r="94" ht="81" customHeight="1">
      <c r="A94" s="9" t="inlineStr">
        <is>
          <t>LME_034</t>
        </is>
      </c>
      <c r="B94" s="10" t="inlineStr">
        <is>
          <t>34_1_Bay_of_Bengal_(1978)</t>
        </is>
      </c>
      <c r="C94" s="10" t="inlineStr">
        <is>
          <t>Perciformes</t>
        </is>
      </c>
      <c r="D94" s="9" t="inlineStr">
        <is>
          <t>Perch-likes</t>
        </is>
      </c>
      <c r="E94" s="9" t="inlineStr">
        <is>
          <t>Medium demersals (30 - 89 cm)</t>
        </is>
      </c>
      <c r="F94" s="9" t="inlineStr">
        <is>
          <t>Perch-likes</t>
        </is>
      </c>
      <c r="G94" s="10" t="inlineStr">
        <is>
          <t>2 L pisc comm</t>
        </is>
      </c>
      <c r="H94" s="11" t="n">
        <v>0.05133551592398462</v>
      </c>
      <c r="I94" s="9" t="inlineStr">
        <is>
          <t>model_biomass</t>
        </is>
      </c>
      <c r="J94" s="12" t="inlineStr">
        <is>
          <t>medium</t>
        </is>
      </c>
      <c r="K94" s="9" t="inlineStr">
        <is>
          <t>composite_split</t>
        </is>
      </c>
      <c r="L94" s="10" t="inlineStr">
        <is>
          <t>Appendix A1.1 keeps `Perciformes` as its own residual and the text (p.10) spreads it over the fish groups of the region in equal parts. The Sea Around Us class (medium demersals, Perch-likes) narrows that to the model's demersal finfish pools, all four of which are largely perciform; apportioned over the region 2 and region 3 pools by model biomass; region 1 is the Maldives shelf, outside LME 34.</t>
        </is>
      </c>
      <c r="M94" s="9" t="n">
        <v>1187538.044</v>
      </c>
    </row>
    <row r="95" ht="81" customHeight="1">
      <c r="A95" s="9" t="inlineStr">
        <is>
          <t>LME_034</t>
        </is>
      </c>
      <c r="B95" s="10" t="inlineStr">
        <is>
          <t>34_1_Bay_of_Bengal_(1978)</t>
        </is>
      </c>
      <c r="C95" s="10" t="inlineStr">
        <is>
          <t>Perciformes</t>
        </is>
      </c>
      <c r="D95" s="9" t="inlineStr">
        <is>
          <t>Perch-likes</t>
        </is>
      </c>
      <c r="E95" s="9" t="inlineStr">
        <is>
          <t>Medium demersals (30 - 89 cm)</t>
        </is>
      </c>
      <c r="F95" s="9" t="inlineStr">
        <is>
          <t>Perch-likes</t>
        </is>
      </c>
      <c r="G95" s="10" t="inlineStr">
        <is>
          <t>3 L pisc comm</t>
        </is>
      </c>
      <c r="H95" s="11" t="n">
        <v>0.05581456360029077</v>
      </c>
      <c r="I95" s="9" t="inlineStr">
        <is>
          <t>model_biomass</t>
        </is>
      </c>
      <c r="J95" s="12" t="inlineStr">
        <is>
          <t>medium</t>
        </is>
      </c>
      <c r="K95" s="9" t="inlineStr">
        <is>
          <t>composite_split</t>
        </is>
      </c>
      <c r="L95" s="10" t="inlineStr">
        <is>
          <t>Appendix A1.1 keeps `Perciformes` as its own residual and the text (p.10) spreads it over the fish groups of the region in equal parts. The Sea Around Us class (medium demersals, Perch-likes) narrows that to the model's demersal finfish pools, all four of which are largely perciform; apportioned over the region 2 and region 3 pools by model biomass; region 1 is the Maldives shelf, outside LME 34.</t>
        </is>
      </c>
      <c r="M95" s="9" t="n">
        <v>1187538.044</v>
      </c>
    </row>
    <row r="96" ht="81" customHeight="1">
      <c r="A96" s="9" t="inlineStr">
        <is>
          <t>LME_034</t>
        </is>
      </c>
      <c r="B96" s="10" t="inlineStr">
        <is>
          <t>34_1_Bay_of_Bengal_(1978)</t>
        </is>
      </c>
      <c r="C96" s="10" t="inlineStr">
        <is>
          <t>Perciformes</t>
        </is>
      </c>
      <c r="D96" s="9" t="inlineStr">
        <is>
          <t>Perch-likes</t>
        </is>
      </c>
      <c r="E96" s="9" t="inlineStr">
        <is>
          <t>Medium demersals (30 - 89 cm)</t>
        </is>
      </c>
      <c r="F96" s="9" t="inlineStr">
        <is>
          <t>Perch-likes</t>
        </is>
      </c>
      <c r="G96" s="10" t="inlineStr">
        <is>
          <t>2 SM pisc</t>
        </is>
      </c>
      <c r="H96" s="11" t="n">
        <v>0.1021251564523975</v>
      </c>
      <c r="I96" s="9" t="inlineStr">
        <is>
          <t>model_biomass</t>
        </is>
      </c>
      <c r="J96" s="12" t="inlineStr">
        <is>
          <t>medium</t>
        </is>
      </c>
      <c r="K96" s="9" t="inlineStr">
        <is>
          <t>composite_split</t>
        </is>
      </c>
      <c r="L96" s="10" t="inlineStr">
        <is>
          <t>Appendix A1.1 keeps `Perciformes` as its own residual and the text (p.10) spreads it over the fish groups of the region in equal parts. The Sea Around Us class (medium demersals, Perch-likes) narrows that to the model's demersal finfish pools, all four of which are largely perciform; apportioned over the region 2 and region 3 pools by model biomass; region 1 is the Maldives shelf, outside LME 34.</t>
        </is>
      </c>
      <c r="M96" s="9" t="n">
        <v>1187538.044</v>
      </c>
    </row>
    <row r="97" ht="81" customHeight="1">
      <c r="A97" s="9" t="inlineStr">
        <is>
          <t>LME_034</t>
        </is>
      </c>
      <c r="B97" s="10" t="inlineStr">
        <is>
          <t>34_1_Bay_of_Bengal_(1978)</t>
        </is>
      </c>
      <c r="C97" s="10" t="inlineStr">
        <is>
          <t>Perciformes</t>
        </is>
      </c>
      <c r="D97" s="9" t="inlineStr">
        <is>
          <t>Perch-likes</t>
        </is>
      </c>
      <c r="E97" s="9" t="inlineStr">
        <is>
          <t>Medium demersals (30 - 89 cm)</t>
        </is>
      </c>
      <c r="F97" s="9" t="inlineStr">
        <is>
          <t>Perch-likes</t>
        </is>
      </c>
      <c r="G97" s="10" t="inlineStr">
        <is>
          <t>3 SM pisc</t>
        </is>
      </c>
      <c r="H97" s="11" t="n">
        <v>0.2320551149686002</v>
      </c>
      <c r="I97" s="9" t="inlineStr">
        <is>
          <t>model_biomass</t>
        </is>
      </c>
      <c r="J97" s="12" t="inlineStr">
        <is>
          <t>medium</t>
        </is>
      </c>
      <c r="K97" s="9" t="inlineStr">
        <is>
          <t>composite_split</t>
        </is>
      </c>
      <c r="L97" s="10" t="inlineStr">
        <is>
          <t>Appendix A1.1 keeps `Perciformes` as its own residual and the text (p.10) spreads it over the fish groups of the region in equal parts. The Sea Around Us class (medium demersals, Perch-likes) narrows that to the model's demersal finfish pools, all four of which are largely perciform; apportioned over the region 2 and region 3 pools by model biomass; region 1 is the Maldives shelf, outside LME 34.</t>
        </is>
      </c>
      <c r="M97" s="9" t="n">
        <v>1187538.044</v>
      </c>
    </row>
    <row r="98" ht="81" customHeight="1">
      <c r="A98" s="9" t="inlineStr">
        <is>
          <t>LME_034</t>
        </is>
      </c>
      <c r="B98" s="10" t="inlineStr">
        <is>
          <t>34_1_Bay_of_Bengal_(1978)</t>
        </is>
      </c>
      <c r="C98" s="10" t="inlineStr">
        <is>
          <t>Perciformes</t>
        </is>
      </c>
      <c r="D98" s="9" t="inlineStr">
        <is>
          <t>Perch-likes</t>
        </is>
      </c>
      <c r="E98" s="9" t="inlineStr">
        <is>
          <t>Medium demersals (30 - 89 cm)</t>
        </is>
      </c>
      <c r="F98" s="9" t="inlineStr">
        <is>
          <t>Perch-likes</t>
        </is>
      </c>
      <c r="G98" s="10" t="inlineStr">
        <is>
          <t>2 SM inv</t>
        </is>
      </c>
      <c r="H98" s="11" t="n">
        <v>0.1408474664276384</v>
      </c>
      <c r="I98" s="9" t="inlineStr">
        <is>
          <t>model_biomass</t>
        </is>
      </c>
      <c r="J98" s="12" t="inlineStr">
        <is>
          <t>medium</t>
        </is>
      </c>
      <c r="K98" s="9" t="inlineStr">
        <is>
          <t>composite_split</t>
        </is>
      </c>
      <c r="L98" s="10" t="inlineStr">
        <is>
          <t>Appendix A1.1 keeps `Perciformes` as its own residual and the text (p.10) spreads it over the fish groups of the region in equal parts. The Sea Around Us class (medium demersals, Perch-likes) narrows that to the model's demersal finfish pools, all four of which are largely perciform; apportioned over the region 2 and region 3 pools by model biomass; region 1 is the Maldives shelf, outside LME 34.</t>
        </is>
      </c>
      <c r="M98" s="9" t="n">
        <v>1187538.044</v>
      </c>
    </row>
    <row r="99" ht="81" customHeight="1">
      <c r="A99" s="9" t="inlineStr">
        <is>
          <t>LME_034</t>
        </is>
      </c>
      <c r="B99" s="10" t="inlineStr">
        <is>
          <t>34_1_Bay_of_Bengal_(1978)</t>
        </is>
      </c>
      <c r="C99" s="10" t="inlineStr">
        <is>
          <t>Perciformes</t>
        </is>
      </c>
      <c r="D99" s="9" t="inlineStr">
        <is>
          <t>Perch-likes</t>
        </is>
      </c>
      <c r="E99" s="9" t="inlineStr">
        <is>
          <t>Medium demersals (30 - 89 cm)</t>
        </is>
      </c>
      <c r="F99" s="9" t="inlineStr">
        <is>
          <t>Perch-likes</t>
        </is>
      </c>
      <c r="G99" s="10" t="inlineStr">
        <is>
          <t>3 SM inv</t>
        </is>
      </c>
      <c r="H99" s="11" t="n">
        <v>0.3033400195667976</v>
      </c>
      <c r="I99" s="9" t="inlineStr">
        <is>
          <t>model_biomass</t>
        </is>
      </c>
      <c r="J99" s="12" t="inlineStr">
        <is>
          <t>medium</t>
        </is>
      </c>
      <c r="K99" s="9" t="inlineStr">
        <is>
          <t>composite_split</t>
        </is>
      </c>
      <c r="L99" s="10" t="inlineStr">
        <is>
          <t>Appendix A1.1 keeps `Perciformes` as its own residual and the text (p.10) spreads it over the fish groups of the region in equal parts. The Sea Around Us class (medium demersals, Perch-likes) narrows that to the model's demersal finfish pools, all four of which are largely perciform; apportioned over the region 2 and region 3 pools by model biomass; region 1 is the Maldives shelf, outside LME 34.</t>
        </is>
      </c>
      <c r="M99" s="9" t="n">
        <v>1187538.044</v>
      </c>
    </row>
    <row r="100" ht="81" customHeight="1">
      <c r="A100" s="9" t="inlineStr">
        <is>
          <t>LME_034</t>
        </is>
      </c>
      <c r="B100" s="10" t="inlineStr">
        <is>
          <t>34_1_Bay_of_Bengal_(1978)</t>
        </is>
      </c>
      <c r="C100" s="10" t="inlineStr">
        <is>
          <t>Perciformes</t>
        </is>
      </c>
      <c r="D100" s="9" t="inlineStr">
        <is>
          <t>Perch-likes</t>
        </is>
      </c>
      <c r="E100" s="9" t="inlineStr">
        <is>
          <t>Medium demersals (30 - 89 cm)</t>
        </is>
      </c>
      <c r="F100" s="9" t="inlineStr">
        <is>
          <t>Perch-likes</t>
        </is>
      </c>
      <c r="G100" s="10" t="inlineStr">
        <is>
          <t>2 L pisc</t>
        </is>
      </c>
      <c r="H100" s="11" t="n">
        <v>0.05146327399528866</v>
      </c>
      <c r="I100" s="9" t="inlineStr">
        <is>
          <t>model_biomass</t>
        </is>
      </c>
      <c r="J100" s="12" t="inlineStr">
        <is>
          <t>medium</t>
        </is>
      </c>
      <c r="K100" s="9" t="inlineStr">
        <is>
          <t>composite_split</t>
        </is>
      </c>
      <c r="L100" s="10" t="inlineStr">
        <is>
          <t>Appendix A1.1 keeps `Perciformes` as its own residual and the text (p.10) spreads it over the fish groups of the region in equal parts. The Sea Around Us class (medium demersals, Perch-likes) narrows that to the model's demersal finfish pools, all four of which are largely perciform; apportioned over the region 2 and region 3 pools by model biomass; region 1 is the Maldives shelf, outside LME 34.</t>
        </is>
      </c>
      <c r="M100" s="9" t="n">
        <v>1187538.044</v>
      </c>
    </row>
    <row r="101" ht="81" customHeight="1">
      <c r="A101" s="9" t="inlineStr">
        <is>
          <t>LME_034</t>
        </is>
      </c>
      <c r="B101" s="10" t="inlineStr">
        <is>
          <t>34_1_Bay_of_Bengal_(1978)</t>
        </is>
      </c>
      <c r="C101" s="10" t="inlineStr">
        <is>
          <t>Perciformes</t>
        </is>
      </c>
      <c r="D101" s="9" t="inlineStr">
        <is>
          <t>Perch-likes</t>
        </is>
      </c>
      <c r="E101" s="9" t="inlineStr">
        <is>
          <t>Medium demersals (30 - 89 cm)</t>
        </is>
      </c>
      <c r="F101" s="9" t="inlineStr">
        <is>
          <t>Perch-likes</t>
        </is>
      </c>
      <c r="G101" s="10" t="inlineStr">
        <is>
          <t>3 L pisc</t>
        </is>
      </c>
      <c r="H101" s="11" t="n">
        <v>0.06301888906500221</v>
      </c>
      <c r="I101" s="9" t="inlineStr">
        <is>
          <t>model_biomass</t>
        </is>
      </c>
      <c r="J101" s="12" t="inlineStr">
        <is>
          <t>medium</t>
        </is>
      </c>
      <c r="K101" s="9" t="inlineStr">
        <is>
          <t>composite_split</t>
        </is>
      </c>
      <c r="L101" s="10" t="inlineStr">
        <is>
          <t>Appendix A1.1 keeps `Perciformes` as its own residual and the text (p.10) spreads it over the fish groups of the region in equal parts. The Sea Around Us class (medium demersals, Perch-likes) narrows that to the model's demersal finfish pools, all four of which are largely perciform; apportioned over the region 2 and region 3 pools by model biomass; region 1 is the Maldives shelf, outside LME 34.</t>
        </is>
      </c>
      <c r="M101" s="9" t="n">
        <v>1187538.044</v>
      </c>
    </row>
    <row r="102" ht="66" customHeight="1">
      <c r="A102" s="9" t="inlineStr">
        <is>
          <t>LME_034</t>
        </is>
      </c>
      <c r="B102" s="10" t="inlineStr">
        <is>
          <t>34_1_Bay_of_Bengal_(1978)</t>
        </is>
      </c>
      <c r="C102" s="10" t="inlineStr">
        <is>
          <t>Odontamblyopus rubicundus</t>
        </is>
      </c>
      <c r="D102" s="9" t="inlineStr">
        <is>
          <t>Rubicundus eelgoby</t>
        </is>
      </c>
      <c r="E102" s="9" t="inlineStr">
        <is>
          <t>Small pelagics (&lt;30 cm)</t>
        </is>
      </c>
      <c r="F102" s="9" t="inlineStr">
        <is>
          <t>Perch-likes</t>
        </is>
      </c>
      <c r="G102" s="10" t="inlineStr">
        <is>
          <t>2 SM inv</t>
        </is>
      </c>
      <c r="H102" s="11" t="n">
        <v>0.1809523391556219</v>
      </c>
      <c r="I102" s="9" t="inlineStr">
        <is>
          <t>model_biomass</t>
        </is>
      </c>
      <c r="J102" s="12" t="inlineStr">
        <is>
          <t>medium</t>
        </is>
      </c>
      <c r="K102" s="9" t="inlineStr">
        <is>
          <t>composite_split</t>
        </is>
      </c>
      <c r="L102" s="10" t="inlineStr">
        <is>
          <t>Appendix A1.1 assigns Gobiidae to the small-invertivore and medium-piscivore pools together; the rubicundus eelgoby is an amblyopine goby that takes both small benthic crustaceans and fish. Apportioned over the region 2 and region 3 pools by model biomass; region 1 is the Maldives shelf, outside LME 34.</t>
        </is>
      </c>
      <c r="M102" s="9" t="n">
        <v>1178725.341</v>
      </c>
    </row>
    <row r="103" ht="66" customHeight="1">
      <c r="A103" s="9" t="inlineStr">
        <is>
          <t>LME_034</t>
        </is>
      </c>
      <c r="B103" s="10" t="inlineStr">
        <is>
          <t>34_1_Bay_of_Bengal_(1978)</t>
        </is>
      </c>
      <c r="C103" s="10" t="inlineStr">
        <is>
          <t>Odontamblyopus rubicundus</t>
        </is>
      </c>
      <c r="D103" s="9" t="inlineStr">
        <is>
          <t>Rubicundus eelgoby</t>
        </is>
      </c>
      <c r="E103" s="9" t="inlineStr">
        <is>
          <t>Small pelagics (&lt;30 cm)</t>
        </is>
      </c>
      <c r="F103" s="9" t="inlineStr">
        <is>
          <t>Perch-likes</t>
        </is>
      </c>
      <c r="G103" s="10" t="inlineStr">
        <is>
          <t>3 SM inv</t>
        </is>
      </c>
      <c r="H103" s="11" t="n">
        <v>0.3897129816554025</v>
      </c>
      <c r="I103" s="9" t="inlineStr">
        <is>
          <t>model_biomass</t>
        </is>
      </c>
      <c r="J103" s="12" t="inlineStr">
        <is>
          <t>medium</t>
        </is>
      </c>
      <c r="K103" s="9" t="inlineStr">
        <is>
          <t>composite_split</t>
        </is>
      </c>
      <c r="L103" s="10" t="inlineStr">
        <is>
          <t>Appendix A1.1 assigns Gobiidae to the small-invertivore and medium-piscivore pools together; the rubicundus eelgoby is an amblyopine goby that takes both small benthic crustaceans and fish. Apportioned over the region 2 and region 3 pools by model biomass; region 1 is the Maldives shelf, outside LME 34.</t>
        </is>
      </c>
      <c r="M103" s="9" t="n">
        <v>1178725.341</v>
      </c>
    </row>
    <row r="104" ht="66" customHeight="1">
      <c r="A104" s="9" t="inlineStr">
        <is>
          <t>LME_034</t>
        </is>
      </c>
      <c r="B104" s="10" t="inlineStr">
        <is>
          <t>34_1_Bay_of_Bengal_(1978)</t>
        </is>
      </c>
      <c r="C104" s="10" t="inlineStr">
        <is>
          <t>Odontamblyopus rubicundus</t>
        </is>
      </c>
      <c r="D104" s="9" t="inlineStr">
        <is>
          <t>Rubicundus eelgoby</t>
        </is>
      </c>
      <c r="E104" s="9" t="inlineStr">
        <is>
          <t>Small pelagics (&lt;30 cm)</t>
        </is>
      </c>
      <c r="F104" s="9" t="inlineStr">
        <is>
          <t>Perch-likes</t>
        </is>
      </c>
      <c r="G104" s="10" t="inlineStr">
        <is>
          <t>2 SM pisc</t>
        </is>
      </c>
      <c r="H104" s="11" t="n">
        <v>0.1312042482225928</v>
      </c>
      <c r="I104" s="9" t="inlineStr">
        <is>
          <t>model_biomass</t>
        </is>
      </c>
      <c r="J104" s="12" t="inlineStr">
        <is>
          <t>medium</t>
        </is>
      </c>
      <c r="K104" s="9" t="inlineStr">
        <is>
          <t>composite_split</t>
        </is>
      </c>
      <c r="L104" s="10" t="inlineStr">
        <is>
          <t>Appendix A1.1 assigns Gobiidae to the small-invertivore and medium-piscivore pools together; the rubicundus eelgoby is an amblyopine goby that takes both small benthic crustaceans and fish. Apportioned over the region 2 and region 3 pools by model biomass; region 1 is the Maldives shelf, outside LME 34.</t>
        </is>
      </c>
      <c r="M104" s="9" t="n">
        <v>1178725.341</v>
      </c>
    </row>
    <row r="105" ht="66" customHeight="1">
      <c r="A105" s="9" t="inlineStr">
        <is>
          <t>LME_034</t>
        </is>
      </c>
      <c r="B105" s="10" t="inlineStr">
        <is>
          <t>34_1_Bay_of_Bengal_(1978)</t>
        </is>
      </c>
      <c r="C105" s="10" t="inlineStr">
        <is>
          <t>Odontamblyopus rubicundus</t>
        </is>
      </c>
      <c r="D105" s="9" t="inlineStr">
        <is>
          <t>Rubicundus eelgoby</t>
        </is>
      </c>
      <c r="E105" s="9" t="inlineStr">
        <is>
          <t>Small pelagics (&lt;30 cm)</t>
        </is>
      </c>
      <c r="F105" s="9" t="inlineStr">
        <is>
          <t>Perch-likes</t>
        </is>
      </c>
      <c r="G105" s="10" t="inlineStr">
        <is>
          <t>3 SM pisc</t>
        </is>
      </c>
      <c r="H105" s="11" t="n">
        <v>0.2981304309663829</v>
      </c>
      <c r="I105" s="9" t="inlineStr">
        <is>
          <t>model_biomass</t>
        </is>
      </c>
      <c r="J105" s="12" t="inlineStr">
        <is>
          <t>medium</t>
        </is>
      </c>
      <c r="K105" s="9" t="inlineStr">
        <is>
          <t>composite_split</t>
        </is>
      </c>
      <c r="L105" s="10" t="inlineStr">
        <is>
          <t>Appendix A1.1 assigns Gobiidae to the small-invertivore and medium-piscivore pools together; the rubicundus eelgoby is an amblyopine goby that takes both small benthic crustaceans and fish. Apportioned over the region 2 and region 3 pools by model biomass; region 1 is the Maldives shelf, outside LME 34.</t>
        </is>
      </c>
      <c r="M105" s="9" t="n">
        <v>1178725.341</v>
      </c>
    </row>
    <row r="106" ht="21" customHeight="1">
      <c r="A106" s="9" t="inlineStr">
        <is>
          <t>LME_034</t>
        </is>
      </c>
      <c r="B106" s="10" t="inlineStr">
        <is>
          <t>34_1_Bay_of_Bengal_(1978)</t>
        </is>
      </c>
      <c r="C106" s="10" t="inlineStr">
        <is>
          <t>Scomberomorus commerson</t>
        </is>
      </c>
      <c r="D106" s="9" t="inlineStr">
        <is>
          <t>Narrow-barred Spanish mackerel</t>
        </is>
      </c>
      <c r="E106" s="9" t="inlineStr">
        <is>
          <t>Large pelagics (&gt;=90 cm)</t>
        </is>
      </c>
      <c r="F106" s="9" t="inlineStr">
        <is>
          <t>Perch-likes</t>
        </is>
      </c>
      <c r="G106" s="10" t="inlineStr">
        <is>
          <t>Coastal scombrids</t>
        </is>
      </c>
      <c r="H106" s="11" t="n">
        <v>1</v>
      </c>
      <c r="I106" s="9" t="inlineStr">
        <is>
          <t>single</t>
        </is>
      </c>
      <c r="J106" s="13" t="inlineStr">
        <is>
          <t>high</t>
        </is>
      </c>
      <c r="K106" s="9" t="inlineStr">
        <is>
          <t>explicit_member</t>
        </is>
      </c>
      <c r="L106" s="10" t="inlineStr">
        <is>
          <t>Appendix A1.3 lists Scomberomorus commerson in the `coastal scombrid` species list.</t>
        </is>
      </c>
      <c r="M106" s="9" t="n">
        <v>1169085.608</v>
      </c>
    </row>
    <row r="107" ht="36" customHeight="1">
      <c r="A107" s="9" t="inlineStr">
        <is>
          <t>LME_034</t>
        </is>
      </c>
      <c r="B107" s="10" t="inlineStr">
        <is>
          <t>34_1_Bay_of_Bengal_(1978)</t>
        </is>
      </c>
      <c r="C107" s="10" t="inlineStr">
        <is>
          <t>Saurida</t>
        </is>
      </c>
      <c r="D107" s="9" t="inlineStr">
        <is>
          <t>Lizardfishes</t>
        </is>
      </c>
      <c r="E107" s="9" t="inlineStr">
        <is>
          <t>Medium demersals (30 - 89 cm)</t>
        </is>
      </c>
      <c r="F107" s="9" t="inlineStr">
        <is>
          <t>Other fishes &amp; inverts</t>
        </is>
      </c>
      <c r="G107" s="10" t="inlineStr">
        <is>
          <t>2 L pisc comm</t>
        </is>
      </c>
      <c r="H107" s="11" t="n">
        <v>0.4790991864112831</v>
      </c>
      <c r="I107" s="9" t="inlineStr">
        <is>
          <t>model_biomass</t>
        </is>
      </c>
      <c r="J107" s="12" t="inlineStr">
        <is>
          <t>medium</t>
        </is>
      </c>
      <c r="K107" s="9" t="inlineStr">
        <is>
          <t>composite_split</t>
        </is>
      </c>
      <c r="L107" s="10" t="inlineStr">
        <is>
          <t>Appendix A1.1 lists this exact catch name under `L pisc comm`; apportioned over the region 2 and region 3 pools by model biomass; region 1 is the Maldives shelf, outside LME 34.</t>
        </is>
      </c>
      <c r="M107" s="9" t="n">
        <v>1144434.732</v>
      </c>
    </row>
    <row r="108" ht="36" customHeight="1">
      <c r="A108" s="9" t="inlineStr">
        <is>
          <t>LME_034</t>
        </is>
      </c>
      <c r="B108" s="10" t="inlineStr">
        <is>
          <t>34_1_Bay_of_Bengal_(1978)</t>
        </is>
      </c>
      <c r="C108" s="10" t="inlineStr">
        <is>
          <t>Saurida</t>
        </is>
      </c>
      <c r="D108" s="9" t="inlineStr">
        <is>
          <t>Lizardfishes</t>
        </is>
      </c>
      <c r="E108" s="9" t="inlineStr">
        <is>
          <t>Medium demersals (30 - 89 cm)</t>
        </is>
      </c>
      <c r="F108" s="9" t="inlineStr">
        <is>
          <t>Other fishes &amp; inverts</t>
        </is>
      </c>
      <c r="G108" s="10" t="inlineStr">
        <is>
          <t>3 L pisc comm</t>
        </is>
      </c>
      <c r="H108" s="11" t="n">
        <v>0.5209008135887169</v>
      </c>
      <c r="I108" s="9" t="inlineStr">
        <is>
          <t>model_biomass</t>
        </is>
      </c>
      <c r="J108" s="12" t="inlineStr">
        <is>
          <t>medium</t>
        </is>
      </c>
      <c r="K108" s="9" t="inlineStr">
        <is>
          <t>composite_split</t>
        </is>
      </c>
      <c r="L108" s="10" t="inlineStr">
        <is>
          <t>Appendix A1.1 lists this exact catch name under `L pisc comm`; apportioned over the region 2 and region 3 pools by model biomass; region 1 is the Maldives shelf, outside LME 34.</t>
        </is>
      </c>
      <c r="M108" s="9" t="n">
        <v>1144434.732</v>
      </c>
    </row>
    <row r="109" ht="36" customHeight="1">
      <c r="A109" s="9" t="inlineStr">
        <is>
          <t>LME_034</t>
        </is>
      </c>
      <c r="B109" s="10" t="inlineStr">
        <is>
          <t>34_1_Bay_of_Bengal_(1978)</t>
        </is>
      </c>
      <c r="C109" s="10" t="inlineStr">
        <is>
          <t>Apogonidae</t>
        </is>
      </c>
      <c r="D109" s="9" t="inlineStr">
        <is>
          <t>Cardinalfishes</t>
        </is>
      </c>
      <c r="E109" s="9" t="inlineStr">
        <is>
          <t>Small reef assoc. fish (&lt;30 cm)</t>
        </is>
      </c>
      <c r="F109" s="9" t="inlineStr">
        <is>
          <t>Perch-likes</t>
        </is>
      </c>
      <c r="G109" s="10" t="inlineStr">
        <is>
          <t>2 SM inv</t>
        </is>
      </c>
      <c r="H109" s="11" t="n">
        <v>0.3170901271842734</v>
      </c>
      <c r="I109" s="9" t="inlineStr">
        <is>
          <t>model_biomass</t>
        </is>
      </c>
      <c r="J109" s="12" t="inlineStr">
        <is>
          <t>medium</t>
        </is>
      </c>
      <c r="K109" s="9" t="inlineStr">
        <is>
          <t>composite_split</t>
        </is>
      </c>
      <c r="L109" s="10" t="inlineStr">
        <is>
          <t>Appendix A1.1 lists this exact catch name under `SM inv`; apportioned over the region 2 and region 3 pools by model biomass; region 1 is the Maldives shelf, outside LME 34.</t>
        </is>
      </c>
      <c r="M109" s="9" t="n">
        <v>1137465.381</v>
      </c>
    </row>
    <row r="110" ht="36" customHeight="1">
      <c r="A110" s="9" t="inlineStr">
        <is>
          <t>LME_034</t>
        </is>
      </c>
      <c r="B110" s="10" t="inlineStr">
        <is>
          <t>34_1_Bay_of_Bengal_(1978)</t>
        </is>
      </c>
      <c r="C110" s="10" t="inlineStr">
        <is>
          <t>Apogonidae</t>
        </is>
      </c>
      <c r="D110" s="9" t="inlineStr">
        <is>
          <t>Cardinalfishes</t>
        </is>
      </c>
      <c r="E110" s="9" t="inlineStr">
        <is>
          <t>Small reef assoc. fish (&lt;30 cm)</t>
        </is>
      </c>
      <c r="F110" s="9" t="inlineStr">
        <is>
          <t>Perch-likes</t>
        </is>
      </c>
      <c r="G110" s="10" t="inlineStr">
        <is>
          <t>3 SM inv</t>
        </is>
      </c>
      <c r="H110" s="11" t="n">
        <v>0.6829098728157266</v>
      </c>
      <c r="I110" s="9" t="inlineStr">
        <is>
          <t>model_biomass</t>
        </is>
      </c>
      <c r="J110" s="12" t="inlineStr">
        <is>
          <t>medium</t>
        </is>
      </c>
      <c r="K110" s="9" t="inlineStr">
        <is>
          <t>composite_split</t>
        </is>
      </c>
      <c r="L110" s="10" t="inlineStr">
        <is>
          <t>Appendix A1.1 lists this exact catch name under `SM inv`; apportioned over the region 2 and region 3 pools by model biomass; region 1 is the Maldives shelf, outside LME 34.</t>
        </is>
      </c>
      <c r="M110" s="9" t="n">
        <v>1137465.381</v>
      </c>
    </row>
    <row r="111" ht="36" customHeight="1">
      <c r="A111" s="9" t="inlineStr">
        <is>
          <t>LME_034</t>
        </is>
      </c>
      <c r="B111" s="10" t="inlineStr">
        <is>
          <t>34_1_Bay_of_Bengal_(1978)</t>
        </is>
      </c>
      <c r="C111" s="10" t="inlineStr">
        <is>
          <t>Decapterus russelli</t>
        </is>
      </c>
      <c r="D111" s="9" t="inlineStr">
        <is>
          <t>Indian scad</t>
        </is>
      </c>
      <c r="E111" s="9" t="inlineStr">
        <is>
          <t>Medium pelagics (30 - 89 cm)</t>
        </is>
      </c>
      <c r="F111" s="9" t="inlineStr">
        <is>
          <t>Perch-likes</t>
        </is>
      </c>
      <c r="G111" s="10" t="inlineStr">
        <is>
          <t>2 Carangids</t>
        </is>
      </c>
      <c r="H111" s="11" t="n">
        <v>0.3043867502238138</v>
      </c>
      <c r="I111" s="9" t="inlineStr">
        <is>
          <t>model_biomass</t>
        </is>
      </c>
      <c r="J111" s="12" t="inlineStr">
        <is>
          <t>medium</t>
        </is>
      </c>
      <c r="K111" s="9" t="inlineStr">
        <is>
          <t>composite_split</t>
        </is>
      </c>
      <c r="L111" s="10" t="inlineStr">
        <is>
          <t>Appendix A1.1 lists this exact catch name under `Carangids`; apportioned over the region 2 and region 3 pools by model biomass; region 1 is the Maldives shelf, outside LME 34.</t>
        </is>
      </c>
      <c r="M111" s="9" t="n">
        <v>1118952.06</v>
      </c>
    </row>
    <row r="112" ht="36" customHeight="1">
      <c r="A112" s="9" t="inlineStr">
        <is>
          <t>LME_034</t>
        </is>
      </c>
      <c r="B112" s="10" t="inlineStr">
        <is>
          <t>34_1_Bay_of_Bengal_(1978)</t>
        </is>
      </c>
      <c r="C112" s="10" t="inlineStr">
        <is>
          <t>Decapterus russelli</t>
        </is>
      </c>
      <c r="D112" s="9" t="inlineStr">
        <is>
          <t>Indian scad</t>
        </is>
      </c>
      <c r="E112" s="9" t="inlineStr">
        <is>
          <t>Medium pelagics (30 - 89 cm)</t>
        </is>
      </c>
      <c r="F112" s="9" t="inlineStr">
        <is>
          <t>Perch-likes</t>
        </is>
      </c>
      <c r="G112" s="10" t="inlineStr">
        <is>
          <t>3 Carangids</t>
        </is>
      </c>
      <c r="H112" s="11" t="n">
        <v>0.6956132497761862</v>
      </c>
      <c r="I112" s="9" t="inlineStr">
        <is>
          <t>model_biomass</t>
        </is>
      </c>
      <c r="J112" s="12" t="inlineStr">
        <is>
          <t>medium</t>
        </is>
      </c>
      <c r="K112" s="9" t="inlineStr">
        <is>
          <t>composite_split</t>
        </is>
      </c>
      <c r="L112" s="10" t="inlineStr">
        <is>
          <t>Appendix A1.1 lists this exact catch name under `Carangids`; apportioned over the region 2 and region 3 pools by model biomass; region 1 is the Maldives shelf, outside LME 34.</t>
        </is>
      </c>
      <c r="M112" s="9" t="n">
        <v>1118952.06</v>
      </c>
    </row>
    <row r="113" ht="36" customHeight="1">
      <c r="A113" s="9" t="inlineStr">
        <is>
          <t>LME_034</t>
        </is>
      </c>
      <c r="B113" s="10" t="inlineStr">
        <is>
          <t>34_1_Bay_of_Bengal_(1978)</t>
        </is>
      </c>
      <c r="C113" s="10" t="inlineStr">
        <is>
          <t>Sepia</t>
        </is>
      </c>
      <c r="D113" s="9" t="inlineStr">
        <is>
          <t>Sepia cuttlefishes</t>
        </is>
      </c>
      <c r="E113" s="9" t="inlineStr">
        <is>
          <t>Cephalopods</t>
        </is>
      </c>
      <c r="F113" s="9" t="inlineStr">
        <is>
          <t>Other fishes &amp; inverts</t>
        </is>
      </c>
      <c r="G113" s="10" t="inlineStr">
        <is>
          <t>Cephalopods</t>
        </is>
      </c>
      <c r="H113" s="11" t="n">
        <v>1</v>
      </c>
      <c r="I113" s="9" t="inlineStr">
        <is>
          <t>single</t>
        </is>
      </c>
      <c r="J113" s="13" t="inlineStr">
        <is>
          <t>high</t>
        </is>
      </c>
      <c r="K113" s="9" t="inlineStr">
        <is>
          <t>explicit_member</t>
        </is>
      </c>
      <c r="L113" s="10" t="inlineStr">
        <is>
          <t>Appendix A1.1 lists this exact catch name under `cephalopods`, a group modelled over the whole study area (Appendix A1.2).</t>
        </is>
      </c>
      <c r="M113" s="9" t="n">
        <v>1085754.25</v>
      </c>
    </row>
    <row r="114" ht="36" customHeight="1">
      <c r="A114" s="9" t="inlineStr">
        <is>
          <t>LME_034</t>
        </is>
      </c>
      <c r="B114" s="10" t="inlineStr">
        <is>
          <t>34_1_Bay_of_Bengal_(1978)</t>
        </is>
      </c>
      <c r="C114" s="10" t="inlineStr">
        <is>
          <t>Mugilidae</t>
        </is>
      </c>
      <c r="D114" s="9" t="inlineStr">
        <is>
          <t>Mullets, grey mullets</t>
        </is>
      </c>
      <c r="E114" s="9" t="inlineStr">
        <is>
          <t>Medium reef assoc. fish (30 - 89 cm)</t>
        </is>
      </c>
      <c r="F114" s="9" t="inlineStr">
        <is>
          <t>Perch-likes</t>
        </is>
      </c>
      <c r="G114" s="10" t="inlineStr">
        <is>
          <t>2 SM inv</t>
        </is>
      </c>
      <c r="H114" s="11" t="n">
        <v>0.3170901271842734</v>
      </c>
      <c r="I114" s="9" t="inlineStr">
        <is>
          <t>model_biomass</t>
        </is>
      </c>
      <c r="J114" s="12" t="inlineStr">
        <is>
          <t>medium</t>
        </is>
      </c>
      <c r="K114" s="9" t="inlineStr">
        <is>
          <t>composite_split</t>
        </is>
      </c>
      <c r="L114" s="10" t="inlineStr">
        <is>
          <t>Appendix A1.1 lists this exact catch name under `M inv, S inv`; apportioned over the region 2 and region 3 pools by model biomass; region 1 is the Maldives shelf, outside LME 34.</t>
        </is>
      </c>
      <c r="M114" s="9" t="n">
        <v>1037922.62</v>
      </c>
    </row>
    <row r="115" ht="36" customHeight="1">
      <c r="A115" s="9" t="inlineStr">
        <is>
          <t>LME_034</t>
        </is>
      </c>
      <c r="B115" s="10" t="inlineStr">
        <is>
          <t>34_1_Bay_of_Bengal_(1978)</t>
        </is>
      </c>
      <c r="C115" s="10" t="inlineStr">
        <is>
          <t>Mugilidae</t>
        </is>
      </c>
      <c r="D115" s="9" t="inlineStr">
        <is>
          <t>Mullets, grey mullets</t>
        </is>
      </c>
      <c r="E115" s="9" t="inlineStr">
        <is>
          <t>Medium reef assoc. fish (30 - 89 cm)</t>
        </is>
      </c>
      <c r="F115" s="9" t="inlineStr">
        <is>
          <t>Perch-likes</t>
        </is>
      </c>
      <c r="G115" s="10" t="inlineStr">
        <is>
          <t>3 SM inv</t>
        </is>
      </c>
      <c r="H115" s="11" t="n">
        <v>0.6829098728157266</v>
      </c>
      <c r="I115" s="9" t="inlineStr">
        <is>
          <t>model_biomass</t>
        </is>
      </c>
      <c r="J115" s="12" t="inlineStr">
        <is>
          <t>medium</t>
        </is>
      </c>
      <c r="K115" s="9" t="inlineStr">
        <is>
          <t>composite_split</t>
        </is>
      </c>
      <c r="L115" s="10" t="inlineStr">
        <is>
          <t>Appendix A1.1 lists this exact catch name under `M inv, S inv`; apportioned over the region 2 and region 3 pools by model biomass; region 1 is the Maldives shelf, outside LME 34.</t>
        </is>
      </c>
      <c r="M115" s="9" t="n">
        <v>1037922.62</v>
      </c>
    </row>
    <row r="116" ht="36" customHeight="1">
      <c r="A116" s="9" t="inlineStr">
        <is>
          <t>LME_034</t>
        </is>
      </c>
      <c r="B116" s="10" t="inlineStr">
        <is>
          <t>34_1_Bay_of_Bengal_(1978)</t>
        </is>
      </c>
      <c r="C116" s="10" t="inlineStr">
        <is>
          <t>Thryssa</t>
        </is>
      </c>
      <c r="D116" s="9" t="inlineStr">
        <is>
          <t>Thryssas</t>
        </is>
      </c>
      <c r="E116" s="9" t="inlineStr">
        <is>
          <t>Small pelagics (&lt;30 cm)</t>
        </is>
      </c>
      <c r="F116" s="9" t="inlineStr">
        <is>
          <t>Anchovies</t>
        </is>
      </c>
      <c r="G116" s="10" t="inlineStr">
        <is>
          <t>2 S pelagics</t>
        </is>
      </c>
      <c r="H116" s="11" t="n">
        <v>0.2975985463815478</v>
      </c>
      <c r="I116" s="9" t="inlineStr">
        <is>
          <t>model_biomass</t>
        </is>
      </c>
      <c r="J116" s="12" t="inlineStr">
        <is>
          <t>medium</t>
        </is>
      </c>
      <c r="K116" s="9" t="inlineStr">
        <is>
          <t>composite_split</t>
        </is>
      </c>
      <c r="L116" s="10" t="inlineStr">
        <is>
          <t>Appendix A1.1 lists this exact catch name under `S pelagics`; apportioned over the region 2 and region 3 pools by model biomass; region 1 is the Maldives shelf, outside LME 34.</t>
        </is>
      </c>
      <c r="M116" s="9" t="n">
        <v>1035519.487</v>
      </c>
    </row>
    <row r="117" ht="36" customHeight="1">
      <c r="A117" s="9" t="inlineStr">
        <is>
          <t>LME_034</t>
        </is>
      </c>
      <c r="B117" s="10" t="inlineStr">
        <is>
          <t>34_1_Bay_of_Bengal_(1978)</t>
        </is>
      </c>
      <c r="C117" s="10" t="inlineStr">
        <is>
          <t>Thryssa</t>
        </is>
      </c>
      <c r="D117" s="9" t="inlineStr">
        <is>
          <t>Thryssas</t>
        </is>
      </c>
      <c r="E117" s="9" t="inlineStr">
        <is>
          <t>Small pelagics (&lt;30 cm)</t>
        </is>
      </c>
      <c r="F117" s="9" t="inlineStr">
        <is>
          <t>Anchovies</t>
        </is>
      </c>
      <c r="G117" s="10" t="inlineStr">
        <is>
          <t>3 S pelagics</t>
        </is>
      </c>
      <c r="H117" s="11" t="n">
        <v>0.7024014536184523</v>
      </c>
      <c r="I117" s="9" t="inlineStr">
        <is>
          <t>model_biomass</t>
        </is>
      </c>
      <c r="J117" s="12" t="inlineStr">
        <is>
          <t>medium</t>
        </is>
      </c>
      <c r="K117" s="9" t="inlineStr">
        <is>
          <t>composite_split</t>
        </is>
      </c>
      <c r="L117" s="10" t="inlineStr">
        <is>
          <t>Appendix A1.1 lists this exact catch name under `S pelagics`; apportioned over the region 2 and region 3 pools by model biomass; region 1 is the Maldives shelf, outside LME 34.</t>
        </is>
      </c>
      <c r="M117" s="9" t="n">
        <v>1035519.487</v>
      </c>
    </row>
    <row r="118" ht="36" customHeight="1">
      <c r="A118" s="9" t="inlineStr">
        <is>
          <t>LME_034</t>
        </is>
      </c>
      <c r="B118" s="10" t="inlineStr">
        <is>
          <t>34_1_Bay_of_Bengal_(1978)</t>
        </is>
      </c>
      <c r="C118" s="10" t="inlineStr">
        <is>
          <t>Portunidae</t>
        </is>
      </c>
      <c r="D118" s="9" t="inlineStr">
        <is>
          <t>Swimming crabs</t>
        </is>
      </c>
      <c r="E118" s="9" t="inlineStr">
        <is>
          <t>Lobsters, crabs</t>
        </is>
      </c>
      <c r="F118" s="9" t="inlineStr">
        <is>
          <t>Crustaceans</t>
        </is>
      </c>
      <c r="G118" s="10" t="inlineStr">
        <is>
          <t>2 Crustaceans</t>
        </is>
      </c>
      <c r="H118" s="11" t="n">
        <v>0.2129992169146437</v>
      </c>
      <c r="I118" s="9" t="inlineStr">
        <is>
          <t>model_biomass</t>
        </is>
      </c>
      <c r="J118" s="12" t="inlineStr">
        <is>
          <t>medium</t>
        </is>
      </c>
      <c r="K118" s="9" t="inlineStr">
        <is>
          <t>composite_split</t>
        </is>
      </c>
      <c r="L118" s="10" t="inlineStr">
        <is>
          <t>Appendix A1.1 lists this exact catch name under `Crabs`; apportioned over the region 2 and region 3 pools by model biomass; region 1 is the Maldives shelf, outside LME 34.</t>
        </is>
      </c>
      <c r="M118" s="9" t="n">
        <v>1013200.655</v>
      </c>
    </row>
    <row r="119" ht="36" customHeight="1">
      <c r="A119" s="9" t="inlineStr">
        <is>
          <t>LME_034</t>
        </is>
      </c>
      <c r="B119" s="10" t="inlineStr">
        <is>
          <t>34_1_Bay_of_Bengal_(1978)</t>
        </is>
      </c>
      <c r="C119" s="10" t="inlineStr">
        <is>
          <t>Portunidae</t>
        </is>
      </c>
      <c r="D119" s="9" t="inlineStr">
        <is>
          <t>Swimming crabs</t>
        </is>
      </c>
      <c r="E119" s="9" t="inlineStr">
        <is>
          <t>Lobsters, crabs</t>
        </is>
      </c>
      <c r="F119" s="9" t="inlineStr">
        <is>
          <t>Crustaceans</t>
        </is>
      </c>
      <c r="G119" s="10" t="inlineStr">
        <is>
          <t>3 Crustaceans</t>
        </is>
      </c>
      <c r="H119" s="11" t="n">
        <v>0.7870007830853563</v>
      </c>
      <c r="I119" s="9" t="inlineStr">
        <is>
          <t>model_biomass</t>
        </is>
      </c>
      <c r="J119" s="12" t="inlineStr">
        <is>
          <t>medium</t>
        </is>
      </c>
      <c r="K119" s="9" t="inlineStr">
        <is>
          <t>composite_split</t>
        </is>
      </c>
      <c r="L119" s="10" t="inlineStr">
        <is>
          <t>Appendix A1.1 lists this exact catch name under `Crabs`; apportioned over the region 2 and region 3 pools by model biomass; region 1 is the Maldives shelf, outside LME 34.</t>
        </is>
      </c>
      <c r="M119" s="9" t="n">
        <v>1013200.655</v>
      </c>
    </row>
    <row r="120" ht="51" customHeight="1">
      <c r="A120" s="9" t="inlineStr">
        <is>
          <t>LME_034</t>
        </is>
      </c>
      <c r="B120" s="10" t="inlineStr">
        <is>
          <t>34_1_Bay_of_Bengal_(1978)</t>
        </is>
      </c>
      <c r="C120" s="10" t="inlineStr">
        <is>
          <t>Pterotolithus maculatus</t>
        </is>
      </c>
      <c r="D120" s="9" t="inlineStr">
        <is>
          <t>Blotched tiger-toothed croaker</t>
        </is>
      </c>
      <c r="E120" s="9" t="inlineStr">
        <is>
          <t>Small pelagics (&lt;30 cm)</t>
        </is>
      </c>
      <c r="F120" s="9" t="inlineStr">
        <is>
          <t>Perch-likes</t>
        </is>
      </c>
      <c r="G120" s="10" t="inlineStr">
        <is>
          <t>2 L pisc comm</t>
        </is>
      </c>
      <c r="H120" s="11" t="n">
        <v>0.4790991864112831</v>
      </c>
      <c r="I120" s="9" t="inlineStr">
        <is>
          <t>model_biomass</t>
        </is>
      </c>
      <c r="J120" s="12" t="inlineStr">
        <is>
          <t>medium</t>
        </is>
      </c>
      <c r="K120" s="9" t="inlineStr">
        <is>
          <t>composite_split</t>
        </is>
      </c>
      <c r="L120" s="10" t="inlineStr">
        <is>
          <t>Appendix A1.3 lists Pterotolithus maculatus, in the sciaenid block of in the `L pisc comm` species list. Apportioned over the region 2 and region 3 pools by model biomass; region 1 is the Maldives shelf, outside LME 34.</t>
        </is>
      </c>
      <c r="M120" s="9" t="n">
        <v>1007970.642</v>
      </c>
    </row>
    <row r="121" ht="51" customHeight="1">
      <c r="A121" s="9" t="inlineStr">
        <is>
          <t>LME_034</t>
        </is>
      </c>
      <c r="B121" s="10" t="inlineStr">
        <is>
          <t>34_1_Bay_of_Bengal_(1978)</t>
        </is>
      </c>
      <c r="C121" s="10" t="inlineStr">
        <is>
          <t>Pterotolithus maculatus</t>
        </is>
      </c>
      <c r="D121" s="9" t="inlineStr">
        <is>
          <t>Blotched tiger-toothed croaker</t>
        </is>
      </c>
      <c r="E121" s="9" t="inlineStr">
        <is>
          <t>Small pelagics (&lt;30 cm)</t>
        </is>
      </c>
      <c r="F121" s="9" t="inlineStr">
        <is>
          <t>Perch-likes</t>
        </is>
      </c>
      <c r="G121" s="10" t="inlineStr">
        <is>
          <t>3 L pisc comm</t>
        </is>
      </c>
      <c r="H121" s="11" t="n">
        <v>0.5209008135887169</v>
      </c>
      <c r="I121" s="9" t="inlineStr">
        <is>
          <t>model_biomass</t>
        </is>
      </c>
      <c r="J121" s="12" t="inlineStr">
        <is>
          <t>medium</t>
        </is>
      </c>
      <c r="K121" s="9" t="inlineStr">
        <is>
          <t>composite_split</t>
        </is>
      </c>
      <c r="L121" s="10" t="inlineStr">
        <is>
          <t>Appendix A1.3 lists Pterotolithus maculatus, in the sciaenid block of in the `L pisc comm` species list. Apportioned over the region 2 and region 3 pools by model biomass; region 1 is the Maldives shelf, outside LME 34.</t>
        </is>
      </c>
      <c r="M121" s="9" t="n">
        <v>1007970.642</v>
      </c>
    </row>
    <row r="122" ht="51" customHeight="1">
      <c r="A122" s="9" t="inlineStr">
        <is>
          <t>LME_034</t>
        </is>
      </c>
      <c r="B122" s="10" t="inlineStr">
        <is>
          <t>34_1_Bay_of_Bengal_(1978)</t>
        </is>
      </c>
      <c r="C122" s="10" t="inlineStr">
        <is>
          <t>Rastrelliger brachysoma</t>
        </is>
      </c>
      <c r="D122" s="9" t="inlineStr">
        <is>
          <t>Short mackerel</t>
        </is>
      </c>
      <c r="E122" s="9" t="inlineStr">
        <is>
          <t>Medium pelagics (30 - 89 cm)</t>
        </is>
      </c>
      <c r="F122" s="9" t="inlineStr">
        <is>
          <t>Perch-likes</t>
        </is>
      </c>
      <c r="G122" s="10" t="inlineStr">
        <is>
          <t>2-3 Indian mackerel</t>
        </is>
      </c>
      <c r="H122" s="11" t="n">
        <v>1</v>
      </c>
      <c r="I122" s="9" t="inlineStr">
        <is>
          <t>single</t>
        </is>
      </c>
      <c r="J122" s="13" t="inlineStr">
        <is>
          <t>high</t>
        </is>
      </c>
      <c r="K122" s="9" t="inlineStr">
        <is>
          <t>explicit_member</t>
        </is>
      </c>
      <c r="L122" s="10" t="inlineStr">
        <is>
          <t>Appendix A1.1 lists this exact catch name under `Indian mackerel`, which the model carries as one group straddling the shelves of regions 2 and 3 (Appendix A1.2), so no regional split applies.</t>
        </is>
      </c>
      <c r="M122" s="9" t="n">
        <v>999158.268</v>
      </c>
    </row>
    <row r="123" ht="36" customHeight="1">
      <c r="A123" s="9" t="inlineStr">
        <is>
          <t>LME_034</t>
        </is>
      </c>
      <c r="B123" s="10" t="inlineStr">
        <is>
          <t>34_1_Bay_of_Bengal_(1978)</t>
        </is>
      </c>
      <c r="C123" s="10" t="inlineStr">
        <is>
          <t>Polynemidae</t>
        </is>
      </c>
      <c r="D123" s="9" t="inlineStr">
        <is>
          <t>Threadfins</t>
        </is>
      </c>
      <c r="E123" s="9" t="inlineStr">
        <is>
          <t>Small demersals (&lt;30 cm)</t>
        </is>
      </c>
      <c r="F123" s="9" t="inlineStr">
        <is>
          <t>Perch-likes</t>
        </is>
      </c>
      <c r="G123" s="10" t="inlineStr">
        <is>
          <t>2 L pisc</t>
        </is>
      </c>
      <c r="H123" s="11" t="n">
        <v>0.09211754045054156</v>
      </c>
      <c r="I123" s="9" t="inlineStr">
        <is>
          <t>model_biomass</t>
        </is>
      </c>
      <c r="J123" s="12" t="inlineStr">
        <is>
          <t>medium</t>
        </is>
      </c>
      <c r="K123" s="9" t="inlineStr">
        <is>
          <t>composite_split</t>
        </is>
      </c>
      <c r="L123" s="10" t="inlineStr">
        <is>
          <t>Appendix A1.1 lists this exact catch name under `L pisc, SM inv`; apportioned over the region 2 and region 3 pools by model biomass; region 1 is the Maldives shelf, outside LME 34.</t>
        </is>
      </c>
      <c r="M123" s="9" t="n">
        <v>976298.669</v>
      </c>
    </row>
    <row r="124" ht="36" customHeight="1">
      <c r="A124" s="9" t="inlineStr">
        <is>
          <t>LME_034</t>
        </is>
      </c>
      <c r="B124" s="10" t="inlineStr">
        <is>
          <t>34_1_Bay_of_Bengal_(1978)</t>
        </is>
      </c>
      <c r="C124" s="10" t="inlineStr">
        <is>
          <t>Polynemidae</t>
        </is>
      </c>
      <c r="D124" s="9" t="inlineStr">
        <is>
          <t>Threadfins</t>
        </is>
      </c>
      <c r="E124" s="9" t="inlineStr">
        <is>
          <t>Small demersals (&lt;30 cm)</t>
        </is>
      </c>
      <c r="F124" s="9" t="inlineStr">
        <is>
          <t>Perch-likes</t>
        </is>
      </c>
      <c r="G124" s="10" t="inlineStr">
        <is>
          <t>3 L pisc</t>
        </is>
      </c>
      <c r="H124" s="11" t="n">
        <v>0.1128017052145765</v>
      </c>
      <c r="I124" s="9" t="inlineStr">
        <is>
          <t>model_biomass</t>
        </is>
      </c>
      <c r="J124" s="12" t="inlineStr">
        <is>
          <t>medium</t>
        </is>
      </c>
      <c r="K124" s="9" t="inlineStr">
        <is>
          <t>composite_split</t>
        </is>
      </c>
      <c r="L124" s="10" t="inlineStr">
        <is>
          <t>Appendix A1.1 lists this exact catch name under `L pisc, SM inv`; apportioned over the region 2 and region 3 pools by model biomass; region 1 is the Maldives shelf, outside LME 34.</t>
        </is>
      </c>
      <c r="M124" s="9" t="n">
        <v>976298.669</v>
      </c>
    </row>
    <row r="125" ht="36" customHeight="1">
      <c r="A125" s="9" t="inlineStr">
        <is>
          <t>LME_034</t>
        </is>
      </c>
      <c r="B125" s="10" t="inlineStr">
        <is>
          <t>34_1_Bay_of_Bengal_(1978)</t>
        </is>
      </c>
      <c r="C125" s="10" t="inlineStr">
        <is>
          <t>Polynemidae</t>
        </is>
      </c>
      <c r="D125" s="9" t="inlineStr">
        <is>
          <t>Threadfins</t>
        </is>
      </c>
      <c r="E125" s="9" t="inlineStr">
        <is>
          <t>Small demersals (&lt;30 cm)</t>
        </is>
      </c>
      <c r="F125" s="9" t="inlineStr">
        <is>
          <t>Perch-likes</t>
        </is>
      </c>
      <c r="G125" s="10" t="inlineStr">
        <is>
          <t>2 SM inv</t>
        </is>
      </c>
      <c r="H125" s="11" t="n">
        <v>0.2521122575138158</v>
      </c>
      <c r="I125" s="9" t="inlineStr">
        <is>
          <t>model_biomass</t>
        </is>
      </c>
      <c r="J125" s="12" t="inlineStr">
        <is>
          <t>medium</t>
        </is>
      </c>
      <c r="K125" s="9" t="inlineStr">
        <is>
          <t>composite_split</t>
        </is>
      </c>
      <c r="L125" s="10" t="inlineStr">
        <is>
          <t>Appendix A1.1 lists this exact catch name under `L pisc, SM inv`; apportioned over the region 2 and region 3 pools by model biomass; region 1 is the Maldives shelf, outside LME 34.</t>
        </is>
      </c>
      <c r="M125" s="9" t="n">
        <v>976298.669</v>
      </c>
    </row>
    <row r="126" ht="36" customHeight="1">
      <c r="A126" s="9" t="inlineStr">
        <is>
          <t>LME_034</t>
        </is>
      </c>
      <c r="B126" s="10" t="inlineStr">
        <is>
          <t>34_1_Bay_of_Bengal_(1978)</t>
        </is>
      </c>
      <c r="C126" s="10" t="inlineStr">
        <is>
          <t>Polynemidae</t>
        </is>
      </c>
      <c r="D126" s="9" t="inlineStr">
        <is>
          <t>Threadfins</t>
        </is>
      </c>
      <c r="E126" s="9" t="inlineStr">
        <is>
          <t>Small demersals (&lt;30 cm)</t>
        </is>
      </c>
      <c r="F126" s="9" t="inlineStr">
        <is>
          <t>Perch-likes</t>
        </is>
      </c>
      <c r="G126" s="10" t="inlineStr">
        <is>
          <t>3 SM inv</t>
        </is>
      </c>
      <c r="H126" s="11" t="n">
        <v>0.5429684968210662</v>
      </c>
      <c r="I126" s="9" t="inlineStr">
        <is>
          <t>model_biomass</t>
        </is>
      </c>
      <c r="J126" s="12" t="inlineStr">
        <is>
          <t>medium</t>
        </is>
      </c>
      <c r="K126" s="9" t="inlineStr">
        <is>
          <t>composite_split</t>
        </is>
      </c>
      <c r="L126" s="10" t="inlineStr">
        <is>
          <t>Appendix A1.1 lists this exact catch name under `L pisc, SM inv`; apportioned over the region 2 and region 3 pools by model biomass; region 1 is the Maldives shelf, outside LME 34.</t>
        </is>
      </c>
      <c r="M126" s="9" t="n">
        <v>976298.669</v>
      </c>
    </row>
    <row r="127" ht="36" customHeight="1">
      <c r="A127" s="9" t="inlineStr">
        <is>
          <t>LME_034</t>
        </is>
      </c>
      <c r="B127" s="10" t="inlineStr">
        <is>
          <t>34_1_Bay_of_Bengal_(1978)</t>
        </is>
      </c>
      <c r="C127" s="10" t="inlineStr">
        <is>
          <t>Thunnus albacares</t>
        </is>
      </c>
      <c r="D127" s="9" t="inlineStr">
        <is>
          <t>Yellowfin tuna</t>
        </is>
      </c>
      <c r="E127" s="9" t="inlineStr">
        <is>
          <t>Large pelagics (&gt;=90 cm)</t>
        </is>
      </c>
      <c r="F127" s="9" t="inlineStr">
        <is>
          <t>Tuna &amp; billfishes</t>
        </is>
      </c>
      <c r="G127" s="10" t="inlineStr">
        <is>
          <t>Yellowfin tuna</t>
        </is>
      </c>
      <c r="H127" s="11" t="n">
        <v>1</v>
      </c>
      <c r="I127" s="9" t="inlineStr">
        <is>
          <t>single</t>
        </is>
      </c>
      <c r="J127" s="13" t="inlineStr">
        <is>
          <t>high</t>
        </is>
      </c>
      <c r="K127" s="9" t="inlineStr">
        <is>
          <t>explicit_member</t>
        </is>
      </c>
      <c r="L127" s="10" t="inlineStr">
        <is>
          <t>Appendix A1.1 lists this exact catch name under `Yellowfin tuna`, a group modelled over the whole study area (Appendix A1.2).</t>
        </is>
      </c>
      <c r="M127" s="9" t="n">
        <v>968421.249</v>
      </c>
    </row>
    <row r="128" ht="36" customHeight="1">
      <c r="A128" s="9" t="inlineStr">
        <is>
          <t>LME_034</t>
        </is>
      </c>
      <c r="B128" s="10" t="inlineStr">
        <is>
          <t>34_1_Bay_of_Bengal_(1978)</t>
        </is>
      </c>
      <c r="C128" s="10" t="inlineStr">
        <is>
          <t>Mullidae</t>
        </is>
      </c>
      <c r="D128" s="9" t="inlineStr">
        <is>
          <t>Goatfishes</t>
        </is>
      </c>
      <c r="E128" s="9" t="inlineStr">
        <is>
          <t>Medium reef assoc. fish (30 - 89 cm)</t>
        </is>
      </c>
      <c r="F128" s="9" t="inlineStr">
        <is>
          <t>Perch-likes</t>
        </is>
      </c>
      <c r="G128" s="10" t="inlineStr">
        <is>
          <t>2 SM inv</t>
        </is>
      </c>
      <c r="H128" s="11" t="n">
        <v>0.3170901271842734</v>
      </c>
      <c r="I128" s="9" t="inlineStr">
        <is>
          <t>model_biomass</t>
        </is>
      </c>
      <c r="J128" s="12" t="inlineStr">
        <is>
          <t>medium</t>
        </is>
      </c>
      <c r="K128" s="9" t="inlineStr">
        <is>
          <t>composite_split</t>
        </is>
      </c>
      <c r="L128" s="10" t="inlineStr">
        <is>
          <t>Appendix A1.1 lists this exact catch name under `SM inv`; apportioned over the region 2 and region 3 pools by model biomass; region 1 is the Maldives shelf, outside LME 34.</t>
        </is>
      </c>
      <c r="M128" s="9" t="n">
        <v>940283.532</v>
      </c>
    </row>
    <row r="129" ht="36" customHeight="1">
      <c r="A129" s="9" t="inlineStr">
        <is>
          <t>LME_034</t>
        </is>
      </c>
      <c r="B129" s="10" t="inlineStr">
        <is>
          <t>34_1_Bay_of_Bengal_(1978)</t>
        </is>
      </c>
      <c r="C129" s="10" t="inlineStr">
        <is>
          <t>Mullidae</t>
        </is>
      </c>
      <c r="D129" s="9" t="inlineStr">
        <is>
          <t>Goatfishes</t>
        </is>
      </c>
      <c r="E129" s="9" t="inlineStr">
        <is>
          <t>Medium reef assoc. fish (30 - 89 cm)</t>
        </is>
      </c>
      <c r="F129" s="9" t="inlineStr">
        <is>
          <t>Perch-likes</t>
        </is>
      </c>
      <c r="G129" s="10" t="inlineStr">
        <is>
          <t>3 SM inv</t>
        </is>
      </c>
      <c r="H129" s="11" t="n">
        <v>0.6829098728157266</v>
      </c>
      <c r="I129" s="9" t="inlineStr">
        <is>
          <t>model_biomass</t>
        </is>
      </c>
      <c r="J129" s="12" t="inlineStr">
        <is>
          <t>medium</t>
        </is>
      </c>
      <c r="K129" s="9" t="inlineStr">
        <is>
          <t>composite_split</t>
        </is>
      </c>
      <c r="L129" s="10" t="inlineStr">
        <is>
          <t>Appendix A1.1 lists this exact catch name under `SM inv`; apportioned over the region 2 and region 3 pools by model biomass; region 1 is the Maldives shelf, outside LME 34.</t>
        </is>
      </c>
      <c r="M129" s="9" t="n">
        <v>940283.532</v>
      </c>
    </row>
    <row r="130" ht="36" customHeight="1">
      <c r="A130" s="9" t="inlineStr">
        <is>
          <t>LME_034</t>
        </is>
      </c>
      <c r="B130" s="10" t="inlineStr">
        <is>
          <t>34_1_Bay_of_Bengal_(1978)</t>
        </is>
      </c>
      <c r="C130" s="10" t="inlineStr">
        <is>
          <t>Saurida tumbil</t>
        </is>
      </c>
      <c r="D130" s="9" t="inlineStr">
        <is>
          <t>Greater lizardfish</t>
        </is>
      </c>
      <c r="E130" s="9" t="inlineStr">
        <is>
          <t>Medium demersals (30 - 89 cm)</t>
        </is>
      </c>
      <c r="F130" s="9" t="inlineStr">
        <is>
          <t>Other fishes &amp; inverts</t>
        </is>
      </c>
      <c r="G130" s="10" t="inlineStr">
        <is>
          <t>2 L pisc comm</t>
        </is>
      </c>
      <c r="H130" s="11" t="n">
        <v>0.4790991864112831</v>
      </c>
      <c r="I130" s="9" t="inlineStr">
        <is>
          <t>model_biomass</t>
        </is>
      </c>
      <c r="J130" s="12" t="inlineStr">
        <is>
          <t>medium</t>
        </is>
      </c>
      <c r="K130" s="9" t="inlineStr">
        <is>
          <t>composite_split</t>
        </is>
      </c>
      <c r="L130" s="10" t="inlineStr">
        <is>
          <t>Appendix A1.1 lists this exact catch name under `L pisc comm`; apportioned over the region 2 and region 3 pools by model biomass; region 1 is the Maldives shelf, outside LME 34.</t>
        </is>
      </c>
      <c r="M130" s="9" t="n">
        <v>936600.4179999999</v>
      </c>
    </row>
    <row r="131" ht="36" customHeight="1">
      <c r="A131" s="9" t="inlineStr">
        <is>
          <t>LME_034</t>
        </is>
      </c>
      <c r="B131" s="10" t="inlineStr">
        <is>
          <t>34_1_Bay_of_Bengal_(1978)</t>
        </is>
      </c>
      <c r="C131" s="10" t="inlineStr">
        <is>
          <t>Saurida tumbil</t>
        </is>
      </c>
      <c r="D131" s="9" t="inlineStr">
        <is>
          <t>Greater lizardfish</t>
        </is>
      </c>
      <c r="E131" s="9" t="inlineStr">
        <is>
          <t>Medium demersals (30 - 89 cm)</t>
        </is>
      </c>
      <c r="F131" s="9" t="inlineStr">
        <is>
          <t>Other fishes &amp; inverts</t>
        </is>
      </c>
      <c r="G131" s="10" t="inlineStr">
        <is>
          <t>3 L pisc comm</t>
        </is>
      </c>
      <c r="H131" s="11" t="n">
        <v>0.5209008135887169</v>
      </c>
      <c r="I131" s="9" t="inlineStr">
        <is>
          <t>model_biomass</t>
        </is>
      </c>
      <c r="J131" s="12" t="inlineStr">
        <is>
          <t>medium</t>
        </is>
      </c>
      <c r="K131" s="9" t="inlineStr">
        <is>
          <t>composite_split</t>
        </is>
      </c>
      <c r="L131" s="10" t="inlineStr">
        <is>
          <t>Appendix A1.1 lists this exact catch name under `L pisc comm`; apportioned over the region 2 and region 3 pools by model biomass; region 1 is the Maldives shelf, outside LME 34.</t>
        </is>
      </c>
      <c r="M131" s="9" t="n">
        <v>936600.4179999999</v>
      </c>
    </row>
    <row r="132" ht="21" customHeight="1">
      <c r="A132" s="9" t="inlineStr">
        <is>
          <t>LME_034</t>
        </is>
      </c>
      <c r="B132" s="10" t="inlineStr">
        <is>
          <t>34_1_Bay_of_Bengal_(1978)</t>
        </is>
      </c>
      <c r="C132" s="10" t="inlineStr">
        <is>
          <t>Scomberomorus guttatus</t>
        </is>
      </c>
      <c r="D132" s="9" t="inlineStr">
        <is>
          <t>Indo-Pacific king mackerel</t>
        </is>
      </c>
      <c r="E132" s="9" t="inlineStr">
        <is>
          <t>Medium pelagics (30 - 89 cm)</t>
        </is>
      </c>
      <c r="F132" s="9" t="inlineStr">
        <is>
          <t>Perch-likes</t>
        </is>
      </c>
      <c r="G132" s="10" t="inlineStr">
        <is>
          <t>Coastal scombrids</t>
        </is>
      </c>
      <c r="H132" s="11" t="n">
        <v>1</v>
      </c>
      <c r="I132" s="9" t="inlineStr">
        <is>
          <t>single</t>
        </is>
      </c>
      <c r="J132" s="13" t="inlineStr">
        <is>
          <t>high</t>
        </is>
      </c>
      <c r="K132" s="9" t="inlineStr">
        <is>
          <t>explicit_member</t>
        </is>
      </c>
      <c r="L132" s="10" t="inlineStr">
        <is>
          <t>Appendix A1.3 lists Scomberomorus guttatus in the `coastal scombrid` species list.</t>
        </is>
      </c>
      <c r="M132" s="9" t="n">
        <v>927088.841</v>
      </c>
    </row>
    <row r="133" ht="36" customHeight="1">
      <c r="A133" s="9" t="inlineStr">
        <is>
          <t>LME_034</t>
        </is>
      </c>
      <c r="B133" s="10" t="inlineStr">
        <is>
          <t>34_1_Bay_of_Bengal_(1978)</t>
        </is>
      </c>
      <c r="C133" s="10" t="inlineStr">
        <is>
          <t>Priacanthus</t>
        </is>
      </c>
      <c r="D133" s="9" t="inlineStr">
        <is>
          <t>Bigeyes</t>
        </is>
      </c>
      <c r="E133" s="9" t="inlineStr">
        <is>
          <t>Medium reef assoc. fish (30 - 89 cm)</t>
        </is>
      </c>
      <c r="F133" s="9" t="inlineStr">
        <is>
          <t>Perch-likes</t>
        </is>
      </c>
      <c r="G133" s="10" t="inlineStr">
        <is>
          <t>2 SM pisc</t>
        </is>
      </c>
      <c r="H133" s="11" t="n">
        <v>0.3055989990616202</v>
      </c>
      <c r="I133" s="9" t="inlineStr">
        <is>
          <t>model_biomass</t>
        </is>
      </c>
      <c r="J133" s="12" t="inlineStr">
        <is>
          <t>medium</t>
        </is>
      </c>
      <c r="K133" s="9" t="inlineStr">
        <is>
          <t>composite_split</t>
        </is>
      </c>
      <c r="L133" s="10" t="inlineStr">
        <is>
          <t>Appendix A1.1 lists this exact catch name under `SM pisc`; apportioned over the region 2 and region 3 pools by model biomass; region 1 is the Maldives shelf, outside LME 34.</t>
        </is>
      </c>
      <c r="M133" s="9" t="n">
        <v>913014.392</v>
      </c>
    </row>
    <row r="134" ht="36" customHeight="1">
      <c r="A134" s="9" t="inlineStr">
        <is>
          <t>LME_034</t>
        </is>
      </c>
      <c r="B134" s="10" t="inlineStr">
        <is>
          <t>34_1_Bay_of_Bengal_(1978)</t>
        </is>
      </c>
      <c r="C134" s="10" t="inlineStr">
        <is>
          <t>Priacanthus</t>
        </is>
      </c>
      <c r="D134" s="9" t="inlineStr">
        <is>
          <t>Bigeyes</t>
        </is>
      </c>
      <c r="E134" s="9" t="inlineStr">
        <is>
          <t>Medium reef assoc. fish (30 - 89 cm)</t>
        </is>
      </c>
      <c r="F134" s="9" t="inlineStr">
        <is>
          <t>Perch-likes</t>
        </is>
      </c>
      <c r="G134" s="10" t="inlineStr">
        <is>
          <t>3 SM pisc</t>
        </is>
      </c>
      <c r="H134" s="11" t="n">
        <v>0.6944010009383798</v>
      </c>
      <c r="I134" s="9" t="inlineStr">
        <is>
          <t>model_biomass</t>
        </is>
      </c>
      <c r="J134" s="12" t="inlineStr">
        <is>
          <t>medium</t>
        </is>
      </c>
      <c r="K134" s="9" t="inlineStr">
        <is>
          <t>composite_split</t>
        </is>
      </c>
      <c r="L134" s="10" t="inlineStr">
        <is>
          <t>Appendix A1.1 lists this exact catch name under `SM pisc`; apportioned over the region 2 and region 3 pools by model biomass; region 1 is the Maldives shelf, outside LME 34.</t>
        </is>
      </c>
      <c r="M134" s="9" t="n">
        <v>913014.392</v>
      </c>
    </row>
    <row r="135" ht="66" customHeight="1">
      <c r="A135" s="9" t="inlineStr">
        <is>
          <t>LME_034</t>
        </is>
      </c>
      <c r="B135" s="10" t="inlineStr">
        <is>
          <t>34_1_Bay_of_Bengal_(1978)</t>
        </is>
      </c>
      <c r="C135" s="10" t="inlineStr">
        <is>
          <t>Marine pelagic fishes not identified</t>
        </is>
      </c>
      <c r="D135" s="9" t="inlineStr">
        <is>
          <t>Pelagic fishes</t>
        </is>
      </c>
      <c r="E135" s="9" t="inlineStr">
        <is>
          <t>Medium pelagics (30 - 89 cm)</t>
        </is>
      </c>
      <c r="F135" s="9" t="inlineStr">
        <is>
          <t>Other fishes &amp; inverts</t>
        </is>
      </c>
      <c r="G135" s="10" t="inlineStr">
        <is>
          <t>2 S pelagics</t>
        </is>
      </c>
      <c r="H135" s="11" t="n">
        <v>0.1824527664008247</v>
      </c>
      <c r="I135" s="9" t="inlineStr">
        <is>
          <t>model_biomass</t>
        </is>
      </c>
      <c r="J135" s="12" t="inlineStr">
        <is>
          <t>medium</t>
        </is>
      </c>
      <c r="K135" s="9" t="inlineStr">
        <is>
          <t>composite_split</t>
        </is>
      </c>
      <c r="L135" s="10" t="inlineStr">
        <is>
          <t>Appendix A1.1 sends `Marine pelagic fishes nei` to the residual `Miscellaneous fishes`; the Sea Around Us class (medium pelagics) restricts the candidate set to the model's small-pelagic and carangid pools, excluding the demersal ones; apportioned over the region 2 and region 3 pools by model biomass; region 1 is the Maldives shelf, outside LME 34.</t>
        </is>
      </c>
      <c r="M135" s="9" t="n">
        <v>888209.162</v>
      </c>
    </row>
    <row r="136" ht="66" customHeight="1">
      <c r="A136" s="9" t="inlineStr">
        <is>
          <t>LME_034</t>
        </is>
      </c>
      <c r="B136" s="10" t="inlineStr">
        <is>
          <t>34_1_Bay_of_Bengal_(1978)</t>
        </is>
      </c>
      <c r="C136" s="10" t="inlineStr">
        <is>
          <t>Marine pelagic fishes not identified</t>
        </is>
      </c>
      <c r="D136" s="9" t="inlineStr">
        <is>
          <t>Pelagic fishes</t>
        </is>
      </c>
      <c r="E136" s="9" t="inlineStr">
        <is>
          <t>Medium pelagics (30 - 89 cm)</t>
        </is>
      </c>
      <c r="F136" s="9" t="inlineStr">
        <is>
          <t>Other fishes &amp; inverts</t>
        </is>
      </c>
      <c r="G136" s="10" t="inlineStr">
        <is>
          <t>3 S pelagics</t>
        </is>
      </c>
      <c r="H136" s="11" t="n">
        <v>0.4306307604484767</v>
      </c>
      <c r="I136" s="9" t="inlineStr">
        <is>
          <t>model_biomass</t>
        </is>
      </c>
      <c r="J136" s="12" t="inlineStr">
        <is>
          <t>medium</t>
        </is>
      </c>
      <c r="K136" s="9" t="inlineStr">
        <is>
          <t>composite_split</t>
        </is>
      </c>
      <c r="L136" s="10" t="inlineStr">
        <is>
          <t>Appendix A1.1 sends `Marine pelagic fishes nei` to the residual `Miscellaneous fishes`; the Sea Around Us class (medium pelagics) restricts the candidate set to the model's small-pelagic and carangid pools, excluding the demersal ones; apportioned over the region 2 and region 3 pools by model biomass; region 1 is the Maldives shelf, outside LME 34.</t>
        </is>
      </c>
      <c r="M136" s="9" t="n">
        <v>888209.162</v>
      </c>
    </row>
    <row r="137" ht="66" customHeight="1">
      <c r="A137" s="9" t="inlineStr">
        <is>
          <t>LME_034</t>
        </is>
      </c>
      <c r="B137" s="10" t="inlineStr">
        <is>
          <t>34_1_Bay_of_Bengal_(1978)</t>
        </is>
      </c>
      <c r="C137" s="10" t="inlineStr">
        <is>
          <t>Marine pelagic fishes not identified</t>
        </is>
      </c>
      <c r="D137" s="9" t="inlineStr">
        <is>
          <t>Pelagic fishes</t>
        </is>
      </c>
      <c r="E137" s="9" t="inlineStr">
        <is>
          <t>Medium pelagics (30 - 89 cm)</t>
        </is>
      </c>
      <c r="F137" s="9" t="inlineStr">
        <is>
          <t>Other fishes &amp; inverts</t>
        </is>
      </c>
      <c r="G137" s="10" t="inlineStr">
        <is>
          <t>2 Carangids</t>
        </is>
      </c>
      <c r="H137" s="11" t="n">
        <v>0.1177722478704007</v>
      </c>
      <c r="I137" s="9" t="inlineStr">
        <is>
          <t>model_biomass</t>
        </is>
      </c>
      <c r="J137" s="12" t="inlineStr">
        <is>
          <t>medium</t>
        </is>
      </c>
      <c r="K137" s="9" t="inlineStr">
        <is>
          <t>composite_split</t>
        </is>
      </c>
      <c r="L137" s="10" t="inlineStr">
        <is>
          <t>Appendix A1.1 sends `Marine pelagic fishes nei` to the residual `Miscellaneous fishes`; the Sea Around Us class (medium pelagics) restricts the candidate set to the model's small-pelagic and carangid pools, excluding the demersal ones; apportioned over the region 2 and region 3 pools by model biomass; region 1 is the Maldives shelf, outside LME 34.</t>
        </is>
      </c>
      <c r="M137" s="9" t="n">
        <v>888209.162</v>
      </c>
    </row>
    <row r="138" ht="66" customHeight="1">
      <c r="A138" s="9" t="inlineStr">
        <is>
          <t>LME_034</t>
        </is>
      </c>
      <c r="B138" s="10" t="inlineStr">
        <is>
          <t>34_1_Bay_of_Bengal_(1978)</t>
        </is>
      </c>
      <c r="C138" s="10" t="inlineStr">
        <is>
          <t>Marine pelagic fishes not identified</t>
        </is>
      </c>
      <c r="D138" s="9" t="inlineStr">
        <is>
          <t>Pelagic fishes</t>
        </is>
      </c>
      <c r="E138" s="9" t="inlineStr">
        <is>
          <t>Medium pelagics (30 - 89 cm)</t>
        </is>
      </c>
      <c r="F138" s="9" t="inlineStr">
        <is>
          <t>Other fishes &amp; inverts</t>
        </is>
      </c>
      <c r="G138" s="10" t="inlineStr">
        <is>
          <t>3 Carangids</t>
        </is>
      </c>
      <c r="H138" s="11" t="n">
        <v>0.269144225280298</v>
      </c>
      <c r="I138" s="9" t="inlineStr">
        <is>
          <t>model_biomass</t>
        </is>
      </c>
      <c r="J138" s="12" t="inlineStr">
        <is>
          <t>medium</t>
        </is>
      </c>
      <c r="K138" s="9" t="inlineStr">
        <is>
          <t>composite_split</t>
        </is>
      </c>
      <c r="L138" s="10" t="inlineStr">
        <is>
          <t>Appendix A1.1 sends `Marine pelagic fishes nei` to the residual `Miscellaneous fishes`; the Sea Around Us class (medium pelagics) restricts the candidate set to the model's small-pelagic and carangid pools, excluding the demersal ones; apportioned over the region 2 and region 3 pools by model biomass; region 1 is the Maldives shelf, outside LME 34.</t>
        </is>
      </c>
      <c r="M138" s="9" t="n">
        <v>888209.162</v>
      </c>
    </row>
    <row r="139" ht="66" customHeight="1">
      <c r="A139" s="9" t="inlineStr">
        <is>
          <t>LME_034</t>
        </is>
      </c>
      <c r="B139" s="10" t="inlineStr">
        <is>
          <t>34_1_Bay_of_Bengal_(1978)</t>
        </is>
      </c>
      <c r="C139" s="10" t="inlineStr">
        <is>
          <t>Batoidea</t>
        </is>
      </c>
      <c r="D139" s="9" t="inlineStr">
        <is>
          <t>Batoids, skates, rays, sawfishes</t>
        </is>
      </c>
      <c r="E139" s="9" t="inlineStr">
        <is>
          <t>Large rays (&gt;=90 cm)</t>
        </is>
      </c>
      <c r="F139" s="9" t="inlineStr">
        <is>
          <t>Sharks &amp; rays</t>
        </is>
      </c>
      <c r="G139" s="10" t="inlineStr">
        <is>
          <t>Coastal elasmobranch</t>
        </is>
      </c>
      <c r="H139" s="11" t="n">
        <v>1</v>
      </c>
      <c r="I139" s="9" t="inlineStr">
        <is>
          <t>single</t>
        </is>
      </c>
      <c r="J139" s="12" t="inlineStr">
        <is>
          <t>medium</t>
        </is>
      </c>
      <c r="K139" s="9" t="inlineStr">
        <is>
          <t>taxonomic_containment</t>
        </is>
      </c>
      <c r="L139" s="10" t="inlineStr">
        <is>
          <t>Appendix A1.1 sends every elasmobranch nei label to `oceanic, coastal sharks`, but Appendix A1.3 places all of the model's batoids - Rhynchobatus, Glaucostegus, Dasyatis, six Himantura, Aetobatus, Rhinoptera, two Mobula and two Aetomylaeus - in Coastal elasmobranch; the only batoid in Oceanic sharks is the oceanic pelagic stingray.</t>
        </is>
      </c>
      <c r="M139" s="9" t="n">
        <v>859915.397</v>
      </c>
    </row>
    <row r="140" ht="36" customHeight="1">
      <c r="A140" s="9" t="inlineStr">
        <is>
          <t>LME_034</t>
        </is>
      </c>
      <c r="B140" s="10" t="inlineStr">
        <is>
          <t>34_1_Bay_of_Bengal_(1978)</t>
        </is>
      </c>
      <c r="C140" s="10" t="inlineStr">
        <is>
          <t>Parapenaeopsis</t>
        </is>
      </c>
      <c r="D140" s="9" t="inlineStr">
        <is>
          <t>Leafy-legged shrimps</t>
        </is>
      </c>
      <c r="E140" s="9" t="inlineStr">
        <is>
          <t>Shrimps</t>
        </is>
      </c>
      <c r="F140" s="9" t="inlineStr">
        <is>
          <t>Crustaceans</t>
        </is>
      </c>
      <c r="G140" s="10" t="inlineStr">
        <is>
          <t>2 Crustaceans</t>
        </is>
      </c>
      <c r="H140" s="11" t="n">
        <v>0.2129992169146437</v>
      </c>
      <c r="I140" s="9" t="inlineStr">
        <is>
          <t>model_biomass</t>
        </is>
      </c>
      <c r="J140" s="12" t="inlineStr">
        <is>
          <t>medium</t>
        </is>
      </c>
      <c r="K140" s="9" t="inlineStr">
        <is>
          <t>composite_split</t>
        </is>
      </c>
      <c r="L140" s="10" t="inlineStr">
        <is>
          <t>Appendix A1.1 lists this exact catch name under `shrimps`; apportioned over the region 2 and region 3 pools by model biomass; region 1 is the Maldives shelf, outside LME 34.</t>
        </is>
      </c>
      <c r="M140" s="9" t="n">
        <v>825731.486</v>
      </c>
    </row>
    <row r="141" ht="36" customHeight="1">
      <c r="A141" s="9" t="inlineStr">
        <is>
          <t>LME_034</t>
        </is>
      </c>
      <c r="B141" s="10" t="inlineStr">
        <is>
          <t>34_1_Bay_of_Bengal_(1978)</t>
        </is>
      </c>
      <c r="C141" s="10" t="inlineStr">
        <is>
          <t>Parapenaeopsis</t>
        </is>
      </c>
      <c r="D141" s="9" t="inlineStr">
        <is>
          <t>Leafy-legged shrimps</t>
        </is>
      </c>
      <c r="E141" s="9" t="inlineStr">
        <is>
          <t>Shrimps</t>
        </is>
      </c>
      <c r="F141" s="9" t="inlineStr">
        <is>
          <t>Crustaceans</t>
        </is>
      </c>
      <c r="G141" s="10" t="inlineStr">
        <is>
          <t>3 Crustaceans</t>
        </is>
      </c>
      <c r="H141" s="11" t="n">
        <v>0.7870007830853563</v>
      </c>
      <c r="I141" s="9" t="inlineStr">
        <is>
          <t>model_biomass</t>
        </is>
      </c>
      <c r="J141" s="12" t="inlineStr">
        <is>
          <t>medium</t>
        </is>
      </c>
      <c r="K141" s="9" t="inlineStr">
        <is>
          <t>composite_split</t>
        </is>
      </c>
      <c r="L141" s="10" t="inlineStr">
        <is>
          <t>Appendix A1.1 lists this exact catch name under `shrimps`; apportioned over the region 2 and region 3 pools by model biomass; region 1 is the Maldives shelf, outside LME 34.</t>
        </is>
      </c>
      <c r="M141" s="9" t="n">
        <v>825731.486</v>
      </c>
    </row>
    <row r="142" ht="36" customHeight="1">
      <c r="A142" s="9" t="inlineStr">
        <is>
          <t>LME_034</t>
        </is>
      </c>
      <c r="B142" s="10" t="inlineStr">
        <is>
          <t>34_1_Bay_of_Bengal_(1978)</t>
        </is>
      </c>
      <c r="C142" s="10" t="inlineStr">
        <is>
          <t>Sphyraena</t>
        </is>
      </c>
      <c r="D142" s="9" t="inlineStr">
        <is>
          <t>Barracudas, sennets</t>
        </is>
      </c>
      <c r="E142" s="9" t="inlineStr">
        <is>
          <t>Large pelagics (&gt;=90 cm)</t>
        </is>
      </c>
      <c r="F142" s="9" t="inlineStr">
        <is>
          <t>Perch-likes</t>
        </is>
      </c>
      <c r="G142" s="10" t="inlineStr">
        <is>
          <t>2 L pisc</t>
        </is>
      </c>
      <c r="H142" s="11" t="n">
        <v>0.449530936694357</v>
      </c>
      <c r="I142" s="9" t="inlineStr">
        <is>
          <t>model_biomass</t>
        </is>
      </c>
      <c r="J142" s="12" t="inlineStr">
        <is>
          <t>medium</t>
        </is>
      </c>
      <c r="K142" s="9" t="inlineStr">
        <is>
          <t>composite_split</t>
        </is>
      </c>
      <c r="L142" s="10" t="inlineStr">
        <is>
          <t>Appendix A1.1 lists this exact catch name under `L pisc`; apportioned over the region 2 and region 3 pools by model biomass; region 1 is the Maldives shelf, outside LME 34.</t>
        </is>
      </c>
      <c r="M142" s="9" t="n">
        <v>795466.491</v>
      </c>
    </row>
    <row r="143" ht="36" customHeight="1">
      <c r="A143" s="9" t="inlineStr">
        <is>
          <t>LME_034</t>
        </is>
      </c>
      <c r="B143" s="10" t="inlineStr">
        <is>
          <t>34_1_Bay_of_Bengal_(1978)</t>
        </is>
      </c>
      <c r="C143" s="10" t="inlineStr">
        <is>
          <t>Sphyraena</t>
        </is>
      </c>
      <c r="D143" s="9" t="inlineStr">
        <is>
          <t>Barracudas, sennets</t>
        </is>
      </c>
      <c r="E143" s="9" t="inlineStr">
        <is>
          <t>Large pelagics (&gt;=90 cm)</t>
        </is>
      </c>
      <c r="F143" s="9" t="inlineStr">
        <is>
          <t>Perch-likes</t>
        </is>
      </c>
      <c r="G143" s="10" t="inlineStr">
        <is>
          <t>3 L pisc</t>
        </is>
      </c>
      <c r="H143" s="11" t="n">
        <v>0.5504690633056432</v>
      </c>
      <c r="I143" s="9" t="inlineStr">
        <is>
          <t>model_biomass</t>
        </is>
      </c>
      <c r="J143" s="12" t="inlineStr">
        <is>
          <t>medium</t>
        </is>
      </c>
      <c r="K143" s="9" t="inlineStr">
        <is>
          <t>composite_split</t>
        </is>
      </c>
      <c r="L143" s="10" t="inlineStr">
        <is>
          <t>Appendix A1.1 lists this exact catch name under `L pisc`; apportioned over the region 2 and region 3 pools by model biomass; region 1 is the Maldives shelf, outside LME 34.</t>
        </is>
      </c>
      <c r="M143" s="9" t="n">
        <v>795466.491</v>
      </c>
    </row>
    <row r="144" ht="36" customHeight="1">
      <c r="A144" s="9" t="inlineStr">
        <is>
          <t>LME_034</t>
        </is>
      </c>
      <c r="B144" s="10" t="inlineStr">
        <is>
          <t>34_1_Bay_of_Bengal_(1978)</t>
        </is>
      </c>
      <c r="C144" s="10" t="inlineStr">
        <is>
          <t>Sepiidae</t>
        </is>
      </c>
      <c r="D144" s="9" t="inlineStr">
        <is>
          <t>Cuttlefishes</t>
        </is>
      </c>
      <c r="E144" s="9" t="inlineStr">
        <is>
          <t>Cephalopods</t>
        </is>
      </c>
      <c r="F144" s="9" t="inlineStr">
        <is>
          <t>Other fishes &amp; inverts</t>
        </is>
      </c>
      <c r="G144" s="10" t="inlineStr">
        <is>
          <t>Cephalopods</t>
        </is>
      </c>
      <c r="H144" s="11" t="n">
        <v>1</v>
      </c>
      <c r="I144" s="9" t="inlineStr">
        <is>
          <t>single</t>
        </is>
      </c>
      <c r="J144" s="13" t="inlineStr">
        <is>
          <t>high</t>
        </is>
      </c>
      <c r="K144" s="9" t="inlineStr">
        <is>
          <t>explicit_member</t>
        </is>
      </c>
      <c r="L144" s="10" t="inlineStr">
        <is>
          <t>Appendix A1.1 lists this exact catch name under `cephalopods`, a group modelled over the whole study area (Appendix A1.2).</t>
        </is>
      </c>
      <c r="M144" s="9" t="n">
        <v>793464.904</v>
      </c>
    </row>
    <row r="145" ht="36" customHeight="1">
      <c r="A145" s="9" t="inlineStr">
        <is>
          <t>LME_034</t>
        </is>
      </c>
      <c r="B145" s="10" t="inlineStr">
        <is>
          <t>34_1_Bay_of_Bengal_(1978)</t>
        </is>
      </c>
      <c r="C145" s="10" t="inlineStr">
        <is>
          <t>Trichiurus lepturus</t>
        </is>
      </c>
      <c r="D145" s="9" t="inlineStr">
        <is>
          <t>Largehead hairtail</t>
        </is>
      </c>
      <c r="E145" s="9" t="inlineStr">
        <is>
          <t>Large benthopelagics (&gt;=90 cm)</t>
        </is>
      </c>
      <c r="F145" s="9" t="inlineStr">
        <is>
          <t>Perch-likes</t>
        </is>
      </c>
      <c r="G145" s="10" t="inlineStr">
        <is>
          <t>2 L pisc</t>
        </is>
      </c>
      <c r="H145" s="11" t="n">
        <v>0.449530936694357</v>
      </c>
      <c r="I145" s="9" t="inlineStr">
        <is>
          <t>model_biomass</t>
        </is>
      </c>
      <c r="J145" s="12" t="inlineStr">
        <is>
          <t>medium</t>
        </is>
      </c>
      <c r="K145" s="9" t="inlineStr">
        <is>
          <t>composite_split</t>
        </is>
      </c>
      <c r="L145" s="10" t="inlineStr">
        <is>
          <t>Appendix A1.1 lists this exact catch name under `L pisc`; apportioned over the region 2 and region 3 pools by model biomass; region 1 is the Maldives shelf, outside LME 34.</t>
        </is>
      </c>
      <c r="M145" s="9" t="n">
        <v>790742.026</v>
      </c>
    </row>
    <row r="146" ht="36" customHeight="1">
      <c r="A146" s="9" t="inlineStr">
        <is>
          <t>LME_034</t>
        </is>
      </c>
      <c r="B146" s="10" t="inlineStr">
        <is>
          <t>34_1_Bay_of_Bengal_(1978)</t>
        </is>
      </c>
      <c r="C146" s="10" t="inlineStr">
        <is>
          <t>Trichiurus lepturus</t>
        </is>
      </c>
      <c r="D146" s="9" t="inlineStr">
        <is>
          <t>Largehead hairtail</t>
        </is>
      </c>
      <c r="E146" s="9" t="inlineStr">
        <is>
          <t>Large benthopelagics (&gt;=90 cm)</t>
        </is>
      </c>
      <c r="F146" s="9" t="inlineStr">
        <is>
          <t>Perch-likes</t>
        </is>
      </c>
      <c r="G146" s="10" t="inlineStr">
        <is>
          <t>3 L pisc</t>
        </is>
      </c>
      <c r="H146" s="11" t="n">
        <v>0.5504690633056432</v>
      </c>
      <c r="I146" s="9" t="inlineStr">
        <is>
          <t>model_biomass</t>
        </is>
      </c>
      <c r="J146" s="12" t="inlineStr">
        <is>
          <t>medium</t>
        </is>
      </c>
      <c r="K146" s="9" t="inlineStr">
        <is>
          <t>composite_split</t>
        </is>
      </c>
      <c r="L146" s="10" t="inlineStr">
        <is>
          <t>Appendix A1.1 lists this exact catch name under `L pisc`; apportioned over the region 2 and region 3 pools by model biomass; region 1 is the Maldives shelf, outside LME 34.</t>
        </is>
      </c>
      <c r="M146" s="9" t="n">
        <v>790742.026</v>
      </c>
    </row>
    <row r="147" ht="36" customHeight="1">
      <c r="A147" s="9" t="inlineStr">
        <is>
          <t>LME_034</t>
        </is>
      </c>
      <c r="B147" s="10" t="inlineStr">
        <is>
          <t>34_1_Bay_of_Bengal_(1978)</t>
        </is>
      </c>
      <c r="C147" s="10" t="inlineStr">
        <is>
          <t>Alepes</t>
        </is>
      </c>
      <c r="D147" s="9" t="inlineStr">
        <is>
          <t>Crevalles</t>
        </is>
      </c>
      <c r="E147" s="9" t="inlineStr">
        <is>
          <t>Medium reef assoc. fish (30 - 89 cm)</t>
        </is>
      </c>
      <c r="F147" s="9" t="inlineStr">
        <is>
          <t>Perch-likes</t>
        </is>
      </c>
      <c r="G147" s="10" t="inlineStr">
        <is>
          <t>2 Carangids</t>
        </is>
      </c>
      <c r="H147" s="11" t="n">
        <v>0.3043867502238138</v>
      </c>
      <c r="I147" s="9" t="inlineStr">
        <is>
          <t>model_biomass</t>
        </is>
      </c>
      <c r="J147" s="12" t="inlineStr">
        <is>
          <t>medium</t>
        </is>
      </c>
      <c r="K147" s="9" t="inlineStr">
        <is>
          <t>composite_split</t>
        </is>
      </c>
      <c r="L147" s="10" t="inlineStr">
        <is>
          <t>Appendix A1.1 lists this exact catch name under `Carangids`; apportioned over the region 2 and region 3 pools by model biomass; region 1 is the Maldives shelf, outside LME 34.</t>
        </is>
      </c>
      <c r="M147" s="9" t="n">
        <v>766760.554</v>
      </c>
    </row>
    <row r="148" ht="36" customHeight="1">
      <c r="A148" s="9" t="inlineStr">
        <is>
          <t>LME_034</t>
        </is>
      </c>
      <c r="B148" s="10" t="inlineStr">
        <is>
          <t>34_1_Bay_of_Bengal_(1978)</t>
        </is>
      </c>
      <c r="C148" s="10" t="inlineStr">
        <is>
          <t>Alepes</t>
        </is>
      </c>
      <c r="D148" s="9" t="inlineStr">
        <is>
          <t>Crevalles</t>
        </is>
      </c>
      <c r="E148" s="9" t="inlineStr">
        <is>
          <t>Medium reef assoc. fish (30 - 89 cm)</t>
        </is>
      </c>
      <c r="F148" s="9" t="inlineStr">
        <is>
          <t>Perch-likes</t>
        </is>
      </c>
      <c r="G148" s="10" t="inlineStr">
        <is>
          <t>3 Carangids</t>
        </is>
      </c>
      <c r="H148" s="11" t="n">
        <v>0.6956132497761862</v>
      </c>
      <c r="I148" s="9" t="inlineStr">
        <is>
          <t>model_biomass</t>
        </is>
      </c>
      <c r="J148" s="12" t="inlineStr">
        <is>
          <t>medium</t>
        </is>
      </c>
      <c r="K148" s="9" t="inlineStr">
        <is>
          <t>composite_split</t>
        </is>
      </c>
      <c r="L148" s="10" t="inlineStr">
        <is>
          <t>Appendix A1.1 lists this exact catch name under `Carangids`; apportioned over the region 2 and region 3 pools by model biomass; region 1 is the Maldives shelf, outside LME 34.</t>
        </is>
      </c>
      <c r="M148" s="9" t="n">
        <v>766760.554</v>
      </c>
    </row>
    <row r="149" ht="36" customHeight="1">
      <c r="A149" s="9" t="inlineStr">
        <is>
          <t>LME_034</t>
        </is>
      </c>
      <c r="B149" s="10" t="inlineStr">
        <is>
          <t>34_1_Bay_of_Bengal_(1978)</t>
        </is>
      </c>
      <c r="C149" s="10" t="inlineStr">
        <is>
          <t>Euthynnus affinis</t>
        </is>
      </c>
      <c r="D149" s="9" t="inlineStr">
        <is>
          <t>Kawakawa</t>
        </is>
      </c>
      <c r="E149" s="9" t="inlineStr">
        <is>
          <t>Large pelagics (&gt;=90 cm)</t>
        </is>
      </c>
      <c r="F149" s="9" t="inlineStr">
        <is>
          <t>Tuna &amp; billfishes</t>
        </is>
      </c>
      <c r="G149" s="10" t="inlineStr">
        <is>
          <t>Coastal scombrids</t>
        </is>
      </c>
      <c r="H149" s="11" t="n">
        <v>1</v>
      </c>
      <c r="I149" s="9" t="inlineStr">
        <is>
          <t>single</t>
        </is>
      </c>
      <c r="J149" s="13" t="inlineStr">
        <is>
          <t>high</t>
        </is>
      </c>
      <c r="K149" s="9" t="inlineStr">
        <is>
          <t>explicit_member</t>
        </is>
      </c>
      <c r="L149" s="10" t="inlineStr">
        <is>
          <t>Appendix A1.1 lists this exact catch name under `coastal scombrid`, modelled as one stock travelling through every EEZ of the study area, 69 % of it (Appendix A1.2).</t>
        </is>
      </c>
      <c r="M149" s="9" t="n">
        <v>761505.6310000001</v>
      </c>
    </row>
    <row r="150" ht="36" customHeight="1">
      <c r="A150" s="9" t="inlineStr">
        <is>
          <t>LME_034</t>
        </is>
      </c>
      <c r="B150" s="10" t="inlineStr">
        <is>
          <t>34_1_Bay_of_Bengal_(1978)</t>
        </is>
      </c>
      <c r="C150" s="10" t="inlineStr">
        <is>
          <t>Trichiurus</t>
        </is>
      </c>
      <c r="D150" s="9" t="inlineStr">
        <is>
          <t>Hairtails</t>
        </is>
      </c>
      <c r="E150" s="9" t="inlineStr">
        <is>
          <t>Large benthopelagics (&gt;=90 cm)</t>
        </is>
      </c>
      <c r="F150" s="9" t="inlineStr">
        <is>
          <t>Perch-likes</t>
        </is>
      </c>
      <c r="G150" s="10" t="inlineStr">
        <is>
          <t>2 L pisc</t>
        </is>
      </c>
      <c r="H150" s="11" t="n">
        <v>0.449530936694357</v>
      </c>
      <c r="I150" s="9" t="inlineStr">
        <is>
          <t>model_biomass</t>
        </is>
      </c>
      <c r="J150" s="12" t="inlineStr">
        <is>
          <t>medium</t>
        </is>
      </c>
      <c r="K150" s="9" t="inlineStr">
        <is>
          <t>composite_split</t>
        </is>
      </c>
      <c r="L150" s="10" t="inlineStr">
        <is>
          <t>Appendix A1.1 lists this exact catch name under `L pisc`; apportioned over the region 2 and region 3 pools by model biomass; region 1 is the Maldives shelf, outside LME 34.</t>
        </is>
      </c>
      <c r="M150" s="9" t="n">
        <v>761359.093</v>
      </c>
    </row>
    <row r="151" ht="36" customHeight="1">
      <c r="A151" s="9" t="inlineStr">
        <is>
          <t>LME_034</t>
        </is>
      </c>
      <c r="B151" s="10" t="inlineStr">
        <is>
          <t>34_1_Bay_of_Bengal_(1978)</t>
        </is>
      </c>
      <c r="C151" s="10" t="inlineStr">
        <is>
          <t>Trichiurus</t>
        </is>
      </c>
      <c r="D151" s="9" t="inlineStr">
        <is>
          <t>Hairtails</t>
        </is>
      </c>
      <c r="E151" s="9" t="inlineStr">
        <is>
          <t>Large benthopelagics (&gt;=90 cm)</t>
        </is>
      </c>
      <c r="F151" s="9" t="inlineStr">
        <is>
          <t>Perch-likes</t>
        </is>
      </c>
      <c r="G151" s="10" t="inlineStr">
        <is>
          <t>3 L pisc</t>
        </is>
      </c>
      <c r="H151" s="11" t="n">
        <v>0.5504690633056432</v>
      </c>
      <c r="I151" s="9" t="inlineStr">
        <is>
          <t>model_biomass</t>
        </is>
      </c>
      <c r="J151" s="12" t="inlineStr">
        <is>
          <t>medium</t>
        </is>
      </c>
      <c r="K151" s="9" t="inlineStr">
        <is>
          <t>composite_split</t>
        </is>
      </c>
      <c r="L151" s="10" t="inlineStr">
        <is>
          <t>Appendix A1.1 lists this exact catch name under `L pisc`; apportioned over the region 2 and region 3 pools by model biomass; region 1 is the Maldives shelf, outside LME 34.</t>
        </is>
      </c>
      <c r="M151" s="9" t="n">
        <v>761359.093</v>
      </c>
    </row>
    <row r="152" ht="36" customHeight="1">
      <c r="A152" s="9" t="inlineStr">
        <is>
          <t>LME_034</t>
        </is>
      </c>
      <c r="B152" s="10" t="inlineStr">
        <is>
          <t>34_1_Bay_of_Bengal_(1978)</t>
        </is>
      </c>
      <c r="C152" s="10" t="inlineStr">
        <is>
          <t>Portunus pelagicus</t>
        </is>
      </c>
      <c r="D152" s="9" t="inlineStr">
        <is>
          <t>Blue swimming crab</t>
        </is>
      </c>
      <c r="E152" s="9" t="inlineStr">
        <is>
          <t>Lobsters, crabs</t>
        </is>
      </c>
      <c r="F152" s="9" t="inlineStr">
        <is>
          <t>Crustaceans</t>
        </is>
      </c>
      <c r="G152" s="10" t="inlineStr">
        <is>
          <t>2 Crustaceans</t>
        </is>
      </c>
      <c r="H152" s="11" t="n">
        <v>0.2129992169146437</v>
      </c>
      <c r="I152" s="9" t="inlineStr">
        <is>
          <t>model_biomass</t>
        </is>
      </c>
      <c r="J152" s="12" t="inlineStr">
        <is>
          <t>medium</t>
        </is>
      </c>
      <c r="K152" s="9" t="inlineStr">
        <is>
          <t>composite_split</t>
        </is>
      </c>
      <c r="L152" s="10" t="inlineStr">
        <is>
          <t>Appendix A1.1 lists this exact catch name under `Crabs`; apportioned over the region 2 and region 3 pools by model biomass; region 1 is the Maldives shelf, outside LME 34.</t>
        </is>
      </c>
      <c r="M152" s="9" t="n">
        <v>737898.839</v>
      </c>
    </row>
    <row r="153" ht="36" customHeight="1">
      <c r="A153" s="9" t="inlineStr">
        <is>
          <t>LME_034</t>
        </is>
      </c>
      <c r="B153" s="10" t="inlineStr">
        <is>
          <t>34_1_Bay_of_Bengal_(1978)</t>
        </is>
      </c>
      <c r="C153" s="10" t="inlineStr">
        <is>
          <t>Portunus pelagicus</t>
        </is>
      </c>
      <c r="D153" s="9" t="inlineStr">
        <is>
          <t>Blue swimming crab</t>
        </is>
      </c>
      <c r="E153" s="9" t="inlineStr">
        <is>
          <t>Lobsters, crabs</t>
        </is>
      </c>
      <c r="F153" s="9" t="inlineStr">
        <is>
          <t>Crustaceans</t>
        </is>
      </c>
      <c r="G153" s="10" t="inlineStr">
        <is>
          <t>3 Crustaceans</t>
        </is>
      </c>
      <c r="H153" s="11" t="n">
        <v>0.7870007830853563</v>
      </c>
      <c r="I153" s="9" t="inlineStr">
        <is>
          <t>model_biomass</t>
        </is>
      </c>
      <c r="J153" s="12" t="inlineStr">
        <is>
          <t>medium</t>
        </is>
      </c>
      <c r="K153" s="9" t="inlineStr">
        <is>
          <t>composite_split</t>
        </is>
      </c>
      <c r="L153" s="10" t="inlineStr">
        <is>
          <t>Appendix A1.1 lists this exact catch name under `Crabs`; apportioned over the region 2 and region 3 pools by model biomass; region 1 is the Maldives shelf, outside LME 34.</t>
        </is>
      </c>
      <c r="M153" s="9" t="n">
        <v>737898.839</v>
      </c>
    </row>
    <row r="154" ht="51" customHeight="1">
      <c r="A154" s="9" t="inlineStr">
        <is>
          <t>LME_034</t>
        </is>
      </c>
      <c r="B154" s="10" t="inlineStr">
        <is>
          <t>34_1_Bay_of_Bengal_(1978)</t>
        </is>
      </c>
      <c r="C154" s="10" t="inlineStr">
        <is>
          <t>Penaeus merguiensis</t>
        </is>
      </c>
      <c r="D154" s="9" t="inlineStr">
        <is>
          <t>Banana prawn</t>
        </is>
      </c>
      <c r="E154" s="9" t="inlineStr">
        <is>
          <t>Shrimps</t>
        </is>
      </c>
      <c r="F154" s="9" t="inlineStr">
        <is>
          <t>Crustaceans</t>
        </is>
      </c>
      <c r="G154" s="10" t="inlineStr">
        <is>
          <t>2 Crustaceans</t>
        </is>
      </c>
      <c r="H154" s="11" t="n">
        <v>0.2129992169146437</v>
      </c>
      <c r="I154" s="9" t="inlineStr">
        <is>
          <t>model_biomass</t>
        </is>
      </c>
      <c r="J154" s="12" t="inlineStr">
        <is>
          <t>medium</t>
        </is>
      </c>
      <c r="K154" s="9" t="inlineStr">
        <is>
          <t>composite_split</t>
        </is>
      </c>
      <c r="L154" s="10" t="inlineStr">
        <is>
          <t>Accepted-name/synonym match: Appendix A1.1 lists Fenneropenaeus merguiensis under `shrimps`. Apportioned over the region 2 and region 3 pools by model biomass; region 1 is the Maldives shelf, outside LME 34.</t>
        </is>
      </c>
      <c r="M154" s="9" t="n">
        <v>729485.106</v>
      </c>
    </row>
    <row r="155" ht="51" customHeight="1">
      <c r="A155" s="9" t="inlineStr">
        <is>
          <t>LME_034</t>
        </is>
      </c>
      <c r="B155" s="10" t="inlineStr">
        <is>
          <t>34_1_Bay_of_Bengal_(1978)</t>
        </is>
      </c>
      <c r="C155" s="10" t="inlineStr">
        <is>
          <t>Penaeus merguiensis</t>
        </is>
      </c>
      <c r="D155" s="9" t="inlineStr">
        <is>
          <t>Banana prawn</t>
        </is>
      </c>
      <c r="E155" s="9" t="inlineStr">
        <is>
          <t>Shrimps</t>
        </is>
      </c>
      <c r="F155" s="9" t="inlineStr">
        <is>
          <t>Crustaceans</t>
        </is>
      </c>
      <c r="G155" s="10" t="inlineStr">
        <is>
          <t>3 Crustaceans</t>
        </is>
      </c>
      <c r="H155" s="11" t="n">
        <v>0.7870007830853563</v>
      </c>
      <c r="I155" s="9" t="inlineStr">
        <is>
          <t>model_biomass</t>
        </is>
      </c>
      <c r="J155" s="12" t="inlineStr">
        <is>
          <t>medium</t>
        </is>
      </c>
      <c r="K155" s="9" t="inlineStr">
        <is>
          <t>composite_split</t>
        </is>
      </c>
      <c r="L155" s="10" t="inlineStr">
        <is>
          <t>Accepted-name/synonym match: Appendix A1.1 lists Fenneropenaeus merguiensis under `shrimps`. Apportioned over the region 2 and region 3 pools by model biomass; region 1 is the Maldives shelf, outside LME 34.</t>
        </is>
      </c>
      <c r="M155" s="9" t="n">
        <v>729485.106</v>
      </c>
    </row>
    <row r="156" ht="36" customHeight="1">
      <c r="A156" s="9" t="inlineStr">
        <is>
          <t>LME_034</t>
        </is>
      </c>
      <c r="B156" s="10" t="inlineStr">
        <is>
          <t>34_1_Bay_of_Bengal_(1978)</t>
        </is>
      </c>
      <c r="C156" s="10" t="inlineStr">
        <is>
          <t>Metapenaeus</t>
        </is>
      </c>
      <c r="D156" s="9" t="inlineStr">
        <is>
          <t>Indo-Pacific prawns</t>
        </is>
      </c>
      <c r="E156" s="9" t="inlineStr">
        <is>
          <t>Shrimps</t>
        </is>
      </c>
      <c r="F156" s="9" t="inlineStr">
        <is>
          <t>Crustaceans</t>
        </is>
      </c>
      <c r="G156" s="10" t="inlineStr">
        <is>
          <t>2 Crustaceans</t>
        </is>
      </c>
      <c r="H156" s="11" t="n">
        <v>0.2129992169146437</v>
      </c>
      <c r="I156" s="9" t="inlineStr">
        <is>
          <t>model_biomass</t>
        </is>
      </c>
      <c r="J156" s="12" t="inlineStr">
        <is>
          <t>medium</t>
        </is>
      </c>
      <c r="K156" s="9" t="inlineStr">
        <is>
          <t>composite_split</t>
        </is>
      </c>
      <c r="L156" s="10" t="inlineStr">
        <is>
          <t>Appendix A1.1 lists this exact catch name under `shrimps`; apportioned over the region 2 and region 3 pools by model biomass; region 1 is the Maldives shelf, outside LME 34.</t>
        </is>
      </c>
      <c r="M156" s="9" t="n">
        <v>710501.801</v>
      </c>
    </row>
    <row r="157" ht="36" customHeight="1">
      <c r="A157" s="9" t="inlineStr">
        <is>
          <t>LME_034</t>
        </is>
      </c>
      <c r="B157" s="10" t="inlineStr">
        <is>
          <t>34_1_Bay_of_Bengal_(1978)</t>
        </is>
      </c>
      <c r="C157" s="10" t="inlineStr">
        <is>
          <t>Metapenaeus</t>
        </is>
      </c>
      <c r="D157" s="9" t="inlineStr">
        <is>
          <t>Indo-Pacific prawns</t>
        </is>
      </c>
      <c r="E157" s="9" t="inlineStr">
        <is>
          <t>Shrimps</t>
        </is>
      </c>
      <c r="F157" s="9" t="inlineStr">
        <is>
          <t>Crustaceans</t>
        </is>
      </c>
      <c r="G157" s="10" t="inlineStr">
        <is>
          <t>3 Crustaceans</t>
        </is>
      </c>
      <c r="H157" s="11" t="n">
        <v>0.7870007830853563</v>
      </c>
      <c r="I157" s="9" t="inlineStr">
        <is>
          <t>model_biomass</t>
        </is>
      </c>
      <c r="J157" s="12" t="inlineStr">
        <is>
          <t>medium</t>
        </is>
      </c>
      <c r="K157" s="9" t="inlineStr">
        <is>
          <t>composite_split</t>
        </is>
      </c>
      <c r="L157" s="10" t="inlineStr">
        <is>
          <t>Appendix A1.1 lists this exact catch name under `shrimps`; apportioned over the region 2 and region 3 pools by model biomass; region 1 is the Maldives shelf, outside LME 34.</t>
        </is>
      </c>
      <c r="M157" s="9" t="n">
        <v>710501.801</v>
      </c>
    </row>
    <row r="158" ht="36" customHeight="1">
      <c r="A158" s="9" t="inlineStr">
        <is>
          <t>LME_034</t>
        </is>
      </c>
      <c r="B158" s="10" t="inlineStr">
        <is>
          <t>34_1_Bay_of_Bengal_(1978)</t>
        </is>
      </c>
      <c r="C158" s="10" t="inlineStr">
        <is>
          <t>Tegillarca granosa</t>
        </is>
      </c>
      <c r="D158" s="9" t="inlineStr">
        <is>
          <t>Granular ark</t>
        </is>
      </c>
      <c r="E158" s="9" t="inlineStr">
        <is>
          <t>Other demersal invertebrates</t>
        </is>
      </c>
      <c r="F158" s="9" t="inlineStr">
        <is>
          <t>Molluscs</t>
        </is>
      </c>
      <c r="G158" s="10" t="inlineStr">
        <is>
          <t>2 Macrobenthos</t>
        </is>
      </c>
      <c r="H158" s="11" t="n">
        <v>0.363210995759614</v>
      </c>
      <c r="I158" s="9" t="inlineStr">
        <is>
          <t>model_biomass</t>
        </is>
      </c>
      <c r="J158" s="12" t="inlineStr">
        <is>
          <t>medium</t>
        </is>
      </c>
      <c r="K158" s="9" t="inlineStr">
        <is>
          <t>composite_split</t>
        </is>
      </c>
      <c r="L158" s="10" t="inlineStr">
        <is>
          <t>Appendix A1.1 lists this exact catch name under `macrobenthos`; apportioned over the region 2 and region 3 pools by model biomass; region 1 is the Maldives shelf, outside LME 34.</t>
        </is>
      </c>
      <c r="M158" s="9" t="n">
        <v>709404.924</v>
      </c>
    </row>
    <row r="159" ht="36" customHeight="1">
      <c r="A159" s="9" t="inlineStr">
        <is>
          <t>LME_034</t>
        </is>
      </c>
      <c r="B159" s="10" t="inlineStr">
        <is>
          <t>34_1_Bay_of_Bengal_(1978)</t>
        </is>
      </c>
      <c r="C159" s="10" t="inlineStr">
        <is>
          <t>Tegillarca granosa</t>
        </is>
      </c>
      <c r="D159" s="9" t="inlineStr">
        <is>
          <t>Granular ark</t>
        </is>
      </c>
      <c r="E159" s="9" t="inlineStr">
        <is>
          <t>Other demersal invertebrates</t>
        </is>
      </c>
      <c r="F159" s="9" t="inlineStr">
        <is>
          <t>Molluscs</t>
        </is>
      </c>
      <c r="G159" s="10" t="inlineStr">
        <is>
          <t>3 Macrobenthos</t>
        </is>
      </c>
      <c r="H159" s="11" t="n">
        <v>0.6367890042403861</v>
      </c>
      <c r="I159" s="9" t="inlineStr">
        <is>
          <t>model_biomass</t>
        </is>
      </c>
      <c r="J159" s="12" t="inlineStr">
        <is>
          <t>medium</t>
        </is>
      </c>
      <c r="K159" s="9" t="inlineStr">
        <is>
          <t>composite_split</t>
        </is>
      </c>
      <c r="L159" s="10" t="inlineStr">
        <is>
          <t>Appendix A1.1 lists this exact catch name under `macrobenthos`; apportioned over the region 2 and region 3 pools by model biomass; region 1 is the Maldives shelf, outside LME 34.</t>
        </is>
      </c>
      <c r="M159" s="9" t="n">
        <v>709404.924</v>
      </c>
    </row>
    <row r="160" ht="36" customHeight="1">
      <c r="A160" s="9" t="inlineStr">
        <is>
          <t>LME_034</t>
        </is>
      </c>
      <c r="B160" s="10" t="inlineStr">
        <is>
          <t>34_1_Bay_of_Bengal_(1978)</t>
        </is>
      </c>
      <c r="C160" s="10" t="inlineStr">
        <is>
          <t>Setipinna taty</t>
        </is>
      </c>
      <c r="D160" s="9" t="inlineStr">
        <is>
          <t>Scaly hairfin anchovy</t>
        </is>
      </c>
      <c r="E160" s="9" t="inlineStr">
        <is>
          <t>Small pelagics (&lt;30 cm)</t>
        </is>
      </c>
      <c r="F160" s="9" t="inlineStr">
        <is>
          <t>Anchovies</t>
        </is>
      </c>
      <c r="G160" s="10" t="inlineStr">
        <is>
          <t>2 S pelagics</t>
        </is>
      </c>
      <c r="H160" s="11" t="n">
        <v>0.2975985463815478</v>
      </c>
      <c r="I160" s="9" t="inlineStr">
        <is>
          <t>model_biomass</t>
        </is>
      </c>
      <c r="J160" s="12" t="inlineStr">
        <is>
          <t>medium</t>
        </is>
      </c>
      <c r="K160" s="9" t="inlineStr">
        <is>
          <t>composite_split</t>
        </is>
      </c>
      <c r="L160" s="10" t="inlineStr">
        <is>
          <t>Appendix A1.3 lists Setipinna taty in the `S pelagics` species list. Apportioned over the region 2 and region 3 pools by model biomass; region 1 is the Maldives shelf, outside LME 34.</t>
        </is>
      </c>
      <c r="M160" s="9" t="n">
        <v>675728.339</v>
      </c>
    </row>
    <row r="161" ht="36" customHeight="1">
      <c r="A161" s="9" t="inlineStr">
        <is>
          <t>LME_034</t>
        </is>
      </c>
      <c r="B161" s="10" t="inlineStr">
        <is>
          <t>34_1_Bay_of_Bengal_(1978)</t>
        </is>
      </c>
      <c r="C161" s="10" t="inlineStr">
        <is>
          <t>Setipinna taty</t>
        </is>
      </c>
      <c r="D161" s="9" t="inlineStr">
        <is>
          <t>Scaly hairfin anchovy</t>
        </is>
      </c>
      <c r="E161" s="9" t="inlineStr">
        <is>
          <t>Small pelagics (&lt;30 cm)</t>
        </is>
      </c>
      <c r="F161" s="9" t="inlineStr">
        <is>
          <t>Anchovies</t>
        </is>
      </c>
      <c r="G161" s="10" t="inlineStr">
        <is>
          <t>3 S pelagics</t>
        </is>
      </c>
      <c r="H161" s="11" t="n">
        <v>0.7024014536184523</v>
      </c>
      <c r="I161" s="9" t="inlineStr">
        <is>
          <t>model_biomass</t>
        </is>
      </c>
      <c r="J161" s="12" t="inlineStr">
        <is>
          <t>medium</t>
        </is>
      </c>
      <c r="K161" s="9" t="inlineStr">
        <is>
          <t>composite_split</t>
        </is>
      </c>
      <c r="L161" s="10" t="inlineStr">
        <is>
          <t>Appendix A1.3 lists Setipinna taty in the `S pelagics` species list. Apportioned over the region 2 and region 3 pools by model biomass; region 1 is the Maldives shelf, outside LME 34.</t>
        </is>
      </c>
      <c r="M161" s="9" t="n">
        <v>675728.339</v>
      </c>
    </row>
    <row r="162" ht="36" customHeight="1">
      <c r="A162" s="9" t="inlineStr">
        <is>
          <t>LME_034</t>
        </is>
      </c>
      <c r="B162" s="10" t="inlineStr">
        <is>
          <t>34_1_Bay_of_Bengal_(1978)</t>
        </is>
      </c>
      <c r="C162" s="10" t="inlineStr">
        <is>
          <t>Loliginidae</t>
        </is>
      </c>
      <c r="D162" s="9" t="inlineStr">
        <is>
          <t>Common pencil squids</t>
        </is>
      </c>
      <c r="E162" s="9" t="inlineStr">
        <is>
          <t>Cephalopods</t>
        </is>
      </c>
      <c r="F162" s="9" t="inlineStr">
        <is>
          <t>Other fishes &amp; inverts</t>
        </is>
      </c>
      <c r="G162" s="10" t="inlineStr">
        <is>
          <t>Cephalopods</t>
        </is>
      </c>
      <c r="H162" s="11" t="n">
        <v>1</v>
      </c>
      <c r="I162" s="9" t="inlineStr">
        <is>
          <t>single</t>
        </is>
      </c>
      <c r="J162" s="13" t="inlineStr">
        <is>
          <t>high</t>
        </is>
      </c>
      <c r="K162" s="9" t="inlineStr">
        <is>
          <t>explicit_member</t>
        </is>
      </c>
      <c r="L162" s="10" t="inlineStr">
        <is>
          <t>Appendix A1.1 lists this exact catch name under `cephalopods`, a group modelled over the whole study area (Appendix A1.2).</t>
        </is>
      </c>
      <c r="M162" s="9" t="n">
        <v>673711.353</v>
      </c>
    </row>
    <row r="163" ht="36" customHeight="1">
      <c r="A163" s="9" t="inlineStr">
        <is>
          <t>LME_034</t>
        </is>
      </c>
      <c r="B163" s="10" t="inlineStr">
        <is>
          <t>34_1_Bay_of_Bengal_(1978)</t>
        </is>
      </c>
      <c r="C163" s="10" t="inlineStr">
        <is>
          <t>Lethrinidae</t>
        </is>
      </c>
      <c r="D163" s="9" t="inlineStr">
        <is>
          <t>Emperors, scavengers</t>
        </is>
      </c>
      <c r="E163" s="9" t="inlineStr">
        <is>
          <t>Medium reef assoc. fish (30 - 89 cm)</t>
        </is>
      </c>
      <c r="F163" s="9" t="inlineStr">
        <is>
          <t>Perch-likes</t>
        </is>
      </c>
      <c r="G163" s="10" t="inlineStr">
        <is>
          <t>2 L pisc comm</t>
        </is>
      </c>
      <c r="H163" s="11" t="n">
        <v>0.4790991864112831</v>
      </c>
      <c r="I163" s="9" t="inlineStr">
        <is>
          <t>model_biomass</t>
        </is>
      </c>
      <c r="J163" s="12" t="inlineStr">
        <is>
          <t>medium</t>
        </is>
      </c>
      <c r="K163" s="9" t="inlineStr">
        <is>
          <t>composite_split</t>
        </is>
      </c>
      <c r="L163" s="10" t="inlineStr">
        <is>
          <t>Appendix A1.1 lists this exact catch name under `L pisc comm`; apportioned over the region 2 and region 3 pools by model biomass; region 1 is the Maldives shelf, outside LME 34.</t>
        </is>
      </c>
      <c r="M163" s="9" t="n">
        <v>668938.579</v>
      </c>
    </row>
    <row r="164" ht="36" customHeight="1">
      <c r="A164" s="9" t="inlineStr">
        <is>
          <t>LME_034</t>
        </is>
      </c>
      <c r="B164" s="10" t="inlineStr">
        <is>
          <t>34_1_Bay_of_Bengal_(1978)</t>
        </is>
      </c>
      <c r="C164" s="10" t="inlineStr">
        <is>
          <t>Lethrinidae</t>
        </is>
      </c>
      <c r="D164" s="9" t="inlineStr">
        <is>
          <t>Emperors, scavengers</t>
        </is>
      </c>
      <c r="E164" s="9" t="inlineStr">
        <is>
          <t>Medium reef assoc. fish (30 - 89 cm)</t>
        </is>
      </c>
      <c r="F164" s="9" t="inlineStr">
        <is>
          <t>Perch-likes</t>
        </is>
      </c>
      <c r="G164" s="10" t="inlineStr">
        <is>
          <t>3 L pisc comm</t>
        </is>
      </c>
      <c r="H164" s="11" t="n">
        <v>0.5209008135887169</v>
      </c>
      <c r="I164" s="9" t="inlineStr">
        <is>
          <t>model_biomass</t>
        </is>
      </c>
      <c r="J164" s="12" t="inlineStr">
        <is>
          <t>medium</t>
        </is>
      </c>
      <c r="K164" s="9" t="inlineStr">
        <is>
          <t>composite_split</t>
        </is>
      </c>
      <c r="L164" s="10" t="inlineStr">
        <is>
          <t>Appendix A1.1 lists this exact catch name under `L pisc comm`; apportioned over the region 2 and region 3 pools by model biomass; region 1 is the Maldives shelf, outside LME 34.</t>
        </is>
      </c>
      <c r="M164" s="9" t="n">
        <v>668938.579</v>
      </c>
    </row>
    <row r="165" ht="51" customHeight="1">
      <c r="A165" s="9" t="inlineStr">
        <is>
          <t>LME_034</t>
        </is>
      </c>
      <c r="B165" s="10" t="inlineStr">
        <is>
          <t>34_1_Bay_of_Bengal_(1978)</t>
        </is>
      </c>
      <c r="C165" s="10" t="inlineStr">
        <is>
          <t>Setipinna phasa</t>
        </is>
      </c>
      <c r="D165" s="9" t="inlineStr">
        <is>
          <t>Gangetic hairfin anchovy</t>
        </is>
      </c>
      <c r="E165" s="9" t="inlineStr">
        <is>
          <t>Medium pelagics (30 - 89 cm)</t>
        </is>
      </c>
      <c r="F165" s="9" t="inlineStr">
        <is>
          <t>Anchovies</t>
        </is>
      </c>
      <c r="G165" s="10" t="inlineStr">
        <is>
          <t>2 S pelagics</t>
        </is>
      </c>
      <c r="H165" s="11" t="n">
        <v>0.2975985463815478</v>
      </c>
      <c r="I165" s="9" t="inlineStr">
        <is>
          <t>model_biomass</t>
        </is>
      </c>
      <c r="J165" s="12" t="inlineStr">
        <is>
          <t>medium</t>
        </is>
      </c>
      <c r="K165" s="9" t="inlineStr">
        <is>
          <t>composite_split</t>
        </is>
      </c>
      <c r="L165" s="10" t="inlineStr">
        <is>
          <t>Congener of Setipinna taty, which Appendix A1.3 lists in the small-pelagics species list; both are estuarine engraulids of the same size band. Apportioned over the region 2 and region 3 pools by model biomass; region 1 is the Maldives shelf, outside LME 34.</t>
        </is>
      </c>
      <c r="M165" s="9" t="n">
        <v>662986.142</v>
      </c>
    </row>
    <row r="166" ht="51" customHeight="1">
      <c r="A166" s="9" t="inlineStr">
        <is>
          <t>LME_034</t>
        </is>
      </c>
      <c r="B166" s="10" t="inlineStr">
        <is>
          <t>34_1_Bay_of_Bengal_(1978)</t>
        </is>
      </c>
      <c r="C166" s="10" t="inlineStr">
        <is>
          <t>Setipinna phasa</t>
        </is>
      </c>
      <c r="D166" s="9" t="inlineStr">
        <is>
          <t>Gangetic hairfin anchovy</t>
        </is>
      </c>
      <c r="E166" s="9" t="inlineStr">
        <is>
          <t>Medium pelagics (30 - 89 cm)</t>
        </is>
      </c>
      <c r="F166" s="9" t="inlineStr">
        <is>
          <t>Anchovies</t>
        </is>
      </c>
      <c r="G166" s="10" t="inlineStr">
        <is>
          <t>3 S pelagics</t>
        </is>
      </c>
      <c r="H166" s="11" t="n">
        <v>0.7024014536184523</v>
      </c>
      <c r="I166" s="9" t="inlineStr">
        <is>
          <t>model_biomass</t>
        </is>
      </c>
      <c r="J166" s="12" t="inlineStr">
        <is>
          <t>medium</t>
        </is>
      </c>
      <c r="K166" s="9" t="inlineStr">
        <is>
          <t>composite_split</t>
        </is>
      </c>
      <c r="L166" s="10" t="inlineStr">
        <is>
          <t>Congener of Setipinna taty, which Appendix A1.3 lists in the small-pelagics species list; both are estuarine engraulids of the same size band. Apportioned over the region 2 and region 3 pools by model biomass; region 1 is the Maldives shelf, outside LME 34.</t>
        </is>
      </c>
      <c r="M166" s="9" t="n">
        <v>662986.142</v>
      </c>
    </row>
    <row r="167" ht="36" customHeight="1">
      <c r="A167" s="9" t="inlineStr">
        <is>
          <t>LME_034</t>
        </is>
      </c>
      <c r="B167" s="10" t="inlineStr">
        <is>
          <t>34_1_Bay_of_Bengal_(1978)</t>
        </is>
      </c>
      <c r="C167" s="10" t="inlineStr">
        <is>
          <t>Auxis thazard</t>
        </is>
      </c>
      <c r="D167" s="9" t="inlineStr">
        <is>
          <t>Frigate tuna</t>
        </is>
      </c>
      <c r="E167" s="9" t="inlineStr">
        <is>
          <t>Medium pelagics (30 - 89 cm)</t>
        </is>
      </c>
      <c r="F167" s="9" t="inlineStr">
        <is>
          <t>Tuna &amp; billfishes</t>
        </is>
      </c>
      <c r="G167" s="10" t="inlineStr">
        <is>
          <t>Coastal scombrids</t>
        </is>
      </c>
      <c r="H167" s="11" t="n">
        <v>1</v>
      </c>
      <c r="I167" s="9" t="inlineStr">
        <is>
          <t>single</t>
        </is>
      </c>
      <c r="J167" s="13" t="inlineStr">
        <is>
          <t>high</t>
        </is>
      </c>
      <c r="K167" s="9" t="inlineStr">
        <is>
          <t>explicit_member</t>
        </is>
      </c>
      <c r="L167" s="10" t="inlineStr">
        <is>
          <t>Appendix A1.1 lists this exact catch name under `coastal scombrid`, modelled as one stock travelling through every EEZ of the study area, 69 % of it (Appendix A1.2).</t>
        </is>
      </c>
      <c r="M167" s="9" t="n">
        <v>640115.441</v>
      </c>
    </row>
    <row r="168" ht="36" customHeight="1">
      <c r="A168" s="9" t="inlineStr">
        <is>
          <t>LME_034</t>
        </is>
      </c>
      <c r="B168" s="10" t="inlineStr">
        <is>
          <t>34_1_Bay_of_Bengal_(1978)</t>
        </is>
      </c>
      <c r="C168" s="10" t="inlineStr">
        <is>
          <t>Miscellaneous aquatic invertebrates</t>
        </is>
      </c>
      <c r="D168" s="9" t="inlineStr">
        <is>
          <t>Aquatic invertebrates</t>
        </is>
      </c>
      <c r="E168" s="9" t="inlineStr">
        <is>
          <t>Other demersal invertebrates</t>
        </is>
      </c>
      <c r="F168" s="9" t="inlineStr">
        <is>
          <t>Other fishes &amp; inverts</t>
        </is>
      </c>
      <c r="G168" s="10" t="inlineStr">
        <is>
          <t>2 Macrobenthos</t>
        </is>
      </c>
      <c r="H168" s="11" t="n">
        <v>0.363210995759614</v>
      </c>
      <c r="I168" s="9" t="inlineStr">
        <is>
          <t>model_biomass</t>
        </is>
      </c>
      <c r="J168" s="12" t="inlineStr">
        <is>
          <t>medium</t>
        </is>
      </c>
      <c r="K168" s="9" t="inlineStr">
        <is>
          <t>composite_split</t>
        </is>
      </c>
      <c r="L168" s="10" t="inlineStr">
        <is>
          <t>Appendix A1.1 lists this exact catch name under `macrobenthos`; apportioned over the region 2 and region 3 pools by model biomass; region 1 is the Maldives shelf, outside LME 34.</t>
        </is>
      </c>
      <c r="M168" s="9" t="n">
        <v>636793.86</v>
      </c>
    </row>
    <row r="169" ht="36" customHeight="1">
      <c r="A169" s="9" t="inlineStr">
        <is>
          <t>LME_034</t>
        </is>
      </c>
      <c r="B169" s="10" t="inlineStr">
        <is>
          <t>34_1_Bay_of_Bengal_(1978)</t>
        </is>
      </c>
      <c r="C169" s="10" t="inlineStr">
        <is>
          <t>Miscellaneous aquatic invertebrates</t>
        </is>
      </c>
      <c r="D169" s="9" t="inlineStr">
        <is>
          <t>Aquatic invertebrates</t>
        </is>
      </c>
      <c r="E169" s="9" t="inlineStr">
        <is>
          <t>Other demersal invertebrates</t>
        </is>
      </c>
      <c r="F169" s="9" t="inlineStr">
        <is>
          <t>Other fishes &amp; inverts</t>
        </is>
      </c>
      <c r="G169" s="10" t="inlineStr">
        <is>
          <t>3 Macrobenthos</t>
        </is>
      </c>
      <c r="H169" s="11" t="n">
        <v>0.6367890042403861</v>
      </c>
      <c r="I169" s="9" t="inlineStr">
        <is>
          <t>model_biomass</t>
        </is>
      </c>
      <c r="J169" s="12" t="inlineStr">
        <is>
          <t>medium</t>
        </is>
      </c>
      <c r="K169" s="9" t="inlineStr">
        <is>
          <t>composite_split</t>
        </is>
      </c>
      <c r="L169" s="10" t="inlineStr">
        <is>
          <t>Appendix A1.1 lists this exact catch name under `macrobenthos`; apportioned over the region 2 and region 3 pools by model biomass; region 1 is the Maldives shelf, outside LME 34.</t>
        </is>
      </c>
      <c r="M169" s="9" t="n">
        <v>636793.86</v>
      </c>
    </row>
    <row r="170" ht="36" customHeight="1">
      <c r="A170" s="9" t="inlineStr">
        <is>
          <t>LME_034</t>
        </is>
      </c>
      <c r="B170" s="10" t="inlineStr">
        <is>
          <t>34_1_Bay_of_Bengal_(1978)</t>
        </is>
      </c>
      <c r="C170" s="10" t="inlineStr">
        <is>
          <t>Leiognathus</t>
        </is>
      </c>
      <c r="D170" s="9" t="inlineStr">
        <is>
          <t>Ponyfishes</t>
        </is>
      </c>
      <c r="E170" s="9" t="inlineStr">
        <is>
          <t>Small benthopelagics (&lt;30 cm)</t>
        </is>
      </c>
      <c r="F170" s="9" t="inlineStr">
        <is>
          <t>Perch-likes</t>
        </is>
      </c>
      <c r="G170" s="10" t="inlineStr">
        <is>
          <t>2 SM inv</t>
        </is>
      </c>
      <c r="H170" s="11" t="n">
        <v>0.3170901271842734</v>
      </c>
      <c r="I170" s="9" t="inlineStr">
        <is>
          <t>model_biomass</t>
        </is>
      </c>
      <c r="J170" s="12" t="inlineStr">
        <is>
          <t>medium</t>
        </is>
      </c>
      <c r="K170" s="9" t="inlineStr">
        <is>
          <t>composite_split</t>
        </is>
      </c>
      <c r="L170" s="10" t="inlineStr">
        <is>
          <t>Appendix A1.1 lists this exact catch name under `SM inv`; apportioned over the region 2 and region 3 pools by model biomass; region 1 is the Maldives shelf, outside LME 34.</t>
        </is>
      </c>
      <c r="M170" s="9" t="n">
        <v>621700.054</v>
      </c>
    </row>
    <row r="171" ht="36" customHeight="1">
      <c r="A171" s="9" t="inlineStr">
        <is>
          <t>LME_034</t>
        </is>
      </c>
      <c r="B171" s="10" t="inlineStr">
        <is>
          <t>34_1_Bay_of_Bengal_(1978)</t>
        </is>
      </c>
      <c r="C171" s="10" t="inlineStr">
        <is>
          <t>Leiognathus</t>
        </is>
      </c>
      <c r="D171" s="9" t="inlineStr">
        <is>
          <t>Ponyfishes</t>
        </is>
      </c>
      <c r="E171" s="9" t="inlineStr">
        <is>
          <t>Small benthopelagics (&lt;30 cm)</t>
        </is>
      </c>
      <c r="F171" s="9" t="inlineStr">
        <is>
          <t>Perch-likes</t>
        </is>
      </c>
      <c r="G171" s="10" t="inlineStr">
        <is>
          <t>3 SM inv</t>
        </is>
      </c>
      <c r="H171" s="11" t="n">
        <v>0.6829098728157266</v>
      </c>
      <c r="I171" s="9" t="inlineStr">
        <is>
          <t>model_biomass</t>
        </is>
      </c>
      <c r="J171" s="12" t="inlineStr">
        <is>
          <t>medium</t>
        </is>
      </c>
      <c r="K171" s="9" t="inlineStr">
        <is>
          <t>composite_split</t>
        </is>
      </c>
      <c r="L171" s="10" t="inlineStr">
        <is>
          <t>Appendix A1.1 lists this exact catch name under `SM inv`; apportioned over the region 2 and region 3 pools by model biomass; region 1 is the Maldives shelf, outside LME 34.</t>
        </is>
      </c>
      <c r="M171" s="9" t="n">
        <v>621700.054</v>
      </c>
    </row>
    <row r="172" ht="36" customHeight="1">
      <c r="A172" s="9" t="inlineStr">
        <is>
          <t>LME_034</t>
        </is>
      </c>
      <c r="B172" s="10" t="inlineStr">
        <is>
          <t>34_1_Bay_of_Bengal_(1978)</t>
        </is>
      </c>
      <c r="C172" s="10" t="inlineStr">
        <is>
          <t>Lutjanidae</t>
        </is>
      </c>
      <c r="D172" s="9" t="inlineStr">
        <is>
          <t>Snappers</t>
        </is>
      </c>
      <c r="E172" s="9" t="inlineStr">
        <is>
          <t>Medium reef assoc. fish (30 - 89 cm)</t>
        </is>
      </c>
      <c r="F172" s="9" t="inlineStr">
        <is>
          <t>Perch-likes</t>
        </is>
      </c>
      <c r="G172" s="10" t="inlineStr">
        <is>
          <t>2 L pisc comm</t>
        </is>
      </c>
      <c r="H172" s="11" t="n">
        <v>0.4790991864112831</v>
      </c>
      <c r="I172" s="9" t="inlineStr">
        <is>
          <t>model_biomass</t>
        </is>
      </c>
      <c r="J172" s="12" t="inlineStr">
        <is>
          <t>medium</t>
        </is>
      </c>
      <c r="K172" s="9" t="inlineStr">
        <is>
          <t>composite_split</t>
        </is>
      </c>
      <c r="L172" s="10" t="inlineStr">
        <is>
          <t>Appendix A1.1 lists this exact catch name under `L pisc comm`; apportioned over the region 2 and region 3 pools by model biomass; region 1 is the Maldives shelf, outside LME 34.</t>
        </is>
      </c>
      <c r="M172" s="9" t="n">
        <v>608371.943</v>
      </c>
    </row>
    <row r="173" ht="36" customHeight="1">
      <c r="A173" s="9" t="inlineStr">
        <is>
          <t>LME_034</t>
        </is>
      </c>
      <c r="B173" s="10" t="inlineStr">
        <is>
          <t>34_1_Bay_of_Bengal_(1978)</t>
        </is>
      </c>
      <c r="C173" s="10" t="inlineStr">
        <is>
          <t>Lutjanidae</t>
        </is>
      </c>
      <c r="D173" s="9" t="inlineStr">
        <is>
          <t>Snappers</t>
        </is>
      </c>
      <c r="E173" s="9" t="inlineStr">
        <is>
          <t>Medium reef assoc. fish (30 - 89 cm)</t>
        </is>
      </c>
      <c r="F173" s="9" t="inlineStr">
        <is>
          <t>Perch-likes</t>
        </is>
      </c>
      <c r="G173" s="10" t="inlineStr">
        <is>
          <t>3 L pisc comm</t>
        </is>
      </c>
      <c r="H173" s="11" t="n">
        <v>0.5209008135887169</v>
      </c>
      <c r="I173" s="9" t="inlineStr">
        <is>
          <t>model_biomass</t>
        </is>
      </c>
      <c r="J173" s="12" t="inlineStr">
        <is>
          <t>medium</t>
        </is>
      </c>
      <c r="K173" s="9" t="inlineStr">
        <is>
          <t>composite_split</t>
        </is>
      </c>
      <c r="L173" s="10" t="inlineStr">
        <is>
          <t>Appendix A1.1 lists this exact catch name under `L pisc comm`; apportioned over the region 2 and region 3 pools by model biomass; region 1 is the Maldives shelf, outside LME 34.</t>
        </is>
      </c>
      <c r="M173" s="9" t="n">
        <v>608371.943</v>
      </c>
    </row>
    <row r="174" ht="36" customHeight="1">
      <c r="A174" s="9" t="inlineStr">
        <is>
          <t>LME_034</t>
        </is>
      </c>
      <c r="B174" s="10" t="inlineStr">
        <is>
          <t>34_1_Bay_of_Bengal_(1978)</t>
        </is>
      </c>
      <c r="C174" s="10" t="inlineStr">
        <is>
          <t>Penaeus</t>
        </is>
      </c>
      <c r="D174" s="9" t="inlineStr">
        <is>
          <t>Tiger prawns</t>
        </is>
      </c>
      <c r="E174" s="9" t="inlineStr">
        <is>
          <t>Shrimps</t>
        </is>
      </c>
      <c r="F174" s="9" t="inlineStr">
        <is>
          <t>Crustaceans</t>
        </is>
      </c>
      <c r="G174" s="10" t="inlineStr">
        <is>
          <t>2 Crustaceans</t>
        </is>
      </c>
      <c r="H174" s="11" t="n">
        <v>0.2129992169146437</v>
      </c>
      <c r="I174" s="9" t="inlineStr">
        <is>
          <t>model_biomass</t>
        </is>
      </c>
      <c r="J174" s="12" t="inlineStr">
        <is>
          <t>medium</t>
        </is>
      </c>
      <c r="K174" s="9" t="inlineStr">
        <is>
          <t>composite_split</t>
        </is>
      </c>
      <c r="L174" s="10" t="inlineStr">
        <is>
          <t>Appendix A1.1 lists this exact catch name under `shrimps`; apportioned over the region 2 and region 3 pools by model biomass; region 1 is the Maldives shelf, outside LME 34.</t>
        </is>
      </c>
      <c r="M174" s="9" t="n">
        <v>604120.6899999999</v>
      </c>
    </row>
    <row r="175" ht="36" customHeight="1">
      <c r="A175" s="9" t="inlineStr">
        <is>
          <t>LME_034</t>
        </is>
      </c>
      <c r="B175" s="10" t="inlineStr">
        <is>
          <t>34_1_Bay_of_Bengal_(1978)</t>
        </is>
      </c>
      <c r="C175" s="10" t="inlineStr">
        <is>
          <t>Penaeus</t>
        </is>
      </c>
      <c r="D175" s="9" t="inlineStr">
        <is>
          <t>Tiger prawns</t>
        </is>
      </c>
      <c r="E175" s="9" t="inlineStr">
        <is>
          <t>Shrimps</t>
        </is>
      </c>
      <c r="F175" s="9" t="inlineStr">
        <is>
          <t>Crustaceans</t>
        </is>
      </c>
      <c r="G175" s="10" t="inlineStr">
        <is>
          <t>3 Crustaceans</t>
        </is>
      </c>
      <c r="H175" s="11" t="n">
        <v>0.7870007830853563</v>
      </c>
      <c r="I175" s="9" t="inlineStr">
        <is>
          <t>model_biomass</t>
        </is>
      </c>
      <c r="J175" s="12" t="inlineStr">
        <is>
          <t>medium</t>
        </is>
      </c>
      <c r="K175" s="9" t="inlineStr">
        <is>
          <t>composite_split</t>
        </is>
      </c>
      <c r="L175" s="10" t="inlineStr">
        <is>
          <t>Appendix A1.1 lists this exact catch name under `shrimps`; apportioned over the region 2 and region 3 pools by model biomass; region 1 is the Maldives shelf, outside LME 34.</t>
        </is>
      </c>
      <c r="M175" s="9" t="n">
        <v>604120.6899999999</v>
      </c>
    </row>
    <row r="176" ht="36" customHeight="1">
      <c r="A176" s="9" t="inlineStr">
        <is>
          <t>LME_034</t>
        </is>
      </c>
      <c r="B176" s="10" t="inlineStr">
        <is>
          <t>34_1_Bay_of_Bengal_(1978)</t>
        </is>
      </c>
      <c r="C176" s="10" t="inlineStr">
        <is>
          <t>Katsuwonus pelamis</t>
        </is>
      </c>
      <c r="D176" s="9" t="inlineStr">
        <is>
          <t>Skipjack tuna</t>
        </is>
      </c>
      <c r="E176" s="9" t="inlineStr">
        <is>
          <t>Large pelagics (&gt;=90 cm)</t>
        </is>
      </c>
      <c r="F176" s="9" t="inlineStr">
        <is>
          <t>Tuna &amp; billfishes</t>
        </is>
      </c>
      <c r="G176" s="10" t="inlineStr">
        <is>
          <t>Tuna-like</t>
        </is>
      </c>
      <c r="H176" s="11" t="n">
        <v>1</v>
      </c>
      <c r="I176" s="9" t="inlineStr">
        <is>
          <t>single</t>
        </is>
      </c>
      <c r="J176" s="13" t="inlineStr">
        <is>
          <t>high</t>
        </is>
      </c>
      <c r="K176" s="9" t="inlineStr">
        <is>
          <t>explicit_member</t>
        </is>
      </c>
      <c r="L176" s="10" t="inlineStr">
        <is>
          <t>Appendix A1.1 lists this exact catch name under `tuna-like`, a group modelled over the whole study area (Appendix A1.2).</t>
        </is>
      </c>
      <c r="M176" s="9" t="n">
        <v>586797.998</v>
      </c>
    </row>
    <row r="177" ht="66" customHeight="1">
      <c r="A177" s="9" t="inlineStr">
        <is>
          <t>LME_034</t>
        </is>
      </c>
      <c r="B177" s="10" t="inlineStr">
        <is>
          <t>34_1_Bay_of_Bengal_(1978)</t>
        </is>
      </c>
      <c r="C177" s="10" t="inlineStr">
        <is>
          <t>Mollusca</t>
        </is>
      </c>
      <c r="D177" s="9" t="inlineStr">
        <is>
          <t>Clams, seasnails, squids, octopuses</t>
        </is>
      </c>
      <c r="E177" s="9" t="inlineStr">
        <is>
          <t>Other demersal invertebrates</t>
        </is>
      </c>
      <c r="F177" s="9" t="inlineStr">
        <is>
          <t>Molluscs</t>
        </is>
      </c>
      <c r="G177" s="10" t="inlineStr">
        <is>
          <t>2 Macrobenthos</t>
        </is>
      </c>
      <c r="H177" s="11" t="n">
        <v>0.363210995759614</v>
      </c>
      <c r="I177" s="9" t="inlineStr">
        <is>
          <t>model_biomass</t>
        </is>
      </c>
      <c r="J177" s="12" t="inlineStr">
        <is>
          <t>medium</t>
        </is>
      </c>
      <c r="K177" s="9" t="inlineStr">
        <is>
          <t>composite_split</t>
        </is>
      </c>
      <c r="L177" s="10" t="inlineStr">
        <is>
          <t>Appendix A1.1 sends `Miscellaneous marine molluscs` and `Miscellaneous molluscs` to macrobenthos; Sea Around Us classes this phylum-level record as other demersal invertebrates, not cephalopods, so the cephalopod group is not a candidate. Apportioned over the region 2 and region 3 pools by model biomass; region 1 is the Maldives shelf, outside LME 34.</t>
        </is>
      </c>
      <c r="M177" s="9" t="n">
        <v>581662.883</v>
      </c>
    </row>
    <row r="178" ht="66" customHeight="1">
      <c r="A178" s="9" t="inlineStr">
        <is>
          <t>LME_034</t>
        </is>
      </c>
      <c r="B178" s="10" t="inlineStr">
        <is>
          <t>34_1_Bay_of_Bengal_(1978)</t>
        </is>
      </c>
      <c r="C178" s="10" t="inlineStr">
        <is>
          <t>Mollusca</t>
        </is>
      </c>
      <c r="D178" s="9" t="inlineStr">
        <is>
          <t>Clams, seasnails, squids, octopuses</t>
        </is>
      </c>
      <c r="E178" s="9" t="inlineStr">
        <is>
          <t>Other demersal invertebrates</t>
        </is>
      </c>
      <c r="F178" s="9" t="inlineStr">
        <is>
          <t>Molluscs</t>
        </is>
      </c>
      <c r="G178" s="10" t="inlineStr">
        <is>
          <t>3 Macrobenthos</t>
        </is>
      </c>
      <c r="H178" s="11" t="n">
        <v>0.6367890042403861</v>
      </c>
      <c r="I178" s="9" t="inlineStr">
        <is>
          <t>model_biomass</t>
        </is>
      </c>
      <c r="J178" s="12" t="inlineStr">
        <is>
          <t>medium</t>
        </is>
      </c>
      <c r="K178" s="9" t="inlineStr">
        <is>
          <t>composite_split</t>
        </is>
      </c>
      <c r="L178" s="10" t="inlineStr">
        <is>
          <t>Appendix A1.1 sends `Miscellaneous marine molluscs` and `Miscellaneous molluscs` to macrobenthos; Sea Around Us classes this phylum-level record as other demersal invertebrates, not cephalopods, so the cephalopod group is not a candidate. Apportioned over the region 2 and region 3 pools by model biomass; region 1 is the Maldives shelf, outside LME 34.</t>
        </is>
      </c>
      <c r="M178" s="9" t="n">
        <v>581662.883</v>
      </c>
    </row>
    <row r="179" ht="36" customHeight="1">
      <c r="A179" s="9" t="inlineStr">
        <is>
          <t>LME_034</t>
        </is>
      </c>
      <c r="B179" s="10" t="inlineStr">
        <is>
          <t>34_1_Bay_of_Bengal_(1978)</t>
        </is>
      </c>
      <c r="C179" s="10" t="inlineStr">
        <is>
          <t>Serranidae</t>
        </is>
      </c>
      <c r="D179" s="9" t="inlineStr">
        <is>
          <t>Basses, groupers, hinds</t>
        </is>
      </c>
      <c r="E179" s="9" t="inlineStr">
        <is>
          <t>Medium reef assoc. fish (30 - 89 cm)</t>
        </is>
      </c>
      <c r="F179" s="9" t="inlineStr">
        <is>
          <t>Perch-likes</t>
        </is>
      </c>
      <c r="G179" s="10" t="inlineStr">
        <is>
          <t>2 L pisc comm</t>
        </is>
      </c>
      <c r="H179" s="11" t="n">
        <v>0.4790991864112831</v>
      </c>
      <c r="I179" s="9" t="inlineStr">
        <is>
          <t>model_biomass</t>
        </is>
      </c>
      <c r="J179" s="12" t="inlineStr">
        <is>
          <t>medium</t>
        </is>
      </c>
      <c r="K179" s="9" t="inlineStr">
        <is>
          <t>composite_split</t>
        </is>
      </c>
      <c r="L179" s="10" t="inlineStr">
        <is>
          <t>Appendix A1.1 lists this exact catch name under `L pisc comm`; apportioned over the region 2 and region 3 pools by model biomass; region 1 is the Maldives shelf, outside LME 34.</t>
        </is>
      </c>
      <c r="M179" s="9" t="n">
        <v>552031.355</v>
      </c>
    </row>
    <row r="180" ht="36" customHeight="1">
      <c r="A180" s="9" t="inlineStr">
        <is>
          <t>LME_034</t>
        </is>
      </c>
      <c r="B180" s="10" t="inlineStr">
        <is>
          <t>34_1_Bay_of_Bengal_(1978)</t>
        </is>
      </c>
      <c r="C180" s="10" t="inlineStr">
        <is>
          <t>Serranidae</t>
        </is>
      </c>
      <c r="D180" s="9" t="inlineStr">
        <is>
          <t>Basses, groupers, hinds</t>
        </is>
      </c>
      <c r="E180" s="9" t="inlineStr">
        <is>
          <t>Medium reef assoc. fish (30 - 89 cm)</t>
        </is>
      </c>
      <c r="F180" s="9" t="inlineStr">
        <is>
          <t>Perch-likes</t>
        </is>
      </c>
      <c r="G180" s="10" t="inlineStr">
        <is>
          <t>3 L pisc comm</t>
        </is>
      </c>
      <c r="H180" s="11" t="n">
        <v>0.5209008135887169</v>
      </c>
      <c r="I180" s="9" t="inlineStr">
        <is>
          <t>model_biomass</t>
        </is>
      </c>
      <c r="J180" s="12" t="inlineStr">
        <is>
          <t>medium</t>
        </is>
      </c>
      <c r="K180" s="9" t="inlineStr">
        <is>
          <t>composite_split</t>
        </is>
      </c>
      <c r="L180" s="10" t="inlineStr">
        <is>
          <t>Appendix A1.1 lists this exact catch name under `L pisc comm`; apportioned over the region 2 and region 3 pools by model biomass; region 1 is the Maldives shelf, outside LME 34.</t>
        </is>
      </c>
      <c r="M180" s="9" t="n">
        <v>552031.355</v>
      </c>
    </row>
    <row r="181" ht="36" customHeight="1">
      <c r="A181" s="9" t="inlineStr">
        <is>
          <t>LME_034</t>
        </is>
      </c>
      <c r="B181" s="10" t="inlineStr">
        <is>
          <t>34_1_Bay_of_Bengal_(1978)</t>
        </is>
      </c>
      <c r="C181" s="10" t="inlineStr">
        <is>
          <t>Auxis</t>
        </is>
      </c>
      <c r="D181" s="9" t="inlineStr">
        <is>
          <t>Bullet and frigate tunas</t>
        </is>
      </c>
      <c r="E181" s="9" t="inlineStr">
        <is>
          <t>Medium pelagics (30 - 89 cm)</t>
        </is>
      </c>
      <c r="F181" s="9" t="inlineStr">
        <is>
          <t>Tuna &amp; billfishes</t>
        </is>
      </c>
      <c r="G181" s="10" t="inlineStr">
        <is>
          <t>Coastal scombrids</t>
        </is>
      </c>
      <c r="H181" s="11" t="n">
        <v>1</v>
      </c>
      <c r="I181" s="9" t="inlineStr">
        <is>
          <t>single</t>
        </is>
      </c>
      <c r="J181" s="13" t="inlineStr">
        <is>
          <t>high</t>
        </is>
      </c>
      <c r="K181" s="9" t="inlineStr">
        <is>
          <t>explicit_member</t>
        </is>
      </c>
      <c r="L181" s="10" t="inlineStr">
        <is>
          <t>Appendix A1.1 lists this exact catch name under `coastal scombrid`, modelled as one stock travelling through every EEZ of the study area, 69 % of it (Appendix A1.2).</t>
        </is>
      </c>
      <c r="M181" s="9" t="n">
        <v>492093.066</v>
      </c>
    </row>
    <row r="182" ht="36" customHeight="1">
      <c r="A182" s="9" t="inlineStr">
        <is>
          <t>LME_034</t>
        </is>
      </c>
      <c r="B182" s="10" t="inlineStr">
        <is>
          <t>34_1_Bay_of_Bengal_(1978)</t>
        </is>
      </c>
      <c r="C182" s="10" t="inlineStr">
        <is>
          <t>Lactarius lactarius</t>
        </is>
      </c>
      <c r="D182" s="9" t="inlineStr">
        <is>
          <t>False trevally</t>
        </is>
      </c>
      <c r="E182" s="9" t="inlineStr">
        <is>
          <t>Medium pelagics (30 - 89 cm)</t>
        </is>
      </c>
      <c r="F182" s="9" t="inlineStr">
        <is>
          <t>Perch-likes</t>
        </is>
      </c>
      <c r="G182" s="10" t="inlineStr">
        <is>
          <t>2 S pelagics</t>
        </is>
      </c>
      <c r="H182" s="11" t="n">
        <v>0.2975985463815478</v>
      </c>
      <c r="I182" s="9" t="inlineStr">
        <is>
          <t>model_biomass</t>
        </is>
      </c>
      <c r="J182" s="12" t="inlineStr">
        <is>
          <t>medium</t>
        </is>
      </c>
      <c r="K182" s="9" t="inlineStr">
        <is>
          <t>composite_split</t>
        </is>
      </c>
      <c r="L182" s="10" t="inlineStr">
        <is>
          <t>Appendix A1.1 lists this exact catch name under `S pelagics`; apportioned over the region 2 and region 3 pools by model biomass; region 1 is the Maldives shelf, outside LME 34.</t>
        </is>
      </c>
      <c r="M182" s="9" t="n">
        <v>485787.653</v>
      </c>
    </row>
    <row r="183" ht="36" customHeight="1">
      <c r="A183" s="9" t="inlineStr">
        <is>
          <t>LME_034</t>
        </is>
      </c>
      <c r="B183" s="10" t="inlineStr">
        <is>
          <t>34_1_Bay_of_Bengal_(1978)</t>
        </is>
      </c>
      <c r="C183" s="10" t="inlineStr">
        <is>
          <t>Lactarius lactarius</t>
        </is>
      </c>
      <c r="D183" s="9" t="inlineStr">
        <is>
          <t>False trevally</t>
        </is>
      </c>
      <c r="E183" s="9" t="inlineStr">
        <is>
          <t>Medium pelagics (30 - 89 cm)</t>
        </is>
      </c>
      <c r="F183" s="9" t="inlineStr">
        <is>
          <t>Perch-likes</t>
        </is>
      </c>
      <c r="G183" s="10" t="inlineStr">
        <is>
          <t>3 S pelagics</t>
        </is>
      </c>
      <c r="H183" s="11" t="n">
        <v>0.7024014536184523</v>
      </c>
      <c r="I183" s="9" t="inlineStr">
        <is>
          <t>model_biomass</t>
        </is>
      </c>
      <c r="J183" s="12" t="inlineStr">
        <is>
          <t>medium</t>
        </is>
      </c>
      <c r="K183" s="9" t="inlineStr">
        <is>
          <t>composite_split</t>
        </is>
      </c>
      <c r="L183" s="10" t="inlineStr">
        <is>
          <t>Appendix A1.1 lists this exact catch name under `S pelagics`; apportioned over the region 2 and region 3 pools by model biomass; region 1 is the Maldives shelf, outside LME 34.</t>
        </is>
      </c>
      <c r="M183" s="9" t="n">
        <v>485787.653</v>
      </c>
    </row>
    <row r="184" ht="36" customHeight="1">
      <c r="A184" s="9" t="inlineStr">
        <is>
          <t>LME_034</t>
        </is>
      </c>
      <c r="B184" s="10" t="inlineStr">
        <is>
          <t>34_1_Bay_of_Bengal_(1978)</t>
        </is>
      </c>
      <c r="C184" s="10" t="inlineStr">
        <is>
          <t>Himantura</t>
        </is>
      </c>
      <c r="D184" s="9" t="inlineStr">
        <is>
          <t>Whiprays</t>
        </is>
      </c>
      <c r="E184" s="9" t="inlineStr">
        <is>
          <t>Large rays (&gt;=90 cm)</t>
        </is>
      </c>
      <c r="F184" s="9" t="inlineStr">
        <is>
          <t>Sharks &amp; rays</t>
        </is>
      </c>
      <c r="G184" s="10" t="inlineStr">
        <is>
          <t>Coastal elasmobranch</t>
        </is>
      </c>
      <c r="H184" s="11" t="n">
        <v>1</v>
      </c>
      <c r="I184" s="9" t="inlineStr">
        <is>
          <t>single</t>
        </is>
      </c>
      <c r="J184" s="13" t="inlineStr">
        <is>
          <t>high</t>
        </is>
      </c>
      <c r="K184" s="9" t="inlineStr">
        <is>
          <t>explicit_member</t>
        </is>
      </c>
      <c r="L184" s="10" t="inlineStr">
        <is>
          <t>Appendix A1.1 lists this exact catch name under `coastal elasmobranch`, modelled as one stock over every EEZ of the study area, 69 % of it (Appendix A1.2).</t>
        </is>
      </c>
      <c r="M184" s="9" t="n">
        <v>484106.469</v>
      </c>
    </row>
    <row r="185" ht="51" customHeight="1">
      <c r="A185" s="9" t="inlineStr">
        <is>
          <t>LME_034</t>
        </is>
      </c>
      <c r="B185" s="10" t="inlineStr">
        <is>
          <t>34_1_Bay_of_Bengal_(1978)</t>
        </is>
      </c>
      <c r="C185" s="10" t="inlineStr">
        <is>
          <t>Cynoglossus cynoglossus</t>
        </is>
      </c>
      <c r="D185" s="9" t="inlineStr">
        <is>
          <t>Bengal tongue sole</t>
        </is>
      </c>
      <c r="E185" s="9" t="inlineStr">
        <is>
          <t>Small to medium flatfishes (&lt;90 cm)</t>
        </is>
      </c>
      <c r="F185" s="9" t="inlineStr">
        <is>
          <t>Flatfishes</t>
        </is>
      </c>
      <c r="G185" s="10" t="inlineStr">
        <is>
          <t>2 SM inv</t>
        </is>
      </c>
      <c r="H185" s="11" t="n">
        <v>0.3170901271842734</v>
      </c>
      <c r="I185" s="9" t="inlineStr">
        <is>
          <t>model_biomass</t>
        </is>
      </c>
      <c r="J185" s="12" t="inlineStr">
        <is>
          <t>medium</t>
        </is>
      </c>
      <c r="K185" s="9" t="inlineStr">
        <is>
          <t>composite_split</t>
        </is>
      </c>
      <c r="L185" s="10" t="inlineStr">
        <is>
          <t>Accepted-name/synonym match: Appendix A1.1 lists the genus Cynoglossus under `SM coast inv`. Apportioned over the region 2 and region 3 pools by model biomass; region 1 is the Maldives shelf, outside LME 34.</t>
        </is>
      </c>
      <c r="M185" s="9" t="n">
        <v>470652.396</v>
      </c>
    </row>
    <row r="186" ht="51" customHeight="1">
      <c r="A186" s="9" t="inlineStr">
        <is>
          <t>LME_034</t>
        </is>
      </c>
      <c r="B186" s="10" t="inlineStr">
        <is>
          <t>34_1_Bay_of_Bengal_(1978)</t>
        </is>
      </c>
      <c r="C186" s="10" t="inlineStr">
        <is>
          <t>Cynoglossus cynoglossus</t>
        </is>
      </c>
      <c r="D186" s="9" t="inlineStr">
        <is>
          <t>Bengal tongue sole</t>
        </is>
      </c>
      <c r="E186" s="9" t="inlineStr">
        <is>
          <t>Small to medium flatfishes (&lt;90 cm)</t>
        </is>
      </c>
      <c r="F186" s="9" t="inlineStr">
        <is>
          <t>Flatfishes</t>
        </is>
      </c>
      <c r="G186" s="10" t="inlineStr">
        <is>
          <t>3 SM inv</t>
        </is>
      </c>
      <c r="H186" s="11" t="n">
        <v>0.6829098728157266</v>
      </c>
      <c r="I186" s="9" t="inlineStr">
        <is>
          <t>model_biomass</t>
        </is>
      </c>
      <c r="J186" s="12" t="inlineStr">
        <is>
          <t>medium</t>
        </is>
      </c>
      <c r="K186" s="9" t="inlineStr">
        <is>
          <t>composite_split</t>
        </is>
      </c>
      <c r="L186" s="10" t="inlineStr">
        <is>
          <t>Accepted-name/synonym match: Appendix A1.1 lists the genus Cynoglossus under `SM coast inv`. Apportioned over the region 2 and region 3 pools by model biomass; region 1 is the Maldives shelf, outside LME 34.</t>
        </is>
      </c>
      <c r="M186" s="9" t="n">
        <v>470652.396</v>
      </c>
    </row>
    <row r="187" ht="36" customHeight="1">
      <c r="A187" s="9" t="inlineStr">
        <is>
          <t>LME_034</t>
        </is>
      </c>
      <c r="B187" s="10" t="inlineStr">
        <is>
          <t>34_1_Bay_of_Bengal_(1978)</t>
        </is>
      </c>
      <c r="C187" s="10" t="inlineStr">
        <is>
          <t>Pampus</t>
        </is>
      </c>
      <c r="D187" s="9" t="inlineStr">
        <is>
          <t>Silver pomfrets</t>
        </is>
      </c>
      <c r="E187" s="9" t="inlineStr">
        <is>
          <t>Medium benthopelagics (30 - 89 cm)</t>
        </is>
      </c>
      <c r="F187" s="9" t="inlineStr">
        <is>
          <t>Perch-likes</t>
        </is>
      </c>
      <c r="G187" s="10" t="inlineStr">
        <is>
          <t>2 SM inv</t>
        </is>
      </c>
      <c r="H187" s="11" t="n">
        <v>0.3170901271842734</v>
      </c>
      <c r="I187" s="9" t="inlineStr">
        <is>
          <t>model_biomass</t>
        </is>
      </c>
      <c r="J187" s="12" t="inlineStr">
        <is>
          <t>medium</t>
        </is>
      </c>
      <c r="K187" s="9" t="inlineStr">
        <is>
          <t>composite_split</t>
        </is>
      </c>
      <c r="L187" s="10" t="inlineStr">
        <is>
          <t>Appendix A1.1 lists this exact catch name under `SM inv`; apportioned over the region 2 and region 3 pools by model biomass; region 1 is the Maldives shelf, outside LME 34.</t>
        </is>
      </c>
      <c r="M187" s="9" t="n">
        <v>460382.587</v>
      </c>
    </row>
    <row r="188" ht="36" customHeight="1">
      <c r="A188" s="9" t="inlineStr">
        <is>
          <t>LME_034</t>
        </is>
      </c>
      <c r="B188" s="10" t="inlineStr">
        <is>
          <t>34_1_Bay_of_Bengal_(1978)</t>
        </is>
      </c>
      <c r="C188" s="10" t="inlineStr">
        <is>
          <t>Pampus</t>
        </is>
      </c>
      <c r="D188" s="9" t="inlineStr">
        <is>
          <t>Silver pomfrets</t>
        </is>
      </c>
      <c r="E188" s="9" t="inlineStr">
        <is>
          <t>Medium benthopelagics (30 - 89 cm)</t>
        </is>
      </c>
      <c r="F188" s="9" t="inlineStr">
        <is>
          <t>Perch-likes</t>
        </is>
      </c>
      <c r="G188" s="10" t="inlineStr">
        <is>
          <t>3 SM inv</t>
        </is>
      </c>
      <c r="H188" s="11" t="n">
        <v>0.6829098728157266</v>
      </c>
      <c r="I188" s="9" t="inlineStr">
        <is>
          <t>model_biomass</t>
        </is>
      </c>
      <c r="J188" s="12" t="inlineStr">
        <is>
          <t>medium</t>
        </is>
      </c>
      <c r="K188" s="9" t="inlineStr">
        <is>
          <t>composite_split</t>
        </is>
      </c>
      <c r="L188" s="10" t="inlineStr">
        <is>
          <t>Appendix A1.1 lists this exact catch name under `SM inv`; apportioned over the region 2 and region 3 pools by model biomass; region 1 is the Maldives shelf, outside LME 34.</t>
        </is>
      </c>
      <c r="M188" s="9" t="n">
        <v>460382.587</v>
      </c>
    </row>
    <row r="189" ht="36" customHeight="1">
      <c r="A189" s="9" t="inlineStr">
        <is>
          <t>LME_034</t>
        </is>
      </c>
      <c r="B189" s="10" t="inlineStr">
        <is>
          <t>34_1_Bay_of_Bengal_(1978)</t>
        </is>
      </c>
      <c r="C189" s="10" t="inlineStr">
        <is>
          <t>Thunnus tonggol</t>
        </is>
      </c>
      <c r="D189" s="9" t="inlineStr">
        <is>
          <t>Longtail tuna</t>
        </is>
      </c>
      <c r="E189" s="9" t="inlineStr">
        <is>
          <t>Large pelagics (&gt;=90 cm)</t>
        </is>
      </c>
      <c r="F189" s="9" t="inlineStr">
        <is>
          <t>Tuna &amp; billfishes</t>
        </is>
      </c>
      <c r="G189" s="10" t="inlineStr">
        <is>
          <t>Coastal scombrids</t>
        </is>
      </c>
      <c r="H189" s="11" t="n">
        <v>1</v>
      </c>
      <c r="I189" s="9" t="inlineStr">
        <is>
          <t>single</t>
        </is>
      </c>
      <c r="J189" s="13" t="inlineStr">
        <is>
          <t>high</t>
        </is>
      </c>
      <c r="K189" s="9" t="inlineStr">
        <is>
          <t>explicit_member</t>
        </is>
      </c>
      <c r="L189" s="10" t="inlineStr">
        <is>
          <t>Appendix A1.1 lists this exact catch name under `coastal scombrid`, modelled as one stock travelling through every EEZ of the study area, 69 % of it (Appendix A1.2).</t>
        </is>
      </c>
      <c r="M189" s="9" t="n">
        <v>457883.068</v>
      </c>
    </row>
    <row r="190" ht="36" customHeight="1">
      <c r="A190" s="9" t="inlineStr">
        <is>
          <t>LME_034</t>
        </is>
      </c>
      <c r="B190" s="10" t="inlineStr">
        <is>
          <t>34_1_Bay_of_Bengal_(1978)</t>
        </is>
      </c>
      <c r="C190" s="10" t="inlineStr">
        <is>
          <t>Pomadasys</t>
        </is>
      </c>
      <c r="D190" s="9" t="inlineStr">
        <is>
          <t>Grunters</t>
        </is>
      </c>
      <c r="E190" s="9" t="inlineStr">
        <is>
          <t>Medium demersals (30 - 89 cm)</t>
        </is>
      </c>
      <c r="F190" s="9" t="inlineStr">
        <is>
          <t>Perch-likes</t>
        </is>
      </c>
      <c r="G190" s="10" t="inlineStr">
        <is>
          <t>2 SM pisc</t>
        </is>
      </c>
      <c r="H190" s="11" t="n">
        <v>0.3055989990616202</v>
      </c>
      <c r="I190" s="9" t="inlineStr">
        <is>
          <t>model_biomass</t>
        </is>
      </c>
      <c r="J190" s="12" t="inlineStr">
        <is>
          <t>medium</t>
        </is>
      </c>
      <c r="K190" s="9" t="inlineStr">
        <is>
          <t>composite_split</t>
        </is>
      </c>
      <c r="L190" s="10" t="inlineStr">
        <is>
          <t>Appendix A1.1 lists this exact catch name under `SM pisc`; apportioned over the region 2 and region 3 pools by model biomass; region 1 is the Maldives shelf, outside LME 34.</t>
        </is>
      </c>
      <c r="M190" s="9" t="n">
        <v>447756.778</v>
      </c>
    </row>
    <row r="191" ht="36" customHeight="1">
      <c r="A191" s="9" t="inlineStr">
        <is>
          <t>LME_034</t>
        </is>
      </c>
      <c r="B191" s="10" t="inlineStr">
        <is>
          <t>34_1_Bay_of_Bengal_(1978)</t>
        </is>
      </c>
      <c r="C191" s="10" t="inlineStr">
        <is>
          <t>Pomadasys</t>
        </is>
      </c>
      <c r="D191" s="9" t="inlineStr">
        <is>
          <t>Grunters</t>
        </is>
      </c>
      <c r="E191" s="9" t="inlineStr">
        <is>
          <t>Medium demersals (30 - 89 cm)</t>
        </is>
      </c>
      <c r="F191" s="9" t="inlineStr">
        <is>
          <t>Perch-likes</t>
        </is>
      </c>
      <c r="G191" s="10" t="inlineStr">
        <is>
          <t>3 SM pisc</t>
        </is>
      </c>
      <c r="H191" s="11" t="n">
        <v>0.6944010009383798</v>
      </c>
      <c r="I191" s="9" t="inlineStr">
        <is>
          <t>model_biomass</t>
        </is>
      </c>
      <c r="J191" s="12" t="inlineStr">
        <is>
          <t>medium</t>
        </is>
      </c>
      <c r="K191" s="9" t="inlineStr">
        <is>
          <t>composite_split</t>
        </is>
      </c>
      <c r="L191" s="10" t="inlineStr">
        <is>
          <t>Appendix A1.1 lists this exact catch name under `SM pisc`; apportioned over the region 2 and region 3 pools by model biomass; region 1 is the Maldives shelf, outside LME 34.</t>
        </is>
      </c>
      <c r="M191" s="9" t="n">
        <v>447756.778</v>
      </c>
    </row>
    <row r="192" ht="36" customHeight="1">
      <c r="A192" s="9" t="inlineStr">
        <is>
          <t>LME_034</t>
        </is>
      </c>
      <c r="B192" s="10" t="inlineStr">
        <is>
          <t>34_1_Bay_of_Bengal_(1978)</t>
        </is>
      </c>
      <c r="C192" s="10" t="inlineStr">
        <is>
          <t>Lepturacanthus savala</t>
        </is>
      </c>
      <c r="D192" s="9" t="inlineStr">
        <is>
          <t>Savalai hairtail</t>
        </is>
      </c>
      <c r="E192" s="9" t="inlineStr">
        <is>
          <t>Large benthopelagics (&gt;=90 cm)</t>
        </is>
      </c>
      <c r="F192" s="9" t="inlineStr">
        <is>
          <t>Perch-likes</t>
        </is>
      </c>
      <c r="G192" s="10" t="inlineStr">
        <is>
          <t>2 L pisc</t>
        </is>
      </c>
      <c r="H192" s="11" t="n">
        <v>0.449530936694357</v>
      </c>
      <c r="I192" s="9" t="inlineStr">
        <is>
          <t>model_biomass</t>
        </is>
      </c>
      <c r="J192" s="12" t="inlineStr">
        <is>
          <t>medium</t>
        </is>
      </c>
      <c r="K192" s="9" t="inlineStr">
        <is>
          <t>composite_split</t>
        </is>
      </c>
      <c r="L192" s="10" t="inlineStr">
        <is>
          <t>Appendix A1.3 lists Lepturacanthus savala in the `L pisc` species list. Apportioned over the region 2 and region 3 pools by model biomass; region 1 is the Maldives shelf, outside LME 34.</t>
        </is>
      </c>
      <c r="M192" s="9" t="n">
        <v>435514.015</v>
      </c>
    </row>
    <row r="193" ht="36" customHeight="1">
      <c r="A193" s="9" t="inlineStr">
        <is>
          <t>LME_034</t>
        </is>
      </c>
      <c r="B193" s="10" t="inlineStr">
        <is>
          <t>34_1_Bay_of_Bengal_(1978)</t>
        </is>
      </c>
      <c r="C193" s="10" t="inlineStr">
        <is>
          <t>Lepturacanthus savala</t>
        </is>
      </c>
      <c r="D193" s="9" t="inlineStr">
        <is>
          <t>Savalai hairtail</t>
        </is>
      </c>
      <c r="E193" s="9" t="inlineStr">
        <is>
          <t>Large benthopelagics (&gt;=90 cm)</t>
        </is>
      </c>
      <c r="F193" s="9" t="inlineStr">
        <is>
          <t>Perch-likes</t>
        </is>
      </c>
      <c r="G193" s="10" t="inlineStr">
        <is>
          <t>3 L pisc</t>
        </is>
      </c>
      <c r="H193" s="11" t="n">
        <v>0.5504690633056432</v>
      </c>
      <c r="I193" s="9" t="inlineStr">
        <is>
          <t>model_biomass</t>
        </is>
      </c>
      <c r="J193" s="12" t="inlineStr">
        <is>
          <t>medium</t>
        </is>
      </c>
      <c r="K193" s="9" t="inlineStr">
        <is>
          <t>composite_split</t>
        </is>
      </c>
      <c r="L193" s="10" t="inlineStr">
        <is>
          <t>Appendix A1.3 lists Lepturacanthus savala in the `L pisc` species list. Apportioned over the region 2 and region 3 pools by model biomass; region 1 is the Maldives shelf, outside LME 34.</t>
        </is>
      </c>
      <c r="M193" s="9" t="n">
        <v>435514.015</v>
      </c>
    </row>
    <row r="194" ht="36" customHeight="1">
      <c r="A194" s="9" t="inlineStr">
        <is>
          <t>LME_034</t>
        </is>
      </c>
      <c r="B194" s="10" t="inlineStr">
        <is>
          <t>34_1_Bay_of_Bengal_(1978)</t>
        </is>
      </c>
      <c r="C194" s="10" t="inlineStr">
        <is>
          <t>Upeneus</t>
        </is>
      </c>
      <c r="D194" s="9" t="inlineStr">
        <is>
          <t>Upeneid goatfishes</t>
        </is>
      </c>
      <c r="E194" s="9" t="inlineStr">
        <is>
          <t>Small reef assoc. fish (&lt;30 cm)</t>
        </is>
      </c>
      <c r="F194" s="9" t="inlineStr">
        <is>
          <t>Perch-likes</t>
        </is>
      </c>
      <c r="G194" s="10" t="inlineStr">
        <is>
          <t>2 SM inv</t>
        </is>
      </c>
      <c r="H194" s="11" t="n">
        <v>0.3170901271842734</v>
      </c>
      <c r="I194" s="9" t="inlineStr">
        <is>
          <t>model_biomass</t>
        </is>
      </c>
      <c r="J194" s="12" t="inlineStr">
        <is>
          <t>medium</t>
        </is>
      </c>
      <c r="K194" s="9" t="inlineStr">
        <is>
          <t>composite_split</t>
        </is>
      </c>
      <c r="L194" s="10" t="inlineStr">
        <is>
          <t>Appendix A1.1 lists this exact catch name under `SM inv`; apportioned over the region 2 and region 3 pools by model biomass; region 1 is the Maldives shelf, outside LME 34.</t>
        </is>
      </c>
      <c r="M194" s="9" t="n">
        <v>425750.916</v>
      </c>
    </row>
    <row r="195" ht="36" customHeight="1">
      <c r="A195" s="9" t="inlineStr">
        <is>
          <t>LME_034</t>
        </is>
      </c>
      <c r="B195" s="10" t="inlineStr">
        <is>
          <t>34_1_Bay_of_Bengal_(1978)</t>
        </is>
      </c>
      <c r="C195" s="10" t="inlineStr">
        <is>
          <t>Upeneus</t>
        </is>
      </c>
      <c r="D195" s="9" t="inlineStr">
        <is>
          <t>Upeneid goatfishes</t>
        </is>
      </c>
      <c r="E195" s="9" t="inlineStr">
        <is>
          <t>Small reef assoc. fish (&lt;30 cm)</t>
        </is>
      </c>
      <c r="F195" s="9" t="inlineStr">
        <is>
          <t>Perch-likes</t>
        </is>
      </c>
      <c r="G195" s="10" t="inlineStr">
        <is>
          <t>3 SM inv</t>
        </is>
      </c>
      <c r="H195" s="11" t="n">
        <v>0.6829098728157266</v>
      </c>
      <c r="I195" s="9" t="inlineStr">
        <is>
          <t>model_biomass</t>
        </is>
      </c>
      <c r="J195" s="12" t="inlineStr">
        <is>
          <t>medium</t>
        </is>
      </c>
      <c r="K195" s="9" t="inlineStr">
        <is>
          <t>composite_split</t>
        </is>
      </c>
      <c r="L195" s="10" t="inlineStr">
        <is>
          <t>Appendix A1.1 lists this exact catch name under `SM inv`; apportioned over the region 2 and region 3 pools by model biomass; region 1 is the Maldives shelf, outside LME 34.</t>
        </is>
      </c>
      <c r="M195" s="9" t="n">
        <v>425750.916</v>
      </c>
    </row>
    <row r="196" ht="36" customHeight="1">
      <c r="A196" s="9" t="inlineStr">
        <is>
          <t>LME_034</t>
        </is>
      </c>
      <c r="B196" s="10" t="inlineStr">
        <is>
          <t>34_1_Bay_of_Bengal_(1978)</t>
        </is>
      </c>
      <c r="C196" s="10" t="inlineStr">
        <is>
          <t>Sardinella lemuru</t>
        </is>
      </c>
      <c r="D196" s="9" t="inlineStr">
        <is>
          <t>Bali sardinella</t>
        </is>
      </c>
      <c r="E196" s="9" t="inlineStr">
        <is>
          <t>Small pelagics (&lt;30 cm)</t>
        </is>
      </c>
      <c r="F196" s="9" t="inlineStr">
        <is>
          <t>Herring-likes</t>
        </is>
      </c>
      <c r="G196" s="10" t="inlineStr">
        <is>
          <t>2 S pelagics</t>
        </is>
      </c>
      <c r="H196" s="11" t="n">
        <v>0.2975985463815478</v>
      </c>
      <c r="I196" s="9" t="inlineStr">
        <is>
          <t>model_biomass</t>
        </is>
      </c>
      <c r="J196" s="12" t="inlineStr">
        <is>
          <t>medium</t>
        </is>
      </c>
      <c r="K196" s="9" t="inlineStr">
        <is>
          <t>composite_split</t>
        </is>
      </c>
      <c r="L196" s="10" t="inlineStr">
        <is>
          <t>Appendix A1.1 lists this exact catch name under `S pelagics`; apportioned over the region 2 and region 3 pools by model biomass; region 1 is the Maldives shelf, outside LME 34.</t>
        </is>
      </c>
      <c r="M196" s="9" t="n">
        <v>411083.665</v>
      </c>
    </row>
    <row r="197" ht="36" customHeight="1">
      <c r="A197" s="9" t="inlineStr">
        <is>
          <t>LME_034</t>
        </is>
      </c>
      <c r="B197" s="10" t="inlineStr">
        <is>
          <t>34_1_Bay_of_Bengal_(1978)</t>
        </is>
      </c>
      <c r="C197" s="10" t="inlineStr">
        <is>
          <t>Sardinella lemuru</t>
        </is>
      </c>
      <c r="D197" s="9" t="inlineStr">
        <is>
          <t>Bali sardinella</t>
        </is>
      </c>
      <c r="E197" s="9" t="inlineStr">
        <is>
          <t>Small pelagics (&lt;30 cm)</t>
        </is>
      </c>
      <c r="F197" s="9" t="inlineStr">
        <is>
          <t>Herring-likes</t>
        </is>
      </c>
      <c r="G197" s="10" t="inlineStr">
        <is>
          <t>3 S pelagics</t>
        </is>
      </c>
      <c r="H197" s="11" t="n">
        <v>0.7024014536184523</v>
      </c>
      <c r="I197" s="9" t="inlineStr">
        <is>
          <t>model_biomass</t>
        </is>
      </c>
      <c r="J197" s="12" t="inlineStr">
        <is>
          <t>medium</t>
        </is>
      </c>
      <c r="K197" s="9" t="inlineStr">
        <is>
          <t>composite_split</t>
        </is>
      </c>
      <c r="L197" s="10" t="inlineStr">
        <is>
          <t>Appendix A1.1 lists this exact catch name under `S pelagics`; apportioned over the region 2 and region 3 pools by model biomass; region 1 is the Maldives shelf, outside LME 34.</t>
        </is>
      </c>
      <c r="M197" s="9" t="n">
        <v>411083.665</v>
      </c>
    </row>
    <row r="198" ht="36" customHeight="1">
      <c r="A198" s="9" t="inlineStr">
        <is>
          <t>LME_034</t>
        </is>
      </c>
      <c r="B198" s="10" t="inlineStr">
        <is>
          <t>34_1_Bay_of_Bengal_(1978)</t>
        </is>
      </c>
      <c r="C198" s="10" t="inlineStr">
        <is>
          <t>Epinephelus</t>
        </is>
      </c>
      <c r="D198" s="9" t="inlineStr">
        <is>
          <t>Seabasses, hinds</t>
        </is>
      </c>
      <c r="E198" s="9" t="inlineStr">
        <is>
          <t>Medium reef assoc. fish (30 - 89 cm)</t>
        </is>
      </c>
      <c r="F198" s="9" t="inlineStr">
        <is>
          <t>Perch-likes</t>
        </is>
      </c>
      <c r="G198" s="10" t="inlineStr">
        <is>
          <t>2 L pisc comm</t>
        </is>
      </c>
      <c r="H198" s="11" t="n">
        <v>0.4790991864112831</v>
      </c>
      <c r="I198" s="9" t="inlineStr">
        <is>
          <t>model_biomass</t>
        </is>
      </c>
      <c r="J198" s="12" t="inlineStr">
        <is>
          <t>medium</t>
        </is>
      </c>
      <c r="K198" s="9" t="inlineStr">
        <is>
          <t>composite_split</t>
        </is>
      </c>
      <c r="L198" s="10" t="inlineStr">
        <is>
          <t>Appendix A1.1 lists this exact catch name under `L pisc comm`; apportioned over the region 2 and region 3 pools by model biomass; region 1 is the Maldives shelf, outside LME 34.</t>
        </is>
      </c>
      <c r="M198" s="9" t="n">
        <v>409824.667</v>
      </c>
    </row>
    <row r="199" ht="36" customHeight="1">
      <c r="A199" s="9" t="inlineStr">
        <is>
          <t>LME_034</t>
        </is>
      </c>
      <c r="B199" s="10" t="inlineStr">
        <is>
          <t>34_1_Bay_of_Bengal_(1978)</t>
        </is>
      </c>
      <c r="C199" s="10" t="inlineStr">
        <is>
          <t>Epinephelus</t>
        </is>
      </c>
      <c r="D199" s="9" t="inlineStr">
        <is>
          <t>Seabasses, hinds</t>
        </is>
      </c>
      <c r="E199" s="9" t="inlineStr">
        <is>
          <t>Medium reef assoc. fish (30 - 89 cm)</t>
        </is>
      </c>
      <c r="F199" s="9" t="inlineStr">
        <is>
          <t>Perch-likes</t>
        </is>
      </c>
      <c r="G199" s="10" t="inlineStr">
        <is>
          <t>3 L pisc comm</t>
        </is>
      </c>
      <c r="H199" s="11" t="n">
        <v>0.5209008135887169</v>
      </c>
      <c r="I199" s="9" t="inlineStr">
        <is>
          <t>model_biomass</t>
        </is>
      </c>
      <c r="J199" s="12" t="inlineStr">
        <is>
          <t>medium</t>
        </is>
      </c>
      <c r="K199" s="9" t="inlineStr">
        <is>
          <t>composite_split</t>
        </is>
      </c>
      <c r="L199" s="10" t="inlineStr">
        <is>
          <t>Appendix A1.1 lists this exact catch name under `L pisc comm`; apportioned over the region 2 and region 3 pools by model biomass; region 1 is the Maldives shelf, outside LME 34.</t>
        </is>
      </c>
      <c r="M199" s="9" t="n">
        <v>409824.667</v>
      </c>
    </row>
    <row r="200" ht="36" customHeight="1">
      <c r="A200" s="9" t="inlineStr">
        <is>
          <t>LME_034</t>
        </is>
      </c>
      <c r="B200" s="10" t="inlineStr">
        <is>
          <t>34_1_Bay_of_Bengal_(1978)</t>
        </is>
      </c>
      <c r="C200" s="10" t="inlineStr">
        <is>
          <t>Sphyraenidae</t>
        </is>
      </c>
      <c r="D200" s="9" t="inlineStr">
        <is>
          <t>Barracudas</t>
        </is>
      </c>
      <c r="E200" s="9" t="inlineStr">
        <is>
          <t>Medium reef assoc. fish (30 - 89 cm)</t>
        </is>
      </c>
      <c r="F200" s="9" t="inlineStr">
        <is>
          <t>Perch-likes</t>
        </is>
      </c>
      <c r="G200" s="10" t="inlineStr">
        <is>
          <t>2 L pisc</t>
        </is>
      </c>
      <c r="H200" s="11" t="n">
        <v>0.449530936694357</v>
      </c>
      <c r="I200" s="9" t="inlineStr">
        <is>
          <t>model_biomass</t>
        </is>
      </c>
      <c r="J200" s="12" t="inlineStr">
        <is>
          <t>medium</t>
        </is>
      </c>
      <c r="K200" s="9" t="inlineStr">
        <is>
          <t>composite_split</t>
        </is>
      </c>
      <c r="L200" s="10" t="inlineStr">
        <is>
          <t>Appendix A1.1 lists this exact catch name under `L pisc`; apportioned over the region 2 and region 3 pools by model biomass; region 1 is the Maldives shelf, outside LME 34.</t>
        </is>
      </c>
      <c r="M200" s="9" t="n">
        <v>408325.941</v>
      </c>
    </row>
    <row r="201" ht="36" customHeight="1">
      <c r="A201" s="9" t="inlineStr">
        <is>
          <t>LME_034</t>
        </is>
      </c>
      <c r="B201" s="10" t="inlineStr">
        <is>
          <t>34_1_Bay_of_Bengal_(1978)</t>
        </is>
      </c>
      <c r="C201" s="10" t="inlineStr">
        <is>
          <t>Sphyraenidae</t>
        </is>
      </c>
      <c r="D201" s="9" t="inlineStr">
        <is>
          <t>Barracudas</t>
        </is>
      </c>
      <c r="E201" s="9" t="inlineStr">
        <is>
          <t>Medium reef assoc. fish (30 - 89 cm)</t>
        </is>
      </c>
      <c r="F201" s="9" t="inlineStr">
        <is>
          <t>Perch-likes</t>
        </is>
      </c>
      <c r="G201" s="10" t="inlineStr">
        <is>
          <t>3 L pisc</t>
        </is>
      </c>
      <c r="H201" s="11" t="n">
        <v>0.5504690633056432</v>
      </c>
      <c r="I201" s="9" t="inlineStr">
        <is>
          <t>model_biomass</t>
        </is>
      </c>
      <c r="J201" s="12" t="inlineStr">
        <is>
          <t>medium</t>
        </is>
      </c>
      <c r="K201" s="9" t="inlineStr">
        <is>
          <t>composite_split</t>
        </is>
      </c>
      <c r="L201" s="10" t="inlineStr">
        <is>
          <t>Appendix A1.1 lists this exact catch name under `L pisc`; apportioned over the region 2 and region 3 pools by model biomass; region 1 is the Maldives shelf, outside LME 34.</t>
        </is>
      </c>
      <c r="M201" s="9" t="n">
        <v>408325.941</v>
      </c>
    </row>
    <row r="202" ht="36" customHeight="1">
      <c r="A202" s="9" t="inlineStr">
        <is>
          <t>LME_034</t>
        </is>
      </c>
      <c r="B202" s="10" t="inlineStr">
        <is>
          <t>34_1_Bay_of_Bengal_(1978)</t>
        </is>
      </c>
      <c r="C202" s="10" t="inlineStr">
        <is>
          <t>Coilia dussumieri</t>
        </is>
      </c>
      <c r="D202" s="9" t="inlineStr">
        <is>
          <t>Goldspotted grenadier anchovy</t>
        </is>
      </c>
      <c r="E202" s="9" t="inlineStr">
        <is>
          <t>Small pelagics (&lt;30 cm)</t>
        </is>
      </c>
      <c r="F202" s="9" t="inlineStr">
        <is>
          <t>Anchovies</t>
        </is>
      </c>
      <c r="G202" s="10" t="inlineStr">
        <is>
          <t>2 S pelagics</t>
        </is>
      </c>
      <c r="H202" s="11" t="n">
        <v>0.2975985463815478</v>
      </c>
      <c r="I202" s="9" t="inlineStr">
        <is>
          <t>model_biomass</t>
        </is>
      </c>
      <c r="J202" s="12" t="inlineStr">
        <is>
          <t>medium</t>
        </is>
      </c>
      <c r="K202" s="9" t="inlineStr">
        <is>
          <t>composite_split</t>
        </is>
      </c>
      <c r="L202" s="10" t="inlineStr">
        <is>
          <t>Appendix A1.3 lists Coilia dussumieri in the `S pelagics` species list. Apportioned over the region 2 and region 3 pools by model biomass; region 1 is the Maldives shelf, outside LME 34.</t>
        </is>
      </c>
      <c r="M202" s="9" t="n">
        <v>397081.748</v>
      </c>
    </row>
    <row r="203" ht="36" customHeight="1">
      <c r="A203" s="9" t="inlineStr">
        <is>
          <t>LME_034</t>
        </is>
      </c>
      <c r="B203" s="10" t="inlineStr">
        <is>
          <t>34_1_Bay_of_Bengal_(1978)</t>
        </is>
      </c>
      <c r="C203" s="10" t="inlineStr">
        <is>
          <t>Coilia dussumieri</t>
        </is>
      </c>
      <c r="D203" s="9" t="inlineStr">
        <is>
          <t>Goldspotted grenadier anchovy</t>
        </is>
      </c>
      <c r="E203" s="9" t="inlineStr">
        <is>
          <t>Small pelagics (&lt;30 cm)</t>
        </is>
      </c>
      <c r="F203" s="9" t="inlineStr">
        <is>
          <t>Anchovies</t>
        </is>
      </c>
      <c r="G203" s="10" t="inlineStr">
        <is>
          <t>3 S pelagics</t>
        </is>
      </c>
      <c r="H203" s="11" t="n">
        <v>0.7024014536184523</v>
      </c>
      <c r="I203" s="9" t="inlineStr">
        <is>
          <t>model_biomass</t>
        </is>
      </c>
      <c r="J203" s="12" t="inlineStr">
        <is>
          <t>medium</t>
        </is>
      </c>
      <c r="K203" s="9" t="inlineStr">
        <is>
          <t>composite_split</t>
        </is>
      </c>
      <c r="L203" s="10" t="inlineStr">
        <is>
          <t>Appendix A1.3 lists Coilia dussumieri in the `S pelagics` species list. Apportioned over the region 2 and region 3 pools by model biomass; region 1 is the Maldives shelf, outside LME 34.</t>
        </is>
      </c>
      <c r="M203" s="9" t="n">
        <v>397081.748</v>
      </c>
    </row>
    <row r="204" ht="36" customHeight="1">
      <c r="A204" s="9" t="inlineStr">
        <is>
          <t>LME_034</t>
        </is>
      </c>
      <c r="B204" s="10" t="inlineStr">
        <is>
          <t>34_1_Bay_of_Bengal_(1978)</t>
        </is>
      </c>
      <c r="C204" s="10" t="inlineStr">
        <is>
          <t>Cynoglossus</t>
        </is>
      </c>
      <c r="D204" s="9" t="inlineStr">
        <is>
          <t>Tonguesoles</t>
        </is>
      </c>
      <c r="E204" s="9" t="inlineStr">
        <is>
          <t>Small to medium flatfishes (&lt;90 cm)</t>
        </is>
      </c>
      <c r="F204" s="9" t="inlineStr">
        <is>
          <t>Flatfishes</t>
        </is>
      </c>
      <c r="G204" s="10" t="inlineStr">
        <is>
          <t>2 SM inv</t>
        </is>
      </c>
      <c r="H204" s="11" t="n">
        <v>0.3170901271842734</v>
      </c>
      <c r="I204" s="9" t="inlineStr">
        <is>
          <t>model_biomass</t>
        </is>
      </c>
      <c r="J204" s="12" t="inlineStr">
        <is>
          <t>medium</t>
        </is>
      </c>
      <c r="K204" s="9" t="inlineStr">
        <is>
          <t>composite_split</t>
        </is>
      </c>
      <c r="L204" s="10" t="inlineStr">
        <is>
          <t>Appendix A1.1 lists this exact catch name under `SM coast inv`; apportioned over the region 2 and region 3 pools by model biomass; region 1 is the Maldives shelf, outside LME 34.</t>
        </is>
      </c>
      <c r="M204" s="9" t="n">
        <v>395472.71</v>
      </c>
    </row>
    <row r="205" ht="36" customHeight="1">
      <c r="A205" s="9" t="inlineStr">
        <is>
          <t>LME_034</t>
        </is>
      </c>
      <c r="B205" s="10" t="inlineStr">
        <is>
          <t>34_1_Bay_of_Bengal_(1978)</t>
        </is>
      </c>
      <c r="C205" s="10" t="inlineStr">
        <is>
          <t>Cynoglossus</t>
        </is>
      </c>
      <c r="D205" s="9" t="inlineStr">
        <is>
          <t>Tonguesoles</t>
        </is>
      </c>
      <c r="E205" s="9" t="inlineStr">
        <is>
          <t>Small to medium flatfishes (&lt;90 cm)</t>
        </is>
      </c>
      <c r="F205" s="9" t="inlineStr">
        <is>
          <t>Flatfishes</t>
        </is>
      </c>
      <c r="G205" s="10" t="inlineStr">
        <is>
          <t>3 SM inv</t>
        </is>
      </c>
      <c r="H205" s="11" t="n">
        <v>0.6829098728157266</v>
      </c>
      <c r="I205" s="9" t="inlineStr">
        <is>
          <t>model_biomass</t>
        </is>
      </c>
      <c r="J205" s="12" t="inlineStr">
        <is>
          <t>medium</t>
        </is>
      </c>
      <c r="K205" s="9" t="inlineStr">
        <is>
          <t>composite_split</t>
        </is>
      </c>
      <c r="L205" s="10" t="inlineStr">
        <is>
          <t>Appendix A1.1 lists this exact catch name under `SM coast inv`; apportioned over the region 2 and region 3 pools by model biomass; region 1 is the Maldives shelf, outside LME 34.</t>
        </is>
      </c>
      <c r="M205" s="9" t="n">
        <v>395472.71</v>
      </c>
    </row>
    <row r="206" ht="36" customHeight="1">
      <c r="A206" s="9" t="inlineStr">
        <is>
          <t>LME_034</t>
        </is>
      </c>
      <c r="B206" s="10" t="inlineStr">
        <is>
          <t>34_1_Bay_of_Bengal_(1978)</t>
        </is>
      </c>
      <c r="C206" s="10" t="inlineStr">
        <is>
          <t>Chirocentrus dorab</t>
        </is>
      </c>
      <c r="D206" s="9" t="inlineStr">
        <is>
          <t>Dorab wolf-herring</t>
        </is>
      </c>
      <c r="E206" s="9" t="inlineStr">
        <is>
          <t>Large benthopelagics (&gt;=90 cm)</t>
        </is>
      </c>
      <c r="F206" s="9" t="inlineStr">
        <is>
          <t>Herring-likes</t>
        </is>
      </c>
      <c r="G206" s="10" t="inlineStr">
        <is>
          <t>2 L pisc</t>
        </is>
      </c>
      <c r="H206" s="11" t="n">
        <v>0.449530936694357</v>
      </c>
      <c r="I206" s="9" t="inlineStr">
        <is>
          <t>model_biomass</t>
        </is>
      </c>
      <c r="J206" s="12" t="inlineStr">
        <is>
          <t>medium</t>
        </is>
      </c>
      <c r="K206" s="9" t="inlineStr">
        <is>
          <t>composite_split</t>
        </is>
      </c>
      <c r="L206" s="10" t="inlineStr">
        <is>
          <t>Appendix A1.1 lists this exact catch name under `L pisc`; apportioned over the region 2 and region 3 pools by model biomass; region 1 is the Maldives shelf, outside LME 34.</t>
        </is>
      </c>
      <c r="M206" s="9" t="n">
        <v>393806.857</v>
      </c>
    </row>
    <row r="207" ht="36" customHeight="1">
      <c r="A207" s="9" t="inlineStr">
        <is>
          <t>LME_034</t>
        </is>
      </c>
      <c r="B207" s="10" t="inlineStr">
        <is>
          <t>34_1_Bay_of_Bengal_(1978)</t>
        </is>
      </c>
      <c r="C207" s="10" t="inlineStr">
        <is>
          <t>Chirocentrus dorab</t>
        </is>
      </c>
      <c r="D207" s="9" t="inlineStr">
        <is>
          <t>Dorab wolf-herring</t>
        </is>
      </c>
      <c r="E207" s="9" t="inlineStr">
        <is>
          <t>Large benthopelagics (&gt;=90 cm)</t>
        </is>
      </c>
      <c r="F207" s="9" t="inlineStr">
        <is>
          <t>Herring-likes</t>
        </is>
      </c>
      <c r="G207" s="10" t="inlineStr">
        <is>
          <t>3 L pisc</t>
        </is>
      </c>
      <c r="H207" s="11" t="n">
        <v>0.5504690633056432</v>
      </c>
      <c r="I207" s="9" t="inlineStr">
        <is>
          <t>model_biomass</t>
        </is>
      </c>
      <c r="J207" s="12" t="inlineStr">
        <is>
          <t>medium</t>
        </is>
      </c>
      <c r="K207" s="9" t="inlineStr">
        <is>
          <t>composite_split</t>
        </is>
      </c>
      <c r="L207" s="10" t="inlineStr">
        <is>
          <t>Appendix A1.1 lists this exact catch name under `L pisc`; apportioned over the region 2 and region 3 pools by model biomass; region 1 is the Maldives shelf, outside LME 34.</t>
        </is>
      </c>
      <c r="M207" s="9" t="n">
        <v>393806.857</v>
      </c>
    </row>
    <row r="208" ht="36" customHeight="1">
      <c r="A208" s="9" t="inlineStr">
        <is>
          <t>LME_034</t>
        </is>
      </c>
      <c r="B208" s="10" t="inlineStr">
        <is>
          <t>34_1_Bay_of_Bengal_(1978)</t>
        </is>
      </c>
      <c r="C208" s="10" t="inlineStr">
        <is>
          <t>Amblygaster sirm</t>
        </is>
      </c>
      <c r="D208" s="9" t="inlineStr">
        <is>
          <t>Spotted sardinella</t>
        </is>
      </c>
      <c r="E208" s="9" t="inlineStr">
        <is>
          <t>Small pelagics (&lt;30 cm)</t>
        </is>
      </c>
      <c r="F208" s="9" t="inlineStr">
        <is>
          <t>Herring-likes</t>
        </is>
      </c>
      <c r="G208" s="10" t="inlineStr">
        <is>
          <t>2 S pelagics</t>
        </is>
      </c>
      <c r="H208" s="11" t="n">
        <v>0.2975985463815478</v>
      </c>
      <c r="I208" s="9" t="inlineStr">
        <is>
          <t>model_biomass</t>
        </is>
      </c>
      <c r="J208" s="12" t="inlineStr">
        <is>
          <t>medium</t>
        </is>
      </c>
      <c r="K208" s="9" t="inlineStr">
        <is>
          <t>composite_split</t>
        </is>
      </c>
      <c r="L208" s="10" t="inlineStr">
        <is>
          <t>Appendix A1.1 lists this exact catch name under `S pelagics`; apportioned over the region 2 and region 3 pools by model biomass; region 1 is the Maldives shelf, outside LME 34.</t>
        </is>
      </c>
      <c r="M208" s="9" t="n">
        <v>392196.85</v>
      </c>
    </row>
    <row r="209" ht="36" customHeight="1">
      <c r="A209" s="9" t="inlineStr">
        <is>
          <t>LME_034</t>
        </is>
      </c>
      <c r="B209" s="10" t="inlineStr">
        <is>
          <t>34_1_Bay_of_Bengal_(1978)</t>
        </is>
      </c>
      <c r="C209" s="10" t="inlineStr">
        <is>
          <t>Amblygaster sirm</t>
        </is>
      </c>
      <c r="D209" s="9" t="inlineStr">
        <is>
          <t>Spotted sardinella</t>
        </is>
      </c>
      <c r="E209" s="9" t="inlineStr">
        <is>
          <t>Small pelagics (&lt;30 cm)</t>
        </is>
      </c>
      <c r="F209" s="9" t="inlineStr">
        <is>
          <t>Herring-likes</t>
        </is>
      </c>
      <c r="G209" s="10" t="inlineStr">
        <is>
          <t>3 S pelagics</t>
        </is>
      </c>
      <c r="H209" s="11" t="n">
        <v>0.7024014536184523</v>
      </c>
      <c r="I209" s="9" t="inlineStr">
        <is>
          <t>model_biomass</t>
        </is>
      </c>
      <c r="J209" s="12" t="inlineStr">
        <is>
          <t>medium</t>
        </is>
      </c>
      <c r="K209" s="9" t="inlineStr">
        <is>
          <t>composite_split</t>
        </is>
      </c>
      <c r="L209" s="10" t="inlineStr">
        <is>
          <t>Appendix A1.1 lists this exact catch name under `S pelagics`; apportioned over the region 2 and region 3 pools by model biomass; region 1 is the Maldives shelf, outside LME 34.</t>
        </is>
      </c>
      <c r="M209" s="9" t="n">
        <v>392196.85</v>
      </c>
    </row>
    <row r="210" ht="36" customHeight="1">
      <c r="A210" s="9" t="inlineStr">
        <is>
          <t>LME_034</t>
        </is>
      </c>
      <c r="B210" s="10" t="inlineStr">
        <is>
          <t>34_1_Bay_of_Bengal_(1978)</t>
        </is>
      </c>
      <c r="C210" s="10" t="inlineStr">
        <is>
          <t>Sardinella gibbosa</t>
        </is>
      </c>
      <c r="D210" s="9" t="inlineStr">
        <is>
          <t>Goldstripe sardinella</t>
        </is>
      </c>
      <c r="E210" s="9" t="inlineStr">
        <is>
          <t>Small pelagics (&lt;30 cm)</t>
        </is>
      </c>
      <c r="F210" s="9" t="inlineStr">
        <is>
          <t>Herring-likes</t>
        </is>
      </c>
      <c r="G210" s="10" t="inlineStr">
        <is>
          <t>2 S pelagics</t>
        </is>
      </c>
      <c r="H210" s="11" t="n">
        <v>0.2975985463815478</v>
      </c>
      <c r="I210" s="9" t="inlineStr">
        <is>
          <t>model_biomass</t>
        </is>
      </c>
      <c r="J210" s="12" t="inlineStr">
        <is>
          <t>medium</t>
        </is>
      </c>
      <c r="K210" s="9" t="inlineStr">
        <is>
          <t>composite_split</t>
        </is>
      </c>
      <c r="L210" s="10" t="inlineStr">
        <is>
          <t>Appendix A1.1 lists this exact catch name under `S pelagics`; apportioned over the region 2 and region 3 pools by model biomass; region 1 is the Maldives shelf, outside LME 34.</t>
        </is>
      </c>
      <c r="M210" s="9" t="n">
        <v>392098.907</v>
      </c>
    </row>
    <row r="211" ht="36" customHeight="1">
      <c r="A211" s="9" t="inlineStr">
        <is>
          <t>LME_034</t>
        </is>
      </c>
      <c r="B211" s="10" t="inlineStr">
        <is>
          <t>34_1_Bay_of_Bengal_(1978)</t>
        </is>
      </c>
      <c r="C211" s="10" t="inlineStr">
        <is>
          <t>Sardinella gibbosa</t>
        </is>
      </c>
      <c r="D211" s="9" t="inlineStr">
        <is>
          <t>Goldstripe sardinella</t>
        </is>
      </c>
      <c r="E211" s="9" t="inlineStr">
        <is>
          <t>Small pelagics (&lt;30 cm)</t>
        </is>
      </c>
      <c r="F211" s="9" t="inlineStr">
        <is>
          <t>Herring-likes</t>
        </is>
      </c>
      <c r="G211" s="10" t="inlineStr">
        <is>
          <t>3 S pelagics</t>
        </is>
      </c>
      <c r="H211" s="11" t="n">
        <v>0.7024014536184523</v>
      </c>
      <c r="I211" s="9" t="inlineStr">
        <is>
          <t>model_biomass</t>
        </is>
      </c>
      <c r="J211" s="12" t="inlineStr">
        <is>
          <t>medium</t>
        </is>
      </c>
      <c r="K211" s="9" t="inlineStr">
        <is>
          <t>composite_split</t>
        </is>
      </c>
      <c r="L211" s="10" t="inlineStr">
        <is>
          <t>Appendix A1.1 lists this exact catch name under `S pelagics`; apportioned over the region 2 and region 3 pools by model biomass; region 1 is the Maldives shelf, outside LME 34.</t>
        </is>
      </c>
      <c r="M211" s="9" t="n">
        <v>392098.907</v>
      </c>
    </row>
    <row r="212" ht="36" customHeight="1">
      <c r="A212" s="9" t="inlineStr">
        <is>
          <t>LME_034</t>
        </is>
      </c>
      <c r="B212" s="10" t="inlineStr">
        <is>
          <t>34_1_Bay_of_Bengal_(1978)</t>
        </is>
      </c>
      <c r="C212" s="10" t="inlineStr">
        <is>
          <t>Netuma thalassina</t>
        </is>
      </c>
      <c r="D212" s="9" t="inlineStr">
        <is>
          <t>Giant catfish</t>
        </is>
      </c>
      <c r="E212" s="9" t="inlineStr">
        <is>
          <t>Large demersals (&gt;=90 cm)</t>
        </is>
      </c>
      <c r="F212" s="9" t="inlineStr">
        <is>
          <t>Other fishes &amp; inverts</t>
        </is>
      </c>
      <c r="G212" s="10" t="inlineStr">
        <is>
          <t>2 Milkfish plus</t>
        </is>
      </c>
      <c r="H212" s="11" t="n">
        <v>0.4393727564708105</v>
      </c>
      <c r="I212" s="9" t="inlineStr">
        <is>
          <t>model_biomass</t>
        </is>
      </c>
      <c r="J212" s="12" t="inlineStr">
        <is>
          <t>medium</t>
        </is>
      </c>
      <c r="K212" s="9" t="inlineStr">
        <is>
          <t>composite_split</t>
        </is>
      </c>
      <c r="L212" s="10" t="inlineStr">
        <is>
          <t>Appendix A1.1 lists this exact catch name under `Milkfish plus`; apportioned over the region 2 and region 3 pools by model biomass; region 1 is the Maldives shelf, outside LME 34.</t>
        </is>
      </c>
      <c r="M212" s="9" t="n">
        <v>340984.48</v>
      </c>
    </row>
    <row r="213" ht="36" customHeight="1">
      <c r="A213" s="9" t="inlineStr">
        <is>
          <t>LME_034</t>
        </is>
      </c>
      <c r="B213" s="10" t="inlineStr">
        <is>
          <t>34_1_Bay_of_Bengal_(1978)</t>
        </is>
      </c>
      <c r="C213" s="10" t="inlineStr">
        <is>
          <t>Netuma thalassina</t>
        </is>
      </c>
      <c r="D213" s="9" t="inlineStr">
        <is>
          <t>Giant catfish</t>
        </is>
      </c>
      <c r="E213" s="9" t="inlineStr">
        <is>
          <t>Large demersals (&gt;=90 cm)</t>
        </is>
      </c>
      <c r="F213" s="9" t="inlineStr">
        <is>
          <t>Other fishes &amp; inverts</t>
        </is>
      </c>
      <c r="G213" s="10" t="inlineStr">
        <is>
          <t>3 Milkfish plus</t>
        </is>
      </c>
      <c r="H213" s="11" t="n">
        <v>0.5606272435291896</v>
      </c>
      <c r="I213" s="9" t="inlineStr">
        <is>
          <t>model_biomass</t>
        </is>
      </c>
      <c r="J213" s="12" t="inlineStr">
        <is>
          <t>medium</t>
        </is>
      </c>
      <c r="K213" s="9" t="inlineStr">
        <is>
          <t>composite_split</t>
        </is>
      </c>
      <c r="L213" s="10" t="inlineStr">
        <is>
          <t>Appendix A1.1 lists this exact catch name under `Milkfish plus`; apportioned over the region 2 and region 3 pools by model biomass; region 1 is the Maldives shelf, outside LME 34.</t>
        </is>
      </c>
      <c r="M213" s="9" t="n">
        <v>340984.48</v>
      </c>
    </row>
    <row r="214" ht="36" customHeight="1">
      <c r="A214" s="9" t="inlineStr">
        <is>
          <t>LME_034</t>
        </is>
      </c>
      <c r="B214" s="10" t="inlineStr">
        <is>
          <t>34_1_Bay_of_Bengal_(1978)</t>
        </is>
      </c>
      <c r="C214" s="10" t="inlineStr">
        <is>
          <t>Lates calcarifer</t>
        </is>
      </c>
      <c r="D214" s="9" t="inlineStr">
        <is>
          <t>Barramundi</t>
        </is>
      </c>
      <c r="E214" s="9" t="inlineStr">
        <is>
          <t>Large demersals (&gt;=90 cm)</t>
        </is>
      </c>
      <c r="F214" s="9" t="inlineStr">
        <is>
          <t>Perch-likes</t>
        </is>
      </c>
      <c r="G214" s="10" t="inlineStr">
        <is>
          <t>2 L pisc</t>
        </is>
      </c>
      <c r="H214" s="11" t="n">
        <v>0.449530936694357</v>
      </c>
      <c r="I214" s="9" t="inlineStr">
        <is>
          <t>model_biomass</t>
        </is>
      </c>
      <c r="J214" s="12" t="inlineStr">
        <is>
          <t>medium</t>
        </is>
      </c>
      <c r="K214" s="9" t="inlineStr">
        <is>
          <t>composite_split</t>
        </is>
      </c>
      <c r="L214" s="10" t="inlineStr">
        <is>
          <t>Appendix A1.1 lists this exact catch name under `L pisc`; apportioned over the region 2 and region 3 pools by model biomass; region 1 is the Maldives shelf, outside LME 34.</t>
        </is>
      </c>
      <c r="M214" s="9" t="n">
        <v>335464.521</v>
      </c>
    </row>
    <row r="215" ht="36" customHeight="1">
      <c r="A215" s="9" t="inlineStr">
        <is>
          <t>LME_034</t>
        </is>
      </c>
      <c r="B215" s="10" t="inlineStr">
        <is>
          <t>34_1_Bay_of_Bengal_(1978)</t>
        </is>
      </c>
      <c r="C215" s="10" t="inlineStr">
        <is>
          <t>Lates calcarifer</t>
        </is>
      </c>
      <c r="D215" s="9" t="inlineStr">
        <is>
          <t>Barramundi</t>
        </is>
      </c>
      <c r="E215" s="9" t="inlineStr">
        <is>
          <t>Large demersals (&gt;=90 cm)</t>
        </is>
      </c>
      <c r="F215" s="9" t="inlineStr">
        <is>
          <t>Perch-likes</t>
        </is>
      </c>
      <c r="G215" s="10" t="inlineStr">
        <is>
          <t>3 L pisc</t>
        </is>
      </c>
      <c r="H215" s="11" t="n">
        <v>0.5504690633056432</v>
      </c>
      <c r="I215" s="9" t="inlineStr">
        <is>
          <t>model_biomass</t>
        </is>
      </c>
      <c r="J215" s="12" t="inlineStr">
        <is>
          <t>medium</t>
        </is>
      </c>
      <c r="K215" s="9" t="inlineStr">
        <is>
          <t>composite_split</t>
        </is>
      </c>
      <c r="L215" s="10" t="inlineStr">
        <is>
          <t>Appendix A1.1 lists this exact catch name under `L pisc`; apportioned over the region 2 and region 3 pools by model biomass; region 1 is the Maldives shelf, outside LME 34.</t>
        </is>
      </c>
      <c r="M215" s="9" t="n">
        <v>335464.521</v>
      </c>
    </row>
    <row r="216" ht="51" customHeight="1">
      <c r="A216" s="9" t="inlineStr">
        <is>
          <t>LME_034</t>
        </is>
      </c>
      <c r="B216" s="10" t="inlineStr">
        <is>
          <t>34_1_Bay_of_Bengal_(1978)</t>
        </is>
      </c>
      <c r="C216" s="10" t="inlineStr">
        <is>
          <t>Carcharhinus</t>
        </is>
      </c>
      <c r="D216" s="9" t="inlineStr">
        <is>
          <t>Sharp-nosed sharks</t>
        </is>
      </c>
      <c r="E216" s="9" t="inlineStr">
        <is>
          <t>Large sharks (&gt;=90 cm)</t>
        </is>
      </c>
      <c r="F216" s="9" t="inlineStr">
        <is>
          <t>Sharks &amp; rays</t>
        </is>
      </c>
      <c r="G216" s="10" t="inlineStr">
        <is>
          <t>Oceanic sharks</t>
        </is>
      </c>
      <c r="H216" s="11" t="n">
        <v>0.305730644284871</v>
      </c>
      <c r="I216" s="9" t="inlineStr">
        <is>
          <t>catch_composition</t>
        </is>
      </c>
      <c r="J216" s="12" t="inlineStr">
        <is>
          <t>medium</t>
        </is>
      </c>
      <c r="K216" s="9" t="inlineStr">
        <is>
          <t>composite_split</t>
        </is>
      </c>
      <c r="L216" s="10" t="inlineStr">
        <is>
          <t>Appendix A1.1 lists this exact catch name twice, under coastal elasmobranch (Andaman species list) and under oceanic, coastal sharks; apportioned by the catch that taxa assigned to those groups alone already carry in this LME.</t>
        </is>
      </c>
      <c r="M216" s="9" t="n">
        <v>319673.414</v>
      </c>
    </row>
    <row r="217" ht="51" customHeight="1">
      <c r="A217" s="9" t="inlineStr">
        <is>
          <t>LME_034</t>
        </is>
      </c>
      <c r="B217" s="10" t="inlineStr">
        <is>
          <t>34_1_Bay_of_Bengal_(1978)</t>
        </is>
      </c>
      <c r="C217" s="10" t="inlineStr">
        <is>
          <t>Carcharhinus</t>
        </is>
      </c>
      <c r="D217" s="9" t="inlineStr">
        <is>
          <t>Sharp-nosed sharks</t>
        </is>
      </c>
      <c r="E217" s="9" t="inlineStr">
        <is>
          <t>Large sharks (&gt;=90 cm)</t>
        </is>
      </c>
      <c r="F217" s="9" t="inlineStr">
        <is>
          <t>Sharks &amp; rays</t>
        </is>
      </c>
      <c r="G217" s="10" t="inlineStr">
        <is>
          <t>Coastal elasmobranch</t>
        </is>
      </c>
      <c r="H217" s="11" t="n">
        <v>0.694269355715129</v>
      </c>
      <c r="I217" s="9" t="inlineStr">
        <is>
          <t>catch_composition</t>
        </is>
      </c>
      <c r="J217" s="12" t="inlineStr">
        <is>
          <t>medium</t>
        </is>
      </c>
      <c r="K217" s="9" t="inlineStr">
        <is>
          <t>composite_split</t>
        </is>
      </c>
      <c r="L217" s="10" t="inlineStr">
        <is>
          <t>Appendix A1.1 lists this exact catch name twice, under coastal elasmobranch (Andaman species list) and under oceanic, coastal sharks; apportioned by the catch that taxa assigned to those groups alone already carry in this LME.</t>
        </is>
      </c>
      <c r="M217" s="9" t="n">
        <v>319673.414</v>
      </c>
    </row>
    <row r="218" ht="36" customHeight="1">
      <c r="A218" s="9" t="inlineStr">
        <is>
          <t>LME_034</t>
        </is>
      </c>
      <c r="B218" s="10" t="inlineStr">
        <is>
          <t>34_1_Bay_of_Bengal_(1978)</t>
        </is>
      </c>
      <c r="C218" s="10" t="inlineStr">
        <is>
          <t>Haemulidae</t>
        </is>
      </c>
      <c r="D218" s="9" t="inlineStr">
        <is>
          <t>Grunts, sweetlips, bonnetmouths</t>
        </is>
      </c>
      <c r="E218" s="9" t="inlineStr">
        <is>
          <t>Medium demersals (30 - 89 cm)</t>
        </is>
      </c>
      <c r="F218" s="9" t="inlineStr">
        <is>
          <t>Perch-likes</t>
        </is>
      </c>
      <c r="G218" s="10" t="inlineStr">
        <is>
          <t>2 SM pisc</t>
        </is>
      </c>
      <c r="H218" s="11" t="n">
        <v>0.3055989990616202</v>
      </c>
      <c r="I218" s="9" t="inlineStr">
        <is>
          <t>model_biomass</t>
        </is>
      </c>
      <c r="J218" s="12" t="inlineStr">
        <is>
          <t>medium</t>
        </is>
      </c>
      <c r="K218" s="9" t="inlineStr">
        <is>
          <t>composite_split</t>
        </is>
      </c>
      <c r="L218" s="10" t="inlineStr">
        <is>
          <t>Appendix A1.1 lists this exact catch name under `SM pisc`; apportioned over the region 2 and region 3 pools by model biomass; region 1 is the Maldives shelf, outside LME 34.</t>
        </is>
      </c>
      <c r="M218" s="9" t="n">
        <v>317626.877</v>
      </c>
    </row>
    <row r="219" ht="36" customHeight="1">
      <c r="A219" s="9" t="inlineStr">
        <is>
          <t>LME_034</t>
        </is>
      </c>
      <c r="B219" s="10" t="inlineStr">
        <is>
          <t>34_1_Bay_of_Bengal_(1978)</t>
        </is>
      </c>
      <c r="C219" s="10" t="inlineStr">
        <is>
          <t>Haemulidae</t>
        </is>
      </c>
      <c r="D219" s="9" t="inlineStr">
        <is>
          <t>Grunts, sweetlips, bonnetmouths</t>
        </is>
      </c>
      <c r="E219" s="9" t="inlineStr">
        <is>
          <t>Medium demersals (30 - 89 cm)</t>
        </is>
      </c>
      <c r="F219" s="9" t="inlineStr">
        <is>
          <t>Perch-likes</t>
        </is>
      </c>
      <c r="G219" s="10" t="inlineStr">
        <is>
          <t>3 SM pisc</t>
        </is>
      </c>
      <c r="H219" s="11" t="n">
        <v>0.6944010009383798</v>
      </c>
      <c r="I219" s="9" t="inlineStr">
        <is>
          <t>model_biomass</t>
        </is>
      </c>
      <c r="J219" s="12" t="inlineStr">
        <is>
          <t>medium</t>
        </is>
      </c>
      <c r="K219" s="9" t="inlineStr">
        <is>
          <t>composite_split</t>
        </is>
      </c>
      <c r="L219" s="10" t="inlineStr">
        <is>
          <t>Appendix A1.1 lists this exact catch name under `SM pisc`; apportioned over the region 2 and region 3 pools by model biomass; region 1 is the Maldives shelf, outside LME 34.</t>
        </is>
      </c>
      <c r="M219" s="9" t="n">
        <v>317626.877</v>
      </c>
    </row>
    <row r="220" ht="51" customHeight="1">
      <c r="A220" s="9" t="inlineStr">
        <is>
          <t>LME_034</t>
        </is>
      </c>
      <c r="B220" s="10" t="inlineStr">
        <is>
          <t>34_1_Bay_of_Bengal_(1978)</t>
        </is>
      </c>
      <c r="C220" s="10" t="inlineStr">
        <is>
          <t>Leptomelanosoma indicum</t>
        </is>
      </c>
      <c r="D220" s="9" t="inlineStr">
        <is>
          <t>Indian threadfin</t>
        </is>
      </c>
      <c r="E220" s="9" t="inlineStr">
        <is>
          <t>Large demersals (&gt;=90 cm)</t>
        </is>
      </c>
      <c r="F220" s="9" t="inlineStr">
        <is>
          <t>Perch-likes</t>
        </is>
      </c>
      <c r="G220" s="10" t="inlineStr">
        <is>
          <t>2 L pisc</t>
        </is>
      </c>
      <c r="H220" s="11" t="n">
        <v>0.449530936694357</v>
      </c>
      <c r="I220" s="9" t="inlineStr">
        <is>
          <t>model_biomass</t>
        </is>
      </c>
      <c r="J220" s="12" t="inlineStr">
        <is>
          <t>medium</t>
        </is>
      </c>
      <c r="K220" s="9" t="inlineStr">
        <is>
          <t>composite_split</t>
        </is>
      </c>
      <c r="L220" s="10" t="inlineStr">
        <is>
          <t>Appendix A1.3 lists Leptomelanosoma indicum in the `L pisc` species list. Apportioned over the region 2 and region 3 pools by model biomass; region 1 is the Maldives shelf, outside LME 34.</t>
        </is>
      </c>
      <c r="M220" s="9" t="n">
        <v>293516.467</v>
      </c>
    </row>
    <row r="221" ht="51" customHeight="1">
      <c r="A221" s="9" t="inlineStr">
        <is>
          <t>LME_034</t>
        </is>
      </c>
      <c r="B221" s="10" t="inlineStr">
        <is>
          <t>34_1_Bay_of_Bengal_(1978)</t>
        </is>
      </c>
      <c r="C221" s="10" t="inlineStr">
        <is>
          <t>Leptomelanosoma indicum</t>
        </is>
      </c>
      <c r="D221" s="9" t="inlineStr">
        <is>
          <t>Indian threadfin</t>
        </is>
      </c>
      <c r="E221" s="9" t="inlineStr">
        <is>
          <t>Large demersals (&gt;=90 cm)</t>
        </is>
      </c>
      <c r="F221" s="9" t="inlineStr">
        <is>
          <t>Perch-likes</t>
        </is>
      </c>
      <c r="G221" s="10" t="inlineStr">
        <is>
          <t>3 L pisc</t>
        </is>
      </c>
      <c r="H221" s="11" t="n">
        <v>0.5504690633056432</v>
      </c>
      <c r="I221" s="9" t="inlineStr">
        <is>
          <t>model_biomass</t>
        </is>
      </c>
      <c r="J221" s="12" t="inlineStr">
        <is>
          <t>medium</t>
        </is>
      </c>
      <c r="K221" s="9" t="inlineStr">
        <is>
          <t>composite_split</t>
        </is>
      </c>
      <c r="L221" s="10" t="inlineStr">
        <is>
          <t>Appendix A1.3 lists Leptomelanosoma indicum in the `L pisc` species list. Apportioned over the region 2 and region 3 pools by model biomass; region 1 is the Maldives shelf, outside LME 34.</t>
        </is>
      </c>
      <c r="M221" s="9" t="n">
        <v>293516.467</v>
      </c>
    </row>
    <row r="222" ht="51" customHeight="1">
      <c r="A222" s="9" t="inlineStr">
        <is>
          <t>LME_034</t>
        </is>
      </c>
      <c r="B222" s="10" t="inlineStr">
        <is>
          <t>34_1_Bay_of_Bengal_(1978)</t>
        </is>
      </c>
      <c r="C222" s="10" t="inlineStr">
        <is>
          <t>Scylla serrata</t>
        </is>
      </c>
      <c r="D222" s="9" t="inlineStr">
        <is>
          <t>Indo-Pacific swamp crab</t>
        </is>
      </c>
      <c r="E222" s="9" t="inlineStr">
        <is>
          <t>Lobsters, crabs</t>
        </is>
      </c>
      <c r="F222" s="9" t="inlineStr">
        <is>
          <t>Crustaceans</t>
        </is>
      </c>
      <c r="G222" s="10" t="inlineStr">
        <is>
          <t>2 Crustaceans</t>
        </is>
      </c>
      <c r="H222" s="11" t="n">
        <v>0.2129992169146437</v>
      </c>
      <c r="I222" s="9" t="inlineStr">
        <is>
          <t>model_biomass</t>
        </is>
      </c>
      <c r="J222" s="12" t="inlineStr">
        <is>
          <t>medium</t>
        </is>
      </c>
      <c r="K222" s="9" t="inlineStr">
        <is>
          <t>composite_split</t>
        </is>
      </c>
      <c r="L222" s="10" t="inlineStr">
        <is>
          <t>Appendix A1.1 puts Brachyura, Portunidae and Portunus under Crabs; Scylla serrata is a portunid. Apportioned over the region 2 and region 3 pools by model biomass; region 1 is the Maldives shelf, outside LME 34.</t>
        </is>
      </c>
      <c r="M222" s="9" t="n">
        <v>293146.465</v>
      </c>
    </row>
    <row r="223" ht="51" customHeight="1">
      <c r="A223" s="9" t="inlineStr">
        <is>
          <t>LME_034</t>
        </is>
      </c>
      <c r="B223" s="10" t="inlineStr">
        <is>
          <t>34_1_Bay_of_Bengal_(1978)</t>
        </is>
      </c>
      <c r="C223" s="10" t="inlineStr">
        <is>
          <t>Scylla serrata</t>
        </is>
      </c>
      <c r="D223" s="9" t="inlineStr">
        <is>
          <t>Indo-Pacific swamp crab</t>
        </is>
      </c>
      <c r="E223" s="9" t="inlineStr">
        <is>
          <t>Lobsters, crabs</t>
        </is>
      </c>
      <c r="F223" s="9" t="inlineStr">
        <is>
          <t>Crustaceans</t>
        </is>
      </c>
      <c r="G223" s="10" t="inlineStr">
        <is>
          <t>3 Crustaceans</t>
        </is>
      </c>
      <c r="H223" s="11" t="n">
        <v>0.7870007830853563</v>
      </c>
      <c r="I223" s="9" t="inlineStr">
        <is>
          <t>model_biomass</t>
        </is>
      </c>
      <c r="J223" s="12" t="inlineStr">
        <is>
          <t>medium</t>
        </is>
      </c>
      <c r="K223" s="9" t="inlineStr">
        <is>
          <t>composite_split</t>
        </is>
      </c>
      <c r="L223" s="10" t="inlineStr">
        <is>
          <t>Appendix A1.1 puts Brachyura, Portunidae and Portunus under Crabs; Scylla serrata is a portunid. Apportioned over the region 2 and region 3 pools by model biomass; region 1 is the Maldives shelf, outside LME 34.</t>
        </is>
      </c>
      <c r="M223" s="9" t="n">
        <v>293146.465</v>
      </c>
    </row>
    <row r="224" ht="36" customHeight="1">
      <c r="A224" s="9" t="inlineStr">
        <is>
          <t>LME_034</t>
        </is>
      </c>
      <c r="B224" s="10" t="inlineStr">
        <is>
          <t>34_1_Bay_of_Bengal_(1978)</t>
        </is>
      </c>
      <c r="C224" s="10" t="inlineStr">
        <is>
          <t>Thunnus obesus</t>
        </is>
      </c>
      <c r="D224" s="9" t="inlineStr">
        <is>
          <t>Bigeye tuna</t>
        </is>
      </c>
      <c r="E224" s="9" t="inlineStr">
        <is>
          <t>Large pelagics (&gt;=90 cm)</t>
        </is>
      </c>
      <c r="F224" s="9" t="inlineStr">
        <is>
          <t>Tuna &amp; billfishes</t>
        </is>
      </c>
      <c r="G224" s="10" t="inlineStr">
        <is>
          <t>Bigeye tuna</t>
        </is>
      </c>
      <c r="H224" s="11" t="n">
        <v>1</v>
      </c>
      <c r="I224" s="9" t="inlineStr">
        <is>
          <t>single</t>
        </is>
      </c>
      <c r="J224" s="13" t="inlineStr">
        <is>
          <t>high</t>
        </is>
      </c>
      <c r="K224" s="9" t="inlineStr">
        <is>
          <t>explicit_member</t>
        </is>
      </c>
      <c r="L224" s="10" t="inlineStr">
        <is>
          <t>Appendix A1.1 lists this exact catch name under `Bigeye tuna`, a group modelled over the whole study area (Appendix A1.2).</t>
        </is>
      </c>
      <c r="M224" s="9" t="n">
        <v>284466.212</v>
      </c>
    </row>
    <row r="225" ht="36" customHeight="1">
      <c r="A225" s="9" t="inlineStr">
        <is>
          <t>LME_034</t>
        </is>
      </c>
      <c r="B225" s="10" t="inlineStr">
        <is>
          <t>34_1_Bay_of_Bengal_(1978)</t>
        </is>
      </c>
      <c r="C225" s="10" t="inlineStr">
        <is>
          <t>Octopodidae</t>
        </is>
      </c>
      <c r="D225" s="9" t="inlineStr">
        <is>
          <t>Octopuses</t>
        </is>
      </c>
      <c r="E225" s="9" t="inlineStr">
        <is>
          <t>Cephalopods</t>
        </is>
      </c>
      <c r="F225" s="9" t="inlineStr">
        <is>
          <t>Other fishes &amp; inverts</t>
        </is>
      </c>
      <c r="G225" s="10" t="inlineStr">
        <is>
          <t>Cephalopods</t>
        </is>
      </c>
      <c r="H225" s="11" t="n">
        <v>1</v>
      </c>
      <c r="I225" s="9" t="inlineStr">
        <is>
          <t>single</t>
        </is>
      </c>
      <c r="J225" s="13" t="inlineStr">
        <is>
          <t>high</t>
        </is>
      </c>
      <c r="K225" s="9" t="inlineStr">
        <is>
          <t>explicit_member</t>
        </is>
      </c>
      <c r="L225" s="10" t="inlineStr">
        <is>
          <t>Appendix A1.1 lists this exact catch name under `cephalopods`, a group modelled over the whole study area (Appendix A1.2).</t>
        </is>
      </c>
      <c r="M225" s="9" t="n">
        <v>283253.957</v>
      </c>
    </row>
    <row r="226" ht="36" customHeight="1">
      <c r="A226" s="9" t="inlineStr">
        <is>
          <t>LME_034</t>
        </is>
      </c>
      <c r="B226" s="10" t="inlineStr">
        <is>
          <t>34_1_Bay_of_Bengal_(1978)</t>
        </is>
      </c>
      <c r="C226" s="10" t="inlineStr">
        <is>
          <t>Lutjanus</t>
        </is>
      </c>
      <c r="D226" s="9" t="inlineStr">
        <is>
          <t>Snappers</t>
        </is>
      </c>
      <c r="E226" s="9" t="inlineStr">
        <is>
          <t>Medium reef assoc. fish (30 - 89 cm)</t>
        </is>
      </c>
      <c r="F226" s="9" t="inlineStr">
        <is>
          <t>Perch-likes</t>
        </is>
      </c>
      <c r="G226" s="10" t="inlineStr">
        <is>
          <t>2 L pisc comm</t>
        </is>
      </c>
      <c r="H226" s="11" t="n">
        <v>0.4790991864112831</v>
      </c>
      <c r="I226" s="9" t="inlineStr">
        <is>
          <t>model_biomass</t>
        </is>
      </c>
      <c r="J226" s="12" t="inlineStr">
        <is>
          <t>medium</t>
        </is>
      </c>
      <c r="K226" s="9" t="inlineStr">
        <is>
          <t>composite_split</t>
        </is>
      </c>
      <c r="L226" s="10" t="inlineStr">
        <is>
          <t>Appendix A1.1 lists this exact catch name under `L pisc comm`; apportioned over the region 2 and region 3 pools by model biomass; region 1 is the Maldives shelf, outside LME 34.</t>
        </is>
      </c>
      <c r="M226" s="9" t="n">
        <v>274352.229</v>
      </c>
    </row>
    <row r="227" ht="36" customHeight="1">
      <c r="A227" s="9" t="inlineStr">
        <is>
          <t>LME_034</t>
        </is>
      </c>
      <c r="B227" s="10" t="inlineStr">
        <is>
          <t>34_1_Bay_of_Bengal_(1978)</t>
        </is>
      </c>
      <c r="C227" s="10" t="inlineStr">
        <is>
          <t>Lutjanus</t>
        </is>
      </c>
      <c r="D227" s="9" t="inlineStr">
        <is>
          <t>Snappers</t>
        </is>
      </c>
      <c r="E227" s="9" t="inlineStr">
        <is>
          <t>Medium reef assoc. fish (30 - 89 cm)</t>
        </is>
      </c>
      <c r="F227" s="9" t="inlineStr">
        <is>
          <t>Perch-likes</t>
        </is>
      </c>
      <c r="G227" s="10" t="inlineStr">
        <is>
          <t>3 L pisc comm</t>
        </is>
      </c>
      <c r="H227" s="11" t="n">
        <v>0.5209008135887169</v>
      </c>
      <c r="I227" s="9" t="inlineStr">
        <is>
          <t>model_biomass</t>
        </is>
      </c>
      <c r="J227" s="12" t="inlineStr">
        <is>
          <t>medium</t>
        </is>
      </c>
      <c r="K227" s="9" t="inlineStr">
        <is>
          <t>composite_split</t>
        </is>
      </c>
      <c r="L227" s="10" t="inlineStr">
        <is>
          <t>Appendix A1.1 lists this exact catch name under `L pisc comm`; apportioned over the region 2 and region 3 pools by model biomass; region 1 is the Maldives shelf, outside LME 34.</t>
        </is>
      </c>
      <c r="M227" s="9" t="n">
        <v>274352.229</v>
      </c>
    </row>
    <row r="228" ht="36" customHeight="1">
      <c r="A228" s="9" t="inlineStr">
        <is>
          <t>LME_034</t>
        </is>
      </c>
      <c r="B228" s="10" t="inlineStr">
        <is>
          <t>34_1_Bay_of_Bengal_(1978)</t>
        </is>
      </c>
      <c r="C228" s="10" t="inlineStr">
        <is>
          <t>Monacanthidae</t>
        </is>
      </c>
      <c r="D228" s="9" t="inlineStr">
        <is>
          <t>Filefishes</t>
        </is>
      </c>
      <c r="E228" s="9" t="inlineStr">
        <is>
          <t>Medium reef assoc. fish (30 - 89 cm)</t>
        </is>
      </c>
      <c r="F228" s="9" t="inlineStr">
        <is>
          <t>Other fishes &amp; inverts</t>
        </is>
      </c>
      <c r="G228" s="10" t="inlineStr">
        <is>
          <t>2 SM inv</t>
        </is>
      </c>
      <c r="H228" s="11" t="n">
        <v>0.3170901271842734</v>
      </c>
      <c r="I228" s="9" t="inlineStr">
        <is>
          <t>model_biomass</t>
        </is>
      </c>
      <c r="J228" s="12" t="inlineStr">
        <is>
          <t>medium</t>
        </is>
      </c>
      <c r="K228" s="9" t="inlineStr">
        <is>
          <t>composite_split</t>
        </is>
      </c>
      <c r="L228" s="10" t="inlineStr">
        <is>
          <t>Appendix A1.1 lists this exact catch name under `SM inv`; apportioned over the region 2 and region 3 pools by model biomass; region 1 is the Maldives shelf, outside LME 34.</t>
        </is>
      </c>
      <c r="M228" s="9" t="n">
        <v>249973.385</v>
      </c>
    </row>
    <row r="229" ht="36" customHeight="1">
      <c r="A229" s="9" t="inlineStr">
        <is>
          <t>LME_034</t>
        </is>
      </c>
      <c r="B229" s="10" t="inlineStr">
        <is>
          <t>34_1_Bay_of_Bengal_(1978)</t>
        </is>
      </c>
      <c r="C229" s="10" t="inlineStr">
        <is>
          <t>Monacanthidae</t>
        </is>
      </c>
      <c r="D229" s="9" t="inlineStr">
        <is>
          <t>Filefishes</t>
        </is>
      </c>
      <c r="E229" s="9" t="inlineStr">
        <is>
          <t>Medium reef assoc. fish (30 - 89 cm)</t>
        </is>
      </c>
      <c r="F229" s="9" t="inlineStr">
        <is>
          <t>Other fishes &amp; inverts</t>
        </is>
      </c>
      <c r="G229" s="10" t="inlineStr">
        <is>
          <t>3 SM inv</t>
        </is>
      </c>
      <c r="H229" s="11" t="n">
        <v>0.6829098728157266</v>
      </c>
      <c r="I229" s="9" t="inlineStr">
        <is>
          <t>model_biomass</t>
        </is>
      </c>
      <c r="J229" s="12" t="inlineStr">
        <is>
          <t>medium</t>
        </is>
      </c>
      <c r="K229" s="9" t="inlineStr">
        <is>
          <t>composite_split</t>
        </is>
      </c>
      <c r="L229" s="10" t="inlineStr">
        <is>
          <t>Appendix A1.1 lists this exact catch name under `SM inv`; apportioned over the region 2 and region 3 pools by model biomass; region 1 is the Maldives shelf, outside LME 34.</t>
        </is>
      </c>
      <c r="M229" s="9" t="n">
        <v>249973.385</v>
      </c>
    </row>
    <row r="230" ht="36" customHeight="1">
      <c r="A230" s="9" t="inlineStr">
        <is>
          <t>LME_034</t>
        </is>
      </c>
      <c r="B230" s="10" t="inlineStr">
        <is>
          <t>34_1_Bay_of_Bengal_(1978)</t>
        </is>
      </c>
      <c r="C230" s="10" t="inlineStr">
        <is>
          <t>Mugil</t>
        </is>
      </c>
      <c r="D230" s="9" t="inlineStr">
        <is>
          <t>Grey mullets</t>
        </is>
      </c>
      <c r="E230" s="9" t="inlineStr">
        <is>
          <t>Medium demersals (30 - 89 cm)</t>
        </is>
      </c>
      <c r="F230" s="9" t="inlineStr">
        <is>
          <t>Perch-likes</t>
        </is>
      </c>
      <c r="G230" s="10" t="inlineStr">
        <is>
          <t>2 SM inv</t>
        </is>
      </c>
      <c r="H230" s="11" t="n">
        <v>0.3170901271842734</v>
      </c>
      <c r="I230" s="9" t="inlineStr">
        <is>
          <t>model_biomass</t>
        </is>
      </c>
      <c r="J230" s="12" t="inlineStr">
        <is>
          <t>medium</t>
        </is>
      </c>
      <c r="K230" s="9" t="inlineStr">
        <is>
          <t>composite_split</t>
        </is>
      </c>
      <c r="L230" s="10" t="inlineStr">
        <is>
          <t>Appendix A1.1 lists this exact catch name under `SM inv`; apportioned over the region 2 and region 3 pools by model biomass; region 1 is the Maldives shelf, outside LME 34.</t>
        </is>
      </c>
      <c r="M230" s="9" t="n">
        <v>249625.654</v>
      </c>
    </row>
    <row r="231" ht="36" customHeight="1">
      <c r="A231" s="9" t="inlineStr">
        <is>
          <t>LME_034</t>
        </is>
      </c>
      <c r="B231" s="10" t="inlineStr">
        <is>
          <t>34_1_Bay_of_Bengal_(1978)</t>
        </is>
      </c>
      <c r="C231" s="10" t="inlineStr">
        <is>
          <t>Mugil</t>
        </is>
      </c>
      <c r="D231" s="9" t="inlineStr">
        <is>
          <t>Grey mullets</t>
        </is>
      </c>
      <c r="E231" s="9" t="inlineStr">
        <is>
          <t>Medium demersals (30 - 89 cm)</t>
        </is>
      </c>
      <c r="F231" s="9" t="inlineStr">
        <is>
          <t>Perch-likes</t>
        </is>
      </c>
      <c r="G231" s="10" t="inlineStr">
        <is>
          <t>3 SM inv</t>
        </is>
      </c>
      <c r="H231" s="11" t="n">
        <v>0.6829098728157266</v>
      </c>
      <c r="I231" s="9" t="inlineStr">
        <is>
          <t>model_biomass</t>
        </is>
      </c>
      <c r="J231" s="12" t="inlineStr">
        <is>
          <t>medium</t>
        </is>
      </c>
      <c r="K231" s="9" t="inlineStr">
        <is>
          <t>composite_split</t>
        </is>
      </c>
      <c r="L231" s="10" t="inlineStr">
        <is>
          <t>Appendix A1.1 lists this exact catch name under `SM inv`; apportioned over the region 2 and region 3 pools by model biomass; region 1 is the Maldives shelf, outside LME 34.</t>
        </is>
      </c>
      <c r="M231" s="9" t="n">
        <v>249625.654</v>
      </c>
    </row>
    <row r="232" ht="51" customHeight="1">
      <c r="A232" s="9" t="inlineStr">
        <is>
          <t>LME_034</t>
        </is>
      </c>
      <c r="B232" s="10" t="inlineStr">
        <is>
          <t>34_1_Bay_of_Bengal_(1978)</t>
        </is>
      </c>
      <c r="C232" s="10" t="inlineStr">
        <is>
          <t>Escualosa thoracata</t>
        </is>
      </c>
      <c r="D232" s="9" t="inlineStr">
        <is>
          <t>White sardine</t>
        </is>
      </c>
      <c r="E232" s="9" t="inlineStr">
        <is>
          <t>Small pelagics (&lt;30 cm)</t>
        </is>
      </c>
      <c r="F232" s="9" t="inlineStr">
        <is>
          <t>Herring-likes</t>
        </is>
      </c>
      <c r="G232" s="10" t="inlineStr">
        <is>
          <t>2 S pelagics</t>
        </is>
      </c>
      <c r="H232" s="11" t="n">
        <v>0.2975985463815478</v>
      </c>
      <c r="I232" s="9" t="inlineStr">
        <is>
          <t>model_biomass</t>
        </is>
      </c>
      <c r="J232" s="12" t="inlineStr">
        <is>
          <t>medium</t>
        </is>
      </c>
      <c r="K232" s="9" t="inlineStr">
        <is>
          <t>composite_split</t>
        </is>
      </c>
      <c r="L232" s="10" t="inlineStr">
        <is>
          <t>Appendix A1.3 lists Escualosa thoracata in the `S pelagics` species list. Apportioned over the region 2 and region 3 pools by model biomass; region 1 is the Maldives shelf, outside LME 34.</t>
        </is>
      </c>
      <c r="M232" s="9" t="n">
        <v>248415.168</v>
      </c>
    </row>
    <row r="233" ht="51" customHeight="1">
      <c r="A233" s="9" t="inlineStr">
        <is>
          <t>LME_034</t>
        </is>
      </c>
      <c r="B233" s="10" t="inlineStr">
        <is>
          <t>34_1_Bay_of_Bengal_(1978)</t>
        </is>
      </c>
      <c r="C233" s="10" t="inlineStr">
        <is>
          <t>Escualosa thoracata</t>
        </is>
      </c>
      <c r="D233" s="9" t="inlineStr">
        <is>
          <t>White sardine</t>
        </is>
      </c>
      <c r="E233" s="9" t="inlineStr">
        <is>
          <t>Small pelagics (&lt;30 cm)</t>
        </is>
      </c>
      <c r="F233" s="9" t="inlineStr">
        <is>
          <t>Herring-likes</t>
        </is>
      </c>
      <c r="G233" s="10" t="inlineStr">
        <is>
          <t>3 S pelagics</t>
        </is>
      </c>
      <c r="H233" s="11" t="n">
        <v>0.7024014536184523</v>
      </c>
      <c r="I233" s="9" t="inlineStr">
        <is>
          <t>model_biomass</t>
        </is>
      </c>
      <c r="J233" s="12" t="inlineStr">
        <is>
          <t>medium</t>
        </is>
      </c>
      <c r="K233" s="9" t="inlineStr">
        <is>
          <t>composite_split</t>
        </is>
      </c>
      <c r="L233" s="10" t="inlineStr">
        <is>
          <t>Appendix A1.3 lists Escualosa thoracata in the `S pelagics` species list. Apportioned over the region 2 and region 3 pools by model biomass; region 1 is the Maldives shelf, outside LME 34.</t>
        </is>
      </c>
      <c r="M233" s="9" t="n">
        <v>248415.168</v>
      </c>
    </row>
    <row r="234" ht="36" customHeight="1">
      <c r="A234" s="9" t="inlineStr">
        <is>
          <t>LME_034</t>
        </is>
      </c>
      <c r="B234" s="10" t="inlineStr">
        <is>
          <t>34_1_Bay_of_Bengal_(1978)</t>
        </is>
      </c>
      <c r="C234" s="10" t="inlineStr">
        <is>
          <t>Terapon</t>
        </is>
      </c>
      <c r="D234" s="9" t="inlineStr">
        <is>
          <t>Terapons</t>
        </is>
      </c>
      <c r="E234" s="9" t="inlineStr">
        <is>
          <t>Medium demersals (30 - 89 cm)</t>
        </is>
      </c>
      <c r="F234" s="9" t="inlineStr">
        <is>
          <t>Perch-likes</t>
        </is>
      </c>
      <c r="G234" s="10" t="inlineStr">
        <is>
          <t>2 SM pisc</t>
        </is>
      </c>
      <c r="H234" s="11" t="n">
        <v>0.3055989990616202</v>
      </c>
      <c r="I234" s="9" t="inlineStr">
        <is>
          <t>model_biomass</t>
        </is>
      </c>
      <c r="J234" s="12" t="inlineStr">
        <is>
          <t>medium</t>
        </is>
      </c>
      <c r="K234" s="9" t="inlineStr">
        <is>
          <t>composite_split</t>
        </is>
      </c>
      <c r="L234" s="10" t="inlineStr">
        <is>
          <t>Appendix A1.1 lists this exact catch name under `SM pisc`; apportioned over the region 2 and region 3 pools by model biomass; region 1 is the Maldives shelf, outside LME 34.</t>
        </is>
      </c>
      <c r="M234" s="9" t="n">
        <v>247448.655</v>
      </c>
    </row>
    <row r="235" ht="36" customHeight="1">
      <c r="A235" s="9" t="inlineStr">
        <is>
          <t>LME_034</t>
        </is>
      </c>
      <c r="B235" s="10" t="inlineStr">
        <is>
          <t>34_1_Bay_of_Bengal_(1978)</t>
        </is>
      </c>
      <c r="C235" s="10" t="inlineStr">
        <is>
          <t>Terapon</t>
        </is>
      </c>
      <c r="D235" s="9" t="inlineStr">
        <is>
          <t>Terapons</t>
        </is>
      </c>
      <c r="E235" s="9" t="inlineStr">
        <is>
          <t>Medium demersals (30 - 89 cm)</t>
        </is>
      </c>
      <c r="F235" s="9" t="inlineStr">
        <is>
          <t>Perch-likes</t>
        </is>
      </c>
      <c r="G235" s="10" t="inlineStr">
        <is>
          <t>3 SM pisc</t>
        </is>
      </c>
      <c r="H235" s="11" t="n">
        <v>0.6944010009383798</v>
      </c>
      <c r="I235" s="9" t="inlineStr">
        <is>
          <t>model_biomass</t>
        </is>
      </c>
      <c r="J235" s="12" t="inlineStr">
        <is>
          <t>medium</t>
        </is>
      </c>
      <c r="K235" s="9" t="inlineStr">
        <is>
          <t>composite_split</t>
        </is>
      </c>
      <c r="L235" s="10" t="inlineStr">
        <is>
          <t>Appendix A1.1 lists this exact catch name under `SM pisc`; apportioned over the region 2 and region 3 pools by model biomass; region 1 is the Maldives shelf, outside LME 34.</t>
        </is>
      </c>
      <c r="M235" s="9" t="n">
        <v>247448.655</v>
      </c>
    </row>
    <row r="236" ht="51" customHeight="1">
      <c r="A236" s="9" t="inlineStr">
        <is>
          <t>LME_034</t>
        </is>
      </c>
      <c r="B236" s="10" t="inlineStr">
        <is>
          <t>34_1_Bay_of_Bengal_(1978)</t>
        </is>
      </c>
      <c r="C236" s="10" t="inlineStr">
        <is>
          <t>Parapenaeopsis stylifera</t>
        </is>
      </c>
      <c r="D236" s="9" t="inlineStr">
        <is>
          <t>Kiddi shrimp</t>
        </is>
      </c>
      <c r="E236" s="9" t="inlineStr">
        <is>
          <t>Shrimps</t>
        </is>
      </c>
      <c r="F236" s="9" t="inlineStr">
        <is>
          <t>Crustaceans</t>
        </is>
      </c>
      <c r="G236" s="10" t="inlineStr">
        <is>
          <t>2 Crustaceans</t>
        </is>
      </c>
      <c r="H236" s="11" t="n">
        <v>0.2129992169146437</v>
      </c>
      <c r="I236" s="9" t="inlineStr">
        <is>
          <t>model_biomass</t>
        </is>
      </c>
      <c r="J236" s="12" t="inlineStr">
        <is>
          <t>medium</t>
        </is>
      </c>
      <c r="K236" s="9" t="inlineStr">
        <is>
          <t>composite_split</t>
        </is>
      </c>
      <c r="L236" s="10" t="inlineStr">
        <is>
          <t>Accepted-name/synonym match: Appendix A1.1 lists the genus Parapenaeopsis under `shrimps`. Apportioned over the region 2 and region 3 pools by model biomass; region 1 is the Maldives shelf, outside LME 34.</t>
        </is>
      </c>
      <c r="M236" s="9" t="n">
        <v>244867.835</v>
      </c>
    </row>
    <row r="237" ht="51" customHeight="1">
      <c r="A237" s="9" t="inlineStr">
        <is>
          <t>LME_034</t>
        </is>
      </c>
      <c r="B237" s="10" t="inlineStr">
        <is>
          <t>34_1_Bay_of_Bengal_(1978)</t>
        </is>
      </c>
      <c r="C237" s="10" t="inlineStr">
        <is>
          <t>Parapenaeopsis stylifera</t>
        </is>
      </c>
      <c r="D237" s="9" t="inlineStr">
        <is>
          <t>Kiddi shrimp</t>
        </is>
      </c>
      <c r="E237" s="9" t="inlineStr">
        <is>
          <t>Shrimps</t>
        </is>
      </c>
      <c r="F237" s="9" t="inlineStr">
        <is>
          <t>Crustaceans</t>
        </is>
      </c>
      <c r="G237" s="10" t="inlineStr">
        <is>
          <t>3 Crustaceans</t>
        </is>
      </c>
      <c r="H237" s="11" t="n">
        <v>0.7870007830853563</v>
      </c>
      <c r="I237" s="9" t="inlineStr">
        <is>
          <t>model_biomass</t>
        </is>
      </c>
      <c r="J237" s="12" t="inlineStr">
        <is>
          <t>medium</t>
        </is>
      </c>
      <c r="K237" s="9" t="inlineStr">
        <is>
          <t>composite_split</t>
        </is>
      </c>
      <c r="L237" s="10" t="inlineStr">
        <is>
          <t>Accepted-name/synonym match: Appendix A1.1 lists the genus Parapenaeopsis under `shrimps`. Apportioned over the region 2 and region 3 pools by model biomass; region 1 is the Maldives shelf, outside LME 34.</t>
        </is>
      </c>
      <c r="M237" s="9" t="n">
        <v>244867.835</v>
      </c>
    </row>
    <row r="238" ht="51" customHeight="1">
      <c r="A238" s="9" t="inlineStr">
        <is>
          <t>LME_034</t>
        </is>
      </c>
      <c r="B238" s="10" t="inlineStr">
        <is>
          <t>34_1_Bay_of_Bengal_(1978)</t>
        </is>
      </c>
      <c r="C238" s="10" t="inlineStr">
        <is>
          <t>Metapenaeus tenuipes</t>
        </is>
      </c>
      <c r="D238" s="9" t="inlineStr">
        <is>
          <t>Stork shrimp</t>
        </is>
      </c>
      <c r="E238" s="9" t="inlineStr">
        <is>
          <t>Shrimps</t>
        </is>
      </c>
      <c r="F238" s="9" t="inlineStr">
        <is>
          <t>Crustaceans</t>
        </is>
      </c>
      <c r="G238" s="10" t="inlineStr">
        <is>
          <t>2 Crustaceans</t>
        </is>
      </c>
      <c r="H238" s="11" t="n">
        <v>0.2129992169146437</v>
      </c>
      <c r="I238" s="9" t="inlineStr">
        <is>
          <t>model_biomass</t>
        </is>
      </c>
      <c r="J238" s="12" t="inlineStr">
        <is>
          <t>medium</t>
        </is>
      </c>
      <c r="K238" s="9" t="inlineStr">
        <is>
          <t>composite_split</t>
        </is>
      </c>
      <c r="L238" s="10" t="inlineStr">
        <is>
          <t>Accepted-name/synonym match: Appendix A1.1 lists the genus Metapenaeus under `shrimps`. Apportioned over the region 2 and region 3 pools by model biomass; region 1 is the Maldives shelf, outside LME 34.</t>
        </is>
      </c>
      <c r="M238" s="9" t="n">
        <v>243672.013</v>
      </c>
    </row>
    <row r="239" ht="51" customHeight="1">
      <c r="A239" s="9" t="inlineStr">
        <is>
          <t>LME_034</t>
        </is>
      </c>
      <c r="B239" s="10" t="inlineStr">
        <is>
          <t>34_1_Bay_of_Bengal_(1978)</t>
        </is>
      </c>
      <c r="C239" s="10" t="inlineStr">
        <is>
          <t>Metapenaeus tenuipes</t>
        </is>
      </c>
      <c r="D239" s="9" t="inlineStr">
        <is>
          <t>Stork shrimp</t>
        </is>
      </c>
      <c r="E239" s="9" t="inlineStr">
        <is>
          <t>Shrimps</t>
        </is>
      </c>
      <c r="F239" s="9" t="inlineStr">
        <is>
          <t>Crustaceans</t>
        </is>
      </c>
      <c r="G239" s="10" t="inlineStr">
        <is>
          <t>3 Crustaceans</t>
        </is>
      </c>
      <c r="H239" s="11" t="n">
        <v>0.7870007830853563</v>
      </c>
      <c r="I239" s="9" t="inlineStr">
        <is>
          <t>model_biomass</t>
        </is>
      </c>
      <c r="J239" s="12" t="inlineStr">
        <is>
          <t>medium</t>
        </is>
      </c>
      <c r="K239" s="9" t="inlineStr">
        <is>
          <t>composite_split</t>
        </is>
      </c>
      <c r="L239" s="10" t="inlineStr">
        <is>
          <t>Accepted-name/synonym match: Appendix A1.1 lists the genus Metapenaeus under `shrimps`. Apportioned over the region 2 and region 3 pools by model biomass; region 1 is the Maldives shelf, outside LME 34.</t>
        </is>
      </c>
      <c r="M239" s="9" t="n">
        <v>243672.013</v>
      </c>
    </row>
    <row r="240" ht="36" customHeight="1">
      <c r="A240" s="9" t="inlineStr">
        <is>
          <t>LME_034</t>
        </is>
      </c>
      <c r="B240" s="10" t="inlineStr">
        <is>
          <t>34_1_Bay_of_Bengal_(1978)</t>
        </is>
      </c>
      <c r="C240" s="10" t="inlineStr">
        <is>
          <t>Penaeus monodon</t>
        </is>
      </c>
      <c r="D240" s="9" t="inlineStr">
        <is>
          <t>Giant tiger prawn</t>
        </is>
      </c>
      <c r="E240" s="9" t="inlineStr">
        <is>
          <t>Shrimps</t>
        </is>
      </c>
      <c r="F240" s="9" t="inlineStr">
        <is>
          <t>Crustaceans</t>
        </is>
      </c>
      <c r="G240" s="10" t="inlineStr">
        <is>
          <t>2 Crustaceans</t>
        </is>
      </c>
      <c r="H240" s="11" t="n">
        <v>0.2129992169146437</v>
      </c>
      <c r="I240" s="9" t="inlineStr">
        <is>
          <t>model_biomass</t>
        </is>
      </c>
      <c r="J240" s="12" t="inlineStr">
        <is>
          <t>medium</t>
        </is>
      </c>
      <c r="K240" s="9" t="inlineStr">
        <is>
          <t>composite_split</t>
        </is>
      </c>
      <c r="L240" s="10" t="inlineStr">
        <is>
          <t>Appendix A1.1 lists this exact catch name under `shrimps`; apportioned over the region 2 and region 3 pools by model biomass; region 1 is the Maldives shelf, outside LME 34.</t>
        </is>
      </c>
      <c r="M240" s="9" t="n">
        <v>238757.928</v>
      </c>
    </row>
    <row r="241" ht="36" customHeight="1">
      <c r="A241" s="9" t="inlineStr">
        <is>
          <t>LME_034</t>
        </is>
      </c>
      <c r="B241" s="10" t="inlineStr">
        <is>
          <t>34_1_Bay_of_Bengal_(1978)</t>
        </is>
      </c>
      <c r="C241" s="10" t="inlineStr">
        <is>
          <t>Penaeus monodon</t>
        </is>
      </c>
      <c r="D241" s="9" t="inlineStr">
        <is>
          <t>Giant tiger prawn</t>
        </is>
      </c>
      <c r="E241" s="9" t="inlineStr">
        <is>
          <t>Shrimps</t>
        </is>
      </c>
      <c r="F241" s="9" t="inlineStr">
        <is>
          <t>Crustaceans</t>
        </is>
      </c>
      <c r="G241" s="10" t="inlineStr">
        <is>
          <t>3 Crustaceans</t>
        </is>
      </c>
      <c r="H241" s="11" t="n">
        <v>0.7870007830853563</v>
      </c>
      <c r="I241" s="9" t="inlineStr">
        <is>
          <t>model_biomass</t>
        </is>
      </c>
      <c r="J241" s="12" t="inlineStr">
        <is>
          <t>medium</t>
        </is>
      </c>
      <c r="K241" s="9" t="inlineStr">
        <is>
          <t>composite_split</t>
        </is>
      </c>
      <c r="L241" s="10" t="inlineStr">
        <is>
          <t>Appendix A1.1 lists this exact catch name under `shrimps`; apportioned over the region 2 and region 3 pools by model biomass; region 1 is the Maldives shelf, outside LME 34.</t>
        </is>
      </c>
      <c r="M241" s="9" t="n">
        <v>238757.928</v>
      </c>
    </row>
    <row r="242" ht="36" customHeight="1">
      <c r="A242" s="9" t="inlineStr">
        <is>
          <t>LME_034</t>
        </is>
      </c>
      <c r="B242" s="10" t="inlineStr">
        <is>
          <t>34_1_Bay_of_Bengal_(1978)</t>
        </is>
      </c>
      <c r="C242" s="10" t="inlineStr">
        <is>
          <t>Lutjanus malabaricus</t>
        </is>
      </c>
      <c r="D242" s="9" t="inlineStr">
        <is>
          <t>Malabar blood snapper</t>
        </is>
      </c>
      <c r="E242" s="9" t="inlineStr">
        <is>
          <t>Medium reef assoc. fish (30 - 89 cm)</t>
        </is>
      </c>
      <c r="F242" s="9" t="inlineStr">
        <is>
          <t>Perch-likes</t>
        </is>
      </c>
      <c r="G242" s="10" t="inlineStr">
        <is>
          <t>2 L pisc comm</t>
        </is>
      </c>
      <c r="H242" s="11" t="n">
        <v>0.4790991864112831</v>
      </c>
      <c r="I242" s="9" t="inlineStr">
        <is>
          <t>model_biomass</t>
        </is>
      </c>
      <c r="J242" s="12" t="inlineStr">
        <is>
          <t>medium</t>
        </is>
      </c>
      <c r="K242" s="9" t="inlineStr">
        <is>
          <t>composite_split</t>
        </is>
      </c>
      <c r="L242" s="10" t="inlineStr">
        <is>
          <t>Appendix A1.1 lists this exact catch name under `L pisc comm`; apportioned over the region 2 and region 3 pools by model biomass; region 1 is the Maldives shelf, outside LME 34.</t>
        </is>
      </c>
      <c r="M242" s="9" t="n">
        <v>238118.994</v>
      </c>
    </row>
    <row r="243" ht="36" customHeight="1">
      <c r="A243" s="9" t="inlineStr">
        <is>
          <t>LME_034</t>
        </is>
      </c>
      <c r="B243" s="10" t="inlineStr">
        <is>
          <t>34_1_Bay_of_Bengal_(1978)</t>
        </is>
      </c>
      <c r="C243" s="10" t="inlineStr">
        <is>
          <t>Lutjanus malabaricus</t>
        </is>
      </c>
      <c r="D243" s="9" t="inlineStr">
        <is>
          <t>Malabar blood snapper</t>
        </is>
      </c>
      <c r="E243" s="9" t="inlineStr">
        <is>
          <t>Medium reef assoc. fish (30 - 89 cm)</t>
        </is>
      </c>
      <c r="F243" s="9" t="inlineStr">
        <is>
          <t>Perch-likes</t>
        </is>
      </c>
      <c r="G243" s="10" t="inlineStr">
        <is>
          <t>3 L pisc comm</t>
        </is>
      </c>
      <c r="H243" s="11" t="n">
        <v>0.5209008135887169</v>
      </c>
      <c r="I243" s="9" t="inlineStr">
        <is>
          <t>model_biomass</t>
        </is>
      </c>
      <c r="J243" s="12" t="inlineStr">
        <is>
          <t>medium</t>
        </is>
      </c>
      <c r="K243" s="9" t="inlineStr">
        <is>
          <t>composite_split</t>
        </is>
      </c>
      <c r="L243" s="10" t="inlineStr">
        <is>
          <t>Appendix A1.1 lists this exact catch name under `L pisc comm`; apportioned over the region 2 and region 3 pools by model biomass; region 1 is the Maldives shelf, outside LME 34.</t>
        </is>
      </c>
      <c r="M243" s="9" t="n">
        <v>238118.994</v>
      </c>
    </row>
    <row r="244" ht="36" customHeight="1">
      <c r="A244" s="9" t="inlineStr">
        <is>
          <t>LME_034</t>
        </is>
      </c>
      <c r="B244" s="10" t="inlineStr">
        <is>
          <t>34_1_Bay_of_Bengal_(1978)</t>
        </is>
      </c>
      <c r="C244" s="10" t="inlineStr">
        <is>
          <t>Anodontostoma chacunda</t>
        </is>
      </c>
      <c r="D244" s="9" t="inlineStr">
        <is>
          <t>Chacunda gizzard shad</t>
        </is>
      </c>
      <c r="E244" s="9" t="inlineStr">
        <is>
          <t>Small pelagics (&lt;30 cm)</t>
        </is>
      </c>
      <c r="F244" s="9" t="inlineStr">
        <is>
          <t>Herring-likes</t>
        </is>
      </c>
      <c r="G244" s="10" t="inlineStr">
        <is>
          <t>2 S pelagics</t>
        </is>
      </c>
      <c r="H244" s="11" t="n">
        <v>0.2975985463815478</v>
      </c>
      <c r="I244" s="9" t="inlineStr">
        <is>
          <t>model_biomass</t>
        </is>
      </c>
      <c r="J244" s="12" t="inlineStr">
        <is>
          <t>medium</t>
        </is>
      </c>
      <c r="K244" s="9" t="inlineStr">
        <is>
          <t>composite_split</t>
        </is>
      </c>
      <c r="L244" s="10" t="inlineStr">
        <is>
          <t>Appendix A1.1 lists this exact catch name under `S pelagics`; apportioned over the region 2 and region 3 pools by model biomass; region 1 is the Maldives shelf, outside LME 34.</t>
        </is>
      </c>
      <c r="M244" s="9" t="n">
        <v>236010.584</v>
      </c>
    </row>
    <row r="245" ht="36" customHeight="1">
      <c r="A245" s="9" t="inlineStr">
        <is>
          <t>LME_034</t>
        </is>
      </c>
      <c r="B245" s="10" t="inlineStr">
        <is>
          <t>34_1_Bay_of_Bengal_(1978)</t>
        </is>
      </c>
      <c r="C245" s="10" t="inlineStr">
        <is>
          <t>Anodontostoma chacunda</t>
        </is>
      </c>
      <c r="D245" s="9" t="inlineStr">
        <is>
          <t>Chacunda gizzard shad</t>
        </is>
      </c>
      <c r="E245" s="9" t="inlineStr">
        <is>
          <t>Small pelagics (&lt;30 cm)</t>
        </is>
      </c>
      <c r="F245" s="9" t="inlineStr">
        <is>
          <t>Herring-likes</t>
        </is>
      </c>
      <c r="G245" s="10" t="inlineStr">
        <is>
          <t>3 S pelagics</t>
        </is>
      </c>
      <c r="H245" s="11" t="n">
        <v>0.7024014536184523</v>
      </c>
      <c r="I245" s="9" t="inlineStr">
        <is>
          <t>model_biomass</t>
        </is>
      </c>
      <c r="J245" s="12" t="inlineStr">
        <is>
          <t>medium</t>
        </is>
      </c>
      <c r="K245" s="9" t="inlineStr">
        <is>
          <t>composite_split</t>
        </is>
      </c>
      <c r="L245" s="10" t="inlineStr">
        <is>
          <t>Appendix A1.1 lists this exact catch name under `S pelagics`; apportioned over the region 2 and region 3 pools by model biomass; region 1 is the Maldives shelf, outside LME 34.</t>
        </is>
      </c>
      <c r="M245" s="9" t="n">
        <v>236010.584</v>
      </c>
    </row>
    <row r="246" ht="36" customHeight="1">
      <c r="A246" s="9" t="inlineStr">
        <is>
          <t>LME_034</t>
        </is>
      </c>
      <c r="B246" s="10" t="inlineStr">
        <is>
          <t>34_1_Bay_of_Bengal_(1978)</t>
        </is>
      </c>
      <c r="C246" s="10" t="inlineStr">
        <is>
          <t>Prionace glauca</t>
        </is>
      </c>
      <c r="D246" s="9" t="inlineStr">
        <is>
          <t>Blue shark</t>
        </is>
      </c>
      <c r="E246" s="9" t="inlineStr">
        <is>
          <t>Large sharks (&gt;=90 cm)</t>
        </is>
      </c>
      <c r="F246" s="9" t="inlineStr">
        <is>
          <t>Sharks &amp; rays</t>
        </is>
      </c>
      <c r="G246" s="10" t="inlineStr">
        <is>
          <t>Oceanic sharks</t>
        </is>
      </c>
      <c r="H246" s="11" t="n">
        <v>1</v>
      </c>
      <c r="I246" s="9" t="inlineStr">
        <is>
          <t>single</t>
        </is>
      </c>
      <c r="J246" s="13" t="inlineStr">
        <is>
          <t>high</t>
        </is>
      </c>
      <c r="K246" s="9" t="inlineStr">
        <is>
          <t>explicit_member</t>
        </is>
      </c>
      <c r="L246" s="10" t="inlineStr">
        <is>
          <t>Appendix A1.1 lists this exact catch name under `oceanic sharks`, a group modelled over the whole study area (Appendix A1.2).</t>
        </is>
      </c>
      <c r="M246" s="9" t="n">
        <v>235298.63</v>
      </c>
    </row>
    <row r="247" ht="36" customHeight="1">
      <c r="A247" s="9" t="inlineStr">
        <is>
          <t>LME_034</t>
        </is>
      </c>
      <c r="B247" s="10" t="inlineStr">
        <is>
          <t>34_1_Bay_of_Bengal_(1978)</t>
        </is>
      </c>
      <c r="C247" s="10" t="inlineStr">
        <is>
          <t>Nemipterus hexodon</t>
        </is>
      </c>
      <c r="D247" s="9" t="inlineStr">
        <is>
          <t>Ornate threadfin bream</t>
        </is>
      </c>
      <c r="E247" s="9" t="inlineStr">
        <is>
          <t>Small demersals (&lt;30 cm)</t>
        </is>
      </c>
      <c r="F247" s="9" t="inlineStr">
        <is>
          <t>Perch-likes</t>
        </is>
      </c>
      <c r="G247" s="10" t="inlineStr">
        <is>
          <t>2 SM pisc</t>
        </is>
      </c>
      <c r="H247" s="11" t="n">
        <v>0.3055989990616202</v>
      </c>
      <c r="I247" s="9" t="inlineStr">
        <is>
          <t>model_biomass</t>
        </is>
      </c>
      <c r="J247" s="12" t="inlineStr">
        <is>
          <t>medium</t>
        </is>
      </c>
      <c r="K247" s="9" t="inlineStr">
        <is>
          <t>composite_split</t>
        </is>
      </c>
      <c r="L247" s="10" t="inlineStr">
        <is>
          <t>Appendix A1.3 lists Nemipterus hexodon in the `SM pisc` species list. Apportioned over the region 2 and region 3 pools by model biomass; region 1 is the Maldives shelf, outside LME 34.</t>
        </is>
      </c>
      <c r="M247" s="9" t="n">
        <v>233986.201</v>
      </c>
    </row>
    <row r="248" ht="36" customHeight="1">
      <c r="A248" s="9" t="inlineStr">
        <is>
          <t>LME_034</t>
        </is>
      </c>
      <c r="B248" s="10" t="inlineStr">
        <is>
          <t>34_1_Bay_of_Bengal_(1978)</t>
        </is>
      </c>
      <c r="C248" s="10" t="inlineStr">
        <is>
          <t>Nemipterus hexodon</t>
        </is>
      </c>
      <c r="D248" s="9" t="inlineStr">
        <is>
          <t>Ornate threadfin bream</t>
        </is>
      </c>
      <c r="E248" s="9" t="inlineStr">
        <is>
          <t>Small demersals (&lt;30 cm)</t>
        </is>
      </c>
      <c r="F248" s="9" t="inlineStr">
        <is>
          <t>Perch-likes</t>
        </is>
      </c>
      <c r="G248" s="10" t="inlineStr">
        <is>
          <t>3 SM pisc</t>
        </is>
      </c>
      <c r="H248" s="11" t="n">
        <v>0.6944010009383798</v>
      </c>
      <c r="I248" s="9" t="inlineStr">
        <is>
          <t>model_biomass</t>
        </is>
      </c>
      <c r="J248" s="12" t="inlineStr">
        <is>
          <t>medium</t>
        </is>
      </c>
      <c r="K248" s="9" t="inlineStr">
        <is>
          <t>composite_split</t>
        </is>
      </c>
      <c r="L248" s="10" t="inlineStr">
        <is>
          <t>Appendix A1.3 lists Nemipterus hexodon in the `SM pisc` species list. Apportioned over the region 2 and region 3 pools by model biomass; region 1 is the Maldives shelf, outside LME 34.</t>
        </is>
      </c>
      <c r="M248" s="9" t="n">
        <v>233986.201</v>
      </c>
    </row>
    <row r="249" ht="36" customHeight="1">
      <c r="A249" s="9" t="inlineStr">
        <is>
          <t>LME_034</t>
        </is>
      </c>
      <c r="B249" s="10" t="inlineStr">
        <is>
          <t>34_1_Bay_of_Bengal_(1978)</t>
        </is>
      </c>
      <c r="C249" s="10" t="inlineStr">
        <is>
          <t>Sillaginidae</t>
        </is>
      </c>
      <c r="D249" s="9" t="inlineStr">
        <is>
          <t>Smelt-whitings</t>
        </is>
      </c>
      <c r="E249" s="9" t="inlineStr">
        <is>
          <t>Medium demersals (30 - 89 cm)</t>
        </is>
      </c>
      <c r="F249" s="9" t="inlineStr">
        <is>
          <t>Perch-likes</t>
        </is>
      </c>
      <c r="G249" s="10" t="inlineStr">
        <is>
          <t>2 SM inv</t>
        </is>
      </c>
      <c r="H249" s="11" t="n">
        <v>0.3170901271842734</v>
      </c>
      <c r="I249" s="9" t="inlineStr">
        <is>
          <t>model_biomass</t>
        </is>
      </c>
      <c r="J249" s="12" t="inlineStr">
        <is>
          <t>medium</t>
        </is>
      </c>
      <c r="K249" s="9" t="inlineStr">
        <is>
          <t>composite_split</t>
        </is>
      </c>
      <c r="L249" s="10" t="inlineStr">
        <is>
          <t>Appendix A1.1 lists this exact catch name under `SM inv`; apportioned over the region 2 and region 3 pools by model biomass; region 1 is the Maldives shelf, outside LME 34.</t>
        </is>
      </c>
      <c r="M249" s="9" t="n">
        <v>232817.433</v>
      </c>
    </row>
    <row r="250" ht="36" customHeight="1">
      <c r="A250" s="9" t="inlineStr">
        <is>
          <t>LME_034</t>
        </is>
      </c>
      <c r="B250" s="10" t="inlineStr">
        <is>
          <t>34_1_Bay_of_Bengal_(1978)</t>
        </is>
      </c>
      <c r="C250" s="10" t="inlineStr">
        <is>
          <t>Sillaginidae</t>
        </is>
      </c>
      <c r="D250" s="9" t="inlineStr">
        <is>
          <t>Smelt-whitings</t>
        </is>
      </c>
      <c r="E250" s="9" t="inlineStr">
        <is>
          <t>Medium demersals (30 - 89 cm)</t>
        </is>
      </c>
      <c r="F250" s="9" t="inlineStr">
        <is>
          <t>Perch-likes</t>
        </is>
      </c>
      <c r="G250" s="10" t="inlineStr">
        <is>
          <t>3 SM inv</t>
        </is>
      </c>
      <c r="H250" s="11" t="n">
        <v>0.6829098728157266</v>
      </c>
      <c r="I250" s="9" t="inlineStr">
        <is>
          <t>model_biomass</t>
        </is>
      </c>
      <c r="J250" s="12" t="inlineStr">
        <is>
          <t>medium</t>
        </is>
      </c>
      <c r="K250" s="9" t="inlineStr">
        <is>
          <t>composite_split</t>
        </is>
      </c>
      <c r="L250" s="10" t="inlineStr">
        <is>
          <t>Appendix A1.1 lists this exact catch name under `SM inv`; apportioned over the region 2 and region 3 pools by model biomass; region 1 is the Maldives shelf, outside LME 34.</t>
        </is>
      </c>
      <c r="M250" s="9" t="n">
        <v>232817.433</v>
      </c>
    </row>
    <row r="251" ht="51" customHeight="1">
      <c r="A251" s="9" t="inlineStr">
        <is>
          <t>LME_034</t>
        </is>
      </c>
      <c r="B251" s="10" t="inlineStr">
        <is>
          <t>34_1_Bay_of_Bengal_(1978)</t>
        </is>
      </c>
      <c r="C251" s="10" t="inlineStr">
        <is>
          <t>Placuna placenta</t>
        </is>
      </c>
      <c r="D251" s="9" t="inlineStr">
        <is>
          <t>Windowpane oyster</t>
        </is>
      </c>
      <c r="E251" s="9" t="inlineStr">
        <is>
          <t>Other demersal invertebrates</t>
        </is>
      </c>
      <c r="F251" s="9" t="inlineStr">
        <is>
          <t>Molluscs</t>
        </is>
      </c>
      <c r="G251" s="10" t="inlineStr">
        <is>
          <t>2 Macrobenthos</t>
        </is>
      </c>
      <c r="H251" s="11" t="n">
        <v>0.363210995759614</v>
      </c>
      <c r="I251" s="9" t="inlineStr">
        <is>
          <t>model_biomass</t>
        </is>
      </c>
      <c r="J251" s="12" t="inlineStr">
        <is>
          <t>medium</t>
        </is>
      </c>
      <c r="K251" s="9" t="inlineStr">
        <is>
          <t>composite_split</t>
        </is>
      </c>
      <c r="L251" s="10" t="inlineStr">
        <is>
          <t>Appendix A1.1 sends Bivalvia and every named bivalve - Meretrix, Paphia, Perna, Pectinidae, Veneridae - to macrobenthos; Placuna placenta is a bivalve. Apportioned over the region 2 and region 3 pools by model biomass; region 1 is the Maldives shelf, outside LME 34.</t>
        </is>
      </c>
      <c r="M251" s="9" t="n">
        <v>229914.935</v>
      </c>
    </row>
    <row r="252" ht="51" customHeight="1">
      <c r="A252" s="9" t="inlineStr">
        <is>
          <t>LME_034</t>
        </is>
      </c>
      <c r="B252" s="10" t="inlineStr">
        <is>
          <t>34_1_Bay_of_Bengal_(1978)</t>
        </is>
      </c>
      <c r="C252" s="10" t="inlineStr">
        <is>
          <t>Placuna placenta</t>
        </is>
      </c>
      <c r="D252" s="9" t="inlineStr">
        <is>
          <t>Windowpane oyster</t>
        </is>
      </c>
      <c r="E252" s="9" t="inlineStr">
        <is>
          <t>Other demersal invertebrates</t>
        </is>
      </c>
      <c r="F252" s="9" t="inlineStr">
        <is>
          <t>Molluscs</t>
        </is>
      </c>
      <c r="G252" s="10" t="inlineStr">
        <is>
          <t>3 Macrobenthos</t>
        </is>
      </c>
      <c r="H252" s="11" t="n">
        <v>0.6367890042403861</v>
      </c>
      <c r="I252" s="9" t="inlineStr">
        <is>
          <t>model_biomass</t>
        </is>
      </c>
      <c r="J252" s="12" t="inlineStr">
        <is>
          <t>medium</t>
        </is>
      </c>
      <c r="K252" s="9" t="inlineStr">
        <is>
          <t>composite_split</t>
        </is>
      </c>
      <c r="L252" s="10" t="inlineStr">
        <is>
          <t>Appendix A1.1 sends Bivalvia and every named bivalve - Meretrix, Paphia, Perna, Pectinidae, Veneridae - to macrobenthos; Placuna placenta is a bivalve. Apportioned over the region 2 and region 3 pools by model biomass; region 1 is the Maldives shelf, outside LME 34.</t>
        </is>
      </c>
      <c r="M252" s="9" t="n">
        <v>229914.935</v>
      </c>
    </row>
    <row r="253" ht="51" customHeight="1">
      <c r="A253" s="9" t="inlineStr">
        <is>
          <t>LME_034</t>
        </is>
      </c>
      <c r="B253" s="10" t="inlineStr">
        <is>
          <t>34_1_Bay_of_Bengal_(1978)</t>
        </is>
      </c>
      <c r="C253" s="10" t="inlineStr">
        <is>
          <t>Chondrichthyes</t>
        </is>
      </c>
      <c r="D253" s="9" t="inlineStr">
        <is>
          <t>Sharks, rays, chimaeras</t>
        </is>
      </c>
      <c r="E253" s="9" t="inlineStr">
        <is>
          <t>Large sharks (&gt;=90 cm)</t>
        </is>
      </c>
      <c r="F253" s="9" t="inlineStr">
        <is>
          <t>Sharks &amp; rays</t>
        </is>
      </c>
      <c r="G253" s="10" t="inlineStr">
        <is>
          <t>Oceanic sharks</t>
        </is>
      </c>
      <c r="H253" s="11" t="n">
        <v>0.305730644284871</v>
      </c>
      <c r="I253" s="9" t="inlineStr">
        <is>
          <t>catch_composition</t>
        </is>
      </c>
      <c r="J253" s="12" t="inlineStr">
        <is>
          <t>medium</t>
        </is>
      </c>
      <c r="K253" s="9" t="inlineStr">
        <is>
          <t>composite_split</t>
        </is>
      </c>
      <c r="L253" s="10" t="inlineStr">
        <is>
          <t>Appendix A1.1 assigns `Sharks or rays and chimaeras` to oceanic and coastal sharks together; apportioned by the catch that identified sharks and rays already put on those two groups alone.</t>
        </is>
      </c>
      <c r="M253" s="9" t="n">
        <v>225557.63</v>
      </c>
    </row>
    <row r="254" ht="51" customHeight="1">
      <c r="A254" s="9" t="inlineStr">
        <is>
          <t>LME_034</t>
        </is>
      </c>
      <c r="B254" s="10" t="inlineStr">
        <is>
          <t>34_1_Bay_of_Bengal_(1978)</t>
        </is>
      </c>
      <c r="C254" s="10" t="inlineStr">
        <is>
          <t>Chondrichthyes</t>
        </is>
      </c>
      <c r="D254" s="9" t="inlineStr">
        <is>
          <t>Sharks, rays, chimaeras</t>
        </is>
      </c>
      <c r="E254" s="9" t="inlineStr">
        <is>
          <t>Large sharks (&gt;=90 cm)</t>
        </is>
      </c>
      <c r="F254" s="9" t="inlineStr">
        <is>
          <t>Sharks &amp; rays</t>
        </is>
      </c>
      <c r="G254" s="10" t="inlineStr">
        <is>
          <t>Coastal elasmobranch</t>
        </is>
      </c>
      <c r="H254" s="11" t="n">
        <v>0.694269355715129</v>
      </c>
      <c r="I254" s="9" t="inlineStr">
        <is>
          <t>catch_composition</t>
        </is>
      </c>
      <c r="J254" s="12" t="inlineStr">
        <is>
          <t>medium</t>
        </is>
      </c>
      <c r="K254" s="9" t="inlineStr">
        <is>
          <t>composite_split</t>
        </is>
      </c>
      <c r="L254" s="10" t="inlineStr">
        <is>
          <t>Appendix A1.1 assigns `Sharks or rays and chimaeras` to oceanic and coastal sharks together; apportioned by the catch that identified sharks and rays already put on those two groups alone.</t>
        </is>
      </c>
      <c r="M254" s="9" t="n">
        <v>225557.63</v>
      </c>
    </row>
    <row r="255" ht="36" customHeight="1">
      <c r="A255" s="9" t="inlineStr">
        <is>
          <t>LME_034</t>
        </is>
      </c>
      <c r="B255" s="10" t="inlineStr">
        <is>
          <t>34_1_Bay_of_Bengal_(1978)</t>
        </is>
      </c>
      <c r="C255" s="10" t="inlineStr">
        <is>
          <t>Terapon jarbua</t>
        </is>
      </c>
      <c r="D255" s="9" t="inlineStr">
        <is>
          <t>Jarbua terapon</t>
        </is>
      </c>
      <c r="E255" s="9" t="inlineStr">
        <is>
          <t>Medium demersals (30 - 89 cm)</t>
        </is>
      </c>
      <c r="F255" s="9" t="inlineStr">
        <is>
          <t>Perch-likes</t>
        </is>
      </c>
      <c r="G255" s="10" t="inlineStr">
        <is>
          <t>2 SM pisc</t>
        </is>
      </c>
      <c r="H255" s="11" t="n">
        <v>0.3055989990616202</v>
      </c>
      <c r="I255" s="9" t="inlineStr">
        <is>
          <t>model_biomass</t>
        </is>
      </c>
      <c r="J255" s="12" t="inlineStr">
        <is>
          <t>medium</t>
        </is>
      </c>
      <c r="K255" s="9" t="inlineStr">
        <is>
          <t>composite_split</t>
        </is>
      </c>
      <c r="L255" s="10" t="inlineStr">
        <is>
          <t>Appendix A1.1 lists this exact catch name under `SM pisc`; apportioned over the region 2 and region 3 pools by model biomass; region 1 is the Maldives shelf, outside LME 34.</t>
        </is>
      </c>
      <c r="M255" s="9" t="n">
        <v>220610.52</v>
      </c>
    </row>
    <row r="256" ht="36" customHeight="1">
      <c r="A256" s="9" t="inlineStr">
        <is>
          <t>LME_034</t>
        </is>
      </c>
      <c r="B256" s="10" t="inlineStr">
        <is>
          <t>34_1_Bay_of_Bengal_(1978)</t>
        </is>
      </c>
      <c r="C256" s="10" t="inlineStr">
        <is>
          <t>Terapon jarbua</t>
        </is>
      </c>
      <c r="D256" s="9" t="inlineStr">
        <is>
          <t>Jarbua terapon</t>
        </is>
      </c>
      <c r="E256" s="9" t="inlineStr">
        <is>
          <t>Medium demersals (30 - 89 cm)</t>
        </is>
      </c>
      <c r="F256" s="9" t="inlineStr">
        <is>
          <t>Perch-likes</t>
        </is>
      </c>
      <c r="G256" s="10" t="inlineStr">
        <is>
          <t>3 SM pisc</t>
        </is>
      </c>
      <c r="H256" s="11" t="n">
        <v>0.6944010009383798</v>
      </c>
      <c r="I256" s="9" t="inlineStr">
        <is>
          <t>model_biomass</t>
        </is>
      </c>
      <c r="J256" s="12" t="inlineStr">
        <is>
          <t>medium</t>
        </is>
      </c>
      <c r="K256" s="9" t="inlineStr">
        <is>
          <t>composite_split</t>
        </is>
      </c>
      <c r="L256" s="10" t="inlineStr">
        <is>
          <t>Appendix A1.1 lists this exact catch name under `SM pisc`; apportioned over the region 2 and region 3 pools by model biomass; region 1 is the Maldives shelf, outside LME 34.</t>
        </is>
      </c>
      <c r="M256" s="9" t="n">
        <v>220610.52</v>
      </c>
    </row>
    <row r="257" ht="36" customHeight="1">
      <c r="A257" s="9" t="inlineStr">
        <is>
          <t>LME_034</t>
        </is>
      </c>
      <c r="B257" s="10" t="inlineStr">
        <is>
          <t>34_1_Bay_of_Bengal_(1978)</t>
        </is>
      </c>
      <c r="C257" s="10" t="inlineStr">
        <is>
          <t>Upeneus vittatus</t>
        </is>
      </c>
      <c r="D257" s="9" t="inlineStr">
        <is>
          <t>Yellowstriped goatfish</t>
        </is>
      </c>
      <c r="E257" s="9" t="inlineStr">
        <is>
          <t>Small reef assoc. fish (&lt;30 cm)</t>
        </is>
      </c>
      <c r="F257" s="9" t="inlineStr">
        <is>
          <t>Perch-likes</t>
        </is>
      </c>
      <c r="G257" s="10" t="inlineStr">
        <is>
          <t>2 SM inv</t>
        </is>
      </c>
      <c r="H257" s="11" t="n">
        <v>0.3170901271842734</v>
      </c>
      <c r="I257" s="9" t="inlineStr">
        <is>
          <t>model_biomass</t>
        </is>
      </c>
      <c r="J257" s="12" t="inlineStr">
        <is>
          <t>medium</t>
        </is>
      </c>
      <c r="K257" s="9" t="inlineStr">
        <is>
          <t>composite_split</t>
        </is>
      </c>
      <c r="L257" s="10" t="inlineStr">
        <is>
          <t>Appendix A1.1 lists this exact catch name under `SM inv`; apportioned over the region 2 and region 3 pools by model biomass; region 1 is the Maldives shelf, outside LME 34.</t>
        </is>
      </c>
      <c r="M257" s="9" t="n">
        <v>220402.414</v>
      </c>
    </row>
    <row r="258" ht="36" customHeight="1">
      <c r="A258" s="9" t="inlineStr">
        <is>
          <t>LME_034</t>
        </is>
      </c>
      <c r="B258" s="10" t="inlineStr">
        <is>
          <t>34_1_Bay_of_Bengal_(1978)</t>
        </is>
      </c>
      <c r="C258" s="10" t="inlineStr">
        <is>
          <t>Upeneus vittatus</t>
        </is>
      </c>
      <c r="D258" s="9" t="inlineStr">
        <is>
          <t>Yellowstriped goatfish</t>
        </is>
      </c>
      <c r="E258" s="9" t="inlineStr">
        <is>
          <t>Small reef assoc. fish (&lt;30 cm)</t>
        </is>
      </c>
      <c r="F258" s="9" t="inlineStr">
        <is>
          <t>Perch-likes</t>
        </is>
      </c>
      <c r="G258" s="10" t="inlineStr">
        <is>
          <t>3 SM inv</t>
        </is>
      </c>
      <c r="H258" s="11" t="n">
        <v>0.6829098728157266</v>
      </c>
      <c r="I258" s="9" t="inlineStr">
        <is>
          <t>model_biomass</t>
        </is>
      </c>
      <c r="J258" s="12" t="inlineStr">
        <is>
          <t>medium</t>
        </is>
      </c>
      <c r="K258" s="9" t="inlineStr">
        <is>
          <t>composite_split</t>
        </is>
      </c>
      <c r="L258" s="10" t="inlineStr">
        <is>
          <t>Appendix A1.1 lists this exact catch name under `SM inv`; apportioned over the region 2 and region 3 pools by model biomass; region 1 is the Maldives shelf, outside LME 34.</t>
        </is>
      </c>
      <c r="M258" s="9" t="n">
        <v>220402.414</v>
      </c>
    </row>
    <row r="259" ht="36" customHeight="1">
      <c r="A259" s="9" t="inlineStr">
        <is>
          <t>LME_034</t>
        </is>
      </c>
      <c r="B259" s="10" t="inlineStr">
        <is>
          <t>34_1_Bay_of_Bengal_(1978)</t>
        </is>
      </c>
      <c r="C259" s="10" t="inlineStr">
        <is>
          <t>Teuthida</t>
        </is>
      </c>
      <c r="D259" s="9" t="inlineStr">
        <is>
          <t>Squids</t>
        </is>
      </c>
      <c r="E259" s="9" t="inlineStr">
        <is>
          <t>Cephalopods</t>
        </is>
      </c>
      <c r="F259" s="9" t="inlineStr">
        <is>
          <t>Other fishes &amp; inverts</t>
        </is>
      </c>
      <c r="G259" s="10" t="inlineStr">
        <is>
          <t>Cephalopods</t>
        </is>
      </c>
      <c r="H259" s="11" t="n">
        <v>1</v>
      </c>
      <c r="I259" s="9" t="inlineStr">
        <is>
          <t>single</t>
        </is>
      </c>
      <c r="J259" s="13" t="inlineStr">
        <is>
          <t>high</t>
        </is>
      </c>
      <c r="K259" s="9" t="inlineStr">
        <is>
          <t>synonym</t>
        </is>
      </c>
      <c r="L259" s="10" t="inlineStr">
        <is>
          <t>Accepted-name/synonym match: Appendix A1.1 lists Loliginidae, Loligo and Sepioteuthis under `cephalopods`. Teuthida is the squid order those genera belong to.</t>
        </is>
      </c>
      <c r="M259" s="9" t="n">
        <v>212028.219</v>
      </c>
    </row>
    <row r="260" ht="36" customHeight="1">
      <c r="A260" s="9" t="inlineStr">
        <is>
          <t>LME_034</t>
        </is>
      </c>
      <c r="B260" s="10" t="inlineStr">
        <is>
          <t>34_1_Bay_of_Bengal_(1978)</t>
        </is>
      </c>
      <c r="C260" s="10" t="inlineStr">
        <is>
          <t>Psettodidae</t>
        </is>
      </c>
      <c r="D260" s="9" t="inlineStr">
        <is>
          <t>Turbots, Indian halibuts</t>
        </is>
      </c>
      <c r="E260" s="9" t="inlineStr">
        <is>
          <t>Small to medium flatfishes (&lt;90 cm)</t>
        </is>
      </c>
      <c r="F260" s="9" t="inlineStr">
        <is>
          <t>Flatfishes</t>
        </is>
      </c>
      <c r="G260" s="10" t="inlineStr">
        <is>
          <t>2 SM pisc</t>
        </is>
      </c>
      <c r="H260" s="11" t="n">
        <v>0.3055989990616202</v>
      </c>
      <c r="I260" s="9" t="inlineStr">
        <is>
          <t>model_biomass</t>
        </is>
      </c>
      <c r="J260" s="12" t="inlineStr">
        <is>
          <t>medium</t>
        </is>
      </c>
      <c r="K260" s="9" t="inlineStr">
        <is>
          <t>composite_split</t>
        </is>
      </c>
      <c r="L260" s="10" t="inlineStr">
        <is>
          <t>Appendix A1.1 lists this exact catch name under `SM pisc`; apportioned over the region 2 and region 3 pools by model biomass; region 1 is the Maldives shelf, outside LME 34.</t>
        </is>
      </c>
      <c r="M260" s="9" t="n">
        <v>208994.712</v>
      </c>
    </row>
    <row r="261" ht="36" customHeight="1">
      <c r="A261" s="9" t="inlineStr">
        <is>
          <t>LME_034</t>
        </is>
      </c>
      <c r="B261" s="10" t="inlineStr">
        <is>
          <t>34_1_Bay_of_Bengal_(1978)</t>
        </is>
      </c>
      <c r="C261" s="10" t="inlineStr">
        <is>
          <t>Psettodidae</t>
        </is>
      </c>
      <c r="D261" s="9" t="inlineStr">
        <is>
          <t>Turbots, Indian halibuts</t>
        </is>
      </c>
      <c r="E261" s="9" t="inlineStr">
        <is>
          <t>Small to medium flatfishes (&lt;90 cm)</t>
        </is>
      </c>
      <c r="F261" s="9" t="inlineStr">
        <is>
          <t>Flatfishes</t>
        </is>
      </c>
      <c r="G261" s="10" t="inlineStr">
        <is>
          <t>3 SM pisc</t>
        </is>
      </c>
      <c r="H261" s="11" t="n">
        <v>0.6944010009383798</v>
      </c>
      <c r="I261" s="9" t="inlineStr">
        <is>
          <t>model_biomass</t>
        </is>
      </c>
      <c r="J261" s="12" t="inlineStr">
        <is>
          <t>medium</t>
        </is>
      </c>
      <c r="K261" s="9" t="inlineStr">
        <is>
          <t>composite_split</t>
        </is>
      </c>
      <c r="L261" s="10" t="inlineStr">
        <is>
          <t>Appendix A1.1 lists this exact catch name under `SM pisc`; apportioned over the region 2 and region 3 pools by model biomass; region 1 is the Maldives shelf, outside LME 34.</t>
        </is>
      </c>
      <c r="M261" s="9" t="n">
        <v>208994.712</v>
      </c>
    </row>
    <row r="262" ht="36" customHeight="1">
      <c r="A262" s="9" t="inlineStr">
        <is>
          <t>LME_034</t>
        </is>
      </c>
      <c r="B262" s="10" t="inlineStr">
        <is>
          <t>34_1_Bay_of_Bengal_(1978)</t>
        </is>
      </c>
      <c r="C262" s="10" t="inlineStr">
        <is>
          <t>Tetraodontidae</t>
        </is>
      </c>
      <c r="D262" s="9" t="inlineStr">
        <is>
          <t>Puffers, tobies</t>
        </is>
      </c>
      <c r="E262" s="9" t="inlineStr">
        <is>
          <t>Large reef assoc. fish (&gt;=90 cm)</t>
        </is>
      </c>
      <c r="F262" s="9" t="inlineStr">
        <is>
          <t>Other fishes &amp; inverts</t>
        </is>
      </c>
      <c r="G262" s="10" t="inlineStr">
        <is>
          <t>2 Milkfish plus</t>
        </is>
      </c>
      <c r="H262" s="11" t="n">
        <v>0.08624523919307645</v>
      </c>
      <c r="I262" s="9" t="inlineStr">
        <is>
          <t>model_biomass</t>
        </is>
      </c>
      <c r="J262" s="12" t="inlineStr">
        <is>
          <t>medium</t>
        </is>
      </c>
      <c r="K262" s="9" t="inlineStr">
        <is>
          <t>composite_split</t>
        </is>
      </c>
      <c r="L262" s="10" t="inlineStr">
        <is>
          <t>Appendix A1.1 lists this exact catch name under `milkfish, SM inv`; apportioned over the region 2 and region 3 pools by model biomass; region 1 is the Maldives shelf, outside LME 34.</t>
        </is>
      </c>
      <c r="M262" s="9" t="n">
        <v>208536.367</v>
      </c>
    </row>
    <row r="263" ht="36" customHeight="1">
      <c r="A263" s="9" t="inlineStr">
        <is>
          <t>LME_034</t>
        </is>
      </c>
      <c r="B263" s="10" t="inlineStr">
        <is>
          <t>34_1_Bay_of_Bengal_(1978)</t>
        </is>
      </c>
      <c r="C263" s="10" t="inlineStr">
        <is>
          <t>Tetraodontidae</t>
        </is>
      </c>
      <c r="D263" s="9" t="inlineStr">
        <is>
          <t>Puffers, tobies</t>
        </is>
      </c>
      <c r="E263" s="9" t="inlineStr">
        <is>
          <t>Large reef assoc. fish (&gt;=90 cm)</t>
        </is>
      </c>
      <c r="F263" s="9" t="inlineStr">
        <is>
          <t>Other fishes &amp; inverts</t>
        </is>
      </c>
      <c r="G263" s="10" t="inlineStr">
        <is>
          <t>3 Milkfish plus</t>
        </is>
      </c>
      <c r="H263" s="11" t="n">
        <v>0.1100464924241207</v>
      </c>
      <c r="I263" s="9" t="inlineStr">
        <is>
          <t>model_biomass</t>
        </is>
      </c>
      <c r="J263" s="12" t="inlineStr">
        <is>
          <t>medium</t>
        </is>
      </c>
      <c r="K263" s="9" t="inlineStr">
        <is>
          <t>composite_split</t>
        </is>
      </c>
      <c r="L263" s="10" t="inlineStr">
        <is>
          <t>Appendix A1.1 lists this exact catch name under `milkfish, SM inv`; apportioned over the region 2 and region 3 pools by model biomass; region 1 is the Maldives shelf, outside LME 34.</t>
        </is>
      </c>
      <c r="M263" s="9" t="n">
        <v>208536.367</v>
      </c>
    </row>
    <row r="264" ht="36" customHeight="1">
      <c r="A264" s="9" t="inlineStr">
        <is>
          <t>LME_034</t>
        </is>
      </c>
      <c r="B264" s="10" t="inlineStr">
        <is>
          <t>34_1_Bay_of_Bengal_(1978)</t>
        </is>
      </c>
      <c r="C264" s="10" t="inlineStr">
        <is>
          <t>Tetraodontidae</t>
        </is>
      </c>
      <c r="D264" s="9" t="inlineStr">
        <is>
          <t>Puffers, tobies</t>
        </is>
      </c>
      <c r="E264" s="9" t="inlineStr">
        <is>
          <t>Large reef assoc. fish (&gt;=90 cm)</t>
        </is>
      </c>
      <c r="F264" s="9" t="inlineStr">
        <is>
          <t>Other fishes &amp; inverts</t>
        </is>
      </c>
      <c r="G264" s="10" t="inlineStr">
        <is>
          <t>2 SM inv</t>
        </is>
      </c>
      <c r="H264" s="11" t="n">
        <v>0.2548479570405551</v>
      </c>
      <c r="I264" s="9" t="inlineStr">
        <is>
          <t>model_biomass</t>
        </is>
      </c>
      <c r="J264" s="12" t="inlineStr">
        <is>
          <t>medium</t>
        </is>
      </c>
      <c r="K264" s="9" t="inlineStr">
        <is>
          <t>composite_split</t>
        </is>
      </c>
      <c r="L264" s="10" t="inlineStr">
        <is>
          <t>Appendix A1.1 lists this exact catch name under `milkfish, SM inv`; apportioned over the region 2 and region 3 pools by model biomass; region 1 is the Maldives shelf, outside LME 34.</t>
        </is>
      </c>
      <c r="M264" s="9" t="n">
        <v>208536.367</v>
      </c>
    </row>
    <row r="265" ht="36" customHeight="1">
      <c r="A265" s="9" t="inlineStr">
        <is>
          <t>LME_034</t>
        </is>
      </c>
      <c r="B265" s="10" t="inlineStr">
        <is>
          <t>34_1_Bay_of_Bengal_(1978)</t>
        </is>
      </c>
      <c r="C265" s="10" t="inlineStr">
        <is>
          <t>Tetraodontidae</t>
        </is>
      </c>
      <c r="D265" s="9" t="inlineStr">
        <is>
          <t>Puffers, tobies</t>
        </is>
      </c>
      <c r="E265" s="9" t="inlineStr">
        <is>
          <t>Large reef assoc. fish (&gt;=90 cm)</t>
        </is>
      </c>
      <c r="F265" s="9" t="inlineStr">
        <is>
          <t>Other fishes &amp; inverts</t>
        </is>
      </c>
      <c r="G265" s="10" t="inlineStr">
        <is>
          <t>3 SM inv</t>
        </is>
      </c>
      <c r="H265" s="11" t="n">
        <v>0.5488603113422478</v>
      </c>
      <c r="I265" s="9" t="inlineStr">
        <is>
          <t>model_biomass</t>
        </is>
      </c>
      <c r="J265" s="12" t="inlineStr">
        <is>
          <t>medium</t>
        </is>
      </c>
      <c r="K265" s="9" t="inlineStr">
        <is>
          <t>composite_split</t>
        </is>
      </c>
      <c r="L265" s="10" t="inlineStr">
        <is>
          <t>Appendix A1.1 lists this exact catch name under `milkfish, SM inv`; apportioned over the region 2 and region 3 pools by model biomass; region 1 is the Maldives shelf, outside LME 34.</t>
        </is>
      </c>
      <c r="M265" s="9" t="n">
        <v>208536.367</v>
      </c>
    </row>
    <row r="266" ht="36" customHeight="1">
      <c r="A266" s="9" t="inlineStr">
        <is>
          <t>LME_034</t>
        </is>
      </c>
      <c r="B266" s="10" t="inlineStr">
        <is>
          <t>34_1_Bay_of_Bengal_(1978)</t>
        </is>
      </c>
      <c r="C266" s="10" t="inlineStr">
        <is>
          <t>Cephalopholis boenak</t>
        </is>
      </c>
      <c r="D266" s="9" t="inlineStr">
        <is>
          <t>Chocolate hind</t>
        </is>
      </c>
      <c r="E266" s="9" t="inlineStr">
        <is>
          <t>Small reef assoc. fish (&lt;30 cm)</t>
        </is>
      </c>
      <c r="F266" s="9" t="inlineStr">
        <is>
          <t>Perch-likes</t>
        </is>
      </c>
      <c r="G266" s="10" t="inlineStr">
        <is>
          <t>2 L pisc comm</t>
        </is>
      </c>
      <c r="H266" s="11" t="n">
        <v>0.4790991864112831</v>
      </c>
      <c r="I266" s="9" t="inlineStr">
        <is>
          <t>model_biomass</t>
        </is>
      </c>
      <c r="J266" s="12" t="inlineStr">
        <is>
          <t>medium</t>
        </is>
      </c>
      <c r="K266" s="9" t="inlineStr">
        <is>
          <t>composite_split</t>
        </is>
      </c>
      <c r="L266" s="10" t="inlineStr">
        <is>
          <t>Appendix A1.1 lists this exact catch name under `L pisc comm`; apportioned over the region 2 and region 3 pools by model biomass; region 1 is the Maldives shelf, outside LME 34.</t>
        </is>
      </c>
      <c r="M266" s="9" t="n">
        <v>206671.431</v>
      </c>
    </row>
    <row r="267" ht="36" customHeight="1">
      <c r="A267" s="9" t="inlineStr">
        <is>
          <t>LME_034</t>
        </is>
      </c>
      <c r="B267" s="10" t="inlineStr">
        <is>
          <t>34_1_Bay_of_Bengal_(1978)</t>
        </is>
      </c>
      <c r="C267" s="10" t="inlineStr">
        <is>
          <t>Cephalopholis boenak</t>
        </is>
      </c>
      <c r="D267" s="9" t="inlineStr">
        <is>
          <t>Chocolate hind</t>
        </is>
      </c>
      <c r="E267" s="9" t="inlineStr">
        <is>
          <t>Small reef assoc. fish (&lt;30 cm)</t>
        </is>
      </c>
      <c r="F267" s="9" t="inlineStr">
        <is>
          <t>Perch-likes</t>
        </is>
      </c>
      <c r="G267" s="10" t="inlineStr">
        <is>
          <t>3 L pisc comm</t>
        </is>
      </c>
      <c r="H267" s="11" t="n">
        <v>0.5209008135887169</v>
      </c>
      <c r="I267" s="9" t="inlineStr">
        <is>
          <t>model_biomass</t>
        </is>
      </c>
      <c r="J267" s="12" t="inlineStr">
        <is>
          <t>medium</t>
        </is>
      </c>
      <c r="K267" s="9" t="inlineStr">
        <is>
          <t>composite_split</t>
        </is>
      </c>
      <c r="L267" s="10" t="inlineStr">
        <is>
          <t>Appendix A1.1 lists this exact catch name under `L pisc comm`; apportioned over the region 2 and region 3 pools by model biomass; region 1 is the Maldives shelf, outside LME 34.</t>
        </is>
      </c>
      <c r="M267" s="9" t="n">
        <v>206671.431</v>
      </c>
    </row>
    <row r="268" ht="36" customHeight="1">
      <c r="A268" s="9" t="inlineStr">
        <is>
          <t>LME_034</t>
        </is>
      </c>
      <c r="B268" s="10" t="inlineStr">
        <is>
          <t>34_1_Bay_of_Bengal_(1978)</t>
        </is>
      </c>
      <c r="C268" s="10" t="inlineStr">
        <is>
          <t>Muraenesox</t>
        </is>
      </c>
      <c r="D268" s="9" t="inlineStr">
        <is>
          <t>Congers</t>
        </is>
      </c>
      <c r="E268" s="9" t="inlineStr">
        <is>
          <t>Large demersals (&gt;=90 cm)</t>
        </is>
      </c>
      <c r="F268" s="9" t="inlineStr">
        <is>
          <t>Other fishes &amp; inverts</t>
        </is>
      </c>
      <c r="G268" s="10" t="inlineStr">
        <is>
          <t>2 L pisc</t>
        </is>
      </c>
      <c r="H268" s="11" t="n">
        <v>0.449530936694357</v>
      </c>
      <c r="I268" s="9" t="inlineStr">
        <is>
          <t>model_biomass</t>
        </is>
      </c>
      <c r="J268" s="12" t="inlineStr">
        <is>
          <t>medium</t>
        </is>
      </c>
      <c r="K268" s="9" t="inlineStr">
        <is>
          <t>composite_split</t>
        </is>
      </c>
      <c r="L268" s="10" t="inlineStr">
        <is>
          <t>Appendix A1.1 lists this exact catch name under `L pisc`; apportioned over the region 2 and region 3 pools by model biomass; region 1 is the Maldives shelf, outside LME 34.</t>
        </is>
      </c>
      <c r="M268" s="9" t="n">
        <v>205527.597</v>
      </c>
    </row>
    <row r="269" ht="36" customHeight="1">
      <c r="A269" s="9" t="inlineStr">
        <is>
          <t>LME_034</t>
        </is>
      </c>
      <c r="B269" s="10" t="inlineStr">
        <is>
          <t>34_1_Bay_of_Bengal_(1978)</t>
        </is>
      </c>
      <c r="C269" s="10" t="inlineStr">
        <is>
          <t>Muraenesox</t>
        </is>
      </c>
      <c r="D269" s="9" t="inlineStr">
        <is>
          <t>Congers</t>
        </is>
      </c>
      <c r="E269" s="9" t="inlineStr">
        <is>
          <t>Large demersals (&gt;=90 cm)</t>
        </is>
      </c>
      <c r="F269" s="9" t="inlineStr">
        <is>
          <t>Other fishes &amp; inverts</t>
        </is>
      </c>
      <c r="G269" s="10" t="inlineStr">
        <is>
          <t>3 L pisc</t>
        </is>
      </c>
      <c r="H269" s="11" t="n">
        <v>0.5504690633056432</v>
      </c>
      <c r="I269" s="9" t="inlineStr">
        <is>
          <t>model_biomass</t>
        </is>
      </c>
      <c r="J269" s="12" t="inlineStr">
        <is>
          <t>medium</t>
        </is>
      </c>
      <c r="K269" s="9" t="inlineStr">
        <is>
          <t>composite_split</t>
        </is>
      </c>
      <c r="L269" s="10" t="inlineStr">
        <is>
          <t>Appendix A1.1 lists this exact catch name under `L pisc`; apportioned over the region 2 and region 3 pools by model biomass; region 1 is the Maldives shelf, outside LME 34.</t>
        </is>
      </c>
      <c r="M269" s="9" t="n">
        <v>205527.597</v>
      </c>
    </row>
    <row r="270" ht="36" customHeight="1">
      <c r="A270" s="9" t="inlineStr">
        <is>
          <t>LME_034</t>
        </is>
      </c>
      <c r="B270" s="10" t="inlineStr">
        <is>
          <t>34_1_Bay_of_Bengal_(1978)</t>
        </is>
      </c>
      <c r="C270" s="10" t="inlineStr">
        <is>
          <t>Selar crumenophthalmus</t>
        </is>
      </c>
      <c r="D270" s="9" t="inlineStr">
        <is>
          <t>Bigeye scad</t>
        </is>
      </c>
      <c r="E270" s="9" t="inlineStr">
        <is>
          <t>Medium pelagics (30 - 89 cm)</t>
        </is>
      </c>
      <c r="F270" s="9" t="inlineStr">
        <is>
          <t>Perch-likes</t>
        </is>
      </c>
      <c r="G270" s="10" t="inlineStr">
        <is>
          <t>2 Carangids</t>
        </is>
      </c>
      <c r="H270" s="11" t="n">
        <v>0.3043867502238138</v>
      </c>
      <c r="I270" s="9" t="inlineStr">
        <is>
          <t>model_biomass</t>
        </is>
      </c>
      <c r="J270" s="12" t="inlineStr">
        <is>
          <t>medium</t>
        </is>
      </c>
      <c r="K270" s="9" t="inlineStr">
        <is>
          <t>composite_split</t>
        </is>
      </c>
      <c r="L270" s="10" t="inlineStr">
        <is>
          <t>Appendix A1.1 lists this exact catch name under `Carangids`; apportioned over the region 2 and region 3 pools by model biomass; region 1 is the Maldives shelf, outside LME 34.</t>
        </is>
      </c>
      <c r="M270" s="9" t="n">
        <v>202794.543</v>
      </c>
    </row>
    <row r="271" ht="36" customHeight="1">
      <c r="A271" s="9" t="inlineStr">
        <is>
          <t>LME_034</t>
        </is>
      </c>
      <c r="B271" s="10" t="inlineStr">
        <is>
          <t>34_1_Bay_of_Bengal_(1978)</t>
        </is>
      </c>
      <c r="C271" s="10" t="inlineStr">
        <is>
          <t>Selar crumenophthalmus</t>
        </is>
      </c>
      <c r="D271" s="9" t="inlineStr">
        <is>
          <t>Bigeye scad</t>
        </is>
      </c>
      <c r="E271" s="9" t="inlineStr">
        <is>
          <t>Medium pelagics (30 - 89 cm)</t>
        </is>
      </c>
      <c r="F271" s="9" t="inlineStr">
        <is>
          <t>Perch-likes</t>
        </is>
      </c>
      <c r="G271" s="10" t="inlineStr">
        <is>
          <t>3 Carangids</t>
        </is>
      </c>
      <c r="H271" s="11" t="n">
        <v>0.6956132497761862</v>
      </c>
      <c r="I271" s="9" t="inlineStr">
        <is>
          <t>model_biomass</t>
        </is>
      </c>
      <c r="J271" s="12" t="inlineStr">
        <is>
          <t>medium</t>
        </is>
      </c>
      <c r="K271" s="9" t="inlineStr">
        <is>
          <t>composite_split</t>
        </is>
      </c>
      <c r="L271" s="10" t="inlineStr">
        <is>
          <t>Appendix A1.1 lists this exact catch name under `Carangids`; apportioned over the region 2 and region 3 pools by model biomass; region 1 is the Maldives shelf, outside LME 34.</t>
        </is>
      </c>
      <c r="M271" s="9" t="n">
        <v>202794.543</v>
      </c>
    </row>
    <row r="272" ht="36" customHeight="1">
      <c r="A272" s="9" t="inlineStr">
        <is>
          <t>LME_034</t>
        </is>
      </c>
      <c r="B272" s="10" t="inlineStr">
        <is>
          <t>34_1_Bay_of_Bengal_(1978)</t>
        </is>
      </c>
      <c r="C272" s="10" t="inlineStr">
        <is>
          <t>Soleidae</t>
        </is>
      </c>
      <c r="D272" s="9" t="inlineStr">
        <is>
          <t>Soles</t>
        </is>
      </c>
      <c r="E272" s="9" t="inlineStr">
        <is>
          <t>Small to medium flatfishes (&lt;90 cm)</t>
        </is>
      </c>
      <c r="F272" s="9" t="inlineStr">
        <is>
          <t>Flatfishes</t>
        </is>
      </c>
      <c r="G272" s="10" t="inlineStr">
        <is>
          <t>2 SM inv</t>
        </is>
      </c>
      <c r="H272" s="11" t="n">
        <v>0.1809523391556219</v>
      </c>
      <c r="I272" s="9" t="inlineStr">
        <is>
          <t>model_biomass</t>
        </is>
      </c>
      <c r="J272" s="12" t="inlineStr">
        <is>
          <t>medium</t>
        </is>
      </c>
      <c r="K272" s="9" t="inlineStr">
        <is>
          <t>composite_split</t>
        </is>
      </c>
      <c r="L272" s="10" t="inlineStr">
        <is>
          <t>Appendix A1.1 lists this exact catch name under `Sinv, M pisc`; apportioned over the region 2 and region 3 pools by model biomass; region 1 is the Maldives shelf, outside LME 34.</t>
        </is>
      </c>
      <c r="M272" s="9" t="n">
        <v>200969.748</v>
      </c>
    </row>
    <row r="273" ht="36" customHeight="1">
      <c r="A273" s="9" t="inlineStr">
        <is>
          <t>LME_034</t>
        </is>
      </c>
      <c r="B273" s="10" t="inlineStr">
        <is>
          <t>34_1_Bay_of_Bengal_(1978)</t>
        </is>
      </c>
      <c r="C273" s="10" t="inlineStr">
        <is>
          <t>Soleidae</t>
        </is>
      </c>
      <c r="D273" s="9" t="inlineStr">
        <is>
          <t>Soles</t>
        </is>
      </c>
      <c r="E273" s="9" t="inlineStr">
        <is>
          <t>Small to medium flatfishes (&lt;90 cm)</t>
        </is>
      </c>
      <c r="F273" s="9" t="inlineStr">
        <is>
          <t>Flatfishes</t>
        </is>
      </c>
      <c r="G273" s="10" t="inlineStr">
        <is>
          <t>3 SM inv</t>
        </is>
      </c>
      <c r="H273" s="11" t="n">
        <v>0.3897129816554025</v>
      </c>
      <c r="I273" s="9" t="inlineStr">
        <is>
          <t>model_biomass</t>
        </is>
      </c>
      <c r="J273" s="12" t="inlineStr">
        <is>
          <t>medium</t>
        </is>
      </c>
      <c r="K273" s="9" t="inlineStr">
        <is>
          <t>composite_split</t>
        </is>
      </c>
      <c r="L273" s="10" t="inlineStr">
        <is>
          <t>Appendix A1.1 lists this exact catch name under `Sinv, M pisc`; apportioned over the region 2 and region 3 pools by model biomass; region 1 is the Maldives shelf, outside LME 34.</t>
        </is>
      </c>
      <c r="M273" s="9" t="n">
        <v>200969.748</v>
      </c>
    </row>
    <row r="274" ht="36" customHeight="1">
      <c r="A274" s="9" t="inlineStr">
        <is>
          <t>LME_034</t>
        </is>
      </c>
      <c r="B274" s="10" t="inlineStr">
        <is>
          <t>34_1_Bay_of_Bengal_(1978)</t>
        </is>
      </c>
      <c r="C274" s="10" t="inlineStr">
        <is>
          <t>Soleidae</t>
        </is>
      </c>
      <c r="D274" s="9" t="inlineStr">
        <is>
          <t>Soles</t>
        </is>
      </c>
      <c r="E274" s="9" t="inlineStr">
        <is>
          <t>Small to medium flatfishes (&lt;90 cm)</t>
        </is>
      </c>
      <c r="F274" s="9" t="inlineStr">
        <is>
          <t>Flatfishes</t>
        </is>
      </c>
      <c r="G274" s="10" t="inlineStr">
        <is>
          <t>2 SM pisc</t>
        </is>
      </c>
      <c r="H274" s="11" t="n">
        <v>0.1312042482225928</v>
      </c>
      <c r="I274" s="9" t="inlineStr">
        <is>
          <t>model_biomass</t>
        </is>
      </c>
      <c r="J274" s="12" t="inlineStr">
        <is>
          <t>medium</t>
        </is>
      </c>
      <c r="K274" s="9" t="inlineStr">
        <is>
          <t>composite_split</t>
        </is>
      </c>
      <c r="L274" s="10" t="inlineStr">
        <is>
          <t>Appendix A1.1 lists this exact catch name under `Sinv, M pisc`; apportioned over the region 2 and region 3 pools by model biomass; region 1 is the Maldives shelf, outside LME 34.</t>
        </is>
      </c>
      <c r="M274" s="9" t="n">
        <v>200969.748</v>
      </c>
    </row>
    <row r="275" ht="36" customHeight="1">
      <c r="A275" s="9" t="inlineStr">
        <is>
          <t>LME_034</t>
        </is>
      </c>
      <c r="B275" s="10" t="inlineStr">
        <is>
          <t>34_1_Bay_of_Bengal_(1978)</t>
        </is>
      </c>
      <c r="C275" s="10" t="inlineStr">
        <is>
          <t>Soleidae</t>
        </is>
      </c>
      <c r="D275" s="9" t="inlineStr">
        <is>
          <t>Soles</t>
        </is>
      </c>
      <c r="E275" s="9" t="inlineStr">
        <is>
          <t>Small to medium flatfishes (&lt;90 cm)</t>
        </is>
      </c>
      <c r="F275" s="9" t="inlineStr">
        <is>
          <t>Flatfishes</t>
        </is>
      </c>
      <c r="G275" s="10" t="inlineStr">
        <is>
          <t>3 SM pisc</t>
        </is>
      </c>
      <c r="H275" s="11" t="n">
        <v>0.2981304309663829</v>
      </c>
      <c r="I275" s="9" t="inlineStr">
        <is>
          <t>model_biomass</t>
        </is>
      </c>
      <c r="J275" s="12" t="inlineStr">
        <is>
          <t>medium</t>
        </is>
      </c>
      <c r="K275" s="9" t="inlineStr">
        <is>
          <t>composite_split</t>
        </is>
      </c>
      <c r="L275" s="10" t="inlineStr">
        <is>
          <t>Appendix A1.1 lists this exact catch name under `Sinv, M pisc`; apportioned over the region 2 and region 3 pools by model biomass; region 1 is the Maldives shelf, outside LME 34.</t>
        </is>
      </c>
      <c r="M275" s="9" t="n">
        <v>200969.748</v>
      </c>
    </row>
    <row r="276" ht="36" customHeight="1">
      <c r="A276" s="9" t="inlineStr">
        <is>
          <t>LME_034</t>
        </is>
      </c>
      <c r="B276" s="10" t="inlineStr">
        <is>
          <t>34_1_Bay_of_Bengal_(1978)</t>
        </is>
      </c>
      <c r="C276" s="10" t="inlineStr">
        <is>
          <t>Sillago</t>
        </is>
      </c>
      <c r="D276" s="9" t="inlineStr">
        <is>
          <t>Smelt-whitings</t>
        </is>
      </c>
      <c r="E276" s="9" t="inlineStr">
        <is>
          <t>Medium demersals (30 - 89 cm)</t>
        </is>
      </c>
      <c r="F276" s="9" t="inlineStr">
        <is>
          <t>Perch-likes</t>
        </is>
      </c>
      <c r="G276" s="10" t="inlineStr">
        <is>
          <t>2 SM inv</t>
        </is>
      </c>
      <c r="H276" s="11" t="n">
        <v>0.3170901271842734</v>
      </c>
      <c r="I276" s="9" t="inlineStr">
        <is>
          <t>model_biomass</t>
        </is>
      </c>
      <c r="J276" s="12" t="inlineStr">
        <is>
          <t>medium</t>
        </is>
      </c>
      <c r="K276" s="9" t="inlineStr">
        <is>
          <t>composite_split</t>
        </is>
      </c>
      <c r="L276" s="10" t="inlineStr">
        <is>
          <t>Appendix A1.1 lists this exact catch name under `SM inv`; apportioned over the region 2 and region 3 pools by model biomass; region 1 is the Maldives shelf, outside LME 34.</t>
        </is>
      </c>
      <c r="M276" s="9" t="n">
        <v>200005.59</v>
      </c>
    </row>
    <row r="277" ht="36" customHeight="1">
      <c r="A277" s="9" t="inlineStr">
        <is>
          <t>LME_034</t>
        </is>
      </c>
      <c r="B277" s="10" t="inlineStr">
        <is>
          <t>34_1_Bay_of_Bengal_(1978)</t>
        </is>
      </c>
      <c r="C277" s="10" t="inlineStr">
        <is>
          <t>Sillago</t>
        </is>
      </c>
      <c r="D277" s="9" t="inlineStr">
        <is>
          <t>Smelt-whitings</t>
        </is>
      </c>
      <c r="E277" s="9" t="inlineStr">
        <is>
          <t>Medium demersals (30 - 89 cm)</t>
        </is>
      </c>
      <c r="F277" s="9" t="inlineStr">
        <is>
          <t>Perch-likes</t>
        </is>
      </c>
      <c r="G277" s="10" t="inlineStr">
        <is>
          <t>3 SM inv</t>
        </is>
      </c>
      <c r="H277" s="11" t="n">
        <v>0.6829098728157266</v>
      </c>
      <c r="I277" s="9" t="inlineStr">
        <is>
          <t>model_biomass</t>
        </is>
      </c>
      <c r="J277" s="12" t="inlineStr">
        <is>
          <t>medium</t>
        </is>
      </c>
      <c r="K277" s="9" t="inlineStr">
        <is>
          <t>composite_split</t>
        </is>
      </c>
      <c r="L277" s="10" t="inlineStr">
        <is>
          <t>Appendix A1.1 lists this exact catch name under `SM inv`; apportioned over the region 2 and region 3 pools by model biomass; region 1 is the Maldives shelf, outside LME 34.</t>
        </is>
      </c>
      <c r="M277" s="9" t="n">
        <v>200005.59</v>
      </c>
    </row>
    <row r="278" ht="36" customHeight="1">
      <c r="A278" s="9" t="inlineStr">
        <is>
          <t>LME_034</t>
        </is>
      </c>
      <c r="B278" s="10" t="inlineStr">
        <is>
          <t>34_1_Bay_of_Bengal_(1978)</t>
        </is>
      </c>
      <c r="C278" s="10" t="inlineStr">
        <is>
          <t>Veneridae</t>
        </is>
      </c>
      <c r="D278" s="9" t="inlineStr">
        <is>
          <t>Venus clams</t>
        </is>
      </c>
      <c r="E278" s="9" t="inlineStr">
        <is>
          <t>Other demersal invertebrates</t>
        </is>
      </c>
      <c r="F278" s="9" t="inlineStr">
        <is>
          <t>Molluscs</t>
        </is>
      </c>
      <c r="G278" s="10" t="inlineStr">
        <is>
          <t>2 Macrobenthos</t>
        </is>
      </c>
      <c r="H278" s="11" t="n">
        <v>0.363210995759614</v>
      </c>
      <c r="I278" s="9" t="inlineStr">
        <is>
          <t>model_biomass</t>
        </is>
      </c>
      <c r="J278" s="12" t="inlineStr">
        <is>
          <t>medium</t>
        </is>
      </c>
      <c r="K278" s="9" t="inlineStr">
        <is>
          <t>composite_split</t>
        </is>
      </c>
      <c r="L278" s="10" t="inlineStr">
        <is>
          <t>Appendix A1.1 lists this exact catch name under `macrobenthos`; apportioned over the region 2 and region 3 pools by model biomass; region 1 is the Maldives shelf, outside LME 34.</t>
        </is>
      </c>
      <c r="M278" s="9" t="n">
        <v>197902.115</v>
      </c>
    </row>
    <row r="279" ht="36" customHeight="1">
      <c r="A279" s="9" t="inlineStr">
        <is>
          <t>LME_034</t>
        </is>
      </c>
      <c r="B279" s="10" t="inlineStr">
        <is>
          <t>34_1_Bay_of_Bengal_(1978)</t>
        </is>
      </c>
      <c r="C279" s="10" t="inlineStr">
        <is>
          <t>Veneridae</t>
        </is>
      </c>
      <c r="D279" s="9" t="inlineStr">
        <is>
          <t>Venus clams</t>
        </is>
      </c>
      <c r="E279" s="9" t="inlineStr">
        <is>
          <t>Other demersal invertebrates</t>
        </is>
      </c>
      <c r="F279" s="9" t="inlineStr">
        <is>
          <t>Molluscs</t>
        </is>
      </c>
      <c r="G279" s="10" t="inlineStr">
        <is>
          <t>3 Macrobenthos</t>
        </is>
      </c>
      <c r="H279" s="11" t="n">
        <v>0.6367890042403861</v>
      </c>
      <c r="I279" s="9" t="inlineStr">
        <is>
          <t>model_biomass</t>
        </is>
      </c>
      <c r="J279" s="12" t="inlineStr">
        <is>
          <t>medium</t>
        </is>
      </c>
      <c r="K279" s="9" t="inlineStr">
        <is>
          <t>composite_split</t>
        </is>
      </c>
      <c r="L279" s="10" t="inlineStr">
        <is>
          <t>Appendix A1.1 lists this exact catch name under `macrobenthos`; apportioned over the region 2 and region 3 pools by model biomass; region 1 is the Maldives shelf, outside LME 34.</t>
        </is>
      </c>
      <c r="M279" s="9" t="n">
        <v>197902.115</v>
      </c>
    </row>
    <row r="280" ht="36" customHeight="1">
      <c r="A280" s="9" t="inlineStr">
        <is>
          <t>LME_034</t>
        </is>
      </c>
      <c r="B280" s="10" t="inlineStr">
        <is>
          <t>34_1_Bay_of_Bengal_(1978)</t>
        </is>
      </c>
      <c r="C280" s="10" t="inlineStr">
        <is>
          <t>Pampus chinensis</t>
        </is>
      </c>
      <c r="D280" s="9" t="inlineStr">
        <is>
          <t>Chinese silver pomfret</t>
        </is>
      </c>
      <c r="E280" s="9" t="inlineStr">
        <is>
          <t>Medium benthopelagics (30 - 89 cm)</t>
        </is>
      </c>
      <c r="F280" s="9" t="inlineStr">
        <is>
          <t>Perch-likes</t>
        </is>
      </c>
      <c r="G280" s="10" t="inlineStr">
        <is>
          <t>2 SM inv</t>
        </is>
      </c>
      <c r="H280" s="11" t="n">
        <v>0.3170901271842734</v>
      </c>
      <c r="I280" s="9" t="inlineStr">
        <is>
          <t>model_biomass</t>
        </is>
      </c>
      <c r="J280" s="12" t="inlineStr">
        <is>
          <t>medium</t>
        </is>
      </c>
      <c r="K280" s="9" t="inlineStr">
        <is>
          <t>composite_split</t>
        </is>
      </c>
      <c r="L280" s="10" t="inlineStr">
        <is>
          <t>Appendix A1.1 lists this exact catch name under `SM inv`; apportioned over the region 2 and region 3 pools by model biomass; region 1 is the Maldives shelf, outside LME 34.</t>
        </is>
      </c>
      <c r="M280" s="9" t="n">
        <v>195708.405</v>
      </c>
    </row>
    <row r="281" ht="36" customHeight="1">
      <c r="A281" s="9" t="inlineStr">
        <is>
          <t>LME_034</t>
        </is>
      </c>
      <c r="B281" s="10" t="inlineStr">
        <is>
          <t>34_1_Bay_of_Bengal_(1978)</t>
        </is>
      </c>
      <c r="C281" s="10" t="inlineStr">
        <is>
          <t>Pampus chinensis</t>
        </is>
      </c>
      <c r="D281" s="9" t="inlineStr">
        <is>
          <t>Chinese silver pomfret</t>
        </is>
      </c>
      <c r="E281" s="9" t="inlineStr">
        <is>
          <t>Medium benthopelagics (30 - 89 cm)</t>
        </is>
      </c>
      <c r="F281" s="9" t="inlineStr">
        <is>
          <t>Perch-likes</t>
        </is>
      </c>
      <c r="G281" s="10" t="inlineStr">
        <is>
          <t>3 SM inv</t>
        </is>
      </c>
      <c r="H281" s="11" t="n">
        <v>0.6829098728157266</v>
      </c>
      <c r="I281" s="9" t="inlineStr">
        <is>
          <t>model_biomass</t>
        </is>
      </c>
      <c r="J281" s="12" t="inlineStr">
        <is>
          <t>medium</t>
        </is>
      </c>
      <c r="K281" s="9" t="inlineStr">
        <is>
          <t>composite_split</t>
        </is>
      </c>
      <c r="L281" s="10" t="inlineStr">
        <is>
          <t>Appendix A1.1 lists this exact catch name under `SM inv`; apportioned over the region 2 and region 3 pools by model biomass; region 1 is the Maldives shelf, outside LME 34.</t>
        </is>
      </c>
      <c r="M281" s="9" t="n">
        <v>195708.405</v>
      </c>
    </row>
    <row r="282" ht="36" customHeight="1">
      <c r="A282" s="9" t="inlineStr">
        <is>
          <t>LME_034</t>
        </is>
      </c>
      <c r="B282" s="10" t="inlineStr">
        <is>
          <t>34_1_Bay_of_Bengal_(1978)</t>
        </is>
      </c>
      <c r="C282" s="10" t="inlineStr">
        <is>
          <t>Hemiramphus</t>
        </is>
      </c>
      <c r="D282" s="9" t="inlineStr">
        <is>
          <t>Halfbeaks</t>
        </is>
      </c>
      <c r="E282" s="9" t="inlineStr">
        <is>
          <t>Medium pelagics (30 - 89 cm)</t>
        </is>
      </c>
      <c r="F282" s="9" t="inlineStr">
        <is>
          <t>Other fishes &amp; inverts</t>
        </is>
      </c>
      <c r="G282" s="10" t="inlineStr">
        <is>
          <t>2 S pelagics</t>
        </is>
      </c>
      <c r="H282" s="11" t="n">
        <v>0.2975985463815478</v>
      </c>
      <c r="I282" s="9" t="inlineStr">
        <is>
          <t>model_biomass</t>
        </is>
      </c>
      <c r="J282" s="12" t="inlineStr">
        <is>
          <t>medium</t>
        </is>
      </c>
      <c r="K282" s="9" t="inlineStr">
        <is>
          <t>composite_split</t>
        </is>
      </c>
      <c r="L282" s="10" t="inlineStr">
        <is>
          <t>Appendix A1.1 lists this exact catch name under `S pelagics`; apportioned over the region 2 and region 3 pools by model biomass; region 1 is the Maldives shelf, outside LME 34.</t>
        </is>
      </c>
      <c r="M282" s="9" t="n">
        <v>182195.046</v>
      </c>
    </row>
    <row r="283" ht="36" customHeight="1">
      <c r="A283" s="9" t="inlineStr">
        <is>
          <t>LME_034</t>
        </is>
      </c>
      <c r="B283" s="10" t="inlineStr">
        <is>
          <t>34_1_Bay_of_Bengal_(1978)</t>
        </is>
      </c>
      <c r="C283" s="10" t="inlineStr">
        <is>
          <t>Hemiramphus</t>
        </is>
      </c>
      <c r="D283" s="9" t="inlineStr">
        <is>
          <t>Halfbeaks</t>
        </is>
      </c>
      <c r="E283" s="9" t="inlineStr">
        <is>
          <t>Medium pelagics (30 - 89 cm)</t>
        </is>
      </c>
      <c r="F283" s="9" t="inlineStr">
        <is>
          <t>Other fishes &amp; inverts</t>
        </is>
      </c>
      <c r="G283" s="10" t="inlineStr">
        <is>
          <t>3 S pelagics</t>
        </is>
      </c>
      <c r="H283" s="11" t="n">
        <v>0.7024014536184523</v>
      </c>
      <c r="I283" s="9" t="inlineStr">
        <is>
          <t>model_biomass</t>
        </is>
      </c>
      <c r="J283" s="12" t="inlineStr">
        <is>
          <t>medium</t>
        </is>
      </c>
      <c r="K283" s="9" t="inlineStr">
        <is>
          <t>composite_split</t>
        </is>
      </c>
      <c r="L283" s="10" t="inlineStr">
        <is>
          <t>Appendix A1.1 lists this exact catch name under `S pelagics`; apportioned over the region 2 and region 3 pools by model biomass; region 1 is the Maldives shelf, outside LME 34.</t>
        </is>
      </c>
      <c r="M283" s="9" t="n">
        <v>182195.046</v>
      </c>
    </row>
    <row r="284" ht="36" customHeight="1">
      <c r="A284" s="9" t="inlineStr">
        <is>
          <t>LME_034</t>
        </is>
      </c>
      <c r="B284" s="10" t="inlineStr">
        <is>
          <t>34_1_Bay_of_Bengal_(1978)</t>
        </is>
      </c>
      <c r="C284" s="10" t="inlineStr">
        <is>
          <t>Carcharhinus falciformis</t>
        </is>
      </c>
      <c r="D284" s="9" t="inlineStr">
        <is>
          <t>Silky shark</t>
        </is>
      </c>
      <c r="E284" s="9" t="inlineStr">
        <is>
          <t>Large sharks (&gt;=90 cm)</t>
        </is>
      </c>
      <c r="F284" s="9" t="inlineStr">
        <is>
          <t>Sharks &amp; rays</t>
        </is>
      </c>
      <c r="G284" s="10" t="inlineStr">
        <is>
          <t>Oceanic sharks</t>
        </is>
      </c>
      <c r="H284" s="11" t="n">
        <v>1</v>
      </c>
      <c r="I284" s="9" t="inlineStr">
        <is>
          <t>single</t>
        </is>
      </c>
      <c r="J284" s="13" t="inlineStr">
        <is>
          <t>high</t>
        </is>
      </c>
      <c r="K284" s="9" t="inlineStr">
        <is>
          <t>explicit_member</t>
        </is>
      </c>
      <c r="L284" s="10" t="inlineStr">
        <is>
          <t>Appendix A1.1 lists this exact catch name under `oceanic sharks`, a group modelled over the whole study area (Appendix A1.2).</t>
        </is>
      </c>
      <c r="M284" s="9" t="n">
        <v>172391.334</v>
      </c>
    </row>
    <row r="285" ht="51" customHeight="1">
      <c r="A285" s="9" t="inlineStr">
        <is>
          <t>LME_034</t>
        </is>
      </c>
      <c r="B285" s="10" t="inlineStr">
        <is>
          <t>34_1_Bay_of_Bengal_(1978)</t>
        </is>
      </c>
      <c r="C285" s="10" t="inlineStr">
        <is>
          <t>Metapenaeus brevicornis</t>
        </is>
      </c>
      <c r="D285" s="9" t="inlineStr">
        <is>
          <t>Yellow shrimp</t>
        </is>
      </c>
      <c r="E285" s="9" t="inlineStr">
        <is>
          <t>Shrimps</t>
        </is>
      </c>
      <c r="F285" s="9" t="inlineStr">
        <is>
          <t>Crustaceans</t>
        </is>
      </c>
      <c r="G285" s="10" t="inlineStr">
        <is>
          <t>2 Crustaceans</t>
        </is>
      </c>
      <c r="H285" s="11" t="n">
        <v>0.2129992169146437</v>
      </c>
      <c r="I285" s="9" t="inlineStr">
        <is>
          <t>model_biomass</t>
        </is>
      </c>
      <c r="J285" s="12" t="inlineStr">
        <is>
          <t>medium</t>
        </is>
      </c>
      <c r="K285" s="9" t="inlineStr">
        <is>
          <t>composite_split</t>
        </is>
      </c>
      <c r="L285" s="10" t="inlineStr">
        <is>
          <t>Accepted-name/synonym match: Appendix A1.1 lists the genus Metapenaeus under `shrimps`. Apportioned over the region 2 and region 3 pools by model biomass; region 1 is the Maldives shelf, outside LME 34.</t>
        </is>
      </c>
      <c r="M285" s="9" t="n">
        <v>168884.276</v>
      </c>
    </row>
    <row r="286" ht="51" customHeight="1">
      <c r="A286" s="9" t="inlineStr">
        <is>
          <t>LME_034</t>
        </is>
      </c>
      <c r="B286" s="10" t="inlineStr">
        <is>
          <t>34_1_Bay_of_Bengal_(1978)</t>
        </is>
      </c>
      <c r="C286" s="10" t="inlineStr">
        <is>
          <t>Metapenaeus brevicornis</t>
        </is>
      </c>
      <c r="D286" s="9" t="inlineStr">
        <is>
          <t>Yellow shrimp</t>
        </is>
      </c>
      <c r="E286" s="9" t="inlineStr">
        <is>
          <t>Shrimps</t>
        </is>
      </c>
      <c r="F286" s="9" t="inlineStr">
        <is>
          <t>Crustaceans</t>
        </is>
      </c>
      <c r="G286" s="10" t="inlineStr">
        <is>
          <t>3 Crustaceans</t>
        </is>
      </c>
      <c r="H286" s="11" t="n">
        <v>0.7870007830853563</v>
      </c>
      <c r="I286" s="9" t="inlineStr">
        <is>
          <t>model_biomass</t>
        </is>
      </c>
      <c r="J286" s="12" t="inlineStr">
        <is>
          <t>medium</t>
        </is>
      </c>
      <c r="K286" s="9" t="inlineStr">
        <is>
          <t>composite_split</t>
        </is>
      </c>
      <c r="L286" s="10" t="inlineStr">
        <is>
          <t>Accepted-name/synonym match: Appendix A1.1 lists the genus Metapenaeus under `shrimps`. Apportioned over the region 2 and region 3 pools by model biomass; region 1 is the Maldives shelf, outside LME 34.</t>
        </is>
      </c>
      <c r="M286" s="9" t="n">
        <v>168884.276</v>
      </c>
    </row>
    <row r="287" ht="36" customHeight="1">
      <c r="A287" s="9" t="inlineStr">
        <is>
          <t>LME_034</t>
        </is>
      </c>
      <c r="B287" s="10" t="inlineStr">
        <is>
          <t>34_1_Bay_of_Bengal_(1978)</t>
        </is>
      </c>
      <c r="C287" s="10" t="inlineStr">
        <is>
          <t>Psettodes erumei</t>
        </is>
      </c>
      <c r="D287" s="9" t="inlineStr">
        <is>
          <t>Indian halibut</t>
        </is>
      </c>
      <c r="E287" s="9" t="inlineStr">
        <is>
          <t>Small to medium flatfishes (&lt;90 cm)</t>
        </is>
      </c>
      <c r="F287" s="9" t="inlineStr">
        <is>
          <t>Flatfishes</t>
        </is>
      </c>
      <c r="G287" s="10" t="inlineStr">
        <is>
          <t>2 SM pisc</t>
        </is>
      </c>
      <c r="H287" s="11" t="n">
        <v>0.3055989990616202</v>
      </c>
      <c r="I287" s="9" t="inlineStr">
        <is>
          <t>model_biomass</t>
        </is>
      </c>
      <c r="J287" s="12" t="inlineStr">
        <is>
          <t>medium</t>
        </is>
      </c>
      <c r="K287" s="9" t="inlineStr">
        <is>
          <t>composite_split</t>
        </is>
      </c>
      <c r="L287" s="10" t="inlineStr">
        <is>
          <t>Appendix A1.1 lists this exact catch name under `SM pisc`; apportioned over the region 2 and region 3 pools by model biomass; region 1 is the Maldives shelf, outside LME 34.</t>
        </is>
      </c>
      <c r="M287" s="9" t="n">
        <v>163590.921</v>
      </c>
    </row>
    <row r="288" ht="36" customHeight="1">
      <c r="A288" s="9" t="inlineStr">
        <is>
          <t>LME_034</t>
        </is>
      </c>
      <c r="B288" s="10" t="inlineStr">
        <is>
          <t>34_1_Bay_of_Bengal_(1978)</t>
        </is>
      </c>
      <c r="C288" s="10" t="inlineStr">
        <is>
          <t>Psettodes erumei</t>
        </is>
      </c>
      <c r="D288" s="9" t="inlineStr">
        <is>
          <t>Indian halibut</t>
        </is>
      </c>
      <c r="E288" s="9" t="inlineStr">
        <is>
          <t>Small to medium flatfishes (&lt;90 cm)</t>
        </is>
      </c>
      <c r="F288" s="9" t="inlineStr">
        <is>
          <t>Flatfishes</t>
        </is>
      </c>
      <c r="G288" s="10" t="inlineStr">
        <is>
          <t>3 SM pisc</t>
        </is>
      </c>
      <c r="H288" s="11" t="n">
        <v>0.6944010009383798</v>
      </c>
      <c r="I288" s="9" t="inlineStr">
        <is>
          <t>model_biomass</t>
        </is>
      </c>
      <c r="J288" s="12" t="inlineStr">
        <is>
          <t>medium</t>
        </is>
      </c>
      <c r="K288" s="9" t="inlineStr">
        <is>
          <t>composite_split</t>
        </is>
      </c>
      <c r="L288" s="10" t="inlineStr">
        <is>
          <t>Appendix A1.1 lists this exact catch name under `SM pisc`; apportioned over the region 2 and region 3 pools by model biomass; region 1 is the Maldives shelf, outside LME 34.</t>
        </is>
      </c>
      <c r="M288" s="9" t="n">
        <v>163590.921</v>
      </c>
    </row>
    <row r="289" ht="36" customHeight="1">
      <c r="A289" s="9" t="inlineStr">
        <is>
          <t>LME_034</t>
        </is>
      </c>
      <c r="B289" s="10" t="inlineStr">
        <is>
          <t>34_1_Bay_of_Bengal_(1978)</t>
        </is>
      </c>
      <c r="C289" s="10" t="inlineStr">
        <is>
          <t>Myliobatidae</t>
        </is>
      </c>
      <c r="D289" s="9" t="inlineStr">
        <is>
          <t>Eagle/manta rays</t>
        </is>
      </c>
      <c r="E289" s="9" t="inlineStr">
        <is>
          <t>Large rays (&gt;=90 cm)</t>
        </is>
      </c>
      <c r="F289" s="9" t="inlineStr">
        <is>
          <t>Sharks &amp; rays</t>
        </is>
      </c>
      <c r="G289" s="10" t="inlineStr">
        <is>
          <t>Coastal elasmobranch</t>
        </is>
      </c>
      <c r="H289" s="11" t="n">
        <v>1</v>
      </c>
      <c r="I289" s="9" t="inlineStr">
        <is>
          <t>single</t>
        </is>
      </c>
      <c r="J289" s="13" t="inlineStr">
        <is>
          <t>high</t>
        </is>
      </c>
      <c r="K289" s="9" t="inlineStr">
        <is>
          <t>explicit_member</t>
        </is>
      </c>
      <c r="L289" s="10" t="inlineStr">
        <is>
          <t>Appendix A1.1 lists this exact catch name under `coastal elasmobranch`, modelled as one stock over every EEZ of the study area, 69 % of it (Appendix A1.2).</t>
        </is>
      </c>
      <c r="M289" s="9" t="n">
        <v>163247.083</v>
      </c>
    </row>
    <row r="290" ht="36" customHeight="1">
      <c r="A290" s="9" t="inlineStr">
        <is>
          <t>LME_034</t>
        </is>
      </c>
      <c r="B290" s="10" t="inlineStr">
        <is>
          <t>34_1_Bay_of_Bengal_(1978)</t>
        </is>
      </c>
      <c r="C290" s="10" t="inlineStr">
        <is>
          <t>Acanthuridae</t>
        </is>
      </c>
      <c r="D290" s="9" t="inlineStr">
        <is>
          <t>Surgeons, tangs, unicornfishes</t>
        </is>
      </c>
      <c r="E290" s="9" t="inlineStr">
        <is>
          <t>Small reef assoc. fish (&lt;30 cm)</t>
        </is>
      </c>
      <c r="F290" s="9" t="inlineStr">
        <is>
          <t>Perch-likes</t>
        </is>
      </c>
      <c r="G290" s="10" t="inlineStr">
        <is>
          <t>2 SM inv</t>
        </is>
      </c>
      <c r="H290" s="11" t="n">
        <v>0.3170901271842734</v>
      </c>
      <c r="I290" s="9" t="inlineStr">
        <is>
          <t>model_biomass</t>
        </is>
      </c>
      <c r="J290" s="12" t="inlineStr">
        <is>
          <t>medium</t>
        </is>
      </c>
      <c r="K290" s="9" t="inlineStr">
        <is>
          <t>composite_split</t>
        </is>
      </c>
      <c r="L290" s="10" t="inlineStr">
        <is>
          <t>Appendix A1.1 lists this exact catch name under `SM inv`; apportioned over the region 2 and region 3 pools by model biomass; region 1 is the Maldives shelf, outside LME 34.</t>
        </is>
      </c>
      <c r="M290" s="9" t="n">
        <v>161753.83</v>
      </c>
    </row>
    <row r="291" ht="36" customHeight="1">
      <c r="A291" s="9" t="inlineStr">
        <is>
          <t>LME_034</t>
        </is>
      </c>
      <c r="B291" s="10" t="inlineStr">
        <is>
          <t>34_1_Bay_of_Bengal_(1978)</t>
        </is>
      </c>
      <c r="C291" s="10" t="inlineStr">
        <is>
          <t>Acanthuridae</t>
        </is>
      </c>
      <c r="D291" s="9" t="inlineStr">
        <is>
          <t>Surgeons, tangs, unicornfishes</t>
        </is>
      </c>
      <c r="E291" s="9" t="inlineStr">
        <is>
          <t>Small reef assoc. fish (&lt;30 cm)</t>
        </is>
      </c>
      <c r="F291" s="9" t="inlineStr">
        <is>
          <t>Perch-likes</t>
        </is>
      </c>
      <c r="G291" s="10" t="inlineStr">
        <is>
          <t>3 SM inv</t>
        </is>
      </c>
      <c r="H291" s="11" t="n">
        <v>0.6829098728157266</v>
      </c>
      <c r="I291" s="9" t="inlineStr">
        <is>
          <t>model_biomass</t>
        </is>
      </c>
      <c r="J291" s="12" t="inlineStr">
        <is>
          <t>medium</t>
        </is>
      </c>
      <c r="K291" s="9" t="inlineStr">
        <is>
          <t>composite_split</t>
        </is>
      </c>
      <c r="L291" s="10" t="inlineStr">
        <is>
          <t>Appendix A1.1 lists this exact catch name under `SM inv`; apportioned over the region 2 and region 3 pools by model biomass; region 1 is the Maldives shelf, outside LME 34.</t>
        </is>
      </c>
      <c r="M291" s="9" t="n">
        <v>161753.83</v>
      </c>
    </row>
    <row r="292" ht="36" customHeight="1">
      <c r="A292" s="9" t="inlineStr">
        <is>
          <t>LME_034</t>
        </is>
      </c>
      <c r="B292" s="10" t="inlineStr">
        <is>
          <t>34_1_Bay_of_Bengal_(1978)</t>
        </is>
      </c>
      <c r="C292" s="10" t="inlineStr">
        <is>
          <t>Caranx sexfasciatus</t>
        </is>
      </c>
      <c r="D292" s="9" t="inlineStr">
        <is>
          <t>Bigeye trevally</t>
        </is>
      </c>
      <c r="E292" s="9" t="inlineStr">
        <is>
          <t>Large reef assoc. fish (&gt;=90 cm)</t>
        </is>
      </c>
      <c r="F292" s="9" t="inlineStr">
        <is>
          <t>Perch-likes</t>
        </is>
      </c>
      <c r="G292" s="10" t="inlineStr">
        <is>
          <t>2 Carangids</t>
        </is>
      </c>
      <c r="H292" s="11" t="n">
        <v>0.3043867502238138</v>
      </c>
      <c r="I292" s="9" t="inlineStr">
        <is>
          <t>model_biomass</t>
        </is>
      </c>
      <c r="J292" s="12" t="inlineStr">
        <is>
          <t>medium</t>
        </is>
      </c>
      <c r="K292" s="9" t="inlineStr">
        <is>
          <t>composite_split</t>
        </is>
      </c>
      <c r="L292" s="10" t="inlineStr">
        <is>
          <t>Appendix A1.1 lists this exact catch name under `Carangids`; apportioned over the region 2 and region 3 pools by model biomass; region 1 is the Maldives shelf, outside LME 34.</t>
        </is>
      </c>
      <c r="M292" s="9" t="n">
        <v>159700.431</v>
      </c>
    </row>
    <row r="293" ht="36" customHeight="1">
      <c r="A293" s="9" t="inlineStr">
        <is>
          <t>LME_034</t>
        </is>
      </c>
      <c r="B293" s="10" t="inlineStr">
        <is>
          <t>34_1_Bay_of_Bengal_(1978)</t>
        </is>
      </c>
      <c r="C293" s="10" t="inlineStr">
        <is>
          <t>Caranx sexfasciatus</t>
        </is>
      </c>
      <c r="D293" s="9" t="inlineStr">
        <is>
          <t>Bigeye trevally</t>
        </is>
      </c>
      <c r="E293" s="9" t="inlineStr">
        <is>
          <t>Large reef assoc. fish (&gt;=90 cm)</t>
        </is>
      </c>
      <c r="F293" s="9" t="inlineStr">
        <is>
          <t>Perch-likes</t>
        </is>
      </c>
      <c r="G293" s="10" t="inlineStr">
        <is>
          <t>3 Carangids</t>
        </is>
      </c>
      <c r="H293" s="11" t="n">
        <v>0.6956132497761862</v>
      </c>
      <c r="I293" s="9" t="inlineStr">
        <is>
          <t>model_biomass</t>
        </is>
      </c>
      <c r="J293" s="12" t="inlineStr">
        <is>
          <t>medium</t>
        </is>
      </c>
      <c r="K293" s="9" t="inlineStr">
        <is>
          <t>composite_split</t>
        </is>
      </c>
      <c r="L293" s="10" t="inlineStr">
        <is>
          <t>Appendix A1.1 lists this exact catch name under `Carangids`; apportioned over the region 2 and region 3 pools by model biomass; region 1 is the Maldives shelf, outside LME 34.</t>
        </is>
      </c>
      <c r="M293" s="9" t="n">
        <v>159700.431</v>
      </c>
    </row>
    <row r="294" ht="36" customHeight="1">
      <c r="A294" s="9" t="inlineStr">
        <is>
          <t>LME_034</t>
        </is>
      </c>
      <c r="B294" s="10" t="inlineStr">
        <is>
          <t>34_1_Bay_of_Bengal_(1978)</t>
        </is>
      </c>
      <c r="C294" s="10" t="inlineStr">
        <is>
          <t>Polynemus paradiseus</t>
        </is>
      </c>
      <c r="D294" s="9" t="inlineStr">
        <is>
          <t>Paradise threadfin</t>
        </is>
      </c>
      <c r="E294" s="9" t="inlineStr">
        <is>
          <t>Medium demersals (30 - 89 cm)</t>
        </is>
      </c>
      <c r="F294" s="9" t="inlineStr">
        <is>
          <t>Perch-likes</t>
        </is>
      </c>
      <c r="G294" s="10" t="inlineStr">
        <is>
          <t>2 SM pisc</t>
        </is>
      </c>
      <c r="H294" s="11" t="n">
        <v>0.3055989990616202</v>
      </c>
      <c r="I294" s="9" t="inlineStr">
        <is>
          <t>model_biomass</t>
        </is>
      </c>
      <c r="J294" s="12" t="inlineStr">
        <is>
          <t>medium</t>
        </is>
      </c>
      <c r="K294" s="9" t="inlineStr">
        <is>
          <t>composite_split</t>
        </is>
      </c>
      <c r="L294" s="10" t="inlineStr">
        <is>
          <t>Appendix A1.3 lists Polynemus paradiseus in the `SM pisc` species list. Apportioned over the region 2 and region 3 pools by model biomass; region 1 is the Maldives shelf, outside LME 34.</t>
        </is>
      </c>
      <c r="M294" s="9" t="n">
        <v>158621.785</v>
      </c>
    </row>
    <row r="295" ht="36" customHeight="1">
      <c r="A295" s="9" t="inlineStr">
        <is>
          <t>LME_034</t>
        </is>
      </c>
      <c r="B295" s="10" t="inlineStr">
        <is>
          <t>34_1_Bay_of_Bengal_(1978)</t>
        </is>
      </c>
      <c r="C295" s="10" t="inlineStr">
        <is>
          <t>Polynemus paradiseus</t>
        </is>
      </c>
      <c r="D295" s="9" t="inlineStr">
        <is>
          <t>Paradise threadfin</t>
        </is>
      </c>
      <c r="E295" s="9" t="inlineStr">
        <is>
          <t>Medium demersals (30 - 89 cm)</t>
        </is>
      </c>
      <c r="F295" s="9" t="inlineStr">
        <is>
          <t>Perch-likes</t>
        </is>
      </c>
      <c r="G295" s="10" t="inlineStr">
        <is>
          <t>3 SM pisc</t>
        </is>
      </c>
      <c r="H295" s="11" t="n">
        <v>0.6944010009383798</v>
      </c>
      <c r="I295" s="9" t="inlineStr">
        <is>
          <t>model_biomass</t>
        </is>
      </c>
      <c r="J295" s="12" t="inlineStr">
        <is>
          <t>medium</t>
        </is>
      </c>
      <c r="K295" s="9" t="inlineStr">
        <is>
          <t>composite_split</t>
        </is>
      </c>
      <c r="L295" s="10" t="inlineStr">
        <is>
          <t>Appendix A1.3 lists Polynemus paradiseus in the `SM pisc` species list. Apportioned over the region 2 and region 3 pools by model biomass; region 1 is the Maldives shelf, outside LME 34.</t>
        </is>
      </c>
      <c r="M295" s="9" t="n">
        <v>158621.785</v>
      </c>
    </row>
    <row r="296" ht="36" customHeight="1">
      <c r="A296" s="9" t="inlineStr">
        <is>
          <t>LME_034</t>
        </is>
      </c>
      <c r="B296" s="10" t="inlineStr">
        <is>
          <t>34_1_Bay_of_Bengal_(1978)</t>
        </is>
      </c>
      <c r="C296" s="10" t="inlineStr">
        <is>
          <t>Bramidae</t>
        </is>
      </c>
      <c r="D296" s="9" t="inlineStr">
        <is>
          <t>Pomfrets</t>
        </is>
      </c>
      <c r="E296" s="9" t="inlineStr">
        <is>
          <t>Medium pelagics (30 - 89 cm)</t>
        </is>
      </c>
      <c r="F296" s="9" t="inlineStr">
        <is>
          <t>Perch-likes</t>
        </is>
      </c>
      <c r="G296" s="10" t="inlineStr">
        <is>
          <t>2 SM pisc</t>
        </is>
      </c>
      <c r="H296" s="11" t="n">
        <v>0.3055989990616202</v>
      </c>
      <c r="I296" s="9" t="inlineStr">
        <is>
          <t>model_biomass</t>
        </is>
      </c>
      <c r="J296" s="12" t="inlineStr">
        <is>
          <t>medium</t>
        </is>
      </c>
      <c r="K296" s="9" t="inlineStr">
        <is>
          <t>composite_split</t>
        </is>
      </c>
      <c r="L296" s="10" t="inlineStr">
        <is>
          <t>Appendix A1.1 lists this exact catch name under `SM pisc`; apportioned over the region 2 and region 3 pools by model biomass; region 1 is the Maldives shelf, outside LME 34.</t>
        </is>
      </c>
      <c r="M296" s="9" t="n">
        <v>158134.633</v>
      </c>
    </row>
    <row r="297" ht="36" customHeight="1">
      <c r="A297" s="9" t="inlineStr">
        <is>
          <t>LME_034</t>
        </is>
      </c>
      <c r="B297" s="10" t="inlineStr">
        <is>
          <t>34_1_Bay_of_Bengal_(1978)</t>
        </is>
      </c>
      <c r="C297" s="10" t="inlineStr">
        <is>
          <t>Bramidae</t>
        </is>
      </c>
      <c r="D297" s="9" t="inlineStr">
        <is>
          <t>Pomfrets</t>
        </is>
      </c>
      <c r="E297" s="9" t="inlineStr">
        <is>
          <t>Medium pelagics (30 - 89 cm)</t>
        </is>
      </c>
      <c r="F297" s="9" t="inlineStr">
        <is>
          <t>Perch-likes</t>
        </is>
      </c>
      <c r="G297" s="10" t="inlineStr">
        <is>
          <t>3 SM pisc</t>
        </is>
      </c>
      <c r="H297" s="11" t="n">
        <v>0.6944010009383798</v>
      </c>
      <c r="I297" s="9" t="inlineStr">
        <is>
          <t>model_biomass</t>
        </is>
      </c>
      <c r="J297" s="12" t="inlineStr">
        <is>
          <t>medium</t>
        </is>
      </c>
      <c r="K297" s="9" t="inlineStr">
        <is>
          <t>composite_split</t>
        </is>
      </c>
      <c r="L297" s="10" t="inlineStr">
        <is>
          <t>Appendix A1.1 lists this exact catch name under `SM pisc`; apportioned over the region 2 and region 3 pools by model biomass; region 1 is the Maldives shelf, outside LME 34.</t>
        </is>
      </c>
      <c r="M297" s="9" t="n">
        <v>158134.633</v>
      </c>
    </row>
    <row r="298" ht="36" customHeight="1">
      <c r="A298" s="9" t="inlineStr">
        <is>
          <t>LME_034</t>
        </is>
      </c>
      <c r="B298" s="10" t="inlineStr">
        <is>
          <t>34_1_Bay_of_Bengal_(1978)</t>
        </is>
      </c>
      <c r="C298" s="10" t="inlineStr">
        <is>
          <t>Lethrinus nebulosus</t>
        </is>
      </c>
      <c r="D298" s="9" t="inlineStr">
        <is>
          <t>Spangled emperor</t>
        </is>
      </c>
      <c r="E298" s="9" t="inlineStr">
        <is>
          <t>Medium demersals (30 - 89 cm)</t>
        </is>
      </c>
      <c r="F298" s="9" t="inlineStr">
        <is>
          <t>Perch-likes</t>
        </is>
      </c>
      <c r="G298" s="10" t="inlineStr">
        <is>
          <t>2 L pisc comm</t>
        </is>
      </c>
      <c r="H298" s="11" t="n">
        <v>0.4790991864112831</v>
      </c>
      <c r="I298" s="9" t="inlineStr">
        <is>
          <t>model_biomass</t>
        </is>
      </c>
      <c r="J298" s="12" t="inlineStr">
        <is>
          <t>medium</t>
        </is>
      </c>
      <c r="K298" s="9" t="inlineStr">
        <is>
          <t>composite_split</t>
        </is>
      </c>
      <c r="L298" s="10" t="inlineStr">
        <is>
          <t>Appendix A1.1 lists this exact catch name under `L pisc comm`; apportioned over the region 2 and region 3 pools by model biomass; region 1 is the Maldives shelf, outside LME 34.</t>
        </is>
      </c>
      <c r="M298" s="9" t="n">
        <v>157148.403</v>
      </c>
    </row>
    <row r="299" ht="36" customHeight="1">
      <c r="A299" s="9" t="inlineStr">
        <is>
          <t>LME_034</t>
        </is>
      </c>
      <c r="B299" s="10" t="inlineStr">
        <is>
          <t>34_1_Bay_of_Bengal_(1978)</t>
        </is>
      </c>
      <c r="C299" s="10" t="inlineStr">
        <is>
          <t>Lethrinus nebulosus</t>
        </is>
      </c>
      <c r="D299" s="9" t="inlineStr">
        <is>
          <t>Spangled emperor</t>
        </is>
      </c>
      <c r="E299" s="9" t="inlineStr">
        <is>
          <t>Medium demersals (30 - 89 cm)</t>
        </is>
      </c>
      <c r="F299" s="9" t="inlineStr">
        <is>
          <t>Perch-likes</t>
        </is>
      </c>
      <c r="G299" s="10" t="inlineStr">
        <is>
          <t>3 L pisc comm</t>
        </is>
      </c>
      <c r="H299" s="11" t="n">
        <v>0.5209008135887169</v>
      </c>
      <c r="I299" s="9" t="inlineStr">
        <is>
          <t>model_biomass</t>
        </is>
      </c>
      <c r="J299" s="12" t="inlineStr">
        <is>
          <t>medium</t>
        </is>
      </c>
      <c r="K299" s="9" t="inlineStr">
        <is>
          <t>composite_split</t>
        </is>
      </c>
      <c r="L299" s="10" t="inlineStr">
        <is>
          <t>Appendix A1.1 lists this exact catch name under `L pisc comm`; apportioned over the region 2 and region 3 pools by model biomass; region 1 is the Maldives shelf, outside LME 34.</t>
        </is>
      </c>
      <c r="M299" s="9" t="n">
        <v>157148.403</v>
      </c>
    </row>
    <row r="300" ht="36" customHeight="1">
      <c r="A300" s="9" t="inlineStr">
        <is>
          <t>LME_034</t>
        </is>
      </c>
      <c r="B300" s="10" t="inlineStr">
        <is>
          <t>34_1_Bay_of_Bengal_(1978)</t>
        </is>
      </c>
      <c r="C300" s="10" t="inlineStr">
        <is>
          <t>Caranx ignobilis</t>
        </is>
      </c>
      <c r="D300" s="9" t="inlineStr">
        <is>
          <t>Giant trevally</t>
        </is>
      </c>
      <c r="E300" s="9" t="inlineStr">
        <is>
          <t>Large reef assoc. fish (&gt;=90 cm)</t>
        </is>
      </c>
      <c r="F300" s="9" t="inlineStr">
        <is>
          <t>Perch-likes</t>
        </is>
      </c>
      <c r="G300" s="10" t="inlineStr">
        <is>
          <t>2 Carangids</t>
        </is>
      </c>
      <c r="H300" s="11" t="n">
        <v>0.3043867502238138</v>
      </c>
      <c r="I300" s="9" t="inlineStr">
        <is>
          <t>model_biomass</t>
        </is>
      </c>
      <c r="J300" s="12" t="inlineStr">
        <is>
          <t>medium</t>
        </is>
      </c>
      <c r="K300" s="9" t="inlineStr">
        <is>
          <t>composite_split</t>
        </is>
      </c>
      <c r="L300" s="10" t="inlineStr">
        <is>
          <t>Appendix A1.1 lists this exact catch name under `Carangids`; apportioned over the region 2 and region 3 pools by model biomass; region 1 is the Maldives shelf, outside LME 34.</t>
        </is>
      </c>
      <c r="M300" s="9" t="n">
        <v>157058.993</v>
      </c>
    </row>
    <row r="301" ht="36" customHeight="1">
      <c r="A301" s="9" t="inlineStr">
        <is>
          <t>LME_034</t>
        </is>
      </c>
      <c r="B301" s="10" t="inlineStr">
        <is>
          <t>34_1_Bay_of_Bengal_(1978)</t>
        </is>
      </c>
      <c r="C301" s="10" t="inlineStr">
        <is>
          <t>Caranx ignobilis</t>
        </is>
      </c>
      <c r="D301" s="9" t="inlineStr">
        <is>
          <t>Giant trevally</t>
        </is>
      </c>
      <c r="E301" s="9" t="inlineStr">
        <is>
          <t>Large reef assoc. fish (&gt;=90 cm)</t>
        </is>
      </c>
      <c r="F301" s="9" t="inlineStr">
        <is>
          <t>Perch-likes</t>
        </is>
      </c>
      <c r="G301" s="10" t="inlineStr">
        <is>
          <t>3 Carangids</t>
        </is>
      </c>
      <c r="H301" s="11" t="n">
        <v>0.6956132497761862</v>
      </c>
      <c r="I301" s="9" t="inlineStr">
        <is>
          <t>model_biomass</t>
        </is>
      </c>
      <c r="J301" s="12" t="inlineStr">
        <is>
          <t>medium</t>
        </is>
      </c>
      <c r="K301" s="9" t="inlineStr">
        <is>
          <t>composite_split</t>
        </is>
      </c>
      <c r="L301" s="10" t="inlineStr">
        <is>
          <t>Appendix A1.1 lists this exact catch name under `Carangids`; apportioned over the region 2 and region 3 pools by model biomass; region 1 is the Maldives shelf, outside LME 34.</t>
        </is>
      </c>
      <c r="M301" s="9" t="n">
        <v>157058.993</v>
      </c>
    </row>
    <row r="302" ht="36" customHeight="1">
      <c r="A302" s="9" t="inlineStr">
        <is>
          <t>LME_034</t>
        </is>
      </c>
      <c r="B302" s="10" t="inlineStr">
        <is>
          <t>34_1_Bay_of_Bengal_(1978)</t>
        </is>
      </c>
      <c r="C302" s="10" t="inlineStr">
        <is>
          <t>Caranx melampygus</t>
        </is>
      </c>
      <c r="D302" s="9" t="inlineStr">
        <is>
          <t>Bluefin trevally</t>
        </is>
      </c>
      <c r="E302" s="9" t="inlineStr">
        <is>
          <t>Large reef assoc. fish (&gt;=90 cm)</t>
        </is>
      </c>
      <c r="F302" s="9" t="inlineStr">
        <is>
          <t>Perch-likes</t>
        </is>
      </c>
      <c r="G302" s="10" t="inlineStr">
        <is>
          <t>2 Carangids</t>
        </is>
      </c>
      <c r="H302" s="11" t="n">
        <v>0.3043867502238138</v>
      </c>
      <c r="I302" s="9" t="inlineStr">
        <is>
          <t>model_biomass</t>
        </is>
      </c>
      <c r="J302" s="12" t="inlineStr">
        <is>
          <t>medium</t>
        </is>
      </c>
      <c r="K302" s="9" t="inlineStr">
        <is>
          <t>composite_split</t>
        </is>
      </c>
      <c r="L302" s="10" t="inlineStr">
        <is>
          <t>Appendix A1.1 lists this exact catch name under `Carangids`; apportioned over the region 2 and region 3 pools by model biomass; region 1 is the Maldives shelf, outside LME 34.</t>
        </is>
      </c>
      <c r="M302" s="9" t="n">
        <v>156806.571</v>
      </c>
    </row>
    <row r="303" ht="36" customHeight="1">
      <c r="A303" s="9" t="inlineStr">
        <is>
          <t>LME_034</t>
        </is>
      </c>
      <c r="B303" s="10" t="inlineStr">
        <is>
          <t>34_1_Bay_of_Bengal_(1978)</t>
        </is>
      </c>
      <c r="C303" s="10" t="inlineStr">
        <is>
          <t>Caranx melampygus</t>
        </is>
      </c>
      <c r="D303" s="9" t="inlineStr">
        <is>
          <t>Bluefin trevally</t>
        </is>
      </c>
      <c r="E303" s="9" t="inlineStr">
        <is>
          <t>Large reef assoc. fish (&gt;=90 cm)</t>
        </is>
      </c>
      <c r="F303" s="9" t="inlineStr">
        <is>
          <t>Perch-likes</t>
        </is>
      </c>
      <c r="G303" s="10" t="inlineStr">
        <is>
          <t>3 Carangids</t>
        </is>
      </c>
      <c r="H303" s="11" t="n">
        <v>0.6956132497761862</v>
      </c>
      <c r="I303" s="9" t="inlineStr">
        <is>
          <t>model_biomass</t>
        </is>
      </c>
      <c r="J303" s="12" t="inlineStr">
        <is>
          <t>medium</t>
        </is>
      </c>
      <c r="K303" s="9" t="inlineStr">
        <is>
          <t>composite_split</t>
        </is>
      </c>
      <c r="L303" s="10" t="inlineStr">
        <is>
          <t>Appendix A1.1 lists this exact catch name under `Carangids`; apportioned over the region 2 and region 3 pools by model biomass; region 1 is the Maldives shelf, outside LME 34.</t>
        </is>
      </c>
      <c r="M303" s="9" t="n">
        <v>156806.571</v>
      </c>
    </row>
    <row r="304" ht="36" customHeight="1">
      <c r="A304" s="9" t="inlineStr">
        <is>
          <t>LME_034</t>
        </is>
      </c>
      <c r="B304" s="10" t="inlineStr">
        <is>
          <t>34_1_Bay_of_Bengal_(1978)</t>
        </is>
      </c>
      <c r="C304" s="10" t="inlineStr">
        <is>
          <t>Penaeus semisulcatus</t>
        </is>
      </c>
      <c r="D304" s="9" t="inlineStr">
        <is>
          <t>Green tiger prawn</t>
        </is>
      </c>
      <c r="E304" s="9" t="inlineStr">
        <is>
          <t>Shrimps</t>
        </is>
      </c>
      <c r="F304" s="9" t="inlineStr">
        <is>
          <t>Crustaceans</t>
        </is>
      </c>
      <c r="G304" s="10" t="inlineStr">
        <is>
          <t>2 Crustaceans</t>
        </is>
      </c>
      <c r="H304" s="11" t="n">
        <v>0.2129992169146437</v>
      </c>
      <c r="I304" s="9" t="inlineStr">
        <is>
          <t>model_biomass</t>
        </is>
      </c>
      <c r="J304" s="12" t="inlineStr">
        <is>
          <t>medium</t>
        </is>
      </c>
      <c r="K304" s="9" t="inlineStr">
        <is>
          <t>composite_split</t>
        </is>
      </c>
      <c r="L304" s="10" t="inlineStr">
        <is>
          <t>Appendix A1.1 lists this exact catch name under `shrimps`; apportioned over the region 2 and region 3 pools by model biomass; region 1 is the Maldives shelf, outside LME 34.</t>
        </is>
      </c>
      <c r="M304" s="9" t="n">
        <v>156013.206</v>
      </c>
    </row>
    <row r="305" ht="36" customHeight="1">
      <c r="A305" s="9" t="inlineStr">
        <is>
          <t>LME_034</t>
        </is>
      </c>
      <c r="B305" s="10" t="inlineStr">
        <is>
          <t>34_1_Bay_of_Bengal_(1978)</t>
        </is>
      </c>
      <c r="C305" s="10" t="inlineStr">
        <is>
          <t>Penaeus semisulcatus</t>
        </is>
      </c>
      <c r="D305" s="9" t="inlineStr">
        <is>
          <t>Green tiger prawn</t>
        </is>
      </c>
      <c r="E305" s="9" t="inlineStr">
        <is>
          <t>Shrimps</t>
        </is>
      </c>
      <c r="F305" s="9" t="inlineStr">
        <is>
          <t>Crustaceans</t>
        </is>
      </c>
      <c r="G305" s="10" t="inlineStr">
        <is>
          <t>3 Crustaceans</t>
        </is>
      </c>
      <c r="H305" s="11" t="n">
        <v>0.7870007830853563</v>
      </c>
      <c r="I305" s="9" t="inlineStr">
        <is>
          <t>model_biomass</t>
        </is>
      </c>
      <c r="J305" s="12" t="inlineStr">
        <is>
          <t>medium</t>
        </is>
      </c>
      <c r="K305" s="9" t="inlineStr">
        <is>
          <t>composite_split</t>
        </is>
      </c>
      <c r="L305" s="10" t="inlineStr">
        <is>
          <t>Appendix A1.1 lists this exact catch name under `shrimps`; apportioned over the region 2 and region 3 pools by model biomass; region 1 is the Maldives shelf, outside LME 34.</t>
        </is>
      </c>
      <c r="M305" s="9" t="n">
        <v>156013.206</v>
      </c>
    </row>
    <row r="306" ht="36" customHeight="1">
      <c r="A306" s="9" t="inlineStr">
        <is>
          <t>LME_034</t>
        </is>
      </c>
      <c r="B306" s="10" t="inlineStr">
        <is>
          <t>34_1_Bay_of_Bengal_(1978)</t>
        </is>
      </c>
      <c r="C306" s="10" t="inlineStr">
        <is>
          <t>Isurus</t>
        </is>
      </c>
      <c r="D306" s="9" t="inlineStr">
        <is>
          <t>Mako sharks</t>
        </is>
      </c>
      <c r="E306" s="9" t="inlineStr">
        <is>
          <t>Large sharks (&gt;=90 cm)</t>
        </is>
      </c>
      <c r="F306" s="9" t="inlineStr">
        <is>
          <t>Sharks &amp; rays</t>
        </is>
      </c>
      <c r="G306" s="10" t="inlineStr">
        <is>
          <t>Oceanic sharks</t>
        </is>
      </c>
      <c r="H306" s="11" t="n">
        <v>1</v>
      </c>
      <c r="I306" s="9" t="inlineStr">
        <is>
          <t>single</t>
        </is>
      </c>
      <c r="J306" s="13" t="inlineStr">
        <is>
          <t>high</t>
        </is>
      </c>
      <c r="K306" s="9" t="inlineStr">
        <is>
          <t>explicit_member</t>
        </is>
      </c>
      <c r="L306" s="10" t="inlineStr">
        <is>
          <t>Appendix A1.1 lists this exact catch name under `oceanic sharks`, a group modelled over the whole study area (Appendix A1.2).</t>
        </is>
      </c>
      <c r="M306" s="9" t="n">
        <v>153279.515</v>
      </c>
    </row>
    <row r="307" ht="36" customHeight="1">
      <c r="A307" s="9" t="inlineStr">
        <is>
          <t>LME_034</t>
        </is>
      </c>
      <c r="B307" s="10" t="inlineStr">
        <is>
          <t>34_1_Bay_of_Bengal_(1978)</t>
        </is>
      </c>
      <c r="C307" s="10" t="inlineStr">
        <is>
          <t>Nemipterus japonicus</t>
        </is>
      </c>
      <c r="D307" s="9" t="inlineStr">
        <is>
          <t>Japanese threadfin bream</t>
        </is>
      </c>
      <c r="E307" s="9" t="inlineStr">
        <is>
          <t>Small demersals (&lt;30 cm)</t>
        </is>
      </c>
      <c r="F307" s="9" t="inlineStr">
        <is>
          <t>Perch-likes</t>
        </is>
      </c>
      <c r="G307" s="10" t="inlineStr">
        <is>
          <t>2 SM pisc</t>
        </is>
      </c>
      <c r="H307" s="11" t="n">
        <v>0.3055989990616202</v>
      </c>
      <c r="I307" s="9" t="inlineStr">
        <is>
          <t>model_biomass</t>
        </is>
      </c>
      <c r="J307" s="12" t="inlineStr">
        <is>
          <t>medium</t>
        </is>
      </c>
      <c r="K307" s="9" t="inlineStr">
        <is>
          <t>composite_split</t>
        </is>
      </c>
      <c r="L307" s="10" t="inlineStr">
        <is>
          <t>Appendix A1.1 lists this exact catch name under `SM pisc`; apportioned over the region 2 and region 3 pools by model biomass; region 1 is the Maldives shelf, outside LME 34.</t>
        </is>
      </c>
      <c r="M307" s="9" t="n">
        <v>144788.834</v>
      </c>
    </row>
    <row r="308" ht="36" customHeight="1">
      <c r="A308" s="9" t="inlineStr">
        <is>
          <t>LME_034</t>
        </is>
      </c>
      <c r="B308" s="10" t="inlineStr">
        <is>
          <t>34_1_Bay_of_Bengal_(1978)</t>
        </is>
      </c>
      <c r="C308" s="10" t="inlineStr">
        <is>
          <t>Nemipterus japonicus</t>
        </is>
      </c>
      <c r="D308" s="9" t="inlineStr">
        <is>
          <t>Japanese threadfin bream</t>
        </is>
      </c>
      <c r="E308" s="9" t="inlineStr">
        <is>
          <t>Small demersals (&lt;30 cm)</t>
        </is>
      </c>
      <c r="F308" s="9" t="inlineStr">
        <is>
          <t>Perch-likes</t>
        </is>
      </c>
      <c r="G308" s="10" t="inlineStr">
        <is>
          <t>3 SM pisc</t>
        </is>
      </c>
      <c r="H308" s="11" t="n">
        <v>0.6944010009383798</v>
      </c>
      <c r="I308" s="9" t="inlineStr">
        <is>
          <t>model_biomass</t>
        </is>
      </c>
      <c r="J308" s="12" t="inlineStr">
        <is>
          <t>medium</t>
        </is>
      </c>
      <c r="K308" s="9" t="inlineStr">
        <is>
          <t>composite_split</t>
        </is>
      </c>
      <c r="L308" s="10" t="inlineStr">
        <is>
          <t>Appendix A1.1 lists this exact catch name under `SM pisc`; apportioned over the region 2 and region 3 pools by model biomass; region 1 is the Maldives shelf, outside LME 34.</t>
        </is>
      </c>
      <c r="M308" s="9" t="n">
        <v>144788.834</v>
      </c>
    </row>
    <row r="309" ht="51" customHeight="1">
      <c r="A309" s="9" t="inlineStr">
        <is>
          <t>LME_034</t>
        </is>
      </c>
      <c r="B309" s="10" t="inlineStr">
        <is>
          <t>34_1_Bay_of_Bengal_(1978)</t>
        </is>
      </c>
      <c r="C309" s="10" t="inlineStr">
        <is>
          <t>Penaeus latisulcatus</t>
        </is>
      </c>
      <c r="D309" s="9" t="inlineStr">
        <is>
          <t>Western king prawn</t>
        </is>
      </c>
      <c r="E309" s="9" t="inlineStr">
        <is>
          <t>Shrimps</t>
        </is>
      </c>
      <c r="F309" s="9" t="inlineStr">
        <is>
          <t>Crustaceans</t>
        </is>
      </c>
      <c r="G309" s="10" t="inlineStr">
        <is>
          <t>2 Crustaceans</t>
        </is>
      </c>
      <c r="H309" s="11" t="n">
        <v>0.2129992169146437</v>
      </c>
      <c r="I309" s="9" t="inlineStr">
        <is>
          <t>model_biomass</t>
        </is>
      </c>
      <c r="J309" s="12" t="inlineStr">
        <is>
          <t>medium</t>
        </is>
      </c>
      <c r="K309" s="9" t="inlineStr">
        <is>
          <t>composite_split</t>
        </is>
      </c>
      <c r="L309" s="10" t="inlineStr">
        <is>
          <t>Accepted-name/synonym match: Appendix A1.1 lists Melicertus latisulcatus under `shrimps`. Apportioned over the region 2 and region 3 pools by model biomass; region 1 is the Maldives shelf, outside LME 34.</t>
        </is>
      </c>
      <c r="M309" s="9" t="n">
        <v>143397.857</v>
      </c>
    </row>
    <row r="310" ht="51" customHeight="1">
      <c r="A310" s="9" t="inlineStr">
        <is>
          <t>LME_034</t>
        </is>
      </c>
      <c r="B310" s="10" t="inlineStr">
        <is>
          <t>34_1_Bay_of_Bengal_(1978)</t>
        </is>
      </c>
      <c r="C310" s="10" t="inlineStr">
        <is>
          <t>Penaeus latisulcatus</t>
        </is>
      </c>
      <c r="D310" s="9" t="inlineStr">
        <is>
          <t>Western king prawn</t>
        </is>
      </c>
      <c r="E310" s="9" t="inlineStr">
        <is>
          <t>Shrimps</t>
        </is>
      </c>
      <c r="F310" s="9" t="inlineStr">
        <is>
          <t>Crustaceans</t>
        </is>
      </c>
      <c r="G310" s="10" t="inlineStr">
        <is>
          <t>3 Crustaceans</t>
        </is>
      </c>
      <c r="H310" s="11" t="n">
        <v>0.7870007830853563</v>
      </c>
      <c r="I310" s="9" t="inlineStr">
        <is>
          <t>model_biomass</t>
        </is>
      </c>
      <c r="J310" s="12" t="inlineStr">
        <is>
          <t>medium</t>
        </is>
      </c>
      <c r="K310" s="9" t="inlineStr">
        <is>
          <t>composite_split</t>
        </is>
      </c>
      <c r="L310" s="10" t="inlineStr">
        <is>
          <t>Accepted-name/synonym match: Appendix A1.1 lists Melicertus latisulcatus under `shrimps`. Apportioned over the region 2 and region 3 pools by model biomass; region 1 is the Maldives shelf, outside LME 34.</t>
        </is>
      </c>
      <c r="M310" s="9" t="n">
        <v>143397.857</v>
      </c>
    </row>
    <row r="311" ht="51" customHeight="1">
      <c r="A311" s="9" t="inlineStr">
        <is>
          <t>LME_034</t>
        </is>
      </c>
      <c r="B311" s="10" t="inlineStr">
        <is>
          <t>34_1_Bay_of_Bengal_(1978)</t>
        </is>
      </c>
      <c r="C311" s="10" t="inlineStr">
        <is>
          <t>Caesio cuning</t>
        </is>
      </c>
      <c r="D311" s="9" t="inlineStr">
        <is>
          <t>Redbelly yellowtail fusilier</t>
        </is>
      </c>
      <c r="E311" s="9" t="inlineStr">
        <is>
          <t>Medium reef assoc. fish (30 - 89 cm)</t>
        </is>
      </c>
      <c r="F311" s="9" t="inlineStr">
        <is>
          <t>Perch-likes</t>
        </is>
      </c>
      <c r="G311" s="10" t="inlineStr">
        <is>
          <t>2 SM inv</t>
        </is>
      </c>
      <c r="H311" s="11" t="n">
        <v>0.3170901271842734</v>
      </c>
      <c r="I311" s="9" t="inlineStr">
        <is>
          <t>model_biomass</t>
        </is>
      </c>
      <c r="J311" s="12" t="inlineStr">
        <is>
          <t>medium</t>
        </is>
      </c>
      <c r="K311" s="9" t="inlineStr">
        <is>
          <t>composite_split</t>
        </is>
      </c>
      <c r="L311" s="10" t="inlineStr">
        <is>
          <t>Appendix A1.1 lists Caesio, three Caesio species and Caesionidae under SM inv. Apportioned over the region 2 and region 3 pools by model biomass; region 1 is the Maldives shelf, outside LME 34.</t>
        </is>
      </c>
      <c r="M311" s="9" t="n">
        <v>139552.296</v>
      </c>
    </row>
    <row r="312" ht="51" customHeight="1">
      <c r="A312" s="9" t="inlineStr">
        <is>
          <t>LME_034</t>
        </is>
      </c>
      <c r="B312" s="10" t="inlineStr">
        <is>
          <t>34_1_Bay_of_Bengal_(1978)</t>
        </is>
      </c>
      <c r="C312" s="10" t="inlineStr">
        <is>
          <t>Caesio cuning</t>
        </is>
      </c>
      <c r="D312" s="9" t="inlineStr">
        <is>
          <t>Redbelly yellowtail fusilier</t>
        </is>
      </c>
      <c r="E312" s="9" t="inlineStr">
        <is>
          <t>Medium reef assoc. fish (30 - 89 cm)</t>
        </is>
      </c>
      <c r="F312" s="9" t="inlineStr">
        <is>
          <t>Perch-likes</t>
        </is>
      </c>
      <c r="G312" s="10" t="inlineStr">
        <is>
          <t>3 SM inv</t>
        </is>
      </c>
      <c r="H312" s="11" t="n">
        <v>0.6829098728157266</v>
      </c>
      <c r="I312" s="9" t="inlineStr">
        <is>
          <t>model_biomass</t>
        </is>
      </c>
      <c r="J312" s="12" t="inlineStr">
        <is>
          <t>medium</t>
        </is>
      </c>
      <c r="K312" s="9" t="inlineStr">
        <is>
          <t>composite_split</t>
        </is>
      </c>
      <c r="L312" s="10" t="inlineStr">
        <is>
          <t>Appendix A1.1 lists Caesio, three Caesio species and Caesionidae under SM inv. Apportioned over the region 2 and region 3 pools by model biomass; region 1 is the Maldives shelf, outside LME 34.</t>
        </is>
      </c>
      <c r="M312" s="9" t="n">
        <v>139552.296</v>
      </c>
    </row>
    <row r="313" ht="36" customHeight="1">
      <c r="A313" s="9" t="inlineStr">
        <is>
          <t>LME_034</t>
        </is>
      </c>
      <c r="B313" s="10" t="inlineStr">
        <is>
          <t>34_1_Bay_of_Bengal_(1978)</t>
        </is>
      </c>
      <c r="C313" s="10" t="inlineStr">
        <is>
          <t>Stromateidae</t>
        </is>
      </c>
      <c r="D313" s="9" t="inlineStr">
        <is>
          <t>Butterfishes</t>
        </is>
      </c>
      <c r="E313" s="9" t="inlineStr">
        <is>
          <t>Small benthopelagics (&lt;30 cm)</t>
        </is>
      </c>
      <c r="F313" s="9" t="inlineStr">
        <is>
          <t>Perch-likes</t>
        </is>
      </c>
      <c r="G313" s="10" t="inlineStr">
        <is>
          <t>2 SM inv</t>
        </is>
      </c>
      <c r="H313" s="11" t="n">
        <v>0.3170901271842734</v>
      </c>
      <c r="I313" s="9" t="inlineStr">
        <is>
          <t>model_biomass</t>
        </is>
      </c>
      <c r="J313" s="12" t="inlineStr">
        <is>
          <t>medium</t>
        </is>
      </c>
      <c r="K313" s="9" t="inlineStr">
        <is>
          <t>composite_split</t>
        </is>
      </c>
      <c r="L313" s="10" t="inlineStr">
        <is>
          <t>Appendix A1.1 lists this exact catch name under `SM inv`; apportioned over the region 2 and region 3 pools by model biomass; region 1 is the Maldives shelf, outside LME 34.</t>
        </is>
      </c>
      <c r="M313" s="9" t="n">
        <v>136738.43</v>
      </c>
    </row>
    <row r="314" ht="36" customHeight="1">
      <c r="A314" s="9" t="inlineStr">
        <is>
          <t>LME_034</t>
        </is>
      </c>
      <c r="B314" s="10" t="inlineStr">
        <is>
          <t>34_1_Bay_of_Bengal_(1978)</t>
        </is>
      </c>
      <c r="C314" s="10" t="inlineStr">
        <is>
          <t>Stromateidae</t>
        </is>
      </c>
      <c r="D314" s="9" t="inlineStr">
        <is>
          <t>Butterfishes</t>
        </is>
      </c>
      <c r="E314" s="9" t="inlineStr">
        <is>
          <t>Small benthopelagics (&lt;30 cm)</t>
        </is>
      </c>
      <c r="F314" s="9" t="inlineStr">
        <is>
          <t>Perch-likes</t>
        </is>
      </c>
      <c r="G314" s="10" t="inlineStr">
        <is>
          <t>3 SM inv</t>
        </is>
      </c>
      <c r="H314" s="11" t="n">
        <v>0.6829098728157266</v>
      </c>
      <c r="I314" s="9" t="inlineStr">
        <is>
          <t>model_biomass</t>
        </is>
      </c>
      <c r="J314" s="12" t="inlineStr">
        <is>
          <t>medium</t>
        </is>
      </c>
      <c r="K314" s="9" t="inlineStr">
        <is>
          <t>composite_split</t>
        </is>
      </c>
      <c r="L314" s="10" t="inlineStr">
        <is>
          <t>Appendix A1.1 lists this exact catch name under `SM inv`; apportioned over the region 2 and region 3 pools by model biomass; region 1 is the Maldives shelf, outside LME 34.</t>
        </is>
      </c>
      <c r="M314" s="9" t="n">
        <v>136738.43</v>
      </c>
    </row>
    <row r="315" ht="36" customHeight="1">
      <c r="A315" s="9" t="inlineStr">
        <is>
          <t>LME_034</t>
        </is>
      </c>
      <c r="B315" s="10" t="inlineStr">
        <is>
          <t>34_1_Bay_of_Bengal_(1978)</t>
        </is>
      </c>
      <c r="C315" s="10" t="inlineStr">
        <is>
          <t>Gobiidae</t>
        </is>
      </c>
      <c r="D315" s="9" t="inlineStr">
        <is>
          <t>Gobies</t>
        </is>
      </c>
      <c r="E315" s="9" t="inlineStr">
        <is>
          <t>Small reef assoc. fish (&lt;30 cm)</t>
        </is>
      </c>
      <c r="F315" s="9" t="inlineStr">
        <is>
          <t>Perch-likes</t>
        </is>
      </c>
      <c r="G315" s="10" t="inlineStr">
        <is>
          <t>2 SM inv</t>
        </is>
      </c>
      <c r="H315" s="11" t="n">
        <v>0.1809523391556219</v>
      </c>
      <c r="I315" s="9" t="inlineStr">
        <is>
          <t>model_biomass</t>
        </is>
      </c>
      <c r="J315" s="12" t="inlineStr">
        <is>
          <t>medium</t>
        </is>
      </c>
      <c r="K315" s="9" t="inlineStr">
        <is>
          <t>composite_split</t>
        </is>
      </c>
      <c r="L315" s="10" t="inlineStr">
        <is>
          <t>Appendix A1.1 lists this exact catch name under `S inv, M pisc`; apportioned over the region 2 and region 3 pools by model biomass; region 1 is the Maldives shelf, outside LME 34.</t>
        </is>
      </c>
      <c r="M315" s="9" t="n">
        <v>135347.108</v>
      </c>
    </row>
    <row r="316" ht="36" customHeight="1">
      <c r="A316" s="9" t="inlineStr">
        <is>
          <t>LME_034</t>
        </is>
      </c>
      <c r="B316" s="10" t="inlineStr">
        <is>
          <t>34_1_Bay_of_Bengal_(1978)</t>
        </is>
      </c>
      <c r="C316" s="10" t="inlineStr">
        <is>
          <t>Gobiidae</t>
        </is>
      </c>
      <c r="D316" s="9" t="inlineStr">
        <is>
          <t>Gobies</t>
        </is>
      </c>
      <c r="E316" s="9" t="inlineStr">
        <is>
          <t>Small reef assoc. fish (&lt;30 cm)</t>
        </is>
      </c>
      <c r="F316" s="9" t="inlineStr">
        <is>
          <t>Perch-likes</t>
        </is>
      </c>
      <c r="G316" s="10" t="inlineStr">
        <is>
          <t>3 SM inv</t>
        </is>
      </c>
      <c r="H316" s="11" t="n">
        <v>0.3897129816554025</v>
      </c>
      <c r="I316" s="9" t="inlineStr">
        <is>
          <t>model_biomass</t>
        </is>
      </c>
      <c r="J316" s="12" t="inlineStr">
        <is>
          <t>medium</t>
        </is>
      </c>
      <c r="K316" s="9" t="inlineStr">
        <is>
          <t>composite_split</t>
        </is>
      </c>
      <c r="L316" s="10" t="inlineStr">
        <is>
          <t>Appendix A1.1 lists this exact catch name under `S inv, M pisc`; apportioned over the region 2 and region 3 pools by model biomass; region 1 is the Maldives shelf, outside LME 34.</t>
        </is>
      </c>
      <c r="M316" s="9" t="n">
        <v>135347.108</v>
      </c>
    </row>
    <row r="317" ht="36" customHeight="1">
      <c r="A317" s="9" t="inlineStr">
        <is>
          <t>LME_034</t>
        </is>
      </c>
      <c r="B317" s="10" t="inlineStr">
        <is>
          <t>34_1_Bay_of_Bengal_(1978)</t>
        </is>
      </c>
      <c r="C317" s="10" t="inlineStr">
        <is>
          <t>Gobiidae</t>
        </is>
      </c>
      <c r="D317" s="9" t="inlineStr">
        <is>
          <t>Gobies</t>
        </is>
      </c>
      <c r="E317" s="9" t="inlineStr">
        <is>
          <t>Small reef assoc. fish (&lt;30 cm)</t>
        </is>
      </c>
      <c r="F317" s="9" t="inlineStr">
        <is>
          <t>Perch-likes</t>
        </is>
      </c>
      <c r="G317" s="10" t="inlineStr">
        <is>
          <t>2 SM pisc</t>
        </is>
      </c>
      <c r="H317" s="11" t="n">
        <v>0.1312042482225928</v>
      </c>
      <c r="I317" s="9" t="inlineStr">
        <is>
          <t>model_biomass</t>
        </is>
      </c>
      <c r="J317" s="12" t="inlineStr">
        <is>
          <t>medium</t>
        </is>
      </c>
      <c r="K317" s="9" t="inlineStr">
        <is>
          <t>composite_split</t>
        </is>
      </c>
      <c r="L317" s="10" t="inlineStr">
        <is>
          <t>Appendix A1.1 lists this exact catch name under `S inv, M pisc`; apportioned over the region 2 and region 3 pools by model biomass; region 1 is the Maldives shelf, outside LME 34.</t>
        </is>
      </c>
      <c r="M317" s="9" t="n">
        <v>135347.108</v>
      </c>
    </row>
    <row r="318" ht="36" customHeight="1">
      <c r="A318" s="9" t="inlineStr">
        <is>
          <t>LME_034</t>
        </is>
      </c>
      <c r="B318" s="10" t="inlineStr">
        <is>
          <t>34_1_Bay_of_Bengal_(1978)</t>
        </is>
      </c>
      <c r="C318" s="10" t="inlineStr">
        <is>
          <t>Gobiidae</t>
        </is>
      </c>
      <c r="D318" s="9" t="inlineStr">
        <is>
          <t>Gobies</t>
        </is>
      </c>
      <c r="E318" s="9" t="inlineStr">
        <is>
          <t>Small reef assoc. fish (&lt;30 cm)</t>
        </is>
      </c>
      <c r="F318" s="9" t="inlineStr">
        <is>
          <t>Perch-likes</t>
        </is>
      </c>
      <c r="G318" s="10" t="inlineStr">
        <is>
          <t>3 SM pisc</t>
        </is>
      </c>
      <c r="H318" s="11" t="n">
        <v>0.2981304309663829</v>
      </c>
      <c r="I318" s="9" t="inlineStr">
        <is>
          <t>model_biomass</t>
        </is>
      </c>
      <c r="J318" s="12" t="inlineStr">
        <is>
          <t>medium</t>
        </is>
      </c>
      <c r="K318" s="9" t="inlineStr">
        <is>
          <t>composite_split</t>
        </is>
      </c>
      <c r="L318" s="10" t="inlineStr">
        <is>
          <t>Appendix A1.1 lists this exact catch name under `S inv, M pisc`; apportioned over the region 2 and region 3 pools by model biomass; region 1 is the Maldives shelf, outside LME 34.</t>
        </is>
      </c>
      <c r="M318" s="9" t="n">
        <v>135347.108</v>
      </c>
    </row>
    <row r="319" ht="51" customHeight="1">
      <c r="A319" s="9" t="inlineStr">
        <is>
          <t>LME_034</t>
        </is>
      </c>
      <c r="B319" s="10" t="inlineStr">
        <is>
          <t>34_1_Bay_of_Bengal_(1978)</t>
        </is>
      </c>
      <c r="C319" s="10" t="inlineStr">
        <is>
          <t>Deveximentum insidiator</t>
        </is>
      </c>
      <c r="D319" s="9" t="inlineStr">
        <is>
          <t>Pugnose ponyfish</t>
        </is>
      </c>
      <c r="E319" s="9" t="inlineStr">
        <is>
          <t>Small pelagics (&lt;30 cm)</t>
        </is>
      </c>
      <c r="F319" s="9" t="inlineStr">
        <is>
          <t>Perch-likes</t>
        </is>
      </c>
      <c r="G319" s="10" t="inlineStr">
        <is>
          <t>2 SM inv</t>
        </is>
      </c>
      <c r="H319" s="11" t="n">
        <v>0.3170901271842734</v>
      </c>
      <c r="I319" s="9" t="inlineStr">
        <is>
          <t>model_biomass</t>
        </is>
      </c>
      <c r="J319" s="12" t="inlineStr">
        <is>
          <t>medium</t>
        </is>
      </c>
      <c r="K319" s="9" t="inlineStr">
        <is>
          <t>composite_split</t>
        </is>
      </c>
      <c r="L319" s="10" t="inlineStr">
        <is>
          <t>Accepted-name/synonym match: Appendix A1.1 lists Secutor insidiator (A1.3, SM inv species list) under `SM inv`. Apportioned over the region 2 and region 3 pools by model biomass; region 1 is the Maldives shelf, outside LME 34.</t>
        </is>
      </c>
      <c r="M319" s="9" t="n">
        <v>130516.01</v>
      </c>
    </row>
    <row r="320" ht="51" customHeight="1">
      <c r="A320" s="9" t="inlineStr">
        <is>
          <t>LME_034</t>
        </is>
      </c>
      <c r="B320" s="10" t="inlineStr">
        <is>
          <t>34_1_Bay_of_Bengal_(1978)</t>
        </is>
      </c>
      <c r="C320" s="10" t="inlineStr">
        <is>
          <t>Deveximentum insidiator</t>
        </is>
      </c>
      <c r="D320" s="9" t="inlineStr">
        <is>
          <t>Pugnose ponyfish</t>
        </is>
      </c>
      <c r="E320" s="9" t="inlineStr">
        <is>
          <t>Small pelagics (&lt;30 cm)</t>
        </is>
      </c>
      <c r="F320" s="9" t="inlineStr">
        <is>
          <t>Perch-likes</t>
        </is>
      </c>
      <c r="G320" s="10" t="inlineStr">
        <is>
          <t>3 SM inv</t>
        </is>
      </c>
      <c r="H320" s="11" t="n">
        <v>0.6829098728157266</v>
      </c>
      <c r="I320" s="9" t="inlineStr">
        <is>
          <t>model_biomass</t>
        </is>
      </c>
      <c r="J320" s="12" t="inlineStr">
        <is>
          <t>medium</t>
        </is>
      </c>
      <c r="K320" s="9" t="inlineStr">
        <is>
          <t>composite_split</t>
        </is>
      </c>
      <c r="L320" s="10" t="inlineStr">
        <is>
          <t>Accepted-name/synonym match: Appendix A1.1 lists Secutor insidiator (A1.3, SM inv species list) under `SM inv`. Apportioned over the region 2 and region 3 pools by model biomass; region 1 is the Maldives shelf, outside LME 34.</t>
        </is>
      </c>
      <c r="M320" s="9" t="n">
        <v>130516.01</v>
      </c>
    </row>
    <row r="321" ht="36" customHeight="1">
      <c r="A321" s="9" t="inlineStr">
        <is>
          <t>LME_034</t>
        </is>
      </c>
      <c r="B321" s="10" t="inlineStr">
        <is>
          <t>34_1_Bay_of_Bengal_(1978)</t>
        </is>
      </c>
      <c r="C321" s="10" t="inlineStr">
        <is>
          <t>Plotosidae</t>
        </is>
      </c>
      <c r="D321" s="9" t="inlineStr">
        <is>
          <t>Eeltail catfishes</t>
        </is>
      </c>
      <c r="E321" s="9" t="inlineStr">
        <is>
          <t>Medium reef assoc. fish (30 - 89 cm)</t>
        </is>
      </c>
      <c r="F321" s="9" t="inlineStr">
        <is>
          <t>Other fishes &amp; inverts</t>
        </is>
      </c>
      <c r="G321" s="10" t="inlineStr">
        <is>
          <t>2 L pisc</t>
        </is>
      </c>
      <c r="H321" s="11" t="n">
        <v>0.449530936694357</v>
      </c>
      <c r="I321" s="9" t="inlineStr">
        <is>
          <t>model_biomass</t>
        </is>
      </c>
      <c r="J321" s="12" t="inlineStr">
        <is>
          <t>medium</t>
        </is>
      </c>
      <c r="K321" s="9" t="inlineStr">
        <is>
          <t>composite_split</t>
        </is>
      </c>
      <c r="L321" s="10" t="inlineStr">
        <is>
          <t>Appendix A1.1 lists this exact catch name under `L pisc`; apportioned over the region 2 and region 3 pools by model biomass; region 1 is the Maldives shelf, outside LME 34.</t>
        </is>
      </c>
      <c r="M321" s="9" t="n">
        <v>130026.246</v>
      </c>
    </row>
    <row r="322" ht="36" customHeight="1">
      <c r="A322" s="9" t="inlineStr">
        <is>
          <t>LME_034</t>
        </is>
      </c>
      <c r="B322" s="10" t="inlineStr">
        <is>
          <t>34_1_Bay_of_Bengal_(1978)</t>
        </is>
      </c>
      <c r="C322" s="10" t="inlineStr">
        <is>
          <t>Plotosidae</t>
        </is>
      </c>
      <c r="D322" s="9" t="inlineStr">
        <is>
          <t>Eeltail catfishes</t>
        </is>
      </c>
      <c r="E322" s="9" t="inlineStr">
        <is>
          <t>Medium reef assoc. fish (30 - 89 cm)</t>
        </is>
      </c>
      <c r="F322" s="9" t="inlineStr">
        <is>
          <t>Other fishes &amp; inverts</t>
        </is>
      </c>
      <c r="G322" s="10" t="inlineStr">
        <is>
          <t>3 L pisc</t>
        </is>
      </c>
      <c r="H322" s="11" t="n">
        <v>0.5504690633056432</v>
      </c>
      <c r="I322" s="9" t="inlineStr">
        <is>
          <t>model_biomass</t>
        </is>
      </c>
      <c r="J322" s="12" t="inlineStr">
        <is>
          <t>medium</t>
        </is>
      </c>
      <c r="K322" s="9" t="inlineStr">
        <is>
          <t>composite_split</t>
        </is>
      </c>
      <c r="L322" s="10" t="inlineStr">
        <is>
          <t>Appendix A1.1 lists this exact catch name under `L pisc`; apportioned over the region 2 and region 3 pools by model biomass; region 1 is the Maldives shelf, outside LME 34.</t>
        </is>
      </c>
      <c r="M322" s="9" t="n">
        <v>130026.246</v>
      </c>
    </row>
    <row r="323" ht="36" customHeight="1">
      <c r="A323" s="9" t="inlineStr">
        <is>
          <t>LME_034</t>
        </is>
      </c>
      <c r="B323" s="10" t="inlineStr">
        <is>
          <t>34_1_Bay_of_Bengal_(1978)</t>
        </is>
      </c>
      <c r="C323" s="10" t="inlineStr">
        <is>
          <t>Xiphias gladius</t>
        </is>
      </c>
      <c r="D323" s="9" t="inlineStr">
        <is>
          <t>Swordfish</t>
        </is>
      </c>
      <c r="E323" s="9" t="inlineStr">
        <is>
          <t>Large pelagics (&gt;=90 cm)</t>
        </is>
      </c>
      <c r="F323" s="9" t="inlineStr">
        <is>
          <t>Tuna &amp; billfishes</t>
        </is>
      </c>
      <c r="G323" s="10" t="inlineStr">
        <is>
          <t>Tuna-like</t>
        </is>
      </c>
      <c r="H323" s="11" t="n">
        <v>1</v>
      </c>
      <c r="I323" s="9" t="inlineStr">
        <is>
          <t>single</t>
        </is>
      </c>
      <c r="J323" s="13" t="inlineStr">
        <is>
          <t>high</t>
        </is>
      </c>
      <c r="K323" s="9" t="inlineStr">
        <is>
          <t>explicit_member</t>
        </is>
      </c>
      <c r="L323" s="10" t="inlineStr">
        <is>
          <t>Appendix A1.1 lists this exact catch name under `tuna-like`, a group modelled over the whole study area (Appendix A1.2).</t>
        </is>
      </c>
      <c r="M323" s="9" t="n">
        <v>129737.604</v>
      </c>
    </row>
    <row r="324" ht="66" customHeight="1">
      <c r="A324" s="9" t="inlineStr">
        <is>
          <t>LME_034</t>
        </is>
      </c>
      <c r="B324" s="10" t="inlineStr">
        <is>
          <t>34_1_Bay_of_Bengal_(1978)</t>
        </is>
      </c>
      <c r="C324" s="10" t="inlineStr">
        <is>
          <t>Malacostraca</t>
        </is>
      </c>
      <c r="D324" s="9" t="inlineStr">
        <is>
          <t>Lobsters, crabs, shrimps, krill</t>
        </is>
      </c>
      <c r="E324" s="9" t="inlineStr">
        <is>
          <t>Shrimps</t>
        </is>
      </c>
      <c r="F324" s="9" t="inlineStr">
        <is>
          <t>Crustaceans</t>
        </is>
      </c>
      <c r="G324" s="10" t="inlineStr">
        <is>
          <t>2 Crustaceans</t>
        </is>
      </c>
      <c r="H324" s="11" t="n">
        <v>0.2129992169146437</v>
      </c>
      <c r="I324" s="9" t="inlineStr">
        <is>
          <t>model_biomass</t>
        </is>
      </c>
      <c r="J324" s="12" t="inlineStr">
        <is>
          <t>medium</t>
        </is>
      </c>
      <c r="K324" s="9" t="inlineStr">
        <is>
          <t>composite_split</t>
        </is>
      </c>
      <c r="L324" s="10" t="inlineStr">
        <is>
          <t>Sea Around Us classes this class-level record as Shrimps; Appendix A1.1 sends `Miscellaneous crustaceans` and all shrimp and crab records to the regional crustacean pool. Apportioned over the region 2 and region 3 pools by model biomass; region 1 is the Maldives shelf, outside LME 34.</t>
        </is>
      </c>
      <c r="M324" s="9" t="n">
        <v>129411.263</v>
      </c>
    </row>
    <row r="325" ht="66" customHeight="1">
      <c r="A325" s="9" t="inlineStr">
        <is>
          <t>LME_034</t>
        </is>
      </c>
      <c r="B325" s="10" t="inlineStr">
        <is>
          <t>34_1_Bay_of_Bengal_(1978)</t>
        </is>
      </c>
      <c r="C325" s="10" t="inlineStr">
        <is>
          <t>Malacostraca</t>
        </is>
      </c>
      <c r="D325" s="9" t="inlineStr">
        <is>
          <t>Lobsters, crabs, shrimps, krill</t>
        </is>
      </c>
      <c r="E325" s="9" t="inlineStr">
        <is>
          <t>Shrimps</t>
        </is>
      </c>
      <c r="F325" s="9" t="inlineStr">
        <is>
          <t>Crustaceans</t>
        </is>
      </c>
      <c r="G325" s="10" t="inlineStr">
        <is>
          <t>3 Crustaceans</t>
        </is>
      </c>
      <c r="H325" s="11" t="n">
        <v>0.7870007830853563</v>
      </c>
      <c r="I325" s="9" t="inlineStr">
        <is>
          <t>model_biomass</t>
        </is>
      </c>
      <c r="J325" s="12" t="inlineStr">
        <is>
          <t>medium</t>
        </is>
      </c>
      <c r="K325" s="9" t="inlineStr">
        <is>
          <t>composite_split</t>
        </is>
      </c>
      <c r="L325" s="10" t="inlineStr">
        <is>
          <t>Sea Around Us classes this class-level record as Shrimps; Appendix A1.1 sends `Miscellaneous crustaceans` and all shrimp and crab records to the regional crustacean pool. Apportioned over the region 2 and region 3 pools by model biomass; region 1 is the Maldives shelf, outside LME 34.</t>
        </is>
      </c>
      <c r="M325" s="9" t="n">
        <v>129411.263</v>
      </c>
    </row>
    <row r="326" ht="36" customHeight="1">
      <c r="A326" s="9" t="inlineStr">
        <is>
          <t>LME_034</t>
        </is>
      </c>
      <c r="B326" s="10" t="inlineStr">
        <is>
          <t>34_1_Bay_of_Bengal_(1978)</t>
        </is>
      </c>
      <c r="C326" s="10" t="inlineStr">
        <is>
          <t>Sparidae</t>
        </is>
      </c>
      <c r="D326" s="9" t="inlineStr">
        <is>
          <t>Porgies, seabreams</t>
        </is>
      </c>
      <c r="E326" s="9" t="inlineStr">
        <is>
          <t>Medium benthopelagics (30 - 89 cm)</t>
        </is>
      </c>
      <c r="F326" s="9" t="inlineStr">
        <is>
          <t>Perch-likes</t>
        </is>
      </c>
      <c r="G326" s="10" t="inlineStr">
        <is>
          <t>2 SM inv</t>
        </is>
      </c>
      <c r="H326" s="11" t="n">
        <v>0.3170901271842734</v>
      </c>
      <c r="I326" s="9" t="inlineStr">
        <is>
          <t>model_biomass</t>
        </is>
      </c>
      <c r="J326" s="12" t="inlineStr">
        <is>
          <t>medium</t>
        </is>
      </c>
      <c r="K326" s="9" t="inlineStr">
        <is>
          <t>composite_split</t>
        </is>
      </c>
      <c r="L326" s="10" t="inlineStr">
        <is>
          <t>Appendix A1.1 lists this exact catch name under `SM inv`; apportioned over the region 2 and region 3 pools by model biomass; region 1 is the Maldives shelf, outside LME 34.</t>
        </is>
      </c>
      <c r="M326" s="9" t="n">
        <v>125222.059</v>
      </c>
    </row>
    <row r="327" ht="36" customHeight="1">
      <c r="A327" s="9" t="inlineStr">
        <is>
          <t>LME_034</t>
        </is>
      </c>
      <c r="B327" s="10" t="inlineStr">
        <is>
          <t>34_1_Bay_of_Bengal_(1978)</t>
        </is>
      </c>
      <c r="C327" s="10" t="inlineStr">
        <is>
          <t>Sparidae</t>
        </is>
      </c>
      <c r="D327" s="9" t="inlineStr">
        <is>
          <t>Porgies, seabreams</t>
        </is>
      </c>
      <c r="E327" s="9" t="inlineStr">
        <is>
          <t>Medium benthopelagics (30 - 89 cm)</t>
        </is>
      </c>
      <c r="F327" s="9" t="inlineStr">
        <is>
          <t>Perch-likes</t>
        </is>
      </c>
      <c r="G327" s="10" t="inlineStr">
        <is>
          <t>3 SM inv</t>
        </is>
      </c>
      <c r="H327" s="11" t="n">
        <v>0.6829098728157266</v>
      </c>
      <c r="I327" s="9" t="inlineStr">
        <is>
          <t>model_biomass</t>
        </is>
      </c>
      <c r="J327" s="12" t="inlineStr">
        <is>
          <t>medium</t>
        </is>
      </c>
      <c r="K327" s="9" t="inlineStr">
        <is>
          <t>composite_split</t>
        </is>
      </c>
      <c r="L327" s="10" t="inlineStr">
        <is>
          <t>Appendix A1.1 lists this exact catch name under `SM inv`; apportioned over the region 2 and region 3 pools by model biomass; region 1 is the Maldives shelf, outside LME 34.</t>
        </is>
      </c>
      <c r="M327" s="9" t="n">
        <v>125222.059</v>
      </c>
    </row>
    <row r="328" ht="36" customHeight="1">
      <c r="A328" s="9" t="inlineStr">
        <is>
          <t>LME_034</t>
        </is>
      </c>
      <c r="B328" s="10" t="inlineStr">
        <is>
          <t>34_1_Bay_of_Bengal_(1978)</t>
        </is>
      </c>
      <c r="C328" s="10" t="inlineStr">
        <is>
          <t>Bothidae</t>
        </is>
      </c>
      <c r="D328" s="9" t="inlineStr">
        <is>
          <t>Lefteye flounders</t>
        </is>
      </c>
      <c r="E328" s="9" t="inlineStr">
        <is>
          <t>Small to medium flatfishes (&lt;90 cm)</t>
        </is>
      </c>
      <c r="F328" s="9" t="inlineStr">
        <is>
          <t>Flatfishes</t>
        </is>
      </c>
      <c r="G328" s="10" t="inlineStr">
        <is>
          <t>2 SM inv</t>
        </is>
      </c>
      <c r="H328" s="11" t="n">
        <v>0.3170901271842734</v>
      </c>
      <c r="I328" s="9" t="inlineStr">
        <is>
          <t>model_biomass</t>
        </is>
      </c>
      <c r="J328" s="12" t="inlineStr">
        <is>
          <t>medium</t>
        </is>
      </c>
      <c r="K328" s="9" t="inlineStr">
        <is>
          <t>composite_split</t>
        </is>
      </c>
      <c r="L328" s="10" t="inlineStr">
        <is>
          <t>Appendix A1.1 lists this exact catch name under `SM inv`; apportioned over the region 2 and region 3 pools by model biomass; region 1 is the Maldives shelf, outside LME 34.</t>
        </is>
      </c>
      <c r="M328" s="9" t="n">
        <v>121829.69</v>
      </c>
    </row>
    <row r="329" ht="36" customHeight="1">
      <c r="A329" s="9" t="inlineStr">
        <is>
          <t>LME_034</t>
        </is>
      </c>
      <c r="B329" s="10" t="inlineStr">
        <is>
          <t>34_1_Bay_of_Bengal_(1978)</t>
        </is>
      </c>
      <c r="C329" s="10" t="inlineStr">
        <is>
          <t>Bothidae</t>
        </is>
      </c>
      <c r="D329" s="9" t="inlineStr">
        <is>
          <t>Lefteye flounders</t>
        </is>
      </c>
      <c r="E329" s="9" t="inlineStr">
        <is>
          <t>Small to medium flatfishes (&lt;90 cm)</t>
        </is>
      </c>
      <c r="F329" s="9" t="inlineStr">
        <is>
          <t>Flatfishes</t>
        </is>
      </c>
      <c r="G329" s="10" t="inlineStr">
        <is>
          <t>3 SM inv</t>
        </is>
      </c>
      <c r="H329" s="11" t="n">
        <v>0.6829098728157266</v>
      </c>
      <c r="I329" s="9" t="inlineStr">
        <is>
          <t>model_biomass</t>
        </is>
      </c>
      <c r="J329" s="12" t="inlineStr">
        <is>
          <t>medium</t>
        </is>
      </c>
      <c r="K329" s="9" t="inlineStr">
        <is>
          <t>composite_split</t>
        </is>
      </c>
      <c r="L329" s="10" t="inlineStr">
        <is>
          <t>Appendix A1.1 lists this exact catch name under `SM inv`; apportioned over the region 2 and region 3 pools by model biomass; region 1 is the Maldives shelf, outside LME 34.</t>
        </is>
      </c>
      <c r="M329" s="9" t="n">
        <v>121829.69</v>
      </c>
    </row>
    <row r="330" ht="51" customHeight="1">
      <c r="A330" s="9" t="inlineStr">
        <is>
          <t>LME_034</t>
        </is>
      </c>
      <c r="B330" s="10" t="inlineStr">
        <is>
          <t>34_1_Bay_of_Bengal_(1978)</t>
        </is>
      </c>
      <c r="C330" s="10" t="inlineStr">
        <is>
          <t>Ganjampenaeopsis uncta</t>
        </is>
      </c>
      <c r="D330" s="9" t="inlineStr">
        <is>
          <t>Uncta shrimp</t>
        </is>
      </c>
      <c r="E330" s="9" t="inlineStr">
        <is>
          <t>Shrimps</t>
        </is>
      </c>
      <c r="F330" s="9" t="inlineStr">
        <is>
          <t>Crustaceans</t>
        </is>
      </c>
      <c r="G330" s="10" t="inlineStr">
        <is>
          <t>2 Crustaceans</t>
        </is>
      </c>
      <c r="H330" s="11" t="n">
        <v>0.2129992169146437</v>
      </c>
      <c r="I330" s="9" t="inlineStr">
        <is>
          <t>model_biomass</t>
        </is>
      </c>
      <c r="J330" s="12" t="inlineStr">
        <is>
          <t>medium</t>
        </is>
      </c>
      <c r="K330" s="9" t="inlineStr">
        <is>
          <t>composite_split</t>
        </is>
      </c>
      <c r="L330" s="10" t="inlineStr">
        <is>
          <t>Accepted-name/synonym match: Appendix A1.1 lists the genus Parapenaeopsis under `shrimps`. Ganjampenaeopsis uncta is the former Parapenaeopsis uncta. Apportioned over the region 2 and region 3 pools by model biomass; region 1 is the Maldives shelf, outside LME 34.</t>
        </is>
      </c>
      <c r="M330" s="9" t="n">
        <v>118832.112</v>
      </c>
    </row>
    <row r="331" ht="51" customHeight="1">
      <c r="A331" s="9" t="inlineStr">
        <is>
          <t>LME_034</t>
        </is>
      </c>
      <c r="B331" s="10" t="inlineStr">
        <is>
          <t>34_1_Bay_of_Bengal_(1978)</t>
        </is>
      </c>
      <c r="C331" s="10" t="inlineStr">
        <is>
          <t>Ganjampenaeopsis uncta</t>
        </is>
      </c>
      <c r="D331" s="9" t="inlineStr">
        <is>
          <t>Uncta shrimp</t>
        </is>
      </c>
      <c r="E331" s="9" t="inlineStr">
        <is>
          <t>Shrimps</t>
        </is>
      </c>
      <c r="F331" s="9" t="inlineStr">
        <is>
          <t>Crustaceans</t>
        </is>
      </c>
      <c r="G331" s="10" t="inlineStr">
        <is>
          <t>3 Crustaceans</t>
        </is>
      </c>
      <c r="H331" s="11" t="n">
        <v>0.7870007830853563</v>
      </c>
      <c r="I331" s="9" t="inlineStr">
        <is>
          <t>model_biomass</t>
        </is>
      </c>
      <c r="J331" s="12" t="inlineStr">
        <is>
          <t>medium</t>
        </is>
      </c>
      <c r="K331" s="9" t="inlineStr">
        <is>
          <t>composite_split</t>
        </is>
      </c>
      <c r="L331" s="10" t="inlineStr">
        <is>
          <t>Accepted-name/synonym match: Appendix A1.1 lists the genus Parapenaeopsis under `shrimps`. Ganjampenaeopsis uncta is the former Parapenaeopsis uncta. Apportioned over the region 2 and region 3 pools by model biomass; region 1 is the Maldives shelf, outside LME 34.</t>
        </is>
      </c>
      <c r="M331" s="9" t="n">
        <v>118832.112</v>
      </c>
    </row>
    <row r="332" ht="51" customHeight="1">
      <c r="A332" s="9" t="inlineStr">
        <is>
          <t>LME_034</t>
        </is>
      </c>
      <c r="B332" s="10" t="inlineStr">
        <is>
          <t>34_1_Bay_of_Bengal_(1978)</t>
        </is>
      </c>
      <c r="C332" s="10" t="inlineStr">
        <is>
          <t>Mierspenaeopsis hardwickii</t>
        </is>
      </c>
      <c r="D332" s="9" t="inlineStr">
        <is>
          <t>Spear shrimp</t>
        </is>
      </c>
      <c r="E332" s="9" t="inlineStr">
        <is>
          <t>Shrimps</t>
        </is>
      </c>
      <c r="F332" s="9" t="inlineStr">
        <is>
          <t>Crustaceans</t>
        </is>
      </c>
      <c r="G332" s="10" t="inlineStr">
        <is>
          <t>2 Crustaceans</t>
        </is>
      </c>
      <c r="H332" s="11" t="n">
        <v>0.2129992169146437</v>
      </c>
      <c r="I332" s="9" t="inlineStr">
        <is>
          <t>model_biomass</t>
        </is>
      </c>
      <c r="J332" s="12" t="inlineStr">
        <is>
          <t>medium</t>
        </is>
      </c>
      <c r="K332" s="9" t="inlineStr">
        <is>
          <t>composite_split</t>
        </is>
      </c>
      <c r="L332" s="10" t="inlineStr">
        <is>
          <t>Accepted-name/synonym match: Appendix A1.1 lists Parapenaeopsis hardwickii under `shrimps`. Apportioned over the region 2 and region 3 pools by model biomass; region 1 is the Maldives shelf, outside LME 34.</t>
        </is>
      </c>
      <c r="M332" s="9" t="n">
        <v>105896.998</v>
      </c>
    </row>
    <row r="333" ht="51" customHeight="1">
      <c r="A333" s="9" t="inlineStr">
        <is>
          <t>LME_034</t>
        </is>
      </c>
      <c r="B333" s="10" t="inlineStr">
        <is>
          <t>34_1_Bay_of_Bengal_(1978)</t>
        </is>
      </c>
      <c r="C333" s="10" t="inlineStr">
        <is>
          <t>Mierspenaeopsis hardwickii</t>
        </is>
      </c>
      <c r="D333" s="9" t="inlineStr">
        <is>
          <t>Spear shrimp</t>
        </is>
      </c>
      <c r="E333" s="9" t="inlineStr">
        <is>
          <t>Shrimps</t>
        </is>
      </c>
      <c r="F333" s="9" t="inlineStr">
        <is>
          <t>Crustaceans</t>
        </is>
      </c>
      <c r="G333" s="10" t="inlineStr">
        <is>
          <t>3 Crustaceans</t>
        </is>
      </c>
      <c r="H333" s="11" t="n">
        <v>0.7870007830853563</v>
      </c>
      <c r="I333" s="9" t="inlineStr">
        <is>
          <t>model_biomass</t>
        </is>
      </c>
      <c r="J333" s="12" t="inlineStr">
        <is>
          <t>medium</t>
        </is>
      </c>
      <c r="K333" s="9" t="inlineStr">
        <is>
          <t>composite_split</t>
        </is>
      </c>
      <c r="L333" s="10" t="inlineStr">
        <is>
          <t>Accepted-name/synonym match: Appendix A1.1 lists Parapenaeopsis hardwickii under `shrimps`. Apportioned over the region 2 and region 3 pools by model biomass; region 1 is the Maldives shelf, outside LME 34.</t>
        </is>
      </c>
      <c r="M333" s="9" t="n">
        <v>105896.998</v>
      </c>
    </row>
    <row r="334" ht="36" customHeight="1">
      <c r="A334" s="9" t="inlineStr">
        <is>
          <t>LME_034</t>
        </is>
      </c>
      <c r="B334" s="10" t="inlineStr">
        <is>
          <t>34_1_Bay_of_Bengal_(1978)</t>
        </is>
      </c>
      <c r="C334" s="10" t="inlineStr">
        <is>
          <t>Lutjanus johnii</t>
        </is>
      </c>
      <c r="D334" s="9" t="inlineStr">
        <is>
          <t>John's snapper</t>
        </is>
      </c>
      <c r="E334" s="9" t="inlineStr">
        <is>
          <t>Medium reef assoc. fish (30 - 89 cm)</t>
        </is>
      </c>
      <c r="F334" s="9" t="inlineStr">
        <is>
          <t>Perch-likes</t>
        </is>
      </c>
      <c r="G334" s="10" t="inlineStr">
        <is>
          <t>2 L pisc comm</t>
        </is>
      </c>
      <c r="H334" s="11" t="n">
        <v>0.4790991864112831</v>
      </c>
      <c r="I334" s="9" t="inlineStr">
        <is>
          <t>model_biomass</t>
        </is>
      </c>
      <c r="J334" s="12" t="inlineStr">
        <is>
          <t>medium</t>
        </is>
      </c>
      <c r="K334" s="9" t="inlineStr">
        <is>
          <t>composite_split</t>
        </is>
      </c>
      <c r="L334" s="10" t="inlineStr">
        <is>
          <t>Appendix A1.1 lists this exact catch name under `L pisc comm`; apportioned over the region 2 and region 3 pools by model biomass; region 1 is the Maldives shelf, outside LME 34.</t>
        </is>
      </c>
      <c r="M334" s="9" t="n">
        <v>103413.897</v>
      </c>
    </row>
    <row r="335" ht="36" customHeight="1">
      <c r="A335" s="9" t="inlineStr">
        <is>
          <t>LME_034</t>
        </is>
      </c>
      <c r="B335" s="10" t="inlineStr">
        <is>
          <t>34_1_Bay_of_Bengal_(1978)</t>
        </is>
      </c>
      <c r="C335" s="10" t="inlineStr">
        <is>
          <t>Lutjanus johnii</t>
        </is>
      </c>
      <c r="D335" s="9" t="inlineStr">
        <is>
          <t>John's snapper</t>
        </is>
      </c>
      <c r="E335" s="9" t="inlineStr">
        <is>
          <t>Medium reef assoc. fish (30 - 89 cm)</t>
        </is>
      </c>
      <c r="F335" s="9" t="inlineStr">
        <is>
          <t>Perch-likes</t>
        </is>
      </c>
      <c r="G335" s="10" t="inlineStr">
        <is>
          <t>3 L pisc comm</t>
        </is>
      </c>
      <c r="H335" s="11" t="n">
        <v>0.5209008135887169</v>
      </c>
      <c r="I335" s="9" t="inlineStr">
        <is>
          <t>model_biomass</t>
        </is>
      </c>
      <c r="J335" s="12" t="inlineStr">
        <is>
          <t>medium</t>
        </is>
      </c>
      <c r="K335" s="9" t="inlineStr">
        <is>
          <t>composite_split</t>
        </is>
      </c>
      <c r="L335" s="10" t="inlineStr">
        <is>
          <t>Appendix A1.1 lists this exact catch name under `L pisc comm`; apportioned over the region 2 and region 3 pools by model biomass; region 1 is the Maldives shelf, outside LME 34.</t>
        </is>
      </c>
      <c r="M335" s="9" t="n">
        <v>103413.897</v>
      </c>
    </row>
    <row r="336" ht="36" customHeight="1">
      <c r="A336" s="9" t="inlineStr">
        <is>
          <t>LME_034</t>
        </is>
      </c>
      <c r="B336" s="10" t="inlineStr">
        <is>
          <t>34_1_Bay_of_Bengal_(1978)</t>
        </is>
      </c>
      <c r="C336" s="10" t="inlineStr">
        <is>
          <t>Istiophoridae</t>
        </is>
      </c>
      <c r="D336" s="9" t="inlineStr">
        <is>
          <t>Billfishes</t>
        </is>
      </c>
      <c r="E336" s="9" t="inlineStr">
        <is>
          <t>Large pelagics (&gt;=90 cm)</t>
        </is>
      </c>
      <c r="F336" s="9" t="inlineStr">
        <is>
          <t>Tuna &amp; billfishes</t>
        </is>
      </c>
      <c r="G336" s="10" t="inlineStr">
        <is>
          <t>Tuna-like</t>
        </is>
      </c>
      <c r="H336" s="11" t="n">
        <v>1</v>
      </c>
      <c r="I336" s="9" t="inlineStr">
        <is>
          <t>single</t>
        </is>
      </c>
      <c r="J336" s="13" t="inlineStr">
        <is>
          <t>high</t>
        </is>
      </c>
      <c r="K336" s="9" t="inlineStr">
        <is>
          <t>explicit_member</t>
        </is>
      </c>
      <c r="L336" s="10" t="inlineStr">
        <is>
          <t>Appendix A1.1 lists this exact catch name under `tuna-like`, a group modelled over the whole study area (Appendix A1.2).</t>
        </is>
      </c>
      <c r="M336" s="9" t="n">
        <v>101863.612</v>
      </c>
    </row>
    <row r="337" ht="36" customHeight="1">
      <c r="A337" s="9" t="inlineStr">
        <is>
          <t>LME_034</t>
        </is>
      </c>
      <c r="B337" s="10" t="inlineStr">
        <is>
          <t>34_1_Bay_of_Bengal_(1978)</t>
        </is>
      </c>
      <c r="C337" s="10" t="inlineStr">
        <is>
          <t>Thunnus</t>
        </is>
      </c>
      <c r="D337" s="9" t="inlineStr">
        <is>
          <t>Tunas</t>
        </is>
      </c>
      <c r="E337" s="9" t="inlineStr">
        <is>
          <t>Large pelagics (&gt;=90 cm)</t>
        </is>
      </c>
      <c r="F337" s="9" t="inlineStr">
        <is>
          <t>Tuna &amp; billfishes</t>
        </is>
      </c>
      <c r="G337" s="10" t="inlineStr">
        <is>
          <t>Tuna-like</t>
        </is>
      </c>
      <c r="H337" s="11" t="n">
        <v>1</v>
      </c>
      <c r="I337" s="9" t="inlineStr">
        <is>
          <t>single</t>
        </is>
      </c>
      <c r="J337" s="13" t="inlineStr">
        <is>
          <t>high</t>
        </is>
      </c>
      <c r="K337" s="9" t="inlineStr">
        <is>
          <t>explicit_member</t>
        </is>
      </c>
      <c r="L337" s="10" t="inlineStr">
        <is>
          <t>Appendix A1.1 lists this exact catch name under `tuna-like`, a group modelled over the whole study area (Appendix A1.2).</t>
        </is>
      </c>
      <c r="M337" s="9" t="n">
        <v>101264.688</v>
      </c>
    </row>
    <row r="338" ht="36" customHeight="1">
      <c r="A338" s="9" t="inlineStr">
        <is>
          <t>LME_034</t>
        </is>
      </c>
      <c r="B338" s="10" t="inlineStr">
        <is>
          <t>34_1_Bay_of_Bengal_(1978)</t>
        </is>
      </c>
      <c r="C338" s="10" t="inlineStr">
        <is>
          <t>Sergestidae</t>
        </is>
      </c>
      <c r="D338" s="9" t="inlineStr">
        <is>
          <t>Sergestid shrimp</t>
        </is>
      </c>
      <c r="E338" s="9" t="inlineStr">
        <is>
          <t>Shrimps</t>
        </is>
      </c>
      <c r="F338" s="9" t="inlineStr">
        <is>
          <t>Crustaceans</t>
        </is>
      </c>
      <c r="G338" s="10" t="inlineStr">
        <is>
          <t>2 Crustaceans</t>
        </is>
      </c>
      <c r="H338" s="11" t="n">
        <v>0.2129992169146437</v>
      </c>
      <c r="I338" s="9" t="inlineStr">
        <is>
          <t>model_biomass</t>
        </is>
      </c>
      <c r="J338" s="12" t="inlineStr">
        <is>
          <t>medium</t>
        </is>
      </c>
      <c r="K338" s="9" t="inlineStr">
        <is>
          <t>composite_split</t>
        </is>
      </c>
      <c r="L338" s="10" t="inlineStr">
        <is>
          <t>Appendix A1.1 lists this exact catch name under `shrimps`; apportioned over the region 2 and region 3 pools by model biomass; region 1 is the Maldives shelf, outside LME 34.</t>
        </is>
      </c>
      <c r="M338" s="9" t="n">
        <v>97361.95</v>
      </c>
    </row>
    <row r="339" ht="36" customHeight="1">
      <c r="A339" s="9" t="inlineStr">
        <is>
          <t>LME_034</t>
        </is>
      </c>
      <c r="B339" s="10" t="inlineStr">
        <is>
          <t>34_1_Bay_of_Bengal_(1978)</t>
        </is>
      </c>
      <c r="C339" s="10" t="inlineStr">
        <is>
          <t>Sergestidae</t>
        </is>
      </c>
      <c r="D339" s="9" t="inlineStr">
        <is>
          <t>Sergestid shrimp</t>
        </is>
      </c>
      <c r="E339" s="9" t="inlineStr">
        <is>
          <t>Shrimps</t>
        </is>
      </c>
      <c r="F339" s="9" t="inlineStr">
        <is>
          <t>Crustaceans</t>
        </is>
      </c>
      <c r="G339" s="10" t="inlineStr">
        <is>
          <t>3 Crustaceans</t>
        </is>
      </c>
      <c r="H339" s="11" t="n">
        <v>0.7870007830853563</v>
      </c>
      <c r="I339" s="9" t="inlineStr">
        <is>
          <t>model_biomass</t>
        </is>
      </c>
      <c r="J339" s="12" t="inlineStr">
        <is>
          <t>medium</t>
        </is>
      </c>
      <c r="K339" s="9" t="inlineStr">
        <is>
          <t>composite_split</t>
        </is>
      </c>
      <c r="L339" s="10" t="inlineStr">
        <is>
          <t>Appendix A1.1 lists this exact catch name under `shrimps`; apportioned over the region 2 and region 3 pools by model biomass; region 1 is the Maldives shelf, outside LME 34.</t>
        </is>
      </c>
      <c r="M339" s="9" t="n">
        <v>97361.95</v>
      </c>
    </row>
    <row r="340" ht="36" customHeight="1">
      <c r="A340" s="9" t="inlineStr">
        <is>
          <t>LME_034</t>
        </is>
      </c>
      <c r="B340" s="10" t="inlineStr">
        <is>
          <t>34_1_Bay_of_Bengal_(1978)</t>
        </is>
      </c>
      <c r="C340" s="10" t="inlineStr">
        <is>
          <t>Siganus</t>
        </is>
      </c>
      <c r="D340" s="9" t="inlineStr">
        <is>
          <t>Spinefoots</t>
        </is>
      </c>
      <c r="E340" s="9" t="inlineStr">
        <is>
          <t>Medium reef assoc. fish (30 - 89 cm)</t>
        </is>
      </c>
      <c r="F340" s="9" t="inlineStr">
        <is>
          <t>Perch-likes</t>
        </is>
      </c>
      <c r="G340" s="10" t="inlineStr">
        <is>
          <t>2 SM inv</t>
        </is>
      </c>
      <c r="H340" s="11" t="n">
        <v>0.3170901271842734</v>
      </c>
      <c r="I340" s="9" t="inlineStr">
        <is>
          <t>model_biomass</t>
        </is>
      </c>
      <c r="J340" s="12" t="inlineStr">
        <is>
          <t>medium</t>
        </is>
      </c>
      <c r="K340" s="9" t="inlineStr">
        <is>
          <t>composite_split</t>
        </is>
      </c>
      <c r="L340" s="10" t="inlineStr">
        <is>
          <t>Appendix A1.1 lists this exact catch name under `SM inv`; apportioned over the region 2 and region 3 pools by model biomass; region 1 is the Maldives shelf, outside LME 34.</t>
        </is>
      </c>
      <c r="M340" s="9" t="n">
        <v>94323.81299999999</v>
      </c>
    </row>
    <row r="341" ht="36" customHeight="1">
      <c r="A341" s="9" t="inlineStr">
        <is>
          <t>LME_034</t>
        </is>
      </c>
      <c r="B341" s="10" t="inlineStr">
        <is>
          <t>34_1_Bay_of_Bengal_(1978)</t>
        </is>
      </c>
      <c r="C341" s="10" t="inlineStr">
        <is>
          <t>Siganus</t>
        </is>
      </c>
      <c r="D341" s="9" t="inlineStr">
        <is>
          <t>Spinefoots</t>
        </is>
      </c>
      <c r="E341" s="9" t="inlineStr">
        <is>
          <t>Medium reef assoc. fish (30 - 89 cm)</t>
        </is>
      </c>
      <c r="F341" s="9" t="inlineStr">
        <is>
          <t>Perch-likes</t>
        </is>
      </c>
      <c r="G341" s="10" t="inlineStr">
        <is>
          <t>3 SM inv</t>
        </is>
      </c>
      <c r="H341" s="11" t="n">
        <v>0.6829098728157266</v>
      </c>
      <c r="I341" s="9" t="inlineStr">
        <is>
          <t>model_biomass</t>
        </is>
      </c>
      <c r="J341" s="12" t="inlineStr">
        <is>
          <t>medium</t>
        </is>
      </c>
      <c r="K341" s="9" t="inlineStr">
        <is>
          <t>composite_split</t>
        </is>
      </c>
      <c r="L341" s="10" t="inlineStr">
        <is>
          <t>Appendix A1.1 lists this exact catch name under `SM inv`; apportioned over the region 2 and region 3 pools by model biomass; region 1 is the Maldives shelf, outside LME 34.</t>
        </is>
      </c>
      <c r="M341" s="9" t="n">
        <v>94323.81299999999</v>
      </c>
    </row>
    <row r="342" ht="36" customHeight="1">
      <c r="A342" s="9" t="inlineStr">
        <is>
          <t>LME_034</t>
        </is>
      </c>
      <c r="B342" s="10" t="inlineStr">
        <is>
          <t>34_1_Bay_of_Bengal_(1978)</t>
        </is>
      </c>
      <c r="C342" s="10" t="inlineStr">
        <is>
          <t>Ilisha elongata</t>
        </is>
      </c>
      <c r="D342" s="9" t="inlineStr">
        <is>
          <t>Elongate ilisha</t>
        </is>
      </c>
      <c r="E342" s="9" t="inlineStr">
        <is>
          <t>Medium pelagics (30 - 89 cm)</t>
        </is>
      </c>
      <c r="F342" s="9" t="inlineStr">
        <is>
          <t>Herring-likes</t>
        </is>
      </c>
      <c r="G342" s="10" t="inlineStr">
        <is>
          <t>2-3 Hilsa</t>
        </is>
      </c>
      <c r="H342" s="11" t="n">
        <v>1</v>
      </c>
      <c r="I342" s="9" t="inlineStr">
        <is>
          <t>single</t>
        </is>
      </c>
      <c r="J342" s="13" t="inlineStr">
        <is>
          <t>high</t>
        </is>
      </c>
      <c r="K342" s="9" t="inlineStr">
        <is>
          <t>explicit_member</t>
        </is>
      </c>
      <c r="L342" s="10" t="inlineStr">
        <is>
          <t>Appendix A1.1 lists this exact catch name under `Hilsa`, which the model carries as one group straddling the shelves of regions 2 and 3 (Appendix A1.2), so no regional split applies.</t>
        </is>
      </c>
      <c r="M342" s="9" t="n">
        <v>93389.476</v>
      </c>
    </row>
    <row r="343" ht="36" customHeight="1">
      <c r="A343" s="9" t="inlineStr">
        <is>
          <t>LME_034</t>
        </is>
      </c>
      <c r="B343" s="10" t="inlineStr">
        <is>
          <t>34_1_Bay_of_Bengal_(1978)</t>
        </is>
      </c>
      <c r="C343" s="10" t="inlineStr">
        <is>
          <t>Plotosus</t>
        </is>
      </c>
      <c r="D343" s="9" t="inlineStr">
        <is>
          <t>Eel catfishes</t>
        </is>
      </c>
      <c r="E343" s="9" t="inlineStr">
        <is>
          <t>Medium reef assoc. fish (30 - 89 cm)</t>
        </is>
      </c>
      <c r="F343" s="9" t="inlineStr">
        <is>
          <t>Other fishes &amp; inverts</t>
        </is>
      </c>
      <c r="G343" s="10" t="inlineStr">
        <is>
          <t>2 L pisc</t>
        </is>
      </c>
      <c r="H343" s="11" t="n">
        <v>0.449530936694357</v>
      </c>
      <c r="I343" s="9" t="inlineStr">
        <is>
          <t>model_biomass</t>
        </is>
      </c>
      <c r="J343" s="12" t="inlineStr">
        <is>
          <t>medium</t>
        </is>
      </c>
      <c r="K343" s="9" t="inlineStr">
        <is>
          <t>composite_split</t>
        </is>
      </c>
      <c r="L343" s="10" t="inlineStr">
        <is>
          <t>Appendix A1.1 lists this exact catch name under `L pisc`; apportioned over the region 2 and region 3 pools by model biomass; region 1 is the Maldives shelf, outside LME 34.</t>
        </is>
      </c>
      <c r="M343" s="9" t="n">
        <v>92683.925</v>
      </c>
    </row>
    <row r="344" ht="36" customHeight="1">
      <c r="A344" s="9" t="inlineStr">
        <is>
          <t>LME_034</t>
        </is>
      </c>
      <c r="B344" s="10" t="inlineStr">
        <is>
          <t>34_1_Bay_of_Bengal_(1978)</t>
        </is>
      </c>
      <c r="C344" s="10" t="inlineStr">
        <is>
          <t>Plotosus</t>
        </is>
      </c>
      <c r="D344" s="9" t="inlineStr">
        <is>
          <t>Eel catfishes</t>
        </is>
      </c>
      <c r="E344" s="9" t="inlineStr">
        <is>
          <t>Medium reef assoc. fish (30 - 89 cm)</t>
        </is>
      </c>
      <c r="F344" s="9" t="inlineStr">
        <is>
          <t>Other fishes &amp; inverts</t>
        </is>
      </c>
      <c r="G344" s="10" t="inlineStr">
        <is>
          <t>3 L pisc</t>
        </is>
      </c>
      <c r="H344" s="11" t="n">
        <v>0.5504690633056432</v>
      </c>
      <c r="I344" s="9" t="inlineStr">
        <is>
          <t>model_biomass</t>
        </is>
      </c>
      <c r="J344" s="12" t="inlineStr">
        <is>
          <t>medium</t>
        </is>
      </c>
      <c r="K344" s="9" t="inlineStr">
        <is>
          <t>composite_split</t>
        </is>
      </c>
      <c r="L344" s="10" t="inlineStr">
        <is>
          <t>Appendix A1.1 lists this exact catch name under `L pisc`; apportioned over the region 2 and region 3 pools by model biomass; region 1 is the Maldives shelf, outside LME 34.</t>
        </is>
      </c>
      <c r="M344" s="9" t="n">
        <v>92683.925</v>
      </c>
    </row>
    <row r="345" ht="36" customHeight="1">
      <c r="A345" s="9" t="inlineStr">
        <is>
          <t>LME_034</t>
        </is>
      </c>
      <c r="B345" s="10" t="inlineStr">
        <is>
          <t>34_1_Bay_of_Bengal_(1978)</t>
        </is>
      </c>
      <c r="C345" s="10" t="inlineStr">
        <is>
          <t>Caranx</t>
        </is>
      </c>
      <c r="D345" s="9" t="inlineStr">
        <is>
          <t>Jacks</t>
        </is>
      </c>
      <c r="E345" s="9" t="inlineStr">
        <is>
          <t>Medium reef assoc. fish (30 - 89 cm)</t>
        </is>
      </c>
      <c r="F345" s="9" t="inlineStr">
        <is>
          <t>Perch-likes</t>
        </is>
      </c>
      <c r="G345" s="10" t="inlineStr">
        <is>
          <t>2 Carangids</t>
        </is>
      </c>
      <c r="H345" s="11" t="n">
        <v>0.3043867502238138</v>
      </c>
      <c r="I345" s="9" t="inlineStr">
        <is>
          <t>model_biomass</t>
        </is>
      </c>
      <c r="J345" s="12" t="inlineStr">
        <is>
          <t>medium</t>
        </is>
      </c>
      <c r="K345" s="9" t="inlineStr">
        <is>
          <t>composite_split</t>
        </is>
      </c>
      <c r="L345" s="10" t="inlineStr">
        <is>
          <t>Appendix A1.1 lists this exact catch name under `Carangids`; apportioned over the region 2 and region 3 pools by model biomass; region 1 is the Maldives shelf, outside LME 34.</t>
        </is>
      </c>
      <c r="M345" s="9" t="n">
        <v>92193.705</v>
      </c>
    </row>
    <row r="346" ht="36" customHeight="1">
      <c r="A346" s="9" t="inlineStr">
        <is>
          <t>LME_034</t>
        </is>
      </c>
      <c r="B346" s="10" t="inlineStr">
        <is>
          <t>34_1_Bay_of_Bengal_(1978)</t>
        </is>
      </c>
      <c r="C346" s="10" t="inlineStr">
        <is>
          <t>Caranx</t>
        </is>
      </c>
      <c r="D346" s="9" t="inlineStr">
        <is>
          <t>Jacks</t>
        </is>
      </c>
      <c r="E346" s="9" t="inlineStr">
        <is>
          <t>Medium reef assoc. fish (30 - 89 cm)</t>
        </is>
      </c>
      <c r="F346" s="9" t="inlineStr">
        <is>
          <t>Perch-likes</t>
        </is>
      </c>
      <c r="G346" s="10" t="inlineStr">
        <is>
          <t>3 Carangids</t>
        </is>
      </c>
      <c r="H346" s="11" t="n">
        <v>0.6956132497761862</v>
      </c>
      <c r="I346" s="9" t="inlineStr">
        <is>
          <t>model_biomass</t>
        </is>
      </c>
      <c r="J346" s="12" t="inlineStr">
        <is>
          <t>medium</t>
        </is>
      </c>
      <c r="K346" s="9" t="inlineStr">
        <is>
          <t>composite_split</t>
        </is>
      </c>
      <c r="L346" s="10" t="inlineStr">
        <is>
          <t>Appendix A1.1 lists this exact catch name under `Carangids`; apportioned over the region 2 and region 3 pools by model biomass; region 1 is the Maldives shelf, outside LME 34.</t>
        </is>
      </c>
      <c r="M346" s="9" t="n">
        <v>92193.705</v>
      </c>
    </row>
    <row r="347" ht="36" customHeight="1">
      <c r="A347" s="9" t="inlineStr">
        <is>
          <t>LME_034</t>
        </is>
      </c>
      <c r="B347" s="10" t="inlineStr">
        <is>
          <t>34_1_Bay_of_Bengal_(1978)</t>
        </is>
      </c>
      <c r="C347" s="10" t="inlineStr">
        <is>
          <t>Carangoides</t>
        </is>
      </c>
      <c r="D347" s="9" t="inlineStr">
        <is>
          <t>Trevallies</t>
        </is>
      </c>
      <c r="E347" s="9" t="inlineStr">
        <is>
          <t>Medium reef assoc. fish (30 - 89 cm)</t>
        </is>
      </c>
      <c r="F347" s="9" t="inlineStr">
        <is>
          <t>Perch-likes</t>
        </is>
      </c>
      <c r="G347" s="10" t="inlineStr">
        <is>
          <t>2 Carangids</t>
        </is>
      </c>
      <c r="H347" s="11" t="n">
        <v>0.3043867502238138</v>
      </c>
      <c r="I347" s="9" t="inlineStr">
        <is>
          <t>model_biomass</t>
        </is>
      </c>
      <c r="J347" s="12" t="inlineStr">
        <is>
          <t>medium</t>
        </is>
      </c>
      <c r="K347" s="9" t="inlineStr">
        <is>
          <t>composite_split</t>
        </is>
      </c>
      <c r="L347" s="10" t="inlineStr">
        <is>
          <t>Appendix A1.1 lists this exact catch name under `Carangids`; apportioned over the region 2 and region 3 pools by model biomass; region 1 is the Maldives shelf, outside LME 34.</t>
        </is>
      </c>
      <c r="M347" s="9" t="n">
        <v>91719.31299999999</v>
      </c>
    </row>
    <row r="348" ht="36" customHeight="1">
      <c r="A348" s="9" t="inlineStr">
        <is>
          <t>LME_034</t>
        </is>
      </c>
      <c r="B348" s="10" t="inlineStr">
        <is>
          <t>34_1_Bay_of_Bengal_(1978)</t>
        </is>
      </c>
      <c r="C348" s="10" t="inlineStr">
        <is>
          <t>Carangoides</t>
        </is>
      </c>
      <c r="D348" s="9" t="inlineStr">
        <is>
          <t>Trevallies</t>
        </is>
      </c>
      <c r="E348" s="9" t="inlineStr">
        <is>
          <t>Medium reef assoc. fish (30 - 89 cm)</t>
        </is>
      </c>
      <c r="F348" s="9" t="inlineStr">
        <is>
          <t>Perch-likes</t>
        </is>
      </c>
      <c r="G348" s="10" t="inlineStr">
        <is>
          <t>3 Carangids</t>
        </is>
      </c>
      <c r="H348" s="11" t="n">
        <v>0.6956132497761862</v>
      </c>
      <c r="I348" s="9" t="inlineStr">
        <is>
          <t>model_biomass</t>
        </is>
      </c>
      <c r="J348" s="12" t="inlineStr">
        <is>
          <t>medium</t>
        </is>
      </c>
      <c r="K348" s="9" t="inlineStr">
        <is>
          <t>composite_split</t>
        </is>
      </c>
      <c r="L348" s="10" t="inlineStr">
        <is>
          <t>Appendix A1.1 lists this exact catch name under `Carangids`; apportioned over the region 2 and region 3 pools by model biomass; region 1 is the Maldives shelf, outside LME 34.</t>
        </is>
      </c>
      <c r="M348" s="9" t="n">
        <v>91719.31299999999</v>
      </c>
    </row>
    <row r="349" ht="51" customHeight="1">
      <c r="A349" s="9" t="inlineStr">
        <is>
          <t>LME_034</t>
        </is>
      </c>
      <c r="B349" s="10" t="inlineStr">
        <is>
          <t>34_1_Bay_of_Bengal_(1978)</t>
        </is>
      </c>
      <c r="C349" s="10" t="inlineStr">
        <is>
          <t>Penaeus indicus</t>
        </is>
      </c>
      <c r="D349" s="9" t="inlineStr">
        <is>
          <t>Indian white prawn</t>
        </is>
      </c>
      <c r="E349" s="9" t="inlineStr">
        <is>
          <t>Shrimps</t>
        </is>
      </c>
      <c r="F349" s="9" t="inlineStr">
        <is>
          <t>Crustaceans</t>
        </is>
      </c>
      <c r="G349" s="10" t="inlineStr">
        <is>
          <t>2 Crustaceans</t>
        </is>
      </c>
      <c r="H349" s="11" t="n">
        <v>0.2129992169146437</v>
      </c>
      <c r="I349" s="9" t="inlineStr">
        <is>
          <t>model_biomass</t>
        </is>
      </c>
      <c r="J349" s="12" t="inlineStr">
        <is>
          <t>medium</t>
        </is>
      </c>
      <c r="K349" s="9" t="inlineStr">
        <is>
          <t>composite_split</t>
        </is>
      </c>
      <c r="L349" s="10" t="inlineStr">
        <is>
          <t>Accepted-name/synonym match: Appendix A1.1 lists Fenneropenaeus indicus under `shrimps`. Apportioned over the region 2 and region 3 pools by model biomass; region 1 is the Maldives shelf, outside LME 34.</t>
        </is>
      </c>
      <c r="M349" s="9" t="n">
        <v>89530.07000000001</v>
      </c>
    </row>
    <row r="350" ht="51" customHeight="1">
      <c r="A350" s="9" t="inlineStr">
        <is>
          <t>LME_034</t>
        </is>
      </c>
      <c r="B350" s="10" t="inlineStr">
        <is>
          <t>34_1_Bay_of_Bengal_(1978)</t>
        </is>
      </c>
      <c r="C350" s="10" t="inlineStr">
        <is>
          <t>Penaeus indicus</t>
        </is>
      </c>
      <c r="D350" s="9" t="inlineStr">
        <is>
          <t>Indian white prawn</t>
        </is>
      </c>
      <c r="E350" s="9" t="inlineStr">
        <is>
          <t>Shrimps</t>
        </is>
      </c>
      <c r="F350" s="9" t="inlineStr">
        <is>
          <t>Crustaceans</t>
        </is>
      </c>
      <c r="G350" s="10" t="inlineStr">
        <is>
          <t>3 Crustaceans</t>
        </is>
      </c>
      <c r="H350" s="11" t="n">
        <v>0.7870007830853563</v>
      </c>
      <c r="I350" s="9" t="inlineStr">
        <is>
          <t>model_biomass</t>
        </is>
      </c>
      <c r="J350" s="12" t="inlineStr">
        <is>
          <t>medium</t>
        </is>
      </c>
      <c r="K350" s="9" t="inlineStr">
        <is>
          <t>composite_split</t>
        </is>
      </c>
      <c r="L350" s="10" t="inlineStr">
        <is>
          <t>Accepted-name/synonym match: Appendix A1.1 lists Fenneropenaeus indicus under `shrimps`. Apportioned over the region 2 and region 3 pools by model biomass; region 1 is the Maldives shelf, outside LME 34.</t>
        </is>
      </c>
      <c r="M350" s="9" t="n">
        <v>89530.07000000001</v>
      </c>
    </row>
    <row r="351" ht="21" customHeight="1">
      <c r="A351" s="9" t="inlineStr">
        <is>
          <t>LME_034</t>
        </is>
      </c>
      <c r="B351" s="10" t="inlineStr">
        <is>
          <t>34_1_Bay_of_Bengal_(1978)</t>
        </is>
      </c>
      <c r="C351" s="10" t="inlineStr">
        <is>
          <t>Gudusia chapra</t>
        </is>
      </c>
      <c r="D351" s="9" t="inlineStr">
        <is>
          <t>Indian river shad</t>
        </is>
      </c>
      <c r="E351" s="9" t="inlineStr">
        <is>
          <t>Small pelagics (&lt;30 cm)</t>
        </is>
      </c>
      <c r="F351" s="9" t="inlineStr">
        <is>
          <t>Herring-likes</t>
        </is>
      </c>
      <c r="G351" s="10" t="inlineStr">
        <is>
          <t>2-3 Hilsa</t>
        </is>
      </c>
      <c r="H351" s="11" t="n">
        <v>1</v>
      </c>
      <c r="I351" s="9" t="inlineStr">
        <is>
          <t>single</t>
        </is>
      </c>
      <c r="J351" s="13" t="inlineStr">
        <is>
          <t>high</t>
        </is>
      </c>
      <c r="K351" s="9" t="inlineStr">
        <is>
          <t>explicit_member</t>
        </is>
      </c>
      <c r="L351" s="10" t="inlineStr">
        <is>
          <t>Appendix A1.3 lists Gudusia chapra in the `Hilsa` species list.</t>
        </is>
      </c>
      <c r="M351" s="9" t="n">
        <v>79866.242</v>
      </c>
    </row>
    <row r="352" ht="36" customHeight="1">
      <c r="A352" s="9" t="inlineStr">
        <is>
          <t>LME_034</t>
        </is>
      </c>
      <c r="B352" s="10" t="inlineStr">
        <is>
          <t>34_1_Bay_of_Bengal_(1978)</t>
        </is>
      </c>
      <c r="C352" s="10" t="inlineStr">
        <is>
          <t>Portunus</t>
        </is>
      </c>
      <c r="D352" s="9" t="inlineStr">
        <is>
          <t>Swimmer crabs</t>
        </is>
      </c>
      <c r="E352" s="9" t="inlineStr">
        <is>
          <t>Lobsters, crabs</t>
        </is>
      </c>
      <c r="F352" s="9" t="inlineStr">
        <is>
          <t>Crustaceans</t>
        </is>
      </c>
      <c r="G352" s="10" t="inlineStr">
        <is>
          <t>2 Crustaceans</t>
        </is>
      </c>
      <c r="H352" s="11" t="n">
        <v>0.2129992169146437</v>
      </c>
      <c r="I352" s="9" t="inlineStr">
        <is>
          <t>model_biomass</t>
        </is>
      </c>
      <c r="J352" s="12" t="inlineStr">
        <is>
          <t>medium</t>
        </is>
      </c>
      <c r="K352" s="9" t="inlineStr">
        <is>
          <t>composite_split</t>
        </is>
      </c>
      <c r="L352" s="10" t="inlineStr">
        <is>
          <t>Appendix A1.1 lists this exact catch name under `Crabs`; apportioned over the region 2 and region 3 pools by model biomass; region 1 is the Maldives shelf, outside LME 34.</t>
        </is>
      </c>
      <c r="M352" s="9" t="n">
        <v>78449.216</v>
      </c>
    </row>
    <row r="353" ht="36" customHeight="1">
      <c r="A353" s="9" t="inlineStr">
        <is>
          <t>LME_034</t>
        </is>
      </c>
      <c r="B353" s="10" t="inlineStr">
        <is>
          <t>34_1_Bay_of_Bengal_(1978)</t>
        </is>
      </c>
      <c r="C353" s="10" t="inlineStr">
        <is>
          <t>Portunus</t>
        </is>
      </c>
      <c r="D353" s="9" t="inlineStr">
        <is>
          <t>Swimmer crabs</t>
        </is>
      </c>
      <c r="E353" s="9" t="inlineStr">
        <is>
          <t>Lobsters, crabs</t>
        </is>
      </c>
      <c r="F353" s="9" t="inlineStr">
        <is>
          <t>Crustaceans</t>
        </is>
      </c>
      <c r="G353" s="10" t="inlineStr">
        <is>
          <t>3 Crustaceans</t>
        </is>
      </c>
      <c r="H353" s="11" t="n">
        <v>0.7870007830853563</v>
      </c>
      <c r="I353" s="9" t="inlineStr">
        <is>
          <t>model_biomass</t>
        </is>
      </c>
      <c r="J353" s="12" t="inlineStr">
        <is>
          <t>medium</t>
        </is>
      </c>
      <c r="K353" s="9" t="inlineStr">
        <is>
          <t>composite_split</t>
        </is>
      </c>
      <c r="L353" s="10" t="inlineStr">
        <is>
          <t>Appendix A1.1 lists this exact catch name under `Crabs`; apportioned over the region 2 and region 3 pools by model biomass; region 1 is the Maldives shelf, outside LME 34.</t>
        </is>
      </c>
      <c r="M353" s="9" t="n">
        <v>78449.216</v>
      </c>
    </row>
    <row r="354" ht="36" customHeight="1">
      <c r="A354" s="9" t="inlineStr">
        <is>
          <t>LME_034</t>
        </is>
      </c>
      <c r="B354" s="10" t="inlineStr">
        <is>
          <t>34_1_Bay_of_Bengal_(1978)</t>
        </is>
      </c>
      <c r="C354" s="10" t="inlineStr">
        <is>
          <t>Metapenaeus monoceros</t>
        </is>
      </c>
      <c r="D354" s="9" t="inlineStr">
        <is>
          <t>Speckled shrimp</t>
        </is>
      </c>
      <c r="E354" s="9" t="inlineStr">
        <is>
          <t>Shrimps</t>
        </is>
      </c>
      <c r="F354" s="9" t="inlineStr">
        <is>
          <t>Crustaceans</t>
        </is>
      </c>
      <c r="G354" s="10" t="inlineStr">
        <is>
          <t>2 Crustaceans</t>
        </is>
      </c>
      <c r="H354" s="11" t="n">
        <v>0.2129992169146437</v>
      </c>
      <c r="I354" s="9" t="inlineStr">
        <is>
          <t>model_biomass</t>
        </is>
      </c>
      <c r="J354" s="12" t="inlineStr">
        <is>
          <t>medium</t>
        </is>
      </c>
      <c r="K354" s="9" t="inlineStr">
        <is>
          <t>composite_split</t>
        </is>
      </c>
      <c r="L354" s="10" t="inlineStr">
        <is>
          <t>Appendix A1.1 lists this exact catch name under `shrimps`; apportioned over the region 2 and region 3 pools by model biomass; region 1 is the Maldives shelf, outside LME 34.</t>
        </is>
      </c>
      <c r="M354" s="9" t="n">
        <v>76203.69100000001</v>
      </c>
    </row>
    <row r="355" ht="36" customHeight="1">
      <c r="A355" s="9" t="inlineStr">
        <is>
          <t>LME_034</t>
        </is>
      </c>
      <c r="B355" s="10" t="inlineStr">
        <is>
          <t>34_1_Bay_of_Bengal_(1978)</t>
        </is>
      </c>
      <c r="C355" s="10" t="inlineStr">
        <is>
          <t>Metapenaeus monoceros</t>
        </is>
      </c>
      <c r="D355" s="9" t="inlineStr">
        <is>
          <t>Speckled shrimp</t>
        </is>
      </c>
      <c r="E355" s="9" t="inlineStr">
        <is>
          <t>Shrimps</t>
        </is>
      </c>
      <c r="F355" s="9" t="inlineStr">
        <is>
          <t>Crustaceans</t>
        </is>
      </c>
      <c r="G355" s="10" t="inlineStr">
        <is>
          <t>3 Crustaceans</t>
        </is>
      </c>
      <c r="H355" s="11" t="n">
        <v>0.7870007830853563</v>
      </c>
      <c r="I355" s="9" t="inlineStr">
        <is>
          <t>model_biomass</t>
        </is>
      </c>
      <c r="J355" s="12" t="inlineStr">
        <is>
          <t>medium</t>
        </is>
      </c>
      <c r="K355" s="9" t="inlineStr">
        <is>
          <t>composite_split</t>
        </is>
      </c>
      <c r="L355" s="10" t="inlineStr">
        <is>
          <t>Appendix A1.1 lists this exact catch name under `shrimps`; apportioned over the region 2 and region 3 pools by model biomass; region 1 is the Maldives shelf, outside LME 34.</t>
        </is>
      </c>
      <c r="M355" s="9" t="n">
        <v>76203.69100000001</v>
      </c>
    </row>
    <row r="356" ht="36" customHeight="1">
      <c r="A356" s="9" t="inlineStr">
        <is>
          <t>LME_034</t>
        </is>
      </c>
      <c r="B356" s="10" t="inlineStr">
        <is>
          <t>34_1_Bay_of_Bengal_(1978)</t>
        </is>
      </c>
      <c r="C356" s="10" t="inlineStr">
        <is>
          <t>Palinuridae</t>
        </is>
      </c>
      <c r="D356" s="9" t="inlineStr">
        <is>
          <t>Spiny lobsters</t>
        </is>
      </c>
      <c r="E356" s="9" t="inlineStr">
        <is>
          <t>Lobsters, crabs</t>
        </is>
      </c>
      <c r="F356" s="9" t="inlineStr">
        <is>
          <t>Crustaceans</t>
        </is>
      </c>
      <c r="G356" s="10" t="inlineStr">
        <is>
          <t>2 Crustaceans</t>
        </is>
      </c>
      <c r="H356" s="11" t="n">
        <v>0.2129992169146437</v>
      </c>
      <c r="I356" s="9" t="inlineStr">
        <is>
          <t>model_biomass</t>
        </is>
      </c>
      <c r="J356" s="12" t="inlineStr">
        <is>
          <t>medium</t>
        </is>
      </c>
      <c r="K356" s="9" t="inlineStr">
        <is>
          <t>composite_split</t>
        </is>
      </c>
      <c r="L356" s="10" t="inlineStr">
        <is>
          <t>Appendix A1.1 lists this exact catch name under `Crabs`; apportioned over the region 2 and region 3 pools by model biomass; region 1 is the Maldives shelf, outside LME 34.</t>
        </is>
      </c>
      <c r="M356" s="9" t="n">
        <v>66111.63400000001</v>
      </c>
    </row>
    <row r="357" ht="36" customHeight="1">
      <c r="A357" s="9" t="inlineStr">
        <is>
          <t>LME_034</t>
        </is>
      </c>
      <c r="B357" s="10" t="inlineStr">
        <is>
          <t>34_1_Bay_of_Bengal_(1978)</t>
        </is>
      </c>
      <c r="C357" s="10" t="inlineStr">
        <is>
          <t>Palinuridae</t>
        </is>
      </c>
      <c r="D357" s="9" t="inlineStr">
        <is>
          <t>Spiny lobsters</t>
        </is>
      </c>
      <c r="E357" s="9" t="inlineStr">
        <is>
          <t>Lobsters, crabs</t>
        </is>
      </c>
      <c r="F357" s="9" t="inlineStr">
        <is>
          <t>Crustaceans</t>
        </is>
      </c>
      <c r="G357" s="10" t="inlineStr">
        <is>
          <t>3 Crustaceans</t>
        </is>
      </c>
      <c r="H357" s="11" t="n">
        <v>0.7870007830853563</v>
      </c>
      <c r="I357" s="9" t="inlineStr">
        <is>
          <t>model_biomass</t>
        </is>
      </c>
      <c r="J357" s="12" t="inlineStr">
        <is>
          <t>medium</t>
        </is>
      </c>
      <c r="K357" s="9" t="inlineStr">
        <is>
          <t>composite_split</t>
        </is>
      </c>
      <c r="L357" s="10" t="inlineStr">
        <is>
          <t>Appendix A1.1 lists this exact catch name under `Crabs`; apportioned over the region 2 and region 3 pools by model biomass; region 1 is the Maldives shelf, outside LME 34.</t>
        </is>
      </c>
      <c r="M357" s="9" t="n">
        <v>66111.63400000001</v>
      </c>
    </row>
    <row r="358" ht="36" customHeight="1">
      <c r="A358" s="9" t="inlineStr">
        <is>
          <t>LME_034</t>
        </is>
      </c>
      <c r="B358" s="10" t="inlineStr">
        <is>
          <t>34_1_Bay_of_Bengal_(1978)</t>
        </is>
      </c>
      <c r="C358" s="10" t="inlineStr">
        <is>
          <t>Dussumieria</t>
        </is>
      </c>
      <c r="D358" s="9" t="inlineStr">
        <is>
          <t>Rainbow sardines</t>
        </is>
      </c>
      <c r="E358" s="9" t="inlineStr">
        <is>
          <t>Small pelagics (&lt;30 cm)</t>
        </is>
      </c>
      <c r="F358" s="9" t="inlineStr">
        <is>
          <t>Herring-likes</t>
        </is>
      </c>
      <c r="G358" s="10" t="inlineStr">
        <is>
          <t>2 S pelagics</t>
        </is>
      </c>
      <c r="H358" s="11" t="n">
        <v>0.2975985463815478</v>
      </c>
      <c r="I358" s="9" t="inlineStr">
        <is>
          <t>model_biomass</t>
        </is>
      </c>
      <c r="J358" s="12" t="inlineStr">
        <is>
          <t>medium</t>
        </is>
      </c>
      <c r="K358" s="9" t="inlineStr">
        <is>
          <t>composite_split</t>
        </is>
      </c>
      <c r="L358" s="10" t="inlineStr">
        <is>
          <t>Appendix A1.1 lists this exact catch name under `S pelagics`; apportioned over the region 2 and region 3 pools by model biomass; region 1 is the Maldives shelf, outside LME 34.</t>
        </is>
      </c>
      <c r="M358" s="9" t="n">
        <v>65172.42</v>
      </c>
    </row>
    <row r="359" ht="36" customHeight="1">
      <c r="A359" s="9" t="inlineStr">
        <is>
          <t>LME_034</t>
        </is>
      </c>
      <c r="B359" s="10" t="inlineStr">
        <is>
          <t>34_1_Bay_of_Bengal_(1978)</t>
        </is>
      </c>
      <c r="C359" s="10" t="inlineStr">
        <is>
          <t>Dussumieria</t>
        </is>
      </c>
      <c r="D359" s="9" t="inlineStr">
        <is>
          <t>Rainbow sardines</t>
        </is>
      </c>
      <c r="E359" s="9" t="inlineStr">
        <is>
          <t>Small pelagics (&lt;30 cm)</t>
        </is>
      </c>
      <c r="F359" s="9" t="inlineStr">
        <is>
          <t>Herring-likes</t>
        </is>
      </c>
      <c r="G359" s="10" t="inlineStr">
        <is>
          <t>3 S pelagics</t>
        </is>
      </c>
      <c r="H359" s="11" t="n">
        <v>0.7024014536184523</v>
      </c>
      <c r="I359" s="9" t="inlineStr">
        <is>
          <t>model_biomass</t>
        </is>
      </c>
      <c r="J359" s="12" t="inlineStr">
        <is>
          <t>medium</t>
        </is>
      </c>
      <c r="K359" s="9" t="inlineStr">
        <is>
          <t>composite_split</t>
        </is>
      </c>
      <c r="L359" s="10" t="inlineStr">
        <is>
          <t>Appendix A1.1 lists this exact catch name under `S pelagics`; apportioned over the region 2 and region 3 pools by model biomass; region 1 is the Maldives shelf, outside LME 34.</t>
        </is>
      </c>
      <c r="M359" s="9" t="n">
        <v>65172.42</v>
      </c>
    </row>
    <row r="360" ht="36" customHeight="1">
      <c r="A360" s="9" t="inlineStr">
        <is>
          <t>LME_034</t>
        </is>
      </c>
      <c r="B360" s="10" t="inlineStr">
        <is>
          <t>34_1_Bay_of_Bengal_(1978)</t>
        </is>
      </c>
      <c r="C360" s="10" t="inlineStr">
        <is>
          <t>Sepioteuthis lessoniana</t>
        </is>
      </c>
      <c r="D360" s="9" t="inlineStr">
        <is>
          <t>Bigfin reef squid</t>
        </is>
      </c>
      <c r="E360" s="9" t="inlineStr">
        <is>
          <t>Cephalopods</t>
        </is>
      </c>
      <c r="F360" s="9" t="inlineStr">
        <is>
          <t>Other fishes &amp; inverts</t>
        </is>
      </c>
      <c r="G360" s="10" t="inlineStr">
        <is>
          <t>Cephalopods</t>
        </is>
      </c>
      <c r="H360" s="11" t="n">
        <v>1</v>
      </c>
      <c r="I360" s="9" t="inlineStr">
        <is>
          <t>single</t>
        </is>
      </c>
      <c r="J360" s="13" t="inlineStr">
        <is>
          <t>high</t>
        </is>
      </c>
      <c r="K360" s="9" t="inlineStr">
        <is>
          <t>explicit_member</t>
        </is>
      </c>
      <c r="L360" s="10" t="inlineStr">
        <is>
          <t>Appendix A1.1 lists this exact catch name under `cephalopods`, a group modelled over the whole study area (Appendix A1.2).</t>
        </is>
      </c>
      <c r="M360" s="9" t="n">
        <v>65164.961</v>
      </c>
    </row>
    <row r="361" ht="36" customHeight="1">
      <c r="A361" s="9" t="inlineStr">
        <is>
          <t>LME_034</t>
        </is>
      </c>
      <c r="B361" s="10" t="inlineStr">
        <is>
          <t>34_1_Bay_of_Bengal_(1978)</t>
        </is>
      </c>
      <c r="C361" s="10" t="inlineStr">
        <is>
          <t>Seriolina nigrofasciata</t>
        </is>
      </c>
      <c r="D361" s="9" t="inlineStr">
        <is>
          <t>Blackbanded trevally</t>
        </is>
      </c>
      <c r="E361" s="9" t="inlineStr">
        <is>
          <t>Medium reef assoc. fish (30 - 89 cm)</t>
        </is>
      </c>
      <c r="F361" s="9" t="inlineStr">
        <is>
          <t>Perch-likes</t>
        </is>
      </c>
      <c r="G361" s="10" t="inlineStr">
        <is>
          <t>2 Carangids</t>
        </is>
      </c>
      <c r="H361" s="11" t="n">
        <v>0.3043867502238138</v>
      </c>
      <c r="I361" s="9" t="inlineStr">
        <is>
          <t>model_biomass</t>
        </is>
      </c>
      <c r="J361" s="12" t="inlineStr">
        <is>
          <t>medium</t>
        </is>
      </c>
      <c r="K361" s="9" t="inlineStr">
        <is>
          <t>composite_split</t>
        </is>
      </c>
      <c r="L361" s="10" t="inlineStr">
        <is>
          <t>Appendix A1.1 lists this exact catch name under `Carangids`; apportioned over the region 2 and region 3 pools by model biomass; region 1 is the Maldives shelf, outside LME 34.</t>
        </is>
      </c>
      <c r="M361" s="9" t="n">
        <v>65128.54</v>
      </c>
    </row>
    <row r="362" ht="36" customHeight="1">
      <c r="A362" s="9" t="inlineStr">
        <is>
          <t>LME_034</t>
        </is>
      </c>
      <c r="B362" s="10" t="inlineStr">
        <is>
          <t>34_1_Bay_of_Bengal_(1978)</t>
        </is>
      </c>
      <c r="C362" s="10" t="inlineStr">
        <is>
          <t>Seriolina nigrofasciata</t>
        </is>
      </c>
      <c r="D362" s="9" t="inlineStr">
        <is>
          <t>Blackbanded trevally</t>
        </is>
      </c>
      <c r="E362" s="9" t="inlineStr">
        <is>
          <t>Medium reef assoc. fish (30 - 89 cm)</t>
        </is>
      </c>
      <c r="F362" s="9" t="inlineStr">
        <is>
          <t>Perch-likes</t>
        </is>
      </c>
      <c r="G362" s="10" t="inlineStr">
        <is>
          <t>3 Carangids</t>
        </is>
      </c>
      <c r="H362" s="11" t="n">
        <v>0.6956132497761862</v>
      </c>
      <c r="I362" s="9" t="inlineStr">
        <is>
          <t>model_biomass</t>
        </is>
      </c>
      <c r="J362" s="12" t="inlineStr">
        <is>
          <t>medium</t>
        </is>
      </c>
      <c r="K362" s="9" t="inlineStr">
        <is>
          <t>composite_split</t>
        </is>
      </c>
      <c r="L362" s="10" t="inlineStr">
        <is>
          <t>Appendix A1.1 lists this exact catch name under `Carangids`; apportioned over the region 2 and region 3 pools by model biomass; region 1 is the Maldives shelf, outside LME 34.</t>
        </is>
      </c>
      <c r="M362" s="9" t="n">
        <v>65128.54</v>
      </c>
    </row>
    <row r="363" ht="66" customHeight="1">
      <c r="A363" s="9" t="inlineStr">
        <is>
          <t>LME_034</t>
        </is>
      </c>
      <c r="B363" s="10" t="inlineStr">
        <is>
          <t>34_1_Bay_of_Bengal_(1978)</t>
        </is>
      </c>
      <c r="C363" s="10" t="inlineStr">
        <is>
          <t>Scorpaenidae</t>
        </is>
      </c>
      <c r="D363" s="9" t="inlineStr">
        <is>
          <t>Scorpionfishes, rockfishes</t>
        </is>
      </c>
      <c r="E363" s="9" t="inlineStr">
        <is>
          <t>Large reef assoc. fish (&gt;=90 cm)</t>
        </is>
      </c>
      <c r="F363" s="9" t="inlineStr">
        <is>
          <t>Scorpionfishes</t>
        </is>
      </c>
      <c r="G363" s="10" t="inlineStr">
        <is>
          <t>2 SM pisc</t>
        </is>
      </c>
      <c r="H363" s="11" t="n">
        <v>0.3055989990616202</v>
      </c>
      <c r="I363" s="9" t="inlineStr">
        <is>
          <t>model_biomass</t>
        </is>
      </c>
      <c r="J363" s="12" t="inlineStr">
        <is>
          <t>medium</t>
        </is>
      </c>
      <c r="K363" s="9" t="inlineStr">
        <is>
          <t>composite_split</t>
        </is>
      </c>
      <c r="L363" s="10" t="inlineStr">
        <is>
          <t>Appendix A1.3 places the scorpaenids - Pterois miles, P. russelii, P. volitans, Scorpaenopsis, Dendrochirus and Scorpaenodes - in the SM pisc species list. Apportioned over the region 2 and region 3 pools by model biomass; region 1 is the Maldives shelf, outside LME 34.</t>
        </is>
      </c>
      <c r="M363" s="9" t="n">
        <v>62260.425</v>
      </c>
    </row>
    <row r="364" ht="66" customHeight="1">
      <c r="A364" s="9" t="inlineStr">
        <is>
          <t>LME_034</t>
        </is>
      </c>
      <c r="B364" s="10" t="inlineStr">
        <is>
          <t>34_1_Bay_of_Bengal_(1978)</t>
        </is>
      </c>
      <c r="C364" s="10" t="inlineStr">
        <is>
          <t>Scorpaenidae</t>
        </is>
      </c>
      <c r="D364" s="9" t="inlineStr">
        <is>
          <t>Scorpionfishes, rockfishes</t>
        </is>
      </c>
      <c r="E364" s="9" t="inlineStr">
        <is>
          <t>Large reef assoc. fish (&gt;=90 cm)</t>
        </is>
      </c>
      <c r="F364" s="9" t="inlineStr">
        <is>
          <t>Scorpionfishes</t>
        </is>
      </c>
      <c r="G364" s="10" t="inlineStr">
        <is>
          <t>3 SM pisc</t>
        </is>
      </c>
      <c r="H364" s="11" t="n">
        <v>0.6944010009383798</v>
      </c>
      <c r="I364" s="9" t="inlineStr">
        <is>
          <t>model_biomass</t>
        </is>
      </c>
      <c r="J364" s="12" t="inlineStr">
        <is>
          <t>medium</t>
        </is>
      </c>
      <c r="K364" s="9" t="inlineStr">
        <is>
          <t>composite_split</t>
        </is>
      </c>
      <c r="L364" s="10" t="inlineStr">
        <is>
          <t>Appendix A1.3 places the scorpaenids - Pterois miles, P. russelii, P. volitans, Scorpaenopsis, Dendrochirus and Scorpaenodes - in the SM pisc species list. Apportioned over the region 2 and region 3 pools by model biomass; region 1 is the Maldives shelf, outside LME 34.</t>
        </is>
      </c>
      <c r="M364" s="9" t="n">
        <v>62260.425</v>
      </c>
    </row>
    <row r="365" ht="36" customHeight="1">
      <c r="A365" s="9" t="inlineStr">
        <is>
          <t>LME_034</t>
        </is>
      </c>
      <c r="B365" s="10" t="inlineStr">
        <is>
          <t>34_1_Bay_of_Bengal_(1978)</t>
        </is>
      </c>
      <c r="C365" s="10" t="inlineStr">
        <is>
          <t>Muraenesox cinereus</t>
        </is>
      </c>
      <c r="D365" s="9" t="inlineStr">
        <is>
          <t>Daggertooth pike conger</t>
        </is>
      </c>
      <c r="E365" s="9" t="inlineStr">
        <is>
          <t>Large demersals (&gt;=90 cm)</t>
        </is>
      </c>
      <c r="F365" s="9" t="inlineStr">
        <is>
          <t>Other fishes &amp; inverts</t>
        </is>
      </c>
      <c r="G365" s="10" t="inlineStr">
        <is>
          <t>2 L pisc</t>
        </is>
      </c>
      <c r="H365" s="11" t="n">
        <v>0.449530936694357</v>
      </c>
      <c r="I365" s="9" t="inlineStr">
        <is>
          <t>model_biomass</t>
        </is>
      </c>
      <c r="J365" s="12" t="inlineStr">
        <is>
          <t>medium</t>
        </is>
      </c>
      <c r="K365" s="9" t="inlineStr">
        <is>
          <t>composite_split</t>
        </is>
      </c>
      <c r="L365" s="10" t="inlineStr">
        <is>
          <t>Appendix A1.1 lists this exact catch name under `L pisc`; apportioned over the region 2 and region 3 pools by model biomass; region 1 is the Maldives shelf, outside LME 34.</t>
        </is>
      </c>
      <c r="M365" s="9" t="n">
        <v>60544.18</v>
      </c>
    </row>
    <row r="366" ht="36" customHeight="1">
      <c r="A366" s="9" t="inlineStr">
        <is>
          <t>LME_034</t>
        </is>
      </c>
      <c r="B366" s="10" t="inlineStr">
        <is>
          <t>34_1_Bay_of_Bengal_(1978)</t>
        </is>
      </c>
      <c r="C366" s="10" t="inlineStr">
        <is>
          <t>Muraenesox cinereus</t>
        </is>
      </c>
      <c r="D366" s="9" t="inlineStr">
        <is>
          <t>Daggertooth pike conger</t>
        </is>
      </c>
      <c r="E366" s="9" t="inlineStr">
        <is>
          <t>Large demersals (&gt;=90 cm)</t>
        </is>
      </c>
      <c r="F366" s="9" t="inlineStr">
        <is>
          <t>Other fishes &amp; inverts</t>
        </is>
      </c>
      <c r="G366" s="10" t="inlineStr">
        <is>
          <t>3 L pisc</t>
        </is>
      </c>
      <c r="H366" s="11" t="n">
        <v>0.5504690633056432</v>
      </c>
      <c r="I366" s="9" t="inlineStr">
        <is>
          <t>model_biomass</t>
        </is>
      </c>
      <c r="J366" s="12" t="inlineStr">
        <is>
          <t>medium</t>
        </is>
      </c>
      <c r="K366" s="9" t="inlineStr">
        <is>
          <t>composite_split</t>
        </is>
      </c>
      <c r="L366" s="10" t="inlineStr">
        <is>
          <t>Appendix A1.1 lists this exact catch name under `L pisc`; apportioned over the region 2 and region 3 pools by model biomass; region 1 is the Maldives shelf, outside LME 34.</t>
        </is>
      </c>
      <c r="M366" s="9" t="n">
        <v>60544.18</v>
      </c>
    </row>
    <row r="367" ht="51" customHeight="1">
      <c r="A367" s="9" t="inlineStr">
        <is>
          <t>LME_034</t>
        </is>
      </c>
      <c r="B367" s="10" t="inlineStr">
        <is>
          <t>34_1_Bay_of_Bengal_(1978)</t>
        </is>
      </c>
      <c r="C367" s="10" t="inlineStr">
        <is>
          <t>Balistidae</t>
        </is>
      </c>
      <c r="D367" s="9" t="inlineStr">
        <is>
          <t>Triggerfishes</t>
        </is>
      </c>
      <c r="E367" s="9" t="inlineStr">
        <is>
          <t>Medium reef assoc. fish (30 - 89 cm)</t>
        </is>
      </c>
      <c r="F367" s="9" t="inlineStr">
        <is>
          <t>Other fishes &amp; inverts</t>
        </is>
      </c>
      <c r="G367" s="10" t="inlineStr">
        <is>
          <t>2 SM pisc</t>
        </is>
      </c>
      <c r="H367" s="11" t="n">
        <v>0.3055989990616202</v>
      </c>
      <c r="I367" s="9" t="inlineStr">
        <is>
          <t>model_biomass</t>
        </is>
      </c>
      <c r="J367" s="12" t="inlineStr">
        <is>
          <t>medium</t>
        </is>
      </c>
      <c r="K367" s="9" t="inlineStr">
        <is>
          <t>composite_split</t>
        </is>
      </c>
      <c r="L367" s="10" t="inlineStr">
        <is>
          <t>Appendix A1.1 puts the only balistid it names, Abalistes stellaris, under SM pisc; the monacanthids that A1.1 sends to SM inv are a different family. Apportioned over the region 2 and region 3 pools by model biomass; region 1 is the Maldives shelf, outside LME 34.</t>
        </is>
      </c>
      <c r="M367" s="9" t="n">
        <v>59542.056</v>
      </c>
    </row>
    <row r="368" ht="51" customHeight="1">
      <c r="A368" s="9" t="inlineStr">
        <is>
          <t>LME_034</t>
        </is>
      </c>
      <c r="B368" s="10" t="inlineStr">
        <is>
          <t>34_1_Bay_of_Bengal_(1978)</t>
        </is>
      </c>
      <c r="C368" s="10" t="inlineStr">
        <is>
          <t>Balistidae</t>
        </is>
      </c>
      <c r="D368" s="9" t="inlineStr">
        <is>
          <t>Triggerfishes</t>
        </is>
      </c>
      <c r="E368" s="9" t="inlineStr">
        <is>
          <t>Medium reef assoc. fish (30 - 89 cm)</t>
        </is>
      </c>
      <c r="F368" s="9" t="inlineStr">
        <is>
          <t>Other fishes &amp; inverts</t>
        </is>
      </c>
      <c r="G368" s="10" t="inlineStr">
        <is>
          <t>3 SM pisc</t>
        </is>
      </c>
      <c r="H368" s="11" t="n">
        <v>0.6944010009383798</v>
      </c>
      <c r="I368" s="9" t="inlineStr">
        <is>
          <t>model_biomass</t>
        </is>
      </c>
      <c r="J368" s="12" t="inlineStr">
        <is>
          <t>medium</t>
        </is>
      </c>
      <c r="K368" s="9" t="inlineStr">
        <is>
          <t>composite_split</t>
        </is>
      </c>
      <c r="L368" s="10" t="inlineStr">
        <is>
          <t>Appendix A1.1 puts the only balistid it names, Abalistes stellaris, under SM pisc; the monacanthids that A1.1 sends to SM inv are a different family. Apportioned over the region 2 and region 3 pools by model biomass; region 1 is the Maldives shelf, outside LME 34.</t>
        </is>
      </c>
      <c r="M368" s="9" t="n">
        <v>59542.056</v>
      </c>
    </row>
    <row r="369" ht="36" customHeight="1">
      <c r="A369" s="9" t="inlineStr">
        <is>
          <t>LME_034</t>
        </is>
      </c>
      <c r="B369" s="10" t="inlineStr">
        <is>
          <t>34_1_Bay_of_Bengal_(1978)</t>
        </is>
      </c>
      <c r="C369" s="10" t="inlineStr">
        <is>
          <t>Coryphaena</t>
        </is>
      </c>
      <c r="D369" s="9" t="inlineStr">
        <is>
          <t>Dolphinfishes</t>
        </is>
      </c>
      <c r="E369" s="9" t="inlineStr">
        <is>
          <t>Large pelagics (&gt;=90 cm)</t>
        </is>
      </c>
      <c r="F369" s="9" t="inlineStr">
        <is>
          <t>Perch-likes</t>
        </is>
      </c>
      <c r="G369" s="10" t="inlineStr">
        <is>
          <t>2 L pisc</t>
        </is>
      </c>
      <c r="H369" s="11" t="n">
        <v>0.449530936694357</v>
      </c>
      <c r="I369" s="9" t="inlineStr">
        <is>
          <t>model_biomass</t>
        </is>
      </c>
      <c r="J369" s="12" t="inlineStr">
        <is>
          <t>medium</t>
        </is>
      </c>
      <c r="K369" s="9" t="inlineStr">
        <is>
          <t>composite_split</t>
        </is>
      </c>
      <c r="L369" s="10" t="inlineStr">
        <is>
          <t>Appendix A1.1 lists this exact catch name under `L pisc`; apportioned over the region 2 and region 3 pools by model biomass; region 1 is the Maldives shelf, outside LME 34.</t>
        </is>
      </c>
      <c r="M369" s="9" t="n">
        <v>57906.019</v>
      </c>
    </row>
    <row r="370" ht="36" customHeight="1">
      <c r="A370" s="9" t="inlineStr">
        <is>
          <t>LME_034</t>
        </is>
      </c>
      <c r="B370" s="10" t="inlineStr">
        <is>
          <t>34_1_Bay_of_Bengal_(1978)</t>
        </is>
      </c>
      <c r="C370" s="10" t="inlineStr">
        <is>
          <t>Coryphaena</t>
        </is>
      </c>
      <c r="D370" s="9" t="inlineStr">
        <is>
          <t>Dolphinfishes</t>
        </is>
      </c>
      <c r="E370" s="9" t="inlineStr">
        <is>
          <t>Large pelagics (&gt;=90 cm)</t>
        </is>
      </c>
      <c r="F370" s="9" t="inlineStr">
        <is>
          <t>Perch-likes</t>
        </is>
      </c>
      <c r="G370" s="10" t="inlineStr">
        <is>
          <t>3 L pisc</t>
        </is>
      </c>
      <c r="H370" s="11" t="n">
        <v>0.5504690633056432</v>
      </c>
      <c r="I370" s="9" t="inlineStr">
        <is>
          <t>model_biomass</t>
        </is>
      </c>
      <c r="J370" s="12" t="inlineStr">
        <is>
          <t>medium</t>
        </is>
      </c>
      <c r="K370" s="9" t="inlineStr">
        <is>
          <t>composite_split</t>
        </is>
      </c>
      <c r="L370" s="10" t="inlineStr">
        <is>
          <t>Appendix A1.1 lists this exact catch name under `L pisc`; apportioned over the region 2 and region 3 pools by model biomass; region 1 is the Maldives shelf, outside LME 34.</t>
        </is>
      </c>
      <c r="M370" s="9" t="n">
        <v>57906.019</v>
      </c>
    </row>
    <row r="371" ht="36" customHeight="1">
      <c r="A371" s="9" t="inlineStr">
        <is>
          <t>LME_034</t>
        </is>
      </c>
      <c r="B371" s="10" t="inlineStr">
        <is>
          <t>34_1_Bay_of_Bengal_(1978)</t>
        </is>
      </c>
      <c r="C371" s="10" t="inlineStr">
        <is>
          <t>Gerreidae</t>
        </is>
      </c>
      <c r="D371" s="9" t="inlineStr">
        <is>
          <t>Mojarras, silverbellies</t>
        </is>
      </c>
      <c r="E371" s="9" t="inlineStr">
        <is>
          <t>Small benthopelagics (&lt;30 cm)</t>
        </is>
      </c>
      <c r="F371" s="9" t="inlineStr">
        <is>
          <t>Perch-likes</t>
        </is>
      </c>
      <c r="G371" s="10" t="inlineStr">
        <is>
          <t>2 SM inv</t>
        </is>
      </c>
      <c r="H371" s="11" t="n">
        <v>0.3170901271842734</v>
      </c>
      <c r="I371" s="9" t="inlineStr">
        <is>
          <t>model_biomass</t>
        </is>
      </c>
      <c r="J371" s="12" t="inlineStr">
        <is>
          <t>medium</t>
        </is>
      </c>
      <c r="K371" s="9" t="inlineStr">
        <is>
          <t>composite_split</t>
        </is>
      </c>
      <c r="L371" s="10" t="inlineStr">
        <is>
          <t>Appendix A1.1 lists this exact catch name under `SM inv`; apportioned over the region 2 and region 3 pools by model biomass; region 1 is the Maldives shelf, outside LME 34.</t>
        </is>
      </c>
      <c r="M371" s="9" t="n">
        <v>55653.754</v>
      </c>
    </row>
    <row r="372" ht="36" customHeight="1">
      <c r="A372" s="9" t="inlineStr">
        <is>
          <t>LME_034</t>
        </is>
      </c>
      <c r="B372" s="10" t="inlineStr">
        <is>
          <t>34_1_Bay_of_Bengal_(1978)</t>
        </is>
      </c>
      <c r="C372" s="10" t="inlineStr">
        <is>
          <t>Gerreidae</t>
        </is>
      </c>
      <c r="D372" s="9" t="inlineStr">
        <is>
          <t>Mojarras, silverbellies</t>
        </is>
      </c>
      <c r="E372" s="9" t="inlineStr">
        <is>
          <t>Small benthopelagics (&lt;30 cm)</t>
        </is>
      </c>
      <c r="F372" s="9" t="inlineStr">
        <is>
          <t>Perch-likes</t>
        </is>
      </c>
      <c r="G372" s="10" t="inlineStr">
        <is>
          <t>3 SM inv</t>
        </is>
      </c>
      <c r="H372" s="11" t="n">
        <v>0.6829098728157266</v>
      </c>
      <c r="I372" s="9" t="inlineStr">
        <is>
          <t>model_biomass</t>
        </is>
      </c>
      <c r="J372" s="12" t="inlineStr">
        <is>
          <t>medium</t>
        </is>
      </c>
      <c r="K372" s="9" t="inlineStr">
        <is>
          <t>composite_split</t>
        </is>
      </c>
      <c r="L372" s="10" t="inlineStr">
        <is>
          <t>Appendix A1.1 lists this exact catch name under `SM inv`; apportioned over the region 2 and region 3 pools by model biomass; region 1 is the Maldives shelf, outside LME 34.</t>
        </is>
      </c>
      <c r="M372" s="9" t="n">
        <v>55653.754</v>
      </c>
    </row>
    <row r="373" ht="36" customHeight="1">
      <c r="A373" s="9" t="inlineStr">
        <is>
          <t>LME_034</t>
        </is>
      </c>
      <c r="B373" s="10" t="inlineStr">
        <is>
          <t>34_1_Bay_of_Bengal_(1978)</t>
        </is>
      </c>
      <c r="C373" s="10" t="inlineStr">
        <is>
          <t>Alopias</t>
        </is>
      </c>
      <c r="D373" s="9" t="inlineStr">
        <is>
          <t>Thresher sharks</t>
        </is>
      </c>
      <c r="E373" s="9" t="inlineStr">
        <is>
          <t>Large sharks (&gt;=90 cm)</t>
        </is>
      </c>
      <c r="F373" s="9" t="inlineStr">
        <is>
          <t>Sharks &amp; rays</t>
        </is>
      </c>
      <c r="G373" s="10" t="inlineStr">
        <is>
          <t>Oceanic sharks</t>
        </is>
      </c>
      <c r="H373" s="11" t="n">
        <v>1</v>
      </c>
      <c r="I373" s="9" t="inlineStr">
        <is>
          <t>single</t>
        </is>
      </c>
      <c r="J373" s="13" t="inlineStr">
        <is>
          <t>high</t>
        </is>
      </c>
      <c r="K373" s="9" t="inlineStr">
        <is>
          <t>explicit_member</t>
        </is>
      </c>
      <c r="L373" s="10" t="inlineStr">
        <is>
          <t>Appendix A1.1 lists this exact catch name under `oceanic sharks`, a group modelled over the whole study area (Appendix A1.2).</t>
        </is>
      </c>
      <c r="M373" s="9" t="n">
        <v>51679.254</v>
      </c>
    </row>
    <row r="374" ht="36" customHeight="1">
      <c r="A374" s="9" t="inlineStr">
        <is>
          <t>LME_034</t>
        </is>
      </c>
      <c r="B374" s="10" t="inlineStr">
        <is>
          <t>34_1_Bay_of_Bengal_(1978)</t>
        </is>
      </c>
      <c r="C374" s="10" t="inlineStr">
        <is>
          <t>Pristipomoides</t>
        </is>
      </c>
      <c r="D374" s="9" t="inlineStr">
        <is>
          <t>Jobfishes</t>
        </is>
      </c>
      <c r="E374" s="9" t="inlineStr">
        <is>
          <t>Medium demersals (30 - 89 cm)</t>
        </is>
      </c>
      <c r="F374" s="9" t="inlineStr">
        <is>
          <t>Perch-likes</t>
        </is>
      </c>
      <c r="G374" s="10" t="inlineStr">
        <is>
          <t>2 L pisc comm</t>
        </is>
      </c>
      <c r="H374" s="11" t="n">
        <v>0.4790991864112831</v>
      </c>
      <c r="I374" s="9" t="inlineStr">
        <is>
          <t>model_biomass</t>
        </is>
      </c>
      <c r="J374" s="12" t="inlineStr">
        <is>
          <t>medium</t>
        </is>
      </c>
      <c r="K374" s="9" t="inlineStr">
        <is>
          <t>composite_split</t>
        </is>
      </c>
      <c r="L374" s="10" t="inlineStr">
        <is>
          <t>Appendix A1.1 lists this exact catch name under `L pisc comm`; apportioned over the region 2 and region 3 pools by model biomass; region 1 is the Maldives shelf, outside LME 34.</t>
        </is>
      </c>
      <c r="M374" s="9" t="n">
        <v>50960.313</v>
      </c>
    </row>
    <row r="375" ht="36" customHeight="1">
      <c r="A375" s="9" t="inlineStr">
        <is>
          <t>LME_034</t>
        </is>
      </c>
      <c r="B375" s="10" t="inlineStr">
        <is>
          <t>34_1_Bay_of_Bengal_(1978)</t>
        </is>
      </c>
      <c r="C375" s="10" t="inlineStr">
        <is>
          <t>Pristipomoides</t>
        </is>
      </c>
      <c r="D375" s="9" t="inlineStr">
        <is>
          <t>Jobfishes</t>
        </is>
      </c>
      <c r="E375" s="9" t="inlineStr">
        <is>
          <t>Medium demersals (30 - 89 cm)</t>
        </is>
      </c>
      <c r="F375" s="9" t="inlineStr">
        <is>
          <t>Perch-likes</t>
        </is>
      </c>
      <c r="G375" s="10" t="inlineStr">
        <is>
          <t>3 L pisc comm</t>
        </is>
      </c>
      <c r="H375" s="11" t="n">
        <v>0.5209008135887169</v>
      </c>
      <c r="I375" s="9" t="inlineStr">
        <is>
          <t>model_biomass</t>
        </is>
      </c>
      <c r="J375" s="12" t="inlineStr">
        <is>
          <t>medium</t>
        </is>
      </c>
      <c r="K375" s="9" t="inlineStr">
        <is>
          <t>composite_split</t>
        </is>
      </c>
      <c r="L375" s="10" t="inlineStr">
        <is>
          <t>Appendix A1.1 lists this exact catch name under `L pisc comm`; apportioned over the region 2 and region 3 pools by model biomass; region 1 is the Maldives shelf, outside LME 34.</t>
        </is>
      </c>
      <c r="M375" s="9" t="n">
        <v>50960.313</v>
      </c>
    </row>
    <row r="376" ht="36" customHeight="1">
      <c r="A376" s="9" t="inlineStr">
        <is>
          <t>LME_034</t>
        </is>
      </c>
      <c r="B376" s="10" t="inlineStr">
        <is>
          <t>34_1_Bay_of_Bengal_(1978)</t>
        </is>
      </c>
      <c r="C376" s="10" t="inlineStr">
        <is>
          <t>Kajikia audax</t>
        </is>
      </c>
      <c r="D376" s="9" t="inlineStr">
        <is>
          <t>Striped marlin</t>
        </is>
      </c>
      <c r="E376" s="9" t="inlineStr">
        <is>
          <t>Large pelagics (&gt;=90 cm)</t>
        </is>
      </c>
      <c r="F376" s="9" t="inlineStr">
        <is>
          <t>Tuna &amp; billfishes</t>
        </is>
      </c>
      <c r="G376" s="10" t="inlineStr">
        <is>
          <t>Marlins</t>
        </is>
      </c>
      <c r="H376" s="11" t="n">
        <v>1</v>
      </c>
      <c r="I376" s="9" t="inlineStr">
        <is>
          <t>single</t>
        </is>
      </c>
      <c r="J376" s="13" t="inlineStr">
        <is>
          <t>high</t>
        </is>
      </c>
      <c r="K376" s="9" t="inlineStr">
        <is>
          <t>explicit_member</t>
        </is>
      </c>
      <c r="L376" s="10" t="inlineStr">
        <is>
          <t>Appendix A1.1 lists this exact catch name under `Marlins`, a group modelled over the whole study area (Appendix A1.2).</t>
        </is>
      </c>
      <c r="M376" s="9" t="n">
        <v>50178.74</v>
      </c>
    </row>
    <row r="377" ht="36" customHeight="1">
      <c r="A377" s="9" t="inlineStr">
        <is>
          <t>LME_034</t>
        </is>
      </c>
      <c r="B377" s="10" t="inlineStr">
        <is>
          <t>34_1_Bay_of_Bengal_(1978)</t>
        </is>
      </c>
      <c r="C377" s="10" t="inlineStr">
        <is>
          <t>Modiolus</t>
        </is>
      </c>
      <c r="D377" s="9" t="inlineStr">
        <is>
          <t>Horse mussels</t>
        </is>
      </c>
      <c r="E377" s="9" t="inlineStr">
        <is>
          <t>Other demersal invertebrates</t>
        </is>
      </c>
      <c r="F377" s="9" t="inlineStr">
        <is>
          <t>Molluscs</t>
        </is>
      </c>
      <c r="G377" s="10" t="inlineStr">
        <is>
          <t>2 Macrobenthos</t>
        </is>
      </c>
      <c r="H377" s="11" t="n">
        <v>0.363210995759614</v>
      </c>
      <c r="I377" s="9" t="inlineStr">
        <is>
          <t>model_biomass</t>
        </is>
      </c>
      <c r="J377" s="12" t="inlineStr">
        <is>
          <t>medium</t>
        </is>
      </c>
      <c r="K377" s="9" t="inlineStr">
        <is>
          <t>composite_split</t>
        </is>
      </c>
      <c r="L377" s="10" t="inlineStr">
        <is>
          <t>Appendix A1.1 lists this exact catch name under `macrobenthos`; apportioned over the region 2 and region 3 pools by model biomass; region 1 is the Maldives shelf, outside LME 34.</t>
        </is>
      </c>
      <c r="M377" s="9" t="n">
        <v>49323.207</v>
      </c>
    </row>
    <row r="378" ht="36" customHeight="1">
      <c r="A378" s="9" t="inlineStr">
        <is>
          <t>LME_034</t>
        </is>
      </c>
      <c r="B378" s="10" t="inlineStr">
        <is>
          <t>34_1_Bay_of_Bengal_(1978)</t>
        </is>
      </c>
      <c r="C378" s="10" t="inlineStr">
        <is>
          <t>Modiolus</t>
        </is>
      </c>
      <c r="D378" s="9" t="inlineStr">
        <is>
          <t>Horse mussels</t>
        </is>
      </c>
      <c r="E378" s="9" t="inlineStr">
        <is>
          <t>Other demersal invertebrates</t>
        </is>
      </c>
      <c r="F378" s="9" t="inlineStr">
        <is>
          <t>Molluscs</t>
        </is>
      </c>
      <c r="G378" s="10" t="inlineStr">
        <is>
          <t>3 Macrobenthos</t>
        </is>
      </c>
      <c r="H378" s="11" t="n">
        <v>0.6367890042403861</v>
      </c>
      <c r="I378" s="9" t="inlineStr">
        <is>
          <t>model_biomass</t>
        </is>
      </c>
      <c r="J378" s="12" t="inlineStr">
        <is>
          <t>medium</t>
        </is>
      </c>
      <c r="K378" s="9" t="inlineStr">
        <is>
          <t>composite_split</t>
        </is>
      </c>
      <c r="L378" s="10" t="inlineStr">
        <is>
          <t>Appendix A1.1 lists this exact catch name under `macrobenthos`; apportioned over the region 2 and region 3 pools by model biomass; region 1 is the Maldives shelf, outside LME 34.</t>
        </is>
      </c>
      <c r="M378" s="9" t="n">
        <v>49323.207</v>
      </c>
    </row>
    <row r="379" ht="36" customHeight="1">
      <c r="A379" s="9" t="inlineStr">
        <is>
          <t>LME_034</t>
        </is>
      </c>
      <c r="B379" s="10" t="inlineStr">
        <is>
          <t>34_1_Bay_of_Bengal_(1978)</t>
        </is>
      </c>
      <c r="C379" s="10" t="inlineStr">
        <is>
          <t>Scomberoides</t>
        </is>
      </c>
      <c r="D379" s="9" t="inlineStr">
        <is>
          <t>Queenfishes</t>
        </is>
      </c>
      <c r="E379" s="9" t="inlineStr">
        <is>
          <t>Medium pelagics (30 - 89 cm)</t>
        </is>
      </c>
      <c r="F379" s="9" t="inlineStr">
        <is>
          <t>Perch-likes</t>
        </is>
      </c>
      <c r="G379" s="10" t="inlineStr">
        <is>
          <t>2 Carangids</t>
        </is>
      </c>
      <c r="H379" s="11" t="n">
        <v>0.3043867502238138</v>
      </c>
      <c r="I379" s="9" t="inlineStr">
        <is>
          <t>model_biomass</t>
        </is>
      </c>
      <c r="J379" s="12" t="inlineStr">
        <is>
          <t>medium</t>
        </is>
      </c>
      <c r="K379" s="9" t="inlineStr">
        <is>
          <t>composite_split</t>
        </is>
      </c>
      <c r="L379" s="10" t="inlineStr">
        <is>
          <t>Appendix A1.1 lists this exact catch name under `Carangids`; apportioned over the region 2 and region 3 pools by model biomass; region 1 is the Maldives shelf, outside LME 34.</t>
        </is>
      </c>
      <c r="M379" s="9" t="n">
        <v>49296.775</v>
      </c>
    </row>
    <row r="380" ht="36" customHeight="1">
      <c r="A380" s="9" t="inlineStr">
        <is>
          <t>LME_034</t>
        </is>
      </c>
      <c r="B380" s="10" t="inlineStr">
        <is>
          <t>34_1_Bay_of_Bengal_(1978)</t>
        </is>
      </c>
      <c r="C380" s="10" t="inlineStr">
        <is>
          <t>Scomberoides</t>
        </is>
      </c>
      <c r="D380" s="9" t="inlineStr">
        <is>
          <t>Queenfishes</t>
        </is>
      </c>
      <c r="E380" s="9" t="inlineStr">
        <is>
          <t>Medium pelagics (30 - 89 cm)</t>
        </is>
      </c>
      <c r="F380" s="9" t="inlineStr">
        <is>
          <t>Perch-likes</t>
        </is>
      </c>
      <c r="G380" s="10" t="inlineStr">
        <is>
          <t>3 Carangids</t>
        </is>
      </c>
      <c r="H380" s="11" t="n">
        <v>0.6956132497761862</v>
      </c>
      <c r="I380" s="9" t="inlineStr">
        <is>
          <t>model_biomass</t>
        </is>
      </c>
      <c r="J380" s="12" t="inlineStr">
        <is>
          <t>medium</t>
        </is>
      </c>
      <c r="K380" s="9" t="inlineStr">
        <is>
          <t>composite_split</t>
        </is>
      </c>
      <c r="L380" s="10" t="inlineStr">
        <is>
          <t>Appendix A1.1 lists this exact catch name under `Carangids`; apportioned over the region 2 and region 3 pools by model biomass; region 1 is the Maldives shelf, outside LME 34.</t>
        </is>
      </c>
      <c r="M380" s="9" t="n">
        <v>49296.775</v>
      </c>
    </row>
    <row r="381" ht="36" customHeight="1">
      <c r="A381" s="9" t="inlineStr">
        <is>
          <t>LME_034</t>
        </is>
      </c>
      <c r="B381" s="10" t="inlineStr">
        <is>
          <t>34_1_Bay_of_Bengal_(1978)</t>
        </is>
      </c>
      <c r="C381" s="10" t="inlineStr">
        <is>
          <t>Octopus</t>
        </is>
      </c>
      <c r="D381" s="9" t="inlineStr">
        <is>
          <t>Octopuses, pikas</t>
        </is>
      </c>
      <c r="E381" s="9" t="inlineStr">
        <is>
          <t>Cephalopods</t>
        </is>
      </c>
      <c r="F381" s="9" t="inlineStr">
        <is>
          <t>Other fishes &amp; inverts</t>
        </is>
      </c>
      <c r="G381" s="10" t="inlineStr">
        <is>
          <t>Cephalopods</t>
        </is>
      </c>
      <c r="H381" s="11" t="n">
        <v>1</v>
      </c>
      <c r="I381" s="9" t="inlineStr">
        <is>
          <t>single</t>
        </is>
      </c>
      <c r="J381" s="13" t="inlineStr">
        <is>
          <t>high</t>
        </is>
      </c>
      <c r="K381" s="9" t="inlineStr">
        <is>
          <t>explicit_member</t>
        </is>
      </c>
      <c r="L381" s="10" t="inlineStr">
        <is>
          <t>Appendix A1.1 lists this exact catch name under `cephalopods`, a group modelled over the whole study area (Appendix A1.2).</t>
        </is>
      </c>
      <c r="M381" s="9" t="n">
        <v>47631.337</v>
      </c>
    </row>
    <row r="382" ht="51" customHeight="1">
      <c r="A382" s="9" t="inlineStr">
        <is>
          <t>LME_034</t>
        </is>
      </c>
      <c r="B382" s="10" t="inlineStr">
        <is>
          <t>34_1_Bay_of_Bengal_(1978)</t>
        </is>
      </c>
      <c r="C382" s="10" t="inlineStr">
        <is>
          <t>Penaeus japonicus</t>
        </is>
      </c>
      <c r="D382" s="9" t="inlineStr">
        <is>
          <t>Kuruma prawn</t>
        </is>
      </c>
      <c r="E382" s="9" t="inlineStr">
        <is>
          <t>Shrimps</t>
        </is>
      </c>
      <c r="F382" s="9" t="inlineStr">
        <is>
          <t>Crustaceans</t>
        </is>
      </c>
      <c r="G382" s="10" t="inlineStr">
        <is>
          <t>2 Crustaceans</t>
        </is>
      </c>
      <c r="H382" s="11" t="n">
        <v>0.2129992169146437</v>
      </c>
      <c r="I382" s="9" t="inlineStr">
        <is>
          <t>model_biomass</t>
        </is>
      </c>
      <c r="J382" s="12" t="inlineStr">
        <is>
          <t>medium</t>
        </is>
      </c>
      <c r="K382" s="9" t="inlineStr">
        <is>
          <t>composite_split</t>
        </is>
      </c>
      <c r="L382" s="10" t="inlineStr">
        <is>
          <t>Accepted-name/synonym match: Appendix A1.1 lists Marsupenaeus japonicus under `shrimps`. Apportioned over the region 2 and region 3 pools by model biomass; region 1 is the Maldives shelf, outside LME 34.</t>
        </is>
      </c>
      <c r="M382" s="9" t="n">
        <v>47053.653</v>
      </c>
    </row>
    <row r="383" ht="51" customHeight="1">
      <c r="A383" s="9" t="inlineStr">
        <is>
          <t>LME_034</t>
        </is>
      </c>
      <c r="B383" s="10" t="inlineStr">
        <is>
          <t>34_1_Bay_of_Bengal_(1978)</t>
        </is>
      </c>
      <c r="C383" s="10" t="inlineStr">
        <is>
          <t>Penaeus japonicus</t>
        </is>
      </c>
      <c r="D383" s="9" t="inlineStr">
        <is>
          <t>Kuruma prawn</t>
        </is>
      </c>
      <c r="E383" s="9" t="inlineStr">
        <is>
          <t>Shrimps</t>
        </is>
      </c>
      <c r="F383" s="9" t="inlineStr">
        <is>
          <t>Crustaceans</t>
        </is>
      </c>
      <c r="G383" s="10" t="inlineStr">
        <is>
          <t>3 Crustaceans</t>
        </is>
      </c>
      <c r="H383" s="11" t="n">
        <v>0.7870007830853563</v>
      </c>
      <c r="I383" s="9" t="inlineStr">
        <is>
          <t>model_biomass</t>
        </is>
      </c>
      <c r="J383" s="12" t="inlineStr">
        <is>
          <t>medium</t>
        </is>
      </c>
      <c r="K383" s="9" t="inlineStr">
        <is>
          <t>composite_split</t>
        </is>
      </c>
      <c r="L383" s="10" t="inlineStr">
        <is>
          <t>Accepted-name/synonym match: Appendix A1.1 lists Marsupenaeus japonicus under `shrimps`. Apportioned over the region 2 and region 3 pools by model biomass; region 1 is the Maldives shelf, outside LME 34.</t>
        </is>
      </c>
      <c r="M383" s="9" t="n">
        <v>47053.653</v>
      </c>
    </row>
    <row r="384" ht="36" customHeight="1">
      <c r="A384" s="9" t="inlineStr">
        <is>
          <t>LME_034</t>
        </is>
      </c>
      <c r="B384" s="10" t="inlineStr">
        <is>
          <t>34_1_Bay_of_Bengal_(1978)</t>
        </is>
      </c>
      <c r="C384" s="10" t="inlineStr">
        <is>
          <t>Anchoviella</t>
        </is>
      </c>
      <c r="D384" s="9" t="inlineStr">
        <is>
          <t>Anchovies</t>
        </is>
      </c>
      <c r="E384" s="9" t="inlineStr">
        <is>
          <t>Small pelagics (&lt;30 cm)</t>
        </is>
      </c>
      <c r="F384" s="9" t="inlineStr">
        <is>
          <t>Anchovies</t>
        </is>
      </c>
      <c r="G384" s="10" t="inlineStr">
        <is>
          <t>2 S pelagics</t>
        </is>
      </c>
      <c r="H384" s="11" t="n">
        <v>0.2975985463815478</v>
      </c>
      <c r="I384" s="9" t="inlineStr">
        <is>
          <t>model_biomass</t>
        </is>
      </c>
      <c r="J384" s="12" t="inlineStr">
        <is>
          <t>medium</t>
        </is>
      </c>
      <c r="K384" s="9" t="inlineStr">
        <is>
          <t>composite_split</t>
        </is>
      </c>
      <c r="L384" s="10" t="inlineStr">
        <is>
          <t>Appendix A1.1 lists this exact catch name under `S pelagics`; apportioned over the region 2 and region 3 pools by model biomass; region 1 is the Maldives shelf, outside LME 34.</t>
        </is>
      </c>
      <c r="M384" s="9" t="n">
        <v>46084.41</v>
      </c>
    </row>
    <row r="385" ht="36" customHeight="1">
      <c r="A385" s="9" t="inlineStr">
        <is>
          <t>LME_034</t>
        </is>
      </c>
      <c r="B385" s="10" t="inlineStr">
        <is>
          <t>34_1_Bay_of_Bengal_(1978)</t>
        </is>
      </c>
      <c r="C385" s="10" t="inlineStr">
        <is>
          <t>Anchoviella</t>
        </is>
      </c>
      <c r="D385" s="9" t="inlineStr">
        <is>
          <t>Anchovies</t>
        </is>
      </c>
      <c r="E385" s="9" t="inlineStr">
        <is>
          <t>Small pelagics (&lt;30 cm)</t>
        </is>
      </c>
      <c r="F385" s="9" t="inlineStr">
        <is>
          <t>Anchovies</t>
        </is>
      </c>
      <c r="G385" s="10" t="inlineStr">
        <is>
          <t>3 S pelagics</t>
        </is>
      </c>
      <c r="H385" s="11" t="n">
        <v>0.7024014536184523</v>
      </c>
      <c r="I385" s="9" t="inlineStr">
        <is>
          <t>model_biomass</t>
        </is>
      </c>
      <c r="J385" s="12" t="inlineStr">
        <is>
          <t>medium</t>
        </is>
      </c>
      <c r="K385" s="9" t="inlineStr">
        <is>
          <t>composite_split</t>
        </is>
      </c>
      <c r="L385" s="10" t="inlineStr">
        <is>
          <t>Appendix A1.1 lists this exact catch name under `S pelagics`; apportioned over the region 2 and region 3 pools by model biomass; region 1 is the Maldives shelf, outside LME 34.</t>
        </is>
      </c>
      <c r="M385" s="9" t="n">
        <v>46084.41</v>
      </c>
    </row>
    <row r="386" ht="51" customHeight="1">
      <c r="A386" s="9" t="inlineStr">
        <is>
          <t>LME_034</t>
        </is>
      </c>
      <c r="B386" s="10" t="inlineStr">
        <is>
          <t>34_1_Bay_of_Bengal_(1978)</t>
        </is>
      </c>
      <c r="C386" s="10" t="inlineStr">
        <is>
          <t>Mierspenaeopsis sculptilis</t>
        </is>
      </c>
      <c r="D386" s="9" t="inlineStr">
        <is>
          <t>Rainbow shrimp</t>
        </is>
      </c>
      <c r="E386" s="9" t="inlineStr">
        <is>
          <t>Shrimps</t>
        </is>
      </c>
      <c r="F386" s="9" t="inlineStr">
        <is>
          <t>Crustaceans</t>
        </is>
      </c>
      <c r="G386" s="10" t="inlineStr">
        <is>
          <t>2 Crustaceans</t>
        </is>
      </c>
      <c r="H386" s="11" t="n">
        <v>0.2129992169146437</v>
      </c>
      <c r="I386" s="9" t="inlineStr">
        <is>
          <t>model_biomass</t>
        </is>
      </c>
      <c r="J386" s="12" t="inlineStr">
        <is>
          <t>medium</t>
        </is>
      </c>
      <c r="K386" s="9" t="inlineStr">
        <is>
          <t>composite_split</t>
        </is>
      </c>
      <c r="L386" s="10" t="inlineStr">
        <is>
          <t>Accepted-name/synonym match: Appendix A1.1 lists Parapenaeopsis sculptilis under `shrimps`. Apportioned over the region 2 and region 3 pools by model biomass; region 1 is the Maldives shelf, outside LME 34.</t>
        </is>
      </c>
      <c r="M386" s="9" t="n">
        <v>43841.991</v>
      </c>
    </row>
    <row r="387" ht="51" customHeight="1">
      <c r="A387" s="9" t="inlineStr">
        <is>
          <t>LME_034</t>
        </is>
      </c>
      <c r="B387" s="10" t="inlineStr">
        <is>
          <t>34_1_Bay_of_Bengal_(1978)</t>
        </is>
      </c>
      <c r="C387" s="10" t="inlineStr">
        <is>
          <t>Mierspenaeopsis sculptilis</t>
        </is>
      </c>
      <c r="D387" s="9" t="inlineStr">
        <is>
          <t>Rainbow shrimp</t>
        </is>
      </c>
      <c r="E387" s="9" t="inlineStr">
        <is>
          <t>Shrimps</t>
        </is>
      </c>
      <c r="F387" s="9" t="inlineStr">
        <is>
          <t>Crustaceans</t>
        </is>
      </c>
      <c r="G387" s="10" t="inlineStr">
        <is>
          <t>3 Crustaceans</t>
        </is>
      </c>
      <c r="H387" s="11" t="n">
        <v>0.7870007830853563</v>
      </c>
      <c r="I387" s="9" t="inlineStr">
        <is>
          <t>model_biomass</t>
        </is>
      </c>
      <c r="J387" s="12" t="inlineStr">
        <is>
          <t>medium</t>
        </is>
      </c>
      <c r="K387" s="9" t="inlineStr">
        <is>
          <t>composite_split</t>
        </is>
      </c>
      <c r="L387" s="10" t="inlineStr">
        <is>
          <t>Accepted-name/synonym match: Appendix A1.1 lists Parapenaeopsis sculptilis under `shrimps`. Apportioned over the region 2 and region 3 pools by model biomass; region 1 is the Maldives shelf, outside LME 34.</t>
        </is>
      </c>
      <c r="M387" s="9" t="n">
        <v>43841.991</v>
      </c>
    </row>
    <row r="388" ht="36" customHeight="1">
      <c r="A388" s="9" t="inlineStr">
        <is>
          <t>LME_034</t>
        </is>
      </c>
      <c r="B388" s="10" t="inlineStr">
        <is>
          <t>34_1_Bay_of_Bengal_(1978)</t>
        </is>
      </c>
      <c r="C388" s="10" t="inlineStr">
        <is>
          <t>Holothuroidea</t>
        </is>
      </c>
      <c r="D388" s="9" t="inlineStr">
        <is>
          <t>Sea cucumbers</t>
        </is>
      </c>
      <c r="E388" s="9" t="inlineStr">
        <is>
          <t>Other demersal invertebrates</t>
        </is>
      </c>
      <c r="F388" s="9" t="inlineStr">
        <is>
          <t>Other fishes &amp; inverts</t>
        </is>
      </c>
      <c r="G388" s="10" t="inlineStr">
        <is>
          <t>2 Macrobenthos</t>
        </is>
      </c>
      <c r="H388" s="11" t="n">
        <v>0.363210995759614</v>
      </c>
      <c r="I388" s="9" t="inlineStr">
        <is>
          <t>model_biomass</t>
        </is>
      </c>
      <c r="J388" s="12" t="inlineStr">
        <is>
          <t>medium</t>
        </is>
      </c>
      <c r="K388" s="9" t="inlineStr">
        <is>
          <t>composite_split</t>
        </is>
      </c>
      <c r="L388" s="10" t="inlineStr">
        <is>
          <t>Appendix A1.1 lists this exact catch name under `macrobenthos`; apportioned over the region 2 and region 3 pools by model biomass; region 1 is the Maldives shelf, outside LME 34.</t>
        </is>
      </c>
      <c r="M388" s="9" t="n">
        <v>41476.968</v>
      </c>
    </row>
    <row r="389" ht="36" customHeight="1">
      <c r="A389" s="9" t="inlineStr">
        <is>
          <t>LME_034</t>
        </is>
      </c>
      <c r="B389" s="10" t="inlineStr">
        <is>
          <t>34_1_Bay_of_Bengal_(1978)</t>
        </is>
      </c>
      <c r="C389" s="10" t="inlineStr">
        <is>
          <t>Holothuroidea</t>
        </is>
      </c>
      <c r="D389" s="9" t="inlineStr">
        <is>
          <t>Sea cucumbers</t>
        </is>
      </c>
      <c r="E389" s="9" t="inlineStr">
        <is>
          <t>Other demersal invertebrates</t>
        </is>
      </c>
      <c r="F389" s="9" t="inlineStr">
        <is>
          <t>Other fishes &amp; inverts</t>
        </is>
      </c>
      <c r="G389" s="10" t="inlineStr">
        <is>
          <t>3 Macrobenthos</t>
        </is>
      </c>
      <c r="H389" s="11" t="n">
        <v>0.6367890042403861</v>
      </c>
      <c r="I389" s="9" t="inlineStr">
        <is>
          <t>model_biomass</t>
        </is>
      </c>
      <c r="J389" s="12" t="inlineStr">
        <is>
          <t>medium</t>
        </is>
      </c>
      <c r="K389" s="9" t="inlineStr">
        <is>
          <t>composite_split</t>
        </is>
      </c>
      <c r="L389" s="10" t="inlineStr">
        <is>
          <t>Appendix A1.1 lists this exact catch name under `macrobenthos`; apportioned over the region 2 and region 3 pools by model biomass; region 1 is the Maldives shelf, outside LME 34.</t>
        </is>
      </c>
      <c r="M389" s="9" t="n">
        <v>41476.968</v>
      </c>
    </row>
    <row r="390" ht="36" customHeight="1">
      <c r="A390" s="9" t="inlineStr">
        <is>
          <t>LME_034</t>
        </is>
      </c>
      <c r="B390" s="10" t="inlineStr">
        <is>
          <t>34_1_Bay_of_Bengal_(1978)</t>
        </is>
      </c>
      <c r="C390" s="10" t="inlineStr">
        <is>
          <t>Octopoda</t>
        </is>
      </c>
      <c r="D390" s="9" t="inlineStr">
        <is>
          <t>Octopuses, argonauts</t>
        </is>
      </c>
      <c r="E390" s="9" t="inlineStr">
        <is>
          <t>Cephalopods</t>
        </is>
      </c>
      <c r="F390" s="9" t="inlineStr">
        <is>
          <t>Other fishes &amp; inverts</t>
        </is>
      </c>
      <c r="G390" s="10" t="inlineStr">
        <is>
          <t>Cephalopods</t>
        </is>
      </c>
      <c r="H390" s="11" t="n">
        <v>1</v>
      </c>
      <c r="I390" s="9" t="inlineStr">
        <is>
          <t>single</t>
        </is>
      </c>
      <c r="J390" s="13" t="inlineStr">
        <is>
          <t>high</t>
        </is>
      </c>
      <c r="K390" s="9" t="inlineStr">
        <is>
          <t>explicit_member</t>
        </is>
      </c>
      <c r="L390" s="10" t="inlineStr">
        <is>
          <t>Appendix A1.1 lists this exact catch name under `cephalopods`, a group modelled over the whole study area (Appendix A1.2).</t>
        </is>
      </c>
      <c r="M390" s="9" t="n">
        <v>40940.277</v>
      </c>
    </row>
    <row r="391" ht="36" customHeight="1">
      <c r="A391" s="9" t="inlineStr">
        <is>
          <t>LME_034</t>
        </is>
      </c>
      <c r="B391" s="10" t="inlineStr">
        <is>
          <t>34_1_Bay_of_Bengal_(1978)</t>
        </is>
      </c>
      <c r="C391" s="10" t="inlineStr">
        <is>
          <t>Scyphozoa</t>
        </is>
      </c>
      <c r="D391" s="9" t="inlineStr">
        <is>
          <t>True jellyfishes</t>
        </is>
      </c>
      <c r="E391" s="9" t="inlineStr">
        <is>
          <t>Jellyfish</t>
        </is>
      </c>
      <c r="F391" s="9" t="inlineStr">
        <is>
          <t>Other fishes &amp; inverts</t>
        </is>
      </c>
      <c r="G391" s="10" t="inlineStr">
        <is>
          <t>Jellyfish</t>
        </is>
      </c>
      <c r="H391" s="11" t="n">
        <v>1</v>
      </c>
      <c r="I391" s="9" t="inlineStr">
        <is>
          <t>single</t>
        </is>
      </c>
      <c r="J391" s="13" t="inlineStr">
        <is>
          <t>high</t>
        </is>
      </c>
      <c r="K391" s="9" t="inlineStr">
        <is>
          <t>explicit_member</t>
        </is>
      </c>
      <c r="L391" s="10" t="inlineStr">
        <is>
          <t>Appendix A1.3 lists Scyphozoa, explicitly and 'based on catches', in the `jellyfish` species list.</t>
        </is>
      </c>
      <c r="M391" s="9" t="n">
        <v>39788.082</v>
      </c>
    </row>
    <row r="392" ht="36" customHeight="1">
      <c r="A392" s="9" t="inlineStr">
        <is>
          <t>LME_034</t>
        </is>
      </c>
      <c r="B392" s="10" t="inlineStr">
        <is>
          <t>34_1_Bay_of_Bengal_(1978)</t>
        </is>
      </c>
      <c r="C392" s="10" t="inlineStr">
        <is>
          <t>Siganus canaliculatus</t>
        </is>
      </c>
      <c r="D392" s="9" t="inlineStr">
        <is>
          <t>White-spotted spinefoot</t>
        </is>
      </c>
      <c r="E392" s="9" t="inlineStr">
        <is>
          <t>Small reef assoc. fish (&lt;30 cm)</t>
        </is>
      </c>
      <c r="F392" s="9" t="inlineStr">
        <is>
          <t>Perch-likes</t>
        </is>
      </c>
      <c r="G392" s="10" t="inlineStr">
        <is>
          <t>2 SM inv</t>
        </is>
      </c>
      <c r="H392" s="11" t="n">
        <v>0.3170901271842734</v>
      </c>
      <c r="I392" s="9" t="inlineStr">
        <is>
          <t>model_biomass</t>
        </is>
      </c>
      <c r="J392" s="12" t="inlineStr">
        <is>
          <t>medium</t>
        </is>
      </c>
      <c r="K392" s="9" t="inlineStr">
        <is>
          <t>composite_split</t>
        </is>
      </c>
      <c r="L392" s="10" t="inlineStr">
        <is>
          <t>Appendix A1.1 lists this exact catch name under `SM inv`; apportioned over the region 2 and region 3 pools by model biomass; region 1 is the Maldives shelf, outside LME 34.</t>
        </is>
      </c>
      <c r="M392" s="9" t="n">
        <v>39673.039</v>
      </c>
    </row>
    <row r="393" ht="36" customHeight="1">
      <c r="A393" s="9" t="inlineStr">
        <is>
          <t>LME_034</t>
        </is>
      </c>
      <c r="B393" s="10" t="inlineStr">
        <is>
          <t>34_1_Bay_of_Bengal_(1978)</t>
        </is>
      </c>
      <c r="C393" s="10" t="inlineStr">
        <is>
          <t>Siganus canaliculatus</t>
        </is>
      </c>
      <c r="D393" s="9" t="inlineStr">
        <is>
          <t>White-spotted spinefoot</t>
        </is>
      </c>
      <c r="E393" s="9" t="inlineStr">
        <is>
          <t>Small reef assoc. fish (&lt;30 cm)</t>
        </is>
      </c>
      <c r="F393" s="9" t="inlineStr">
        <is>
          <t>Perch-likes</t>
        </is>
      </c>
      <c r="G393" s="10" t="inlineStr">
        <is>
          <t>3 SM inv</t>
        </is>
      </c>
      <c r="H393" s="11" t="n">
        <v>0.6829098728157266</v>
      </c>
      <c r="I393" s="9" t="inlineStr">
        <is>
          <t>model_biomass</t>
        </is>
      </c>
      <c r="J393" s="12" t="inlineStr">
        <is>
          <t>medium</t>
        </is>
      </c>
      <c r="K393" s="9" t="inlineStr">
        <is>
          <t>composite_split</t>
        </is>
      </c>
      <c r="L393" s="10" t="inlineStr">
        <is>
          <t>Appendix A1.1 lists this exact catch name under `SM inv`; apportioned over the region 2 and region 3 pools by model biomass; region 1 is the Maldives shelf, outside LME 34.</t>
        </is>
      </c>
      <c r="M393" s="9" t="n">
        <v>39673.039</v>
      </c>
    </row>
    <row r="394" ht="36" customHeight="1">
      <c r="A394" s="9" t="inlineStr">
        <is>
          <t>LME_034</t>
        </is>
      </c>
      <c r="B394" s="10" t="inlineStr">
        <is>
          <t>34_1_Bay_of_Bengal_(1978)</t>
        </is>
      </c>
      <c r="C394" s="10" t="inlineStr">
        <is>
          <t>Chirocentrus nudus</t>
        </is>
      </c>
      <c r="D394" s="9" t="inlineStr">
        <is>
          <t>Whitefin wolf-herring</t>
        </is>
      </c>
      <c r="E394" s="9" t="inlineStr">
        <is>
          <t>Large pelagics (&gt;=90 cm)</t>
        </is>
      </c>
      <c r="F394" s="9" t="inlineStr">
        <is>
          <t>Herring-likes</t>
        </is>
      </c>
      <c r="G394" s="10" t="inlineStr">
        <is>
          <t>2 L pisc</t>
        </is>
      </c>
      <c r="H394" s="11" t="n">
        <v>0.449530936694357</v>
      </c>
      <c r="I394" s="9" t="inlineStr">
        <is>
          <t>model_biomass</t>
        </is>
      </c>
      <c r="J394" s="12" t="inlineStr">
        <is>
          <t>medium</t>
        </is>
      </c>
      <c r="K394" s="9" t="inlineStr">
        <is>
          <t>composite_split</t>
        </is>
      </c>
      <c r="L394" s="10" t="inlineStr">
        <is>
          <t>Appendix A1.1 lists this exact catch name under `L pisc`; apportioned over the region 2 and region 3 pools by model biomass; region 1 is the Maldives shelf, outside LME 34.</t>
        </is>
      </c>
      <c r="M394" s="9" t="n">
        <v>36792.298</v>
      </c>
    </row>
    <row r="395" ht="36" customHeight="1">
      <c r="A395" s="9" t="inlineStr">
        <is>
          <t>LME_034</t>
        </is>
      </c>
      <c r="B395" s="10" t="inlineStr">
        <is>
          <t>34_1_Bay_of_Bengal_(1978)</t>
        </is>
      </c>
      <c r="C395" s="10" t="inlineStr">
        <is>
          <t>Chirocentrus nudus</t>
        </is>
      </c>
      <c r="D395" s="9" t="inlineStr">
        <is>
          <t>Whitefin wolf-herring</t>
        </is>
      </c>
      <c r="E395" s="9" t="inlineStr">
        <is>
          <t>Large pelagics (&gt;=90 cm)</t>
        </is>
      </c>
      <c r="F395" s="9" t="inlineStr">
        <is>
          <t>Herring-likes</t>
        </is>
      </c>
      <c r="G395" s="10" t="inlineStr">
        <is>
          <t>3 L pisc</t>
        </is>
      </c>
      <c r="H395" s="11" t="n">
        <v>0.5504690633056432</v>
      </c>
      <c r="I395" s="9" t="inlineStr">
        <is>
          <t>model_biomass</t>
        </is>
      </c>
      <c r="J395" s="12" t="inlineStr">
        <is>
          <t>medium</t>
        </is>
      </c>
      <c r="K395" s="9" t="inlineStr">
        <is>
          <t>composite_split</t>
        </is>
      </c>
      <c r="L395" s="10" t="inlineStr">
        <is>
          <t>Appendix A1.1 lists this exact catch name under `L pisc`; apportioned over the region 2 and region 3 pools by model biomass; region 1 is the Maldives shelf, outside LME 34.</t>
        </is>
      </c>
      <c r="M395" s="9" t="n">
        <v>36792.298</v>
      </c>
    </row>
    <row r="396" ht="81" customHeight="1">
      <c r="A396" s="9" t="inlineStr">
        <is>
          <t>LME_034</t>
        </is>
      </c>
      <c r="B396" s="10" t="inlineStr">
        <is>
          <t>34_1_Bay_of_Bengal_(1978)</t>
        </is>
      </c>
      <c r="C396" s="10" t="inlineStr">
        <is>
          <t>Pleuronectiformes</t>
        </is>
      </c>
      <c r="D396" s="9" t="inlineStr">
        <is>
          <t>Flatfishes</t>
        </is>
      </c>
      <c r="E396" s="9" t="inlineStr">
        <is>
          <t>Small to medium flatfishes (&lt;90 cm)</t>
        </is>
      </c>
      <c r="F396" s="9" t="inlineStr">
        <is>
          <t>Flatfishes</t>
        </is>
      </c>
      <c r="G396" s="10" t="inlineStr">
        <is>
          <t>2 SM inv</t>
        </is>
      </c>
      <c r="H396" s="11" t="n">
        <v>0.1809523391556219</v>
      </c>
      <c r="I396" s="9" t="inlineStr">
        <is>
          <t>model_biomass</t>
        </is>
      </c>
      <c r="J396" s="12" t="inlineStr">
        <is>
          <t>medium</t>
        </is>
      </c>
      <c r="K396" s="9" t="inlineStr">
        <is>
          <t>composite_split</t>
        </is>
      </c>
      <c r="L396" s="10" t="inlineStr">
        <is>
          <t>Appendix A1.1 keeps `Pleuronectiformes` as its own residual. Appendix A1.3 places the model's flatfishes in two pools - Cynoglossus, bothids and soles in SM inv, Psettodes, Pseudorhombus and Brachirus in SM pisc - so the order-level record is apportioned across those; apportioned over the region 2 and region 3 pools by model biomass; region 1 is the Maldives shelf, outside LME 34.</t>
        </is>
      </c>
      <c r="M396" s="9" t="n">
        <v>35831.885</v>
      </c>
    </row>
    <row r="397" ht="81" customHeight="1">
      <c r="A397" s="9" t="inlineStr">
        <is>
          <t>LME_034</t>
        </is>
      </c>
      <c r="B397" s="10" t="inlineStr">
        <is>
          <t>34_1_Bay_of_Bengal_(1978)</t>
        </is>
      </c>
      <c r="C397" s="10" t="inlineStr">
        <is>
          <t>Pleuronectiformes</t>
        </is>
      </c>
      <c r="D397" s="9" t="inlineStr">
        <is>
          <t>Flatfishes</t>
        </is>
      </c>
      <c r="E397" s="9" t="inlineStr">
        <is>
          <t>Small to medium flatfishes (&lt;90 cm)</t>
        </is>
      </c>
      <c r="F397" s="9" t="inlineStr">
        <is>
          <t>Flatfishes</t>
        </is>
      </c>
      <c r="G397" s="10" t="inlineStr">
        <is>
          <t>3 SM inv</t>
        </is>
      </c>
      <c r="H397" s="11" t="n">
        <v>0.3897129816554025</v>
      </c>
      <c r="I397" s="9" t="inlineStr">
        <is>
          <t>model_biomass</t>
        </is>
      </c>
      <c r="J397" s="12" t="inlineStr">
        <is>
          <t>medium</t>
        </is>
      </c>
      <c r="K397" s="9" t="inlineStr">
        <is>
          <t>composite_split</t>
        </is>
      </c>
      <c r="L397" s="10" t="inlineStr">
        <is>
          <t>Appendix A1.1 keeps `Pleuronectiformes` as its own residual. Appendix A1.3 places the model's flatfishes in two pools - Cynoglossus, bothids and soles in SM inv, Psettodes, Pseudorhombus and Brachirus in SM pisc - so the order-level record is apportioned across those; apportioned over the region 2 and region 3 pools by model biomass; region 1 is the Maldives shelf, outside LME 34.</t>
        </is>
      </c>
      <c r="M397" s="9" t="n">
        <v>35831.885</v>
      </c>
    </row>
    <row r="398" ht="81" customHeight="1">
      <c r="A398" s="9" t="inlineStr">
        <is>
          <t>LME_034</t>
        </is>
      </c>
      <c r="B398" s="10" t="inlineStr">
        <is>
          <t>34_1_Bay_of_Bengal_(1978)</t>
        </is>
      </c>
      <c r="C398" s="10" t="inlineStr">
        <is>
          <t>Pleuronectiformes</t>
        </is>
      </c>
      <c r="D398" s="9" t="inlineStr">
        <is>
          <t>Flatfishes</t>
        </is>
      </c>
      <c r="E398" s="9" t="inlineStr">
        <is>
          <t>Small to medium flatfishes (&lt;90 cm)</t>
        </is>
      </c>
      <c r="F398" s="9" t="inlineStr">
        <is>
          <t>Flatfishes</t>
        </is>
      </c>
      <c r="G398" s="10" t="inlineStr">
        <is>
          <t>2 SM pisc</t>
        </is>
      </c>
      <c r="H398" s="11" t="n">
        <v>0.1312042482225928</v>
      </c>
      <c r="I398" s="9" t="inlineStr">
        <is>
          <t>model_biomass</t>
        </is>
      </c>
      <c r="J398" s="12" t="inlineStr">
        <is>
          <t>medium</t>
        </is>
      </c>
      <c r="K398" s="9" t="inlineStr">
        <is>
          <t>composite_split</t>
        </is>
      </c>
      <c r="L398" s="10" t="inlineStr">
        <is>
          <t>Appendix A1.1 keeps `Pleuronectiformes` as its own residual. Appendix A1.3 places the model's flatfishes in two pools - Cynoglossus, bothids and soles in SM inv, Psettodes, Pseudorhombus and Brachirus in SM pisc - so the order-level record is apportioned across those; apportioned over the region 2 and region 3 pools by model biomass; region 1 is the Maldives shelf, outside LME 34.</t>
        </is>
      </c>
      <c r="M398" s="9" t="n">
        <v>35831.885</v>
      </c>
    </row>
    <row r="399" ht="81" customHeight="1">
      <c r="A399" s="9" t="inlineStr">
        <is>
          <t>LME_034</t>
        </is>
      </c>
      <c r="B399" s="10" t="inlineStr">
        <is>
          <t>34_1_Bay_of_Bengal_(1978)</t>
        </is>
      </c>
      <c r="C399" s="10" t="inlineStr">
        <is>
          <t>Pleuronectiformes</t>
        </is>
      </c>
      <c r="D399" s="9" t="inlineStr">
        <is>
          <t>Flatfishes</t>
        </is>
      </c>
      <c r="E399" s="9" t="inlineStr">
        <is>
          <t>Small to medium flatfishes (&lt;90 cm)</t>
        </is>
      </c>
      <c r="F399" s="9" t="inlineStr">
        <is>
          <t>Flatfishes</t>
        </is>
      </c>
      <c r="G399" s="10" t="inlineStr">
        <is>
          <t>3 SM pisc</t>
        </is>
      </c>
      <c r="H399" s="11" t="n">
        <v>0.2981304309663829</v>
      </c>
      <c r="I399" s="9" t="inlineStr">
        <is>
          <t>model_biomass</t>
        </is>
      </c>
      <c r="J399" s="12" t="inlineStr">
        <is>
          <t>medium</t>
        </is>
      </c>
      <c r="K399" s="9" t="inlineStr">
        <is>
          <t>composite_split</t>
        </is>
      </c>
      <c r="L399" s="10" t="inlineStr">
        <is>
          <t>Appendix A1.1 keeps `Pleuronectiformes` as its own residual. Appendix A1.3 places the model's flatfishes in two pools - Cynoglossus, bothids and soles in SM inv, Psettodes, Pseudorhombus and Brachirus in SM pisc - so the order-level record is apportioned across those; apportioned over the region 2 and region 3 pools by model biomass; region 1 is the Maldives shelf, outside LME 34.</t>
        </is>
      </c>
      <c r="M399" s="9" t="n">
        <v>35831.885</v>
      </c>
    </row>
    <row r="400" ht="36" customHeight="1">
      <c r="A400" s="9" t="inlineStr">
        <is>
          <t>LME_034</t>
        </is>
      </c>
      <c r="B400" s="10" t="inlineStr">
        <is>
          <t>34_1_Bay_of_Bengal_(1978)</t>
        </is>
      </c>
      <c r="C400" s="10" t="inlineStr">
        <is>
          <t>Elagatis bipinnulata</t>
        </is>
      </c>
      <c r="D400" s="9" t="inlineStr">
        <is>
          <t>Rainbow runner</t>
        </is>
      </c>
      <c r="E400" s="9" t="inlineStr">
        <is>
          <t>Large pelagics (&gt;=90 cm)</t>
        </is>
      </c>
      <c r="F400" s="9" t="inlineStr">
        <is>
          <t>Perch-likes</t>
        </is>
      </c>
      <c r="G400" s="10" t="inlineStr">
        <is>
          <t>2 Carangids</t>
        </is>
      </c>
      <c r="H400" s="11" t="n">
        <v>0.3043867502238138</v>
      </c>
      <c r="I400" s="9" t="inlineStr">
        <is>
          <t>model_biomass</t>
        </is>
      </c>
      <c r="J400" s="12" t="inlineStr">
        <is>
          <t>medium</t>
        </is>
      </c>
      <c r="K400" s="9" t="inlineStr">
        <is>
          <t>composite_split</t>
        </is>
      </c>
      <c r="L400" s="10" t="inlineStr">
        <is>
          <t>Appendix A1.1 lists this exact catch name under `Carangids`; apportioned over the region 2 and region 3 pools by model biomass; region 1 is the Maldives shelf, outside LME 34.</t>
        </is>
      </c>
      <c r="M400" s="9" t="n">
        <v>35753.043</v>
      </c>
    </row>
    <row r="401" ht="36" customHeight="1">
      <c r="A401" s="9" t="inlineStr">
        <is>
          <t>LME_034</t>
        </is>
      </c>
      <c r="B401" s="10" t="inlineStr">
        <is>
          <t>34_1_Bay_of_Bengal_(1978)</t>
        </is>
      </c>
      <c r="C401" s="10" t="inlineStr">
        <is>
          <t>Elagatis bipinnulata</t>
        </is>
      </c>
      <c r="D401" s="9" t="inlineStr">
        <is>
          <t>Rainbow runner</t>
        </is>
      </c>
      <c r="E401" s="9" t="inlineStr">
        <is>
          <t>Large pelagics (&gt;=90 cm)</t>
        </is>
      </c>
      <c r="F401" s="9" t="inlineStr">
        <is>
          <t>Perch-likes</t>
        </is>
      </c>
      <c r="G401" s="10" t="inlineStr">
        <is>
          <t>3 Carangids</t>
        </is>
      </c>
      <c r="H401" s="11" t="n">
        <v>0.6956132497761862</v>
      </c>
      <c r="I401" s="9" t="inlineStr">
        <is>
          <t>model_biomass</t>
        </is>
      </c>
      <c r="J401" s="12" t="inlineStr">
        <is>
          <t>medium</t>
        </is>
      </c>
      <c r="K401" s="9" t="inlineStr">
        <is>
          <t>composite_split</t>
        </is>
      </c>
      <c r="L401" s="10" t="inlineStr">
        <is>
          <t>Appendix A1.1 lists this exact catch name under `Carangids`; apportioned over the region 2 and region 3 pools by model biomass; region 1 is the Maldives shelf, outside LME 34.</t>
        </is>
      </c>
      <c r="M401" s="9" t="n">
        <v>35753.043</v>
      </c>
    </row>
    <row r="402" ht="36" customHeight="1">
      <c r="A402" s="9" t="inlineStr">
        <is>
          <t>LME_034</t>
        </is>
      </c>
      <c r="B402" s="10" t="inlineStr">
        <is>
          <t>34_1_Bay_of_Bengal_(1978)</t>
        </is>
      </c>
      <c r="C402" s="10" t="inlineStr">
        <is>
          <t>Gerres</t>
        </is>
      </c>
      <c r="D402" s="9" t="inlineStr">
        <is>
          <t>Silver biddies</t>
        </is>
      </c>
      <c r="E402" s="9" t="inlineStr">
        <is>
          <t>Small benthopelagics (&lt;30 cm)</t>
        </is>
      </c>
      <c r="F402" s="9" t="inlineStr">
        <is>
          <t>Perch-likes</t>
        </is>
      </c>
      <c r="G402" s="10" t="inlineStr">
        <is>
          <t>2 SM inv</t>
        </is>
      </c>
      <c r="H402" s="11" t="n">
        <v>0.3170901271842734</v>
      </c>
      <c r="I402" s="9" t="inlineStr">
        <is>
          <t>model_biomass</t>
        </is>
      </c>
      <c r="J402" s="12" t="inlineStr">
        <is>
          <t>medium</t>
        </is>
      </c>
      <c r="K402" s="9" t="inlineStr">
        <is>
          <t>composite_split</t>
        </is>
      </c>
      <c r="L402" s="10" t="inlineStr">
        <is>
          <t>Appendix A1.1 lists this exact catch name under `SM inv`; apportioned over the region 2 and region 3 pools by model biomass; region 1 is the Maldives shelf, outside LME 34.</t>
        </is>
      </c>
      <c r="M402" s="9" t="n">
        <v>34998.357</v>
      </c>
    </row>
    <row r="403" ht="36" customHeight="1">
      <c r="A403" s="9" t="inlineStr">
        <is>
          <t>LME_034</t>
        </is>
      </c>
      <c r="B403" s="10" t="inlineStr">
        <is>
          <t>34_1_Bay_of_Bengal_(1978)</t>
        </is>
      </c>
      <c r="C403" s="10" t="inlineStr">
        <is>
          <t>Gerres</t>
        </is>
      </c>
      <c r="D403" s="9" t="inlineStr">
        <is>
          <t>Silver biddies</t>
        </is>
      </c>
      <c r="E403" s="9" t="inlineStr">
        <is>
          <t>Small benthopelagics (&lt;30 cm)</t>
        </is>
      </c>
      <c r="F403" s="9" t="inlineStr">
        <is>
          <t>Perch-likes</t>
        </is>
      </c>
      <c r="G403" s="10" t="inlineStr">
        <is>
          <t>3 SM inv</t>
        </is>
      </c>
      <c r="H403" s="11" t="n">
        <v>0.6829098728157266</v>
      </c>
      <c r="I403" s="9" t="inlineStr">
        <is>
          <t>model_biomass</t>
        </is>
      </c>
      <c r="J403" s="12" t="inlineStr">
        <is>
          <t>medium</t>
        </is>
      </c>
      <c r="K403" s="9" t="inlineStr">
        <is>
          <t>composite_split</t>
        </is>
      </c>
      <c r="L403" s="10" t="inlineStr">
        <is>
          <t>Appendix A1.1 lists this exact catch name under `SM inv`; apportioned over the region 2 and region 3 pools by model biomass; region 1 is the Maldives shelf, outside LME 34.</t>
        </is>
      </c>
      <c r="M403" s="9" t="n">
        <v>34998.357</v>
      </c>
    </row>
    <row r="404" ht="36" customHeight="1">
      <c r="A404" s="9" t="inlineStr">
        <is>
          <t>LME_034</t>
        </is>
      </c>
      <c r="B404" s="10" t="inlineStr">
        <is>
          <t>34_1_Bay_of_Bengal_(1978)</t>
        </is>
      </c>
      <c r="C404" s="10" t="inlineStr">
        <is>
          <t>Perna viridis</t>
        </is>
      </c>
      <c r="D404" s="9" t="inlineStr">
        <is>
          <t>Brown mussel</t>
        </is>
      </c>
      <c r="E404" s="9" t="inlineStr">
        <is>
          <t>Other demersal invertebrates</t>
        </is>
      </c>
      <c r="F404" s="9" t="inlineStr">
        <is>
          <t>Molluscs</t>
        </is>
      </c>
      <c r="G404" s="10" t="inlineStr">
        <is>
          <t>2 Macrobenthos</t>
        </is>
      </c>
      <c r="H404" s="11" t="n">
        <v>0.363210995759614</v>
      </c>
      <c r="I404" s="9" t="inlineStr">
        <is>
          <t>model_biomass</t>
        </is>
      </c>
      <c r="J404" s="12" t="inlineStr">
        <is>
          <t>medium</t>
        </is>
      </c>
      <c r="K404" s="9" t="inlineStr">
        <is>
          <t>composite_split</t>
        </is>
      </c>
      <c r="L404" s="10" t="inlineStr">
        <is>
          <t>Appendix A1.1 lists this exact catch name under `macrobenthos`; apportioned over the region 2 and region 3 pools by model biomass; region 1 is the Maldives shelf, outside LME 34.</t>
        </is>
      </c>
      <c r="M404" s="9" t="n">
        <v>33810.232</v>
      </c>
    </row>
    <row r="405" ht="36" customHeight="1">
      <c r="A405" s="9" t="inlineStr">
        <is>
          <t>LME_034</t>
        </is>
      </c>
      <c r="B405" s="10" t="inlineStr">
        <is>
          <t>34_1_Bay_of_Bengal_(1978)</t>
        </is>
      </c>
      <c r="C405" s="10" t="inlineStr">
        <is>
          <t>Perna viridis</t>
        </is>
      </c>
      <c r="D405" s="9" t="inlineStr">
        <is>
          <t>Brown mussel</t>
        </is>
      </c>
      <c r="E405" s="9" t="inlineStr">
        <is>
          <t>Other demersal invertebrates</t>
        </is>
      </c>
      <c r="F405" s="9" t="inlineStr">
        <is>
          <t>Molluscs</t>
        </is>
      </c>
      <c r="G405" s="10" t="inlineStr">
        <is>
          <t>3 Macrobenthos</t>
        </is>
      </c>
      <c r="H405" s="11" t="n">
        <v>0.6367890042403861</v>
      </c>
      <c r="I405" s="9" t="inlineStr">
        <is>
          <t>model_biomass</t>
        </is>
      </c>
      <c r="J405" s="12" t="inlineStr">
        <is>
          <t>medium</t>
        </is>
      </c>
      <c r="K405" s="9" t="inlineStr">
        <is>
          <t>composite_split</t>
        </is>
      </c>
      <c r="L405" s="10" t="inlineStr">
        <is>
          <t>Appendix A1.1 lists this exact catch name under `macrobenthos`; apportioned over the region 2 and region 3 pools by model biomass; region 1 is the Maldives shelf, outside LME 34.</t>
        </is>
      </c>
      <c r="M405" s="9" t="n">
        <v>33810.232</v>
      </c>
    </row>
    <row r="406" ht="36" customHeight="1">
      <c r="A406" s="9" t="inlineStr">
        <is>
          <t>LME_034</t>
        </is>
      </c>
      <c r="B406" s="10" t="inlineStr">
        <is>
          <t>34_1_Bay_of_Bengal_(1978)</t>
        </is>
      </c>
      <c r="C406" s="10" t="inlineStr">
        <is>
          <t>Solenocera crassicornis</t>
        </is>
      </c>
      <c r="D406" s="9" t="inlineStr">
        <is>
          <t>Coastal mud shrimp</t>
        </is>
      </c>
      <c r="E406" s="9" t="inlineStr">
        <is>
          <t>Shrimps</t>
        </is>
      </c>
      <c r="F406" s="9" t="inlineStr">
        <is>
          <t>Crustaceans</t>
        </is>
      </c>
      <c r="G406" s="10" t="inlineStr">
        <is>
          <t>2 Crustaceans</t>
        </is>
      </c>
      <c r="H406" s="11" t="n">
        <v>0.2129992169146437</v>
      </c>
      <c r="I406" s="9" t="inlineStr">
        <is>
          <t>model_biomass</t>
        </is>
      </c>
      <c r="J406" s="12" t="inlineStr">
        <is>
          <t>medium</t>
        </is>
      </c>
      <c r="K406" s="9" t="inlineStr">
        <is>
          <t>composite_split</t>
        </is>
      </c>
      <c r="L406" s="10" t="inlineStr">
        <is>
          <t>Appendix A1.1 lists this exact catch name under `shrimps`; apportioned over the region 2 and region 3 pools by model biomass; region 1 is the Maldives shelf, outside LME 34.</t>
        </is>
      </c>
      <c r="M406" s="9" t="n">
        <v>33224.588</v>
      </c>
    </row>
    <row r="407" ht="36" customHeight="1">
      <c r="A407" s="9" t="inlineStr">
        <is>
          <t>LME_034</t>
        </is>
      </c>
      <c r="B407" s="10" t="inlineStr">
        <is>
          <t>34_1_Bay_of_Bengal_(1978)</t>
        </is>
      </c>
      <c r="C407" s="10" t="inlineStr">
        <is>
          <t>Solenocera crassicornis</t>
        </is>
      </c>
      <c r="D407" s="9" t="inlineStr">
        <is>
          <t>Coastal mud shrimp</t>
        </is>
      </c>
      <c r="E407" s="9" t="inlineStr">
        <is>
          <t>Shrimps</t>
        </is>
      </c>
      <c r="F407" s="9" t="inlineStr">
        <is>
          <t>Crustaceans</t>
        </is>
      </c>
      <c r="G407" s="10" t="inlineStr">
        <is>
          <t>3 Crustaceans</t>
        </is>
      </c>
      <c r="H407" s="11" t="n">
        <v>0.7870007830853563</v>
      </c>
      <c r="I407" s="9" t="inlineStr">
        <is>
          <t>model_biomass</t>
        </is>
      </c>
      <c r="J407" s="12" t="inlineStr">
        <is>
          <t>medium</t>
        </is>
      </c>
      <c r="K407" s="9" t="inlineStr">
        <is>
          <t>composite_split</t>
        </is>
      </c>
      <c r="L407" s="10" t="inlineStr">
        <is>
          <t>Appendix A1.1 lists this exact catch name under `shrimps`; apportioned over the region 2 and region 3 pools by model biomass; region 1 is the Maldives shelf, outside LME 34.</t>
        </is>
      </c>
      <c r="M407" s="9" t="n">
        <v>33224.588</v>
      </c>
    </row>
    <row r="408" ht="36" customHeight="1">
      <c r="A408" s="9" t="inlineStr">
        <is>
          <t>LME_034</t>
        </is>
      </c>
      <c r="B408" s="10" t="inlineStr">
        <is>
          <t>34_1_Bay_of_Bengal_(1978)</t>
        </is>
      </c>
      <c r="C408" s="10" t="inlineStr">
        <is>
          <t>Platycephalus indicus</t>
        </is>
      </c>
      <c r="D408" s="9" t="inlineStr">
        <is>
          <t>Bartail flathead</t>
        </is>
      </c>
      <c r="E408" s="9" t="inlineStr">
        <is>
          <t>Medium demersals (30 - 89 cm)</t>
        </is>
      </c>
      <c r="F408" s="9" t="inlineStr">
        <is>
          <t>Scorpionfishes</t>
        </is>
      </c>
      <c r="G408" s="10" t="inlineStr">
        <is>
          <t>2 L pisc</t>
        </is>
      </c>
      <c r="H408" s="11" t="n">
        <v>0.449530936694357</v>
      </c>
      <c r="I408" s="9" t="inlineStr">
        <is>
          <t>model_biomass</t>
        </is>
      </c>
      <c r="J408" s="12" t="inlineStr">
        <is>
          <t>medium</t>
        </is>
      </c>
      <c r="K408" s="9" t="inlineStr">
        <is>
          <t>composite_split</t>
        </is>
      </c>
      <c r="L408" s="10" t="inlineStr">
        <is>
          <t>Appendix A1.1 lists this exact catch name under `L pisc`; apportioned over the region 2 and region 3 pools by model biomass; region 1 is the Maldives shelf, outside LME 34.</t>
        </is>
      </c>
      <c r="M408" s="9" t="n">
        <v>32747.118</v>
      </c>
    </row>
    <row r="409" ht="36" customHeight="1">
      <c r="A409" s="9" t="inlineStr">
        <is>
          <t>LME_034</t>
        </is>
      </c>
      <c r="B409" s="10" t="inlineStr">
        <is>
          <t>34_1_Bay_of_Bengal_(1978)</t>
        </is>
      </c>
      <c r="C409" s="10" t="inlineStr">
        <is>
          <t>Platycephalus indicus</t>
        </is>
      </c>
      <c r="D409" s="9" t="inlineStr">
        <is>
          <t>Bartail flathead</t>
        </is>
      </c>
      <c r="E409" s="9" t="inlineStr">
        <is>
          <t>Medium demersals (30 - 89 cm)</t>
        </is>
      </c>
      <c r="F409" s="9" t="inlineStr">
        <is>
          <t>Scorpionfishes</t>
        </is>
      </c>
      <c r="G409" s="10" t="inlineStr">
        <is>
          <t>3 L pisc</t>
        </is>
      </c>
      <c r="H409" s="11" t="n">
        <v>0.5504690633056432</v>
      </c>
      <c r="I409" s="9" t="inlineStr">
        <is>
          <t>model_biomass</t>
        </is>
      </c>
      <c r="J409" s="12" t="inlineStr">
        <is>
          <t>medium</t>
        </is>
      </c>
      <c r="K409" s="9" t="inlineStr">
        <is>
          <t>composite_split</t>
        </is>
      </c>
      <c r="L409" s="10" t="inlineStr">
        <is>
          <t>Appendix A1.1 lists this exact catch name under `L pisc`; apportioned over the region 2 and region 3 pools by model biomass; region 1 is the Maldives shelf, outside LME 34.</t>
        </is>
      </c>
      <c r="M409" s="9" t="n">
        <v>32747.118</v>
      </c>
    </row>
    <row r="410" ht="66" customHeight="1">
      <c r="A410" s="9" t="inlineStr">
        <is>
          <t>LME_034</t>
        </is>
      </c>
      <c r="B410" s="10" t="inlineStr">
        <is>
          <t>34_1_Bay_of_Bengal_(1978)</t>
        </is>
      </c>
      <c r="C410" s="10" t="inlineStr">
        <is>
          <t>Scombroidei</t>
        </is>
      </c>
      <c r="D410" s="9" t="inlineStr">
        <is>
          <t>Tunas, bonitos, billfishes</t>
        </is>
      </c>
      <c r="E410" s="9" t="inlineStr">
        <is>
          <t>Large pelagics (&gt;=90 cm)</t>
        </is>
      </c>
      <c r="F410" s="9" t="inlineStr">
        <is>
          <t>Tuna &amp; billfishes</t>
        </is>
      </c>
      <c r="G410" s="10" t="inlineStr">
        <is>
          <t>Tuna-like</t>
        </is>
      </c>
      <c r="H410" s="11" t="n">
        <v>0.1402871954241379</v>
      </c>
      <c r="I410" s="9" t="inlineStr">
        <is>
          <t>catch_composition</t>
        </is>
      </c>
      <c r="J410" s="12" t="inlineStr">
        <is>
          <t>medium</t>
        </is>
      </c>
      <c r="K410" s="9" t="inlineStr">
        <is>
          <t>composite_split</t>
        </is>
      </c>
      <c r="L410" s="10" t="inlineStr">
        <is>
          <t>The text (p.10) treats Scombroidei like Scombrids. The Sea Around Us class here is large pelagics in the Tuna &amp; billfishes commercial group, which excludes Rastrelliger, so only the tuna-like and coastal scombrid pools are candidates; apportioned by the catch already on them.</t>
        </is>
      </c>
      <c r="M410" s="9" t="n">
        <v>31786.435</v>
      </c>
    </row>
    <row r="411" ht="66" customHeight="1">
      <c r="A411" s="9" t="inlineStr">
        <is>
          <t>LME_034</t>
        </is>
      </c>
      <c r="B411" s="10" t="inlineStr">
        <is>
          <t>34_1_Bay_of_Bengal_(1978)</t>
        </is>
      </c>
      <c r="C411" s="10" t="inlineStr">
        <is>
          <t>Scombroidei</t>
        </is>
      </c>
      <c r="D411" s="9" t="inlineStr">
        <is>
          <t>Tunas, bonitos, billfishes</t>
        </is>
      </c>
      <c r="E411" s="9" t="inlineStr">
        <is>
          <t>Large pelagics (&gt;=90 cm)</t>
        </is>
      </c>
      <c r="F411" s="9" t="inlineStr">
        <is>
          <t>Tuna &amp; billfishes</t>
        </is>
      </c>
      <c r="G411" s="10" t="inlineStr">
        <is>
          <t>Coastal scombrids</t>
        </is>
      </c>
      <c r="H411" s="11" t="n">
        <v>0.8597128045758621</v>
      </c>
      <c r="I411" s="9" t="inlineStr">
        <is>
          <t>catch_composition</t>
        </is>
      </c>
      <c r="J411" s="12" t="inlineStr">
        <is>
          <t>medium</t>
        </is>
      </c>
      <c r="K411" s="9" t="inlineStr">
        <is>
          <t>composite_split</t>
        </is>
      </c>
      <c r="L411" s="10" t="inlineStr">
        <is>
          <t>The text (p.10) treats Scombroidei like Scombrids. The Sea Around Us class here is large pelagics in the Tuna &amp; billfishes commercial group, which excludes Rastrelliger, so only the tuna-like and coastal scombrid pools are candidates; apportioned by the catch already on them.</t>
        </is>
      </c>
      <c r="M411" s="9" t="n">
        <v>31786.435</v>
      </c>
    </row>
    <row r="412" ht="66" customHeight="1">
      <c r="A412" s="9" t="inlineStr">
        <is>
          <t>LME_034</t>
        </is>
      </c>
      <c r="B412" s="10" t="inlineStr">
        <is>
          <t>34_1_Bay_of_Bengal_(1978)</t>
        </is>
      </c>
      <c r="C412" s="10" t="inlineStr">
        <is>
          <t>Dasyatidae</t>
        </is>
      </c>
      <c r="D412" s="9" t="inlineStr">
        <is>
          <t>Whiptail stingrays</t>
        </is>
      </c>
      <c r="E412" s="9" t="inlineStr">
        <is>
          <t>Large rays (&gt;=90 cm)</t>
        </is>
      </c>
      <c r="F412" s="9" t="inlineStr">
        <is>
          <t>Sharks &amp; rays</t>
        </is>
      </c>
      <c r="G412" s="10" t="inlineStr">
        <is>
          <t>Coastal elasmobranch</t>
        </is>
      </c>
      <c r="H412" s="11" t="n">
        <v>1</v>
      </c>
      <c r="I412" s="9" t="inlineStr">
        <is>
          <t>single</t>
        </is>
      </c>
      <c r="J412" s="12" t="inlineStr">
        <is>
          <t>medium</t>
        </is>
      </c>
      <c r="K412" s="9" t="inlineStr">
        <is>
          <t>taxonomic_containment</t>
        </is>
      </c>
      <c r="L412" s="10" t="inlineStr">
        <is>
          <t>Appendix A1.1 sends every elasmobranch nei label to `oceanic, coastal sharks`, but Appendix A1.3 places all of the model's batoids - Rhynchobatus, Glaucostegus, Dasyatis, six Himantura, Aetobatus, Rhinoptera, two Mobula and two Aetomylaeus - in Coastal elasmobranch; the only batoid in Oceanic sharks is the oceanic pelagic stingray.</t>
        </is>
      </c>
      <c r="M412" s="9" t="n">
        <v>30713.257</v>
      </c>
    </row>
    <row r="413" ht="51" customHeight="1">
      <c r="A413" s="9" t="inlineStr">
        <is>
          <t>LME_034</t>
        </is>
      </c>
      <c r="B413" s="10" t="inlineStr">
        <is>
          <t>34_1_Bay_of_Bengal_(1978)</t>
        </is>
      </c>
      <c r="C413" s="10" t="inlineStr">
        <is>
          <t>Carcharhinidae</t>
        </is>
      </c>
      <c r="D413" s="9" t="inlineStr">
        <is>
          <t>Requiem sharks</t>
        </is>
      </c>
      <c r="E413" s="9" t="inlineStr">
        <is>
          <t>Large sharks (&gt;=90 cm)</t>
        </is>
      </c>
      <c r="F413" s="9" t="inlineStr">
        <is>
          <t>Sharks &amp; rays</t>
        </is>
      </c>
      <c r="G413" s="10" t="inlineStr">
        <is>
          <t>Oceanic sharks</t>
        </is>
      </c>
      <c r="H413" s="11" t="n">
        <v>0.305730644284871</v>
      </c>
      <c r="I413" s="9" t="inlineStr">
        <is>
          <t>catch_composition</t>
        </is>
      </c>
      <c r="J413" s="12" t="inlineStr">
        <is>
          <t>medium</t>
        </is>
      </c>
      <c r="K413" s="9" t="inlineStr">
        <is>
          <t>composite_split</t>
        </is>
      </c>
      <c r="L413" s="10" t="inlineStr">
        <is>
          <t>Appendix A1.1 lists this exact catch name twice, under coastal elasmobranch (Andaman species list) and under oceanic, coastal sharks; apportioned by the catch that taxa assigned to those groups alone already carry in this LME.</t>
        </is>
      </c>
      <c r="M413" s="9" t="n">
        <v>28588.451</v>
      </c>
    </row>
    <row r="414" ht="51" customHeight="1">
      <c r="A414" s="9" t="inlineStr">
        <is>
          <t>LME_034</t>
        </is>
      </c>
      <c r="B414" s="10" t="inlineStr">
        <is>
          <t>34_1_Bay_of_Bengal_(1978)</t>
        </is>
      </c>
      <c r="C414" s="10" t="inlineStr">
        <is>
          <t>Carcharhinidae</t>
        </is>
      </c>
      <c r="D414" s="9" t="inlineStr">
        <is>
          <t>Requiem sharks</t>
        </is>
      </c>
      <c r="E414" s="9" t="inlineStr">
        <is>
          <t>Large sharks (&gt;=90 cm)</t>
        </is>
      </c>
      <c r="F414" s="9" t="inlineStr">
        <is>
          <t>Sharks &amp; rays</t>
        </is>
      </c>
      <c r="G414" s="10" t="inlineStr">
        <is>
          <t>Coastal elasmobranch</t>
        </is>
      </c>
      <c r="H414" s="11" t="n">
        <v>0.694269355715129</v>
      </c>
      <c r="I414" s="9" t="inlineStr">
        <is>
          <t>catch_composition</t>
        </is>
      </c>
      <c r="J414" s="12" t="inlineStr">
        <is>
          <t>medium</t>
        </is>
      </c>
      <c r="K414" s="9" t="inlineStr">
        <is>
          <t>composite_split</t>
        </is>
      </c>
      <c r="L414" s="10" t="inlineStr">
        <is>
          <t>Appendix A1.1 lists this exact catch name twice, under coastal elasmobranch (Andaman species list) and under oceanic, coastal sharks; apportioned by the catch that taxa assigned to those groups alone already carry in this LME.</t>
        </is>
      </c>
      <c r="M414" s="9" t="n">
        <v>28588.451</v>
      </c>
    </row>
    <row r="415" ht="36" customHeight="1">
      <c r="A415" s="9" t="inlineStr">
        <is>
          <t>LME_034</t>
        </is>
      </c>
      <c r="B415" s="10" t="inlineStr">
        <is>
          <t>34_1_Bay_of_Bengal_(1978)</t>
        </is>
      </c>
      <c r="C415" s="10" t="inlineStr">
        <is>
          <t>Holocentridae</t>
        </is>
      </c>
      <c r="D415" s="9" t="inlineStr">
        <is>
          <t>Squirrel-, soldierfishes</t>
        </is>
      </c>
      <c r="E415" s="9" t="inlineStr">
        <is>
          <t>Small reef assoc. fish (&lt;30 cm)</t>
        </is>
      </c>
      <c r="F415" s="9" t="inlineStr">
        <is>
          <t>Other fishes &amp; inverts</t>
        </is>
      </c>
      <c r="G415" s="10" t="inlineStr">
        <is>
          <t>2 SM inv</t>
        </is>
      </c>
      <c r="H415" s="11" t="n">
        <v>0.1809523391556219</v>
      </c>
      <c r="I415" s="9" t="inlineStr">
        <is>
          <t>model_biomass</t>
        </is>
      </c>
      <c r="J415" s="12" t="inlineStr">
        <is>
          <t>medium</t>
        </is>
      </c>
      <c r="K415" s="9" t="inlineStr">
        <is>
          <t>composite_split</t>
        </is>
      </c>
      <c r="L415" s="10" t="inlineStr">
        <is>
          <t>Appendix A1.1 lists this exact catch name under `SM inv, pisc`; apportioned over the region 2 and region 3 pools by model biomass; region 1 is the Maldives shelf, outside LME 34.</t>
        </is>
      </c>
      <c r="M415" s="9" t="n">
        <v>28575.868</v>
      </c>
    </row>
    <row r="416" ht="36" customHeight="1">
      <c r="A416" s="9" t="inlineStr">
        <is>
          <t>LME_034</t>
        </is>
      </c>
      <c r="B416" s="10" t="inlineStr">
        <is>
          <t>34_1_Bay_of_Bengal_(1978)</t>
        </is>
      </c>
      <c r="C416" s="10" t="inlineStr">
        <is>
          <t>Holocentridae</t>
        </is>
      </c>
      <c r="D416" s="9" t="inlineStr">
        <is>
          <t>Squirrel-, soldierfishes</t>
        </is>
      </c>
      <c r="E416" s="9" t="inlineStr">
        <is>
          <t>Small reef assoc. fish (&lt;30 cm)</t>
        </is>
      </c>
      <c r="F416" s="9" t="inlineStr">
        <is>
          <t>Other fishes &amp; inverts</t>
        </is>
      </c>
      <c r="G416" s="10" t="inlineStr">
        <is>
          <t>3 SM inv</t>
        </is>
      </c>
      <c r="H416" s="11" t="n">
        <v>0.3897129816554025</v>
      </c>
      <c r="I416" s="9" t="inlineStr">
        <is>
          <t>model_biomass</t>
        </is>
      </c>
      <c r="J416" s="12" t="inlineStr">
        <is>
          <t>medium</t>
        </is>
      </c>
      <c r="K416" s="9" t="inlineStr">
        <is>
          <t>composite_split</t>
        </is>
      </c>
      <c r="L416" s="10" t="inlineStr">
        <is>
          <t>Appendix A1.1 lists this exact catch name under `SM inv, pisc`; apportioned over the region 2 and region 3 pools by model biomass; region 1 is the Maldives shelf, outside LME 34.</t>
        </is>
      </c>
      <c r="M416" s="9" t="n">
        <v>28575.868</v>
      </c>
    </row>
    <row r="417" ht="36" customHeight="1">
      <c r="A417" s="9" t="inlineStr">
        <is>
          <t>LME_034</t>
        </is>
      </c>
      <c r="B417" s="10" t="inlineStr">
        <is>
          <t>34_1_Bay_of_Bengal_(1978)</t>
        </is>
      </c>
      <c r="C417" s="10" t="inlineStr">
        <is>
          <t>Holocentridae</t>
        </is>
      </c>
      <c r="D417" s="9" t="inlineStr">
        <is>
          <t>Squirrel-, soldierfishes</t>
        </is>
      </c>
      <c r="E417" s="9" t="inlineStr">
        <is>
          <t>Small reef assoc. fish (&lt;30 cm)</t>
        </is>
      </c>
      <c r="F417" s="9" t="inlineStr">
        <is>
          <t>Other fishes &amp; inverts</t>
        </is>
      </c>
      <c r="G417" s="10" t="inlineStr">
        <is>
          <t>2 SM pisc</t>
        </is>
      </c>
      <c r="H417" s="11" t="n">
        <v>0.1312042482225928</v>
      </c>
      <c r="I417" s="9" t="inlineStr">
        <is>
          <t>model_biomass</t>
        </is>
      </c>
      <c r="J417" s="12" t="inlineStr">
        <is>
          <t>medium</t>
        </is>
      </c>
      <c r="K417" s="9" t="inlineStr">
        <is>
          <t>composite_split</t>
        </is>
      </c>
      <c r="L417" s="10" t="inlineStr">
        <is>
          <t>Appendix A1.1 lists this exact catch name under `SM inv, pisc`; apportioned over the region 2 and region 3 pools by model biomass; region 1 is the Maldives shelf, outside LME 34.</t>
        </is>
      </c>
      <c r="M417" s="9" t="n">
        <v>28575.868</v>
      </c>
    </row>
    <row r="418" ht="36" customHeight="1">
      <c r="A418" s="9" t="inlineStr">
        <is>
          <t>LME_034</t>
        </is>
      </c>
      <c r="B418" s="10" t="inlineStr">
        <is>
          <t>34_1_Bay_of_Bengal_(1978)</t>
        </is>
      </c>
      <c r="C418" s="10" t="inlineStr">
        <is>
          <t>Holocentridae</t>
        </is>
      </c>
      <c r="D418" s="9" t="inlineStr">
        <is>
          <t>Squirrel-, soldierfishes</t>
        </is>
      </c>
      <c r="E418" s="9" t="inlineStr">
        <is>
          <t>Small reef assoc. fish (&lt;30 cm)</t>
        </is>
      </c>
      <c r="F418" s="9" t="inlineStr">
        <is>
          <t>Other fishes &amp; inverts</t>
        </is>
      </c>
      <c r="G418" s="10" t="inlineStr">
        <is>
          <t>3 SM pisc</t>
        </is>
      </c>
      <c r="H418" s="11" t="n">
        <v>0.2981304309663829</v>
      </c>
      <c r="I418" s="9" t="inlineStr">
        <is>
          <t>model_biomass</t>
        </is>
      </c>
      <c r="J418" s="12" t="inlineStr">
        <is>
          <t>medium</t>
        </is>
      </c>
      <c r="K418" s="9" t="inlineStr">
        <is>
          <t>composite_split</t>
        </is>
      </c>
      <c r="L418" s="10" t="inlineStr">
        <is>
          <t>Appendix A1.1 lists this exact catch name under `SM inv, pisc`; apportioned over the region 2 and region 3 pools by model biomass; region 1 is the Maldives shelf, outside LME 34.</t>
        </is>
      </c>
      <c r="M418" s="9" t="n">
        <v>28575.868</v>
      </c>
    </row>
    <row r="419" ht="36" customHeight="1">
      <c r="A419" s="9" t="inlineStr">
        <is>
          <t>LME_034</t>
        </is>
      </c>
      <c r="B419" s="10" t="inlineStr">
        <is>
          <t>34_1_Bay_of_Bengal_(1978)</t>
        </is>
      </c>
      <c r="C419" s="10" t="inlineStr">
        <is>
          <t>Scolopsis</t>
        </is>
      </c>
      <c r="D419" s="9" t="inlineStr">
        <is>
          <t>Monocle breams</t>
        </is>
      </c>
      <c r="E419" s="9" t="inlineStr">
        <is>
          <t>Small reef assoc. fish (&lt;30 cm)</t>
        </is>
      </c>
      <c r="F419" s="9" t="inlineStr">
        <is>
          <t>Perch-likes</t>
        </is>
      </c>
      <c r="G419" s="10" t="inlineStr">
        <is>
          <t>2 SM pisc</t>
        </is>
      </c>
      <c r="H419" s="11" t="n">
        <v>0.3055989990616202</v>
      </c>
      <c r="I419" s="9" t="inlineStr">
        <is>
          <t>model_biomass</t>
        </is>
      </c>
      <c r="J419" s="12" t="inlineStr">
        <is>
          <t>medium</t>
        </is>
      </c>
      <c r="K419" s="9" t="inlineStr">
        <is>
          <t>composite_split</t>
        </is>
      </c>
      <c r="L419" s="10" t="inlineStr">
        <is>
          <t>Appendix A1.1 lists this exact catch name under `SM pisc`; apportioned over the region 2 and region 3 pools by model biomass; region 1 is the Maldives shelf, outside LME 34.</t>
        </is>
      </c>
      <c r="M419" s="9" t="n">
        <v>28186.14</v>
      </c>
    </row>
    <row r="420" ht="36" customHeight="1">
      <c r="A420" s="9" t="inlineStr">
        <is>
          <t>LME_034</t>
        </is>
      </c>
      <c r="B420" s="10" t="inlineStr">
        <is>
          <t>34_1_Bay_of_Bengal_(1978)</t>
        </is>
      </c>
      <c r="C420" s="10" t="inlineStr">
        <is>
          <t>Scolopsis</t>
        </is>
      </c>
      <c r="D420" s="9" t="inlineStr">
        <is>
          <t>Monocle breams</t>
        </is>
      </c>
      <c r="E420" s="9" t="inlineStr">
        <is>
          <t>Small reef assoc. fish (&lt;30 cm)</t>
        </is>
      </c>
      <c r="F420" s="9" t="inlineStr">
        <is>
          <t>Perch-likes</t>
        </is>
      </c>
      <c r="G420" s="10" t="inlineStr">
        <is>
          <t>3 SM pisc</t>
        </is>
      </c>
      <c r="H420" s="11" t="n">
        <v>0.6944010009383798</v>
      </c>
      <c r="I420" s="9" t="inlineStr">
        <is>
          <t>model_biomass</t>
        </is>
      </c>
      <c r="J420" s="12" t="inlineStr">
        <is>
          <t>medium</t>
        </is>
      </c>
      <c r="K420" s="9" t="inlineStr">
        <is>
          <t>composite_split</t>
        </is>
      </c>
      <c r="L420" s="10" t="inlineStr">
        <is>
          <t>Appendix A1.1 lists this exact catch name under `SM pisc`; apportioned over the region 2 and region 3 pools by model biomass; region 1 is the Maldives shelf, outside LME 34.</t>
        </is>
      </c>
      <c r="M420" s="9" t="n">
        <v>28186.14</v>
      </c>
    </row>
    <row r="421" ht="36" customHeight="1">
      <c r="A421" s="9" t="inlineStr">
        <is>
          <t>LME_034</t>
        </is>
      </c>
      <c r="B421" s="10" t="inlineStr">
        <is>
          <t>34_1_Bay_of_Bengal_(1978)</t>
        </is>
      </c>
      <c r="C421" s="10" t="inlineStr">
        <is>
          <t>Paphia</t>
        </is>
      </c>
      <c r="D421" s="9" t="inlineStr">
        <is>
          <t>Indo-Pacific venus clams</t>
        </is>
      </c>
      <c r="E421" s="9" t="inlineStr">
        <is>
          <t>Other demersal invertebrates</t>
        </is>
      </c>
      <c r="F421" s="9" t="inlineStr">
        <is>
          <t>Molluscs</t>
        </is>
      </c>
      <c r="G421" s="10" t="inlineStr">
        <is>
          <t>2 Macrobenthos</t>
        </is>
      </c>
      <c r="H421" s="11" t="n">
        <v>0.363210995759614</v>
      </c>
      <c r="I421" s="9" t="inlineStr">
        <is>
          <t>model_biomass</t>
        </is>
      </c>
      <c r="J421" s="12" t="inlineStr">
        <is>
          <t>medium</t>
        </is>
      </c>
      <c r="K421" s="9" t="inlineStr">
        <is>
          <t>composite_split</t>
        </is>
      </c>
      <c r="L421" s="10" t="inlineStr">
        <is>
          <t>Appendix A1.1 lists this exact catch name under `macrobenthos`; apportioned over the region 2 and region 3 pools by model biomass; region 1 is the Maldives shelf, outside LME 34.</t>
        </is>
      </c>
      <c r="M421" s="9" t="n">
        <v>26218.964</v>
      </c>
    </row>
    <row r="422" ht="36" customHeight="1">
      <c r="A422" s="9" t="inlineStr">
        <is>
          <t>LME_034</t>
        </is>
      </c>
      <c r="B422" s="10" t="inlineStr">
        <is>
          <t>34_1_Bay_of_Bengal_(1978)</t>
        </is>
      </c>
      <c r="C422" s="10" t="inlineStr">
        <is>
          <t>Paphia</t>
        </is>
      </c>
      <c r="D422" s="9" t="inlineStr">
        <is>
          <t>Indo-Pacific venus clams</t>
        </is>
      </c>
      <c r="E422" s="9" t="inlineStr">
        <is>
          <t>Other demersal invertebrates</t>
        </is>
      </c>
      <c r="F422" s="9" t="inlineStr">
        <is>
          <t>Molluscs</t>
        </is>
      </c>
      <c r="G422" s="10" t="inlineStr">
        <is>
          <t>3 Macrobenthos</t>
        </is>
      </c>
      <c r="H422" s="11" t="n">
        <v>0.6367890042403861</v>
      </c>
      <c r="I422" s="9" t="inlineStr">
        <is>
          <t>model_biomass</t>
        </is>
      </c>
      <c r="J422" s="12" t="inlineStr">
        <is>
          <t>medium</t>
        </is>
      </c>
      <c r="K422" s="9" t="inlineStr">
        <is>
          <t>composite_split</t>
        </is>
      </c>
      <c r="L422" s="10" t="inlineStr">
        <is>
          <t>Appendix A1.1 lists this exact catch name under `macrobenthos`; apportioned over the region 2 and region 3 pools by model biomass; region 1 is the Maldives shelf, outside LME 34.</t>
        </is>
      </c>
      <c r="M422" s="9" t="n">
        <v>26218.964</v>
      </c>
    </row>
    <row r="423" ht="51" customHeight="1">
      <c r="A423" s="9" t="inlineStr">
        <is>
          <t>LME_034</t>
        </is>
      </c>
      <c r="B423" s="10" t="inlineStr">
        <is>
          <t>34_1_Bay_of_Bengal_(1978)</t>
        </is>
      </c>
      <c r="C423" s="10" t="inlineStr">
        <is>
          <t>Mytilidae</t>
        </is>
      </c>
      <c r="D423" s="9" t="inlineStr">
        <is>
          <t>Sea mussels</t>
        </is>
      </c>
      <c r="E423" s="9" t="inlineStr">
        <is>
          <t>Other demersal invertebrates</t>
        </is>
      </c>
      <c r="F423" s="9" t="inlineStr">
        <is>
          <t>Molluscs</t>
        </is>
      </c>
      <c r="G423" s="10" t="inlineStr">
        <is>
          <t>2 Macrobenthos</t>
        </is>
      </c>
      <c r="H423" s="11" t="n">
        <v>0.363210995759614</v>
      </c>
      <c r="I423" s="9" t="inlineStr">
        <is>
          <t>model_biomass</t>
        </is>
      </c>
      <c r="J423" s="12" t="inlineStr">
        <is>
          <t>medium</t>
        </is>
      </c>
      <c r="K423" s="9" t="inlineStr">
        <is>
          <t>composite_split</t>
        </is>
      </c>
      <c r="L423" s="10" t="inlineStr">
        <is>
          <t>Appendix A1.1 lists Perna viridis and Modiolus, both mytilids, under macrobenthos. Apportioned over the region 2 and region 3 pools by model biomass; region 1 is the Maldives shelf, outside LME 34.</t>
        </is>
      </c>
      <c r="M423" s="9" t="n">
        <v>25284.913</v>
      </c>
    </row>
    <row r="424" ht="51" customHeight="1">
      <c r="A424" s="9" t="inlineStr">
        <is>
          <t>LME_034</t>
        </is>
      </c>
      <c r="B424" s="10" t="inlineStr">
        <is>
          <t>34_1_Bay_of_Bengal_(1978)</t>
        </is>
      </c>
      <c r="C424" s="10" t="inlineStr">
        <is>
          <t>Mytilidae</t>
        </is>
      </c>
      <c r="D424" s="9" t="inlineStr">
        <is>
          <t>Sea mussels</t>
        </is>
      </c>
      <c r="E424" s="9" t="inlineStr">
        <is>
          <t>Other demersal invertebrates</t>
        </is>
      </c>
      <c r="F424" s="9" t="inlineStr">
        <is>
          <t>Molluscs</t>
        </is>
      </c>
      <c r="G424" s="10" t="inlineStr">
        <is>
          <t>3 Macrobenthos</t>
        </is>
      </c>
      <c r="H424" s="11" t="n">
        <v>0.6367890042403861</v>
      </c>
      <c r="I424" s="9" t="inlineStr">
        <is>
          <t>model_biomass</t>
        </is>
      </c>
      <c r="J424" s="12" t="inlineStr">
        <is>
          <t>medium</t>
        </is>
      </c>
      <c r="K424" s="9" t="inlineStr">
        <is>
          <t>composite_split</t>
        </is>
      </c>
      <c r="L424" s="10" t="inlineStr">
        <is>
          <t>Appendix A1.1 lists Perna viridis and Modiolus, both mytilids, under macrobenthos. Apportioned over the region 2 and region 3 pools by model biomass; region 1 is the Maldives shelf, outside LME 34.</t>
        </is>
      </c>
      <c r="M424" s="9" t="n">
        <v>25284.913</v>
      </c>
    </row>
    <row r="425" ht="36" customHeight="1">
      <c r="A425" s="9" t="inlineStr">
        <is>
          <t>LME_034</t>
        </is>
      </c>
      <c r="B425" s="10" t="inlineStr">
        <is>
          <t>34_1_Bay_of_Bengal_(1978)</t>
        </is>
      </c>
      <c r="C425" s="10" t="inlineStr">
        <is>
          <t>Gastropoda</t>
        </is>
      </c>
      <c r="D425" s="9" t="inlineStr">
        <is>
          <t>Sea snails</t>
        </is>
      </c>
      <c r="E425" s="9" t="inlineStr">
        <is>
          <t>Other demersal invertebrates</t>
        </is>
      </c>
      <c r="F425" s="9" t="inlineStr">
        <is>
          <t>Molluscs</t>
        </is>
      </c>
      <c r="G425" s="10" t="inlineStr">
        <is>
          <t>2 Macrobenthos</t>
        </is>
      </c>
      <c r="H425" s="11" t="n">
        <v>0.363210995759614</v>
      </c>
      <c r="I425" s="9" t="inlineStr">
        <is>
          <t>model_biomass</t>
        </is>
      </c>
      <c r="J425" s="12" t="inlineStr">
        <is>
          <t>medium</t>
        </is>
      </c>
      <c r="K425" s="9" t="inlineStr">
        <is>
          <t>composite_split</t>
        </is>
      </c>
      <c r="L425" s="10" t="inlineStr">
        <is>
          <t>Appendix A1.1 lists this exact catch name under `macrobenthos`; apportioned over the region 2 and region 3 pools by model biomass; region 1 is the Maldives shelf, outside LME 34.</t>
        </is>
      </c>
      <c r="M425" s="9" t="n">
        <v>24405.279</v>
      </c>
    </row>
    <row r="426" ht="36" customHeight="1">
      <c r="A426" s="9" t="inlineStr">
        <is>
          <t>LME_034</t>
        </is>
      </c>
      <c r="B426" s="10" t="inlineStr">
        <is>
          <t>34_1_Bay_of_Bengal_(1978)</t>
        </is>
      </c>
      <c r="C426" s="10" t="inlineStr">
        <is>
          <t>Gastropoda</t>
        </is>
      </c>
      <c r="D426" s="9" t="inlineStr">
        <is>
          <t>Sea snails</t>
        </is>
      </c>
      <c r="E426" s="9" t="inlineStr">
        <is>
          <t>Other demersal invertebrates</t>
        </is>
      </c>
      <c r="F426" s="9" t="inlineStr">
        <is>
          <t>Molluscs</t>
        </is>
      </c>
      <c r="G426" s="10" t="inlineStr">
        <is>
          <t>3 Macrobenthos</t>
        </is>
      </c>
      <c r="H426" s="11" t="n">
        <v>0.6367890042403861</v>
      </c>
      <c r="I426" s="9" t="inlineStr">
        <is>
          <t>model_biomass</t>
        </is>
      </c>
      <c r="J426" s="12" t="inlineStr">
        <is>
          <t>medium</t>
        </is>
      </c>
      <c r="K426" s="9" t="inlineStr">
        <is>
          <t>composite_split</t>
        </is>
      </c>
      <c r="L426" s="10" t="inlineStr">
        <is>
          <t>Appendix A1.1 lists this exact catch name under `macrobenthos`; apportioned over the region 2 and region 3 pools by model biomass; region 1 is the Maldives shelf, outside LME 34.</t>
        </is>
      </c>
      <c r="M426" s="9" t="n">
        <v>24405.279</v>
      </c>
    </row>
    <row r="427" ht="36" customHeight="1">
      <c r="A427" s="9" t="inlineStr">
        <is>
          <t>LME_034</t>
        </is>
      </c>
      <c r="B427" s="10" t="inlineStr">
        <is>
          <t>34_1_Bay_of_Bengal_(1978)</t>
        </is>
      </c>
      <c r="C427" s="10" t="inlineStr">
        <is>
          <t>Eleutheronema tetradactylum</t>
        </is>
      </c>
      <c r="D427" s="9" t="inlineStr">
        <is>
          <t>Fourfinger threadfin</t>
        </is>
      </c>
      <c r="E427" s="9" t="inlineStr">
        <is>
          <t>Large demersals (&gt;=90 cm)</t>
        </is>
      </c>
      <c r="F427" s="9" t="inlineStr">
        <is>
          <t>Perch-likes</t>
        </is>
      </c>
      <c r="G427" s="10" t="inlineStr">
        <is>
          <t>2 L pisc</t>
        </is>
      </c>
      <c r="H427" s="11" t="n">
        <v>0.449530936694357</v>
      </c>
      <c r="I427" s="9" t="inlineStr">
        <is>
          <t>model_biomass</t>
        </is>
      </c>
      <c r="J427" s="12" t="inlineStr">
        <is>
          <t>medium</t>
        </is>
      </c>
      <c r="K427" s="9" t="inlineStr">
        <is>
          <t>composite_split</t>
        </is>
      </c>
      <c r="L427" s="10" t="inlineStr">
        <is>
          <t>Appendix A1.1 lists this exact catch name under `L pisc`; apportioned over the region 2 and region 3 pools by model biomass; region 1 is the Maldives shelf, outside LME 34.</t>
        </is>
      </c>
      <c r="M427" s="9" t="n">
        <v>23392.837</v>
      </c>
    </row>
    <row r="428" ht="36" customHeight="1">
      <c r="A428" s="9" t="inlineStr">
        <is>
          <t>LME_034</t>
        </is>
      </c>
      <c r="B428" s="10" t="inlineStr">
        <is>
          <t>34_1_Bay_of_Bengal_(1978)</t>
        </is>
      </c>
      <c r="C428" s="10" t="inlineStr">
        <is>
          <t>Eleutheronema tetradactylum</t>
        </is>
      </c>
      <c r="D428" s="9" t="inlineStr">
        <is>
          <t>Fourfinger threadfin</t>
        </is>
      </c>
      <c r="E428" s="9" t="inlineStr">
        <is>
          <t>Large demersals (&gt;=90 cm)</t>
        </is>
      </c>
      <c r="F428" s="9" t="inlineStr">
        <is>
          <t>Perch-likes</t>
        </is>
      </c>
      <c r="G428" s="10" t="inlineStr">
        <is>
          <t>3 L pisc</t>
        </is>
      </c>
      <c r="H428" s="11" t="n">
        <v>0.5504690633056432</v>
      </c>
      <c r="I428" s="9" t="inlineStr">
        <is>
          <t>model_biomass</t>
        </is>
      </c>
      <c r="J428" s="12" t="inlineStr">
        <is>
          <t>medium</t>
        </is>
      </c>
      <c r="K428" s="9" t="inlineStr">
        <is>
          <t>composite_split</t>
        </is>
      </c>
      <c r="L428" s="10" t="inlineStr">
        <is>
          <t>Appendix A1.1 lists this exact catch name under `L pisc`; apportioned over the region 2 and region 3 pools by model biomass; region 1 is the Maldives shelf, outside LME 34.</t>
        </is>
      </c>
      <c r="M428" s="9" t="n">
        <v>23392.837</v>
      </c>
    </row>
    <row r="429" ht="36" customHeight="1">
      <c r="A429" s="9" t="inlineStr">
        <is>
          <t>LME_034</t>
        </is>
      </c>
      <c r="B429" s="10" t="inlineStr">
        <is>
          <t>34_1_Bay_of_Bengal_(1978)</t>
        </is>
      </c>
      <c r="C429" s="10" t="inlineStr">
        <is>
          <t>Sphyrna</t>
        </is>
      </c>
      <c r="D429" s="9" t="inlineStr">
        <is>
          <t>Hammerhead sharks</t>
        </is>
      </c>
      <c r="E429" s="9" t="inlineStr">
        <is>
          <t>Large sharks (&gt;=90 cm)</t>
        </is>
      </c>
      <c r="F429" s="9" t="inlineStr">
        <is>
          <t>Sharks &amp; rays</t>
        </is>
      </c>
      <c r="G429" s="10" t="inlineStr">
        <is>
          <t>Oceanic sharks</t>
        </is>
      </c>
      <c r="H429" s="11" t="n">
        <v>1</v>
      </c>
      <c r="I429" s="9" t="inlineStr">
        <is>
          <t>single</t>
        </is>
      </c>
      <c r="J429" s="13" t="inlineStr">
        <is>
          <t>high</t>
        </is>
      </c>
      <c r="K429" s="9" t="inlineStr">
        <is>
          <t>explicit_member</t>
        </is>
      </c>
      <c r="L429" s="10" t="inlineStr">
        <is>
          <t>Appendix A1.1 lists this exact catch name under `oceanic sharks`, a group modelled over the whole study area (Appendix A1.2).</t>
        </is>
      </c>
      <c r="M429" s="9" t="n">
        <v>22631.088</v>
      </c>
    </row>
    <row r="430" ht="36" customHeight="1">
      <c r="A430" s="9" t="inlineStr">
        <is>
          <t>LME_034</t>
        </is>
      </c>
      <c r="B430" s="10" t="inlineStr">
        <is>
          <t>34_1_Bay_of_Bengal_(1978)</t>
        </is>
      </c>
      <c r="C430" s="10" t="inlineStr">
        <is>
          <t>Thunnus alalunga</t>
        </is>
      </c>
      <c r="D430" s="9" t="inlineStr">
        <is>
          <t>Albacore</t>
        </is>
      </c>
      <c r="E430" s="9" t="inlineStr">
        <is>
          <t>Large pelagics (&gt;=90 cm)</t>
        </is>
      </c>
      <c r="F430" s="9" t="inlineStr">
        <is>
          <t>Tuna &amp; billfishes</t>
        </is>
      </c>
      <c r="G430" s="10" t="inlineStr">
        <is>
          <t>Tuna-like</t>
        </is>
      </c>
      <c r="H430" s="11" t="n">
        <v>1</v>
      </c>
      <c r="I430" s="9" t="inlineStr">
        <is>
          <t>single</t>
        </is>
      </c>
      <c r="J430" s="13" t="inlineStr">
        <is>
          <t>high</t>
        </is>
      </c>
      <c r="K430" s="9" t="inlineStr">
        <is>
          <t>explicit_member</t>
        </is>
      </c>
      <c r="L430" s="10" t="inlineStr">
        <is>
          <t>Appendix A1.1 lists this exact catch name under `tuna-like`, a group modelled over the whole study area (Appendix A1.2).</t>
        </is>
      </c>
      <c r="M430" s="9" t="n">
        <v>22502.052</v>
      </c>
    </row>
    <row r="431" ht="36" customHeight="1">
      <c r="A431" s="9" t="inlineStr">
        <is>
          <t>LME_034</t>
        </is>
      </c>
      <c r="B431" s="10" t="inlineStr">
        <is>
          <t>34_1_Bay_of_Bengal_(1978)</t>
        </is>
      </c>
      <c r="C431" s="10" t="inlineStr">
        <is>
          <t>Caesio</t>
        </is>
      </c>
      <c r="D431" s="9" t="inlineStr">
        <is>
          <t>Caesios</t>
        </is>
      </c>
      <c r="E431" s="9" t="inlineStr">
        <is>
          <t>Medium reef assoc. fish (30 - 89 cm)</t>
        </is>
      </c>
      <c r="F431" s="9" t="inlineStr">
        <is>
          <t>Perch-likes</t>
        </is>
      </c>
      <c r="G431" s="10" t="inlineStr">
        <is>
          <t>2 SM inv</t>
        </is>
      </c>
      <c r="H431" s="11" t="n">
        <v>0.3170901271842734</v>
      </c>
      <c r="I431" s="9" t="inlineStr">
        <is>
          <t>model_biomass</t>
        </is>
      </c>
      <c r="J431" s="12" t="inlineStr">
        <is>
          <t>medium</t>
        </is>
      </c>
      <c r="K431" s="9" t="inlineStr">
        <is>
          <t>composite_split</t>
        </is>
      </c>
      <c r="L431" s="10" t="inlineStr">
        <is>
          <t>Appendix A1.1 lists this exact catch name under `SM inv`; apportioned over the region 2 and region 3 pools by model biomass; region 1 is the Maldives shelf, outside LME 34.</t>
        </is>
      </c>
      <c r="M431" s="9" t="n">
        <v>22372.031</v>
      </c>
    </row>
    <row r="432" ht="36" customHeight="1">
      <c r="A432" s="9" t="inlineStr">
        <is>
          <t>LME_034</t>
        </is>
      </c>
      <c r="B432" s="10" t="inlineStr">
        <is>
          <t>34_1_Bay_of_Bengal_(1978)</t>
        </is>
      </c>
      <c r="C432" s="10" t="inlineStr">
        <is>
          <t>Caesio</t>
        </is>
      </c>
      <c r="D432" s="9" t="inlineStr">
        <is>
          <t>Caesios</t>
        </is>
      </c>
      <c r="E432" s="9" t="inlineStr">
        <is>
          <t>Medium reef assoc. fish (30 - 89 cm)</t>
        </is>
      </c>
      <c r="F432" s="9" t="inlineStr">
        <is>
          <t>Perch-likes</t>
        </is>
      </c>
      <c r="G432" s="10" t="inlineStr">
        <is>
          <t>3 SM inv</t>
        </is>
      </c>
      <c r="H432" s="11" t="n">
        <v>0.6829098728157266</v>
      </c>
      <c r="I432" s="9" t="inlineStr">
        <is>
          <t>model_biomass</t>
        </is>
      </c>
      <c r="J432" s="12" t="inlineStr">
        <is>
          <t>medium</t>
        </is>
      </c>
      <c r="K432" s="9" t="inlineStr">
        <is>
          <t>composite_split</t>
        </is>
      </c>
      <c r="L432" s="10" t="inlineStr">
        <is>
          <t>Appendix A1.1 lists this exact catch name under `SM inv`; apportioned over the region 2 and region 3 pools by model biomass; region 1 is the Maldives shelf, outside LME 34.</t>
        </is>
      </c>
      <c r="M432" s="9" t="n">
        <v>22372.031</v>
      </c>
    </row>
    <row r="433" ht="36" customHeight="1">
      <c r="A433" s="9" t="inlineStr">
        <is>
          <t>LME_034</t>
        </is>
      </c>
      <c r="B433" s="10" t="inlineStr">
        <is>
          <t>34_1_Bay_of_Bengal_(1978)</t>
        </is>
      </c>
      <c r="C433" s="10" t="inlineStr">
        <is>
          <t>Plectorhinchus</t>
        </is>
      </c>
      <c r="D433" s="9" t="inlineStr">
        <is>
          <t>Sweetlips</t>
        </is>
      </c>
      <c r="E433" s="9" t="inlineStr">
        <is>
          <t>Medium reef assoc. fish (30 - 89 cm)</t>
        </is>
      </c>
      <c r="F433" s="9" t="inlineStr">
        <is>
          <t>Perch-likes</t>
        </is>
      </c>
      <c r="G433" s="10" t="inlineStr">
        <is>
          <t>2 SM pisc</t>
        </is>
      </c>
      <c r="H433" s="11" t="n">
        <v>0.3055989990616202</v>
      </c>
      <c r="I433" s="9" t="inlineStr">
        <is>
          <t>model_biomass</t>
        </is>
      </c>
      <c r="J433" s="12" t="inlineStr">
        <is>
          <t>medium</t>
        </is>
      </c>
      <c r="K433" s="9" t="inlineStr">
        <is>
          <t>composite_split</t>
        </is>
      </c>
      <c r="L433" s="10" t="inlineStr">
        <is>
          <t>Appendix A1.1 lists this exact catch name under `SM pisc`; apportioned over the region 2 and region 3 pools by model biomass; region 1 is the Maldives shelf, outside LME 34.</t>
        </is>
      </c>
      <c r="M433" s="9" t="n">
        <v>22104.822</v>
      </c>
    </row>
    <row r="434" ht="36" customHeight="1">
      <c r="A434" s="9" t="inlineStr">
        <is>
          <t>LME_034</t>
        </is>
      </c>
      <c r="B434" s="10" t="inlineStr">
        <is>
          <t>34_1_Bay_of_Bengal_(1978)</t>
        </is>
      </c>
      <c r="C434" s="10" t="inlineStr">
        <is>
          <t>Plectorhinchus</t>
        </is>
      </c>
      <c r="D434" s="9" t="inlineStr">
        <is>
          <t>Sweetlips</t>
        </is>
      </c>
      <c r="E434" s="9" t="inlineStr">
        <is>
          <t>Medium reef assoc. fish (30 - 89 cm)</t>
        </is>
      </c>
      <c r="F434" s="9" t="inlineStr">
        <is>
          <t>Perch-likes</t>
        </is>
      </c>
      <c r="G434" s="10" t="inlineStr">
        <is>
          <t>3 SM pisc</t>
        </is>
      </c>
      <c r="H434" s="11" t="n">
        <v>0.6944010009383798</v>
      </c>
      <c r="I434" s="9" t="inlineStr">
        <is>
          <t>model_biomass</t>
        </is>
      </c>
      <c r="J434" s="12" t="inlineStr">
        <is>
          <t>medium</t>
        </is>
      </c>
      <c r="K434" s="9" t="inlineStr">
        <is>
          <t>composite_split</t>
        </is>
      </c>
      <c r="L434" s="10" t="inlineStr">
        <is>
          <t>Appendix A1.1 lists this exact catch name under `SM pisc`; apportioned over the region 2 and region 3 pools by model biomass; region 1 is the Maldives shelf, outside LME 34.</t>
        </is>
      </c>
      <c r="M434" s="9" t="n">
        <v>22104.822</v>
      </c>
    </row>
    <row r="435" ht="36" customHeight="1">
      <c r="A435" s="9" t="inlineStr">
        <is>
          <t>LME_034</t>
        </is>
      </c>
      <c r="B435" s="10" t="inlineStr">
        <is>
          <t>34_1_Bay_of_Bengal_(1978)</t>
        </is>
      </c>
      <c r="C435" s="10" t="inlineStr">
        <is>
          <t>Dussumieria elopsoides</t>
        </is>
      </c>
      <c r="D435" s="9" t="inlineStr">
        <is>
          <t>Slender rainbow sardine</t>
        </is>
      </c>
      <c r="E435" s="9" t="inlineStr">
        <is>
          <t>Small pelagics (&lt;30 cm)</t>
        </is>
      </c>
      <c r="F435" s="9" t="inlineStr">
        <is>
          <t>Herring-likes</t>
        </is>
      </c>
      <c r="G435" s="10" t="inlineStr">
        <is>
          <t>2 S pelagics</t>
        </is>
      </c>
      <c r="H435" s="11" t="n">
        <v>0.2975985463815478</v>
      </c>
      <c r="I435" s="9" t="inlineStr">
        <is>
          <t>model_biomass</t>
        </is>
      </c>
      <c r="J435" s="12" t="inlineStr">
        <is>
          <t>medium</t>
        </is>
      </c>
      <c r="K435" s="9" t="inlineStr">
        <is>
          <t>composite_split</t>
        </is>
      </c>
      <c r="L435" s="10" t="inlineStr">
        <is>
          <t>Appendix A1.1 lists this exact catch name under `S pelagics`; apportioned over the region 2 and region 3 pools by model biomass; region 1 is the Maldives shelf, outside LME 34.</t>
        </is>
      </c>
      <c r="M435" s="9" t="n">
        <v>21656.971</v>
      </c>
    </row>
    <row r="436" ht="36" customHeight="1">
      <c r="A436" s="9" t="inlineStr">
        <is>
          <t>LME_034</t>
        </is>
      </c>
      <c r="B436" s="10" t="inlineStr">
        <is>
          <t>34_1_Bay_of_Bengal_(1978)</t>
        </is>
      </c>
      <c r="C436" s="10" t="inlineStr">
        <is>
          <t>Dussumieria elopsoides</t>
        </is>
      </c>
      <c r="D436" s="9" t="inlineStr">
        <is>
          <t>Slender rainbow sardine</t>
        </is>
      </c>
      <c r="E436" s="9" t="inlineStr">
        <is>
          <t>Small pelagics (&lt;30 cm)</t>
        </is>
      </c>
      <c r="F436" s="9" t="inlineStr">
        <is>
          <t>Herring-likes</t>
        </is>
      </c>
      <c r="G436" s="10" t="inlineStr">
        <is>
          <t>3 S pelagics</t>
        </is>
      </c>
      <c r="H436" s="11" t="n">
        <v>0.7024014536184523</v>
      </c>
      <c r="I436" s="9" t="inlineStr">
        <is>
          <t>model_biomass</t>
        </is>
      </c>
      <c r="J436" s="12" t="inlineStr">
        <is>
          <t>medium</t>
        </is>
      </c>
      <c r="K436" s="9" t="inlineStr">
        <is>
          <t>composite_split</t>
        </is>
      </c>
      <c r="L436" s="10" t="inlineStr">
        <is>
          <t>Appendix A1.1 lists this exact catch name under `S pelagics`; apportioned over the region 2 and region 3 pools by model biomass; region 1 is the Maldives shelf, outside LME 34.</t>
        </is>
      </c>
      <c r="M436" s="9" t="n">
        <v>21656.971</v>
      </c>
    </row>
    <row r="437" ht="36" customHeight="1">
      <c r="A437" s="9" t="inlineStr">
        <is>
          <t>LME_034</t>
        </is>
      </c>
      <c r="B437" s="10" t="inlineStr">
        <is>
          <t>34_1_Bay_of_Bengal_(1978)</t>
        </is>
      </c>
      <c r="C437" s="10" t="inlineStr">
        <is>
          <t>Panulirus longipes</t>
        </is>
      </c>
      <c r="D437" s="9" t="inlineStr">
        <is>
          <t>Longlegged spiny lobster</t>
        </is>
      </c>
      <c r="E437" s="9" t="inlineStr">
        <is>
          <t>Lobsters, crabs</t>
        </is>
      </c>
      <c r="F437" s="9" t="inlineStr">
        <is>
          <t>Crustaceans</t>
        </is>
      </c>
      <c r="G437" s="10" t="inlineStr">
        <is>
          <t>2 Crustaceans</t>
        </is>
      </c>
      <c r="H437" s="11" t="n">
        <v>0.2129992169146437</v>
      </c>
      <c r="I437" s="9" t="inlineStr">
        <is>
          <t>model_biomass</t>
        </is>
      </c>
      <c r="J437" s="12" t="inlineStr">
        <is>
          <t>medium</t>
        </is>
      </c>
      <c r="K437" s="9" t="inlineStr">
        <is>
          <t>composite_split</t>
        </is>
      </c>
      <c r="L437" s="10" t="inlineStr">
        <is>
          <t>Appendix A1.1 lists this exact catch name under `Crabs`; apportioned over the region 2 and region 3 pools by model biomass; region 1 is the Maldives shelf, outside LME 34.</t>
        </is>
      </c>
      <c r="M437" s="9" t="n">
        <v>21409.267</v>
      </c>
    </row>
    <row r="438" ht="36" customHeight="1">
      <c r="A438" s="9" t="inlineStr">
        <is>
          <t>LME_034</t>
        </is>
      </c>
      <c r="B438" s="10" t="inlineStr">
        <is>
          <t>34_1_Bay_of_Bengal_(1978)</t>
        </is>
      </c>
      <c r="C438" s="10" t="inlineStr">
        <is>
          <t>Panulirus longipes</t>
        </is>
      </c>
      <c r="D438" s="9" t="inlineStr">
        <is>
          <t>Longlegged spiny lobster</t>
        </is>
      </c>
      <c r="E438" s="9" t="inlineStr">
        <is>
          <t>Lobsters, crabs</t>
        </is>
      </c>
      <c r="F438" s="9" t="inlineStr">
        <is>
          <t>Crustaceans</t>
        </is>
      </c>
      <c r="G438" s="10" t="inlineStr">
        <is>
          <t>3 Crustaceans</t>
        </is>
      </c>
      <c r="H438" s="11" t="n">
        <v>0.7870007830853563</v>
      </c>
      <c r="I438" s="9" t="inlineStr">
        <is>
          <t>model_biomass</t>
        </is>
      </c>
      <c r="J438" s="12" t="inlineStr">
        <is>
          <t>medium</t>
        </is>
      </c>
      <c r="K438" s="9" t="inlineStr">
        <is>
          <t>composite_split</t>
        </is>
      </c>
      <c r="L438" s="10" t="inlineStr">
        <is>
          <t>Appendix A1.1 lists this exact catch name under `Crabs`; apportioned over the region 2 and region 3 pools by model biomass; region 1 is the Maldives shelf, outside LME 34.</t>
        </is>
      </c>
      <c r="M438" s="9" t="n">
        <v>21409.267</v>
      </c>
    </row>
    <row r="439" ht="51" customHeight="1">
      <c r="A439" s="9" t="inlineStr">
        <is>
          <t>LME_034</t>
        </is>
      </c>
      <c r="B439" s="10" t="inlineStr">
        <is>
          <t>34_1_Bay_of_Bengal_(1978)</t>
        </is>
      </c>
      <c r="C439" s="10" t="inlineStr">
        <is>
          <t>Pteriomorphia</t>
        </is>
      </c>
      <c r="D439" s="9" t="inlineStr">
        <is>
          <t>Clams, cockles, arkshells</t>
        </is>
      </c>
      <c r="E439" s="9" t="inlineStr">
        <is>
          <t>Other demersal invertebrates</t>
        </is>
      </c>
      <c r="F439" s="9" t="inlineStr">
        <is>
          <t>Molluscs</t>
        </is>
      </c>
      <c r="G439" s="10" t="inlineStr">
        <is>
          <t>2 Macrobenthos</t>
        </is>
      </c>
      <c r="H439" s="11" t="n">
        <v>0.363210995759614</v>
      </c>
      <c r="I439" s="9" t="inlineStr">
        <is>
          <t>model_biomass</t>
        </is>
      </c>
      <c r="J439" s="12" t="inlineStr">
        <is>
          <t>medium</t>
        </is>
      </c>
      <c r="K439" s="9" t="inlineStr">
        <is>
          <t>composite_split</t>
        </is>
      </c>
      <c r="L439" s="10" t="inlineStr">
        <is>
          <t>Appendix A1.1 sends Bivalvia and the pteriomorph genera Pinctada, Crassostrea, Saccostrea, Arcidae and Pectinidae to macrobenthos. Apportioned over the region 2 and region 3 pools by model biomass; region 1 is the Maldives shelf, outside LME 34.</t>
        </is>
      </c>
      <c r="M439" s="9" t="n">
        <v>21178.585</v>
      </c>
    </row>
    <row r="440" ht="51" customHeight="1">
      <c r="A440" s="9" t="inlineStr">
        <is>
          <t>LME_034</t>
        </is>
      </c>
      <c r="B440" s="10" t="inlineStr">
        <is>
          <t>34_1_Bay_of_Bengal_(1978)</t>
        </is>
      </c>
      <c r="C440" s="10" t="inlineStr">
        <is>
          <t>Pteriomorphia</t>
        </is>
      </c>
      <c r="D440" s="9" t="inlineStr">
        <is>
          <t>Clams, cockles, arkshells</t>
        </is>
      </c>
      <c r="E440" s="9" t="inlineStr">
        <is>
          <t>Other demersal invertebrates</t>
        </is>
      </c>
      <c r="F440" s="9" t="inlineStr">
        <is>
          <t>Molluscs</t>
        </is>
      </c>
      <c r="G440" s="10" t="inlineStr">
        <is>
          <t>3 Macrobenthos</t>
        </is>
      </c>
      <c r="H440" s="11" t="n">
        <v>0.6367890042403861</v>
      </c>
      <c r="I440" s="9" t="inlineStr">
        <is>
          <t>model_biomass</t>
        </is>
      </c>
      <c r="J440" s="12" t="inlineStr">
        <is>
          <t>medium</t>
        </is>
      </c>
      <c r="K440" s="9" t="inlineStr">
        <is>
          <t>composite_split</t>
        </is>
      </c>
      <c r="L440" s="10" t="inlineStr">
        <is>
          <t>Appendix A1.1 sends Bivalvia and the pteriomorph genera Pinctada, Crassostrea, Saccostrea, Arcidae and Pectinidae to macrobenthos. Apportioned over the region 2 and region 3 pools by model biomass; region 1 is the Maldives shelf, outside LME 34.</t>
        </is>
      </c>
      <c r="M440" s="9" t="n">
        <v>21178.585</v>
      </c>
    </row>
    <row r="441" ht="51" customHeight="1">
      <c r="A441" s="9" t="inlineStr">
        <is>
          <t>LME_034</t>
        </is>
      </c>
      <c r="B441" s="10" t="inlineStr">
        <is>
          <t>34_1_Bay_of_Bengal_(1978)</t>
        </is>
      </c>
      <c r="C441" s="10" t="inlineStr">
        <is>
          <t>Lutjanus quinquelineatus</t>
        </is>
      </c>
      <c r="D441" s="9" t="inlineStr">
        <is>
          <t>Five-lined snapper</t>
        </is>
      </c>
      <c r="E441" s="9" t="inlineStr">
        <is>
          <t>Medium reef assoc. fish (30 - 89 cm)</t>
        </is>
      </c>
      <c r="F441" s="9" t="inlineStr">
        <is>
          <t>Perch-likes</t>
        </is>
      </c>
      <c r="G441" s="10" t="inlineStr">
        <is>
          <t>2 L pisc comm</t>
        </is>
      </c>
      <c r="H441" s="11" t="n">
        <v>0.4790991864112831</v>
      </c>
      <c r="I441" s="9" t="inlineStr">
        <is>
          <t>model_biomass</t>
        </is>
      </c>
      <c r="J441" s="12" t="inlineStr">
        <is>
          <t>medium</t>
        </is>
      </c>
      <c r="K441" s="9" t="inlineStr">
        <is>
          <t>composite_split</t>
        </is>
      </c>
      <c r="L441" s="10" t="inlineStr">
        <is>
          <t>Appendix A1.3 lists Lutjanus quinquelineatus in the `L pisc comm` species list. Apportioned over the region 2 and region 3 pools by model biomass; region 1 is the Maldives shelf, outside LME 34.</t>
        </is>
      </c>
      <c r="M441" s="9" t="n">
        <v>20949.826</v>
      </c>
    </row>
    <row r="442" ht="51" customHeight="1">
      <c r="A442" s="9" t="inlineStr">
        <is>
          <t>LME_034</t>
        </is>
      </c>
      <c r="B442" s="10" t="inlineStr">
        <is>
          <t>34_1_Bay_of_Bengal_(1978)</t>
        </is>
      </c>
      <c r="C442" s="10" t="inlineStr">
        <is>
          <t>Lutjanus quinquelineatus</t>
        </is>
      </c>
      <c r="D442" s="9" t="inlineStr">
        <is>
          <t>Five-lined snapper</t>
        </is>
      </c>
      <c r="E442" s="9" t="inlineStr">
        <is>
          <t>Medium reef assoc. fish (30 - 89 cm)</t>
        </is>
      </c>
      <c r="F442" s="9" t="inlineStr">
        <is>
          <t>Perch-likes</t>
        </is>
      </c>
      <c r="G442" s="10" t="inlineStr">
        <is>
          <t>3 L pisc comm</t>
        </is>
      </c>
      <c r="H442" s="11" t="n">
        <v>0.5209008135887169</v>
      </c>
      <c r="I442" s="9" t="inlineStr">
        <is>
          <t>model_biomass</t>
        </is>
      </c>
      <c r="J442" s="12" t="inlineStr">
        <is>
          <t>medium</t>
        </is>
      </c>
      <c r="K442" s="9" t="inlineStr">
        <is>
          <t>composite_split</t>
        </is>
      </c>
      <c r="L442" s="10" t="inlineStr">
        <is>
          <t>Appendix A1.3 lists Lutjanus quinquelineatus in the `L pisc comm` species list. Apportioned over the region 2 and region 3 pools by model biomass; region 1 is the Maldives shelf, outside LME 34.</t>
        </is>
      </c>
      <c r="M442" s="9" t="n">
        <v>20949.826</v>
      </c>
    </row>
    <row r="443" ht="36" customHeight="1">
      <c r="A443" s="9" t="inlineStr">
        <is>
          <t>LME_034</t>
        </is>
      </c>
      <c r="B443" s="10" t="inlineStr">
        <is>
          <t>34_1_Bay_of_Bengal_(1978)</t>
        </is>
      </c>
      <c r="C443" s="10" t="inlineStr">
        <is>
          <t>Arcidae</t>
        </is>
      </c>
      <c r="D443" s="9" t="inlineStr">
        <is>
          <t>Ark clams</t>
        </is>
      </c>
      <c r="E443" s="9" t="inlineStr">
        <is>
          <t>Other demersal invertebrates</t>
        </is>
      </c>
      <c r="F443" s="9" t="inlineStr">
        <is>
          <t>Molluscs</t>
        </is>
      </c>
      <c r="G443" s="10" t="inlineStr">
        <is>
          <t>2 Macrobenthos</t>
        </is>
      </c>
      <c r="H443" s="11" t="n">
        <v>0.363210995759614</v>
      </c>
      <c r="I443" s="9" t="inlineStr">
        <is>
          <t>model_biomass</t>
        </is>
      </c>
      <c r="J443" s="12" t="inlineStr">
        <is>
          <t>medium</t>
        </is>
      </c>
      <c r="K443" s="9" t="inlineStr">
        <is>
          <t>composite_split</t>
        </is>
      </c>
      <c r="L443" s="10" t="inlineStr">
        <is>
          <t>Appendix A1.1 lists this exact catch name under `macrobenthos`; apportioned over the region 2 and region 3 pools by model biomass; region 1 is the Maldives shelf, outside LME 34.</t>
        </is>
      </c>
      <c r="M443" s="9" t="n">
        <v>20263.742</v>
      </c>
    </row>
    <row r="444" ht="36" customHeight="1">
      <c r="A444" s="9" t="inlineStr">
        <is>
          <t>LME_034</t>
        </is>
      </c>
      <c r="B444" s="10" t="inlineStr">
        <is>
          <t>34_1_Bay_of_Bengal_(1978)</t>
        </is>
      </c>
      <c r="C444" s="10" t="inlineStr">
        <is>
          <t>Arcidae</t>
        </is>
      </c>
      <c r="D444" s="9" t="inlineStr">
        <is>
          <t>Ark clams</t>
        </is>
      </c>
      <c r="E444" s="9" t="inlineStr">
        <is>
          <t>Other demersal invertebrates</t>
        </is>
      </c>
      <c r="F444" s="9" t="inlineStr">
        <is>
          <t>Molluscs</t>
        </is>
      </c>
      <c r="G444" s="10" t="inlineStr">
        <is>
          <t>3 Macrobenthos</t>
        </is>
      </c>
      <c r="H444" s="11" t="n">
        <v>0.6367890042403861</v>
      </c>
      <c r="I444" s="9" t="inlineStr">
        <is>
          <t>model_biomass</t>
        </is>
      </c>
      <c r="J444" s="12" t="inlineStr">
        <is>
          <t>medium</t>
        </is>
      </c>
      <c r="K444" s="9" t="inlineStr">
        <is>
          <t>composite_split</t>
        </is>
      </c>
      <c r="L444" s="10" t="inlineStr">
        <is>
          <t>Appendix A1.1 lists this exact catch name under `macrobenthos`; apportioned over the region 2 and region 3 pools by model biomass; region 1 is the Maldives shelf, outside LME 34.</t>
        </is>
      </c>
      <c r="M444" s="9" t="n">
        <v>20263.742</v>
      </c>
    </row>
    <row r="445" ht="36" customHeight="1">
      <c r="A445" s="9" t="inlineStr">
        <is>
          <t>LME_034</t>
        </is>
      </c>
      <c r="B445" s="10" t="inlineStr">
        <is>
          <t>34_1_Bay_of_Bengal_(1978)</t>
        </is>
      </c>
      <c r="C445" s="10" t="inlineStr">
        <is>
          <t>Rachycentron canadum</t>
        </is>
      </c>
      <c r="D445" s="9" t="inlineStr">
        <is>
          <t>Cobia</t>
        </is>
      </c>
      <c r="E445" s="9" t="inlineStr">
        <is>
          <t>Large pelagics (&gt;=90 cm)</t>
        </is>
      </c>
      <c r="F445" s="9" t="inlineStr">
        <is>
          <t>Perch-likes</t>
        </is>
      </c>
      <c r="G445" s="10" t="inlineStr">
        <is>
          <t>2 L pisc</t>
        </is>
      </c>
      <c r="H445" s="11" t="n">
        <v>0.449530936694357</v>
      </c>
      <c r="I445" s="9" t="inlineStr">
        <is>
          <t>model_biomass</t>
        </is>
      </c>
      <c r="J445" s="12" t="inlineStr">
        <is>
          <t>medium</t>
        </is>
      </c>
      <c r="K445" s="9" t="inlineStr">
        <is>
          <t>composite_split</t>
        </is>
      </c>
      <c r="L445" s="10" t="inlineStr">
        <is>
          <t>Appendix A1.1 lists this exact catch name under `L pisc`; apportioned over the region 2 and region 3 pools by model biomass; region 1 is the Maldives shelf, outside LME 34.</t>
        </is>
      </c>
      <c r="M445" s="9" t="n">
        <v>19310.267</v>
      </c>
    </row>
    <row r="446" ht="36" customHeight="1">
      <c r="A446" s="9" t="inlineStr">
        <is>
          <t>LME_034</t>
        </is>
      </c>
      <c r="B446" s="10" t="inlineStr">
        <is>
          <t>34_1_Bay_of_Bengal_(1978)</t>
        </is>
      </c>
      <c r="C446" s="10" t="inlineStr">
        <is>
          <t>Rachycentron canadum</t>
        </is>
      </c>
      <c r="D446" s="9" t="inlineStr">
        <is>
          <t>Cobia</t>
        </is>
      </c>
      <c r="E446" s="9" t="inlineStr">
        <is>
          <t>Large pelagics (&gt;=90 cm)</t>
        </is>
      </c>
      <c r="F446" s="9" t="inlineStr">
        <is>
          <t>Perch-likes</t>
        </is>
      </c>
      <c r="G446" s="10" t="inlineStr">
        <is>
          <t>3 L pisc</t>
        </is>
      </c>
      <c r="H446" s="11" t="n">
        <v>0.5504690633056432</v>
      </c>
      <c r="I446" s="9" t="inlineStr">
        <is>
          <t>model_biomass</t>
        </is>
      </c>
      <c r="J446" s="12" t="inlineStr">
        <is>
          <t>medium</t>
        </is>
      </c>
      <c r="K446" s="9" t="inlineStr">
        <is>
          <t>composite_split</t>
        </is>
      </c>
      <c r="L446" s="10" t="inlineStr">
        <is>
          <t>Appendix A1.1 lists this exact catch name under `L pisc`; apportioned over the region 2 and region 3 pools by model biomass; region 1 is the Maldives shelf, outside LME 34.</t>
        </is>
      </c>
      <c r="M446" s="9" t="n">
        <v>19310.267</v>
      </c>
    </row>
    <row r="447" ht="36" customHeight="1">
      <c r="A447" s="9" t="inlineStr">
        <is>
          <t>LME_034</t>
        </is>
      </c>
      <c r="B447" s="10" t="inlineStr">
        <is>
          <t>34_1_Bay_of_Bengal_(1978)</t>
        </is>
      </c>
      <c r="C447" s="10" t="inlineStr">
        <is>
          <t>Istiompax indica</t>
        </is>
      </c>
      <c r="D447" s="9" t="inlineStr">
        <is>
          <t>Black marlin</t>
        </is>
      </c>
      <c r="E447" s="9" t="inlineStr">
        <is>
          <t>Large pelagics (&gt;=90 cm)</t>
        </is>
      </c>
      <c r="F447" s="9" t="inlineStr">
        <is>
          <t>Tuna &amp; billfishes</t>
        </is>
      </c>
      <c r="G447" s="10" t="inlineStr">
        <is>
          <t>Tuna-like</t>
        </is>
      </c>
      <c r="H447" s="11" t="n">
        <v>1</v>
      </c>
      <c r="I447" s="9" t="inlineStr">
        <is>
          <t>single</t>
        </is>
      </c>
      <c r="J447" s="13" t="inlineStr">
        <is>
          <t>high</t>
        </is>
      </c>
      <c r="K447" s="9" t="inlineStr">
        <is>
          <t>explicit_member</t>
        </is>
      </c>
      <c r="L447" s="10" t="inlineStr">
        <is>
          <t>Appendix A1.1 lists this exact catch name under `tuna-like`, a group modelled over the whole study area (Appendix A1.2).</t>
        </is>
      </c>
      <c r="M447" s="9" t="n">
        <v>17948.357</v>
      </c>
    </row>
    <row r="448" ht="36" customHeight="1">
      <c r="A448" s="9" t="inlineStr">
        <is>
          <t>LME_034</t>
        </is>
      </c>
      <c r="B448" s="10" t="inlineStr">
        <is>
          <t>34_1_Bay_of_Bengal_(1978)</t>
        </is>
      </c>
      <c r="C448" s="10" t="inlineStr">
        <is>
          <t>Auxis rochei</t>
        </is>
      </c>
      <c r="D448" s="9" t="inlineStr">
        <is>
          <t>Bullet tuna</t>
        </is>
      </c>
      <c r="E448" s="9" t="inlineStr">
        <is>
          <t>Medium pelagics (30 - 89 cm)</t>
        </is>
      </c>
      <c r="F448" s="9" t="inlineStr">
        <is>
          <t>Tuna &amp; billfishes</t>
        </is>
      </c>
      <c r="G448" s="10" t="inlineStr">
        <is>
          <t>Coastal scombrids</t>
        </is>
      </c>
      <c r="H448" s="11" t="n">
        <v>1</v>
      </c>
      <c r="I448" s="9" t="inlineStr">
        <is>
          <t>single</t>
        </is>
      </c>
      <c r="J448" s="13" t="inlineStr">
        <is>
          <t>high</t>
        </is>
      </c>
      <c r="K448" s="9" t="inlineStr">
        <is>
          <t>explicit_member</t>
        </is>
      </c>
      <c r="L448" s="10" t="inlineStr">
        <is>
          <t>Appendix A1.1 lists this exact catch name under `coastal scombrid`, modelled as one stock travelling through every EEZ of the study area, 69 % of it (Appendix A1.2).</t>
        </is>
      </c>
      <c r="M448" s="9" t="n">
        <v>17302.464</v>
      </c>
    </row>
    <row r="449" ht="36" customHeight="1">
      <c r="A449" s="9" t="inlineStr">
        <is>
          <t>LME_034</t>
        </is>
      </c>
      <c r="B449" s="10" t="inlineStr">
        <is>
          <t>34_1_Bay_of_Bengal_(1978)</t>
        </is>
      </c>
      <c r="C449" s="10" t="inlineStr">
        <is>
          <t>Acanthocybium solandri</t>
        </is>
      </c>
      <c r="D449" s="9" t="inlineStr">
        <is>
          <t>Wahoo</t>
        </is>
      </c>
      <c r="E449" s="9" t="inlineStr">
        <is>
          <t>Large pelagics (&gt;=90 cm)</t>
        </is>
      </c>
      <c r="F449" s="9" t="inlineStr">
        <is>
          <t>Perch-likes</t>
        </is>
      </c>
      <c r="G449" s="10" t="inlineStr">
        <is>
          <t>Tuna-like</t>
        </is>
      </c>
      <c r="H449" s="11" t="n">
        <v>1</v>
      </c>
      <c r="I449" s="9" t="inlineStr">
        <is>
          <t>single</t>
        </is>
      </c>
      <c r="J449" s="13" t="inlineStr">
        <is>
          <t>high</t>
        </is>
      </c>
      <c r="K449" s="9" t="inlineStr">
        <is>
          <t>explicit_member</t>
        </is>
      </c>
      <c r="L449" s="10" t="inlineStr">
        <is>
          <t>Appendix A1.1 lists this exact catch name under `tuna-like`, a group modelled over the whole study area (Appendix A1.2).</t>
        </is>
      </c>
      <c r="M449" s="9" t="n">
        <v>17285.48</v>
      </c>
    </row>
    <row r="450" ht="21" customHeight="1">
      <c r="A450" s="9" t="inlineStr">
        <is>
          <t>LME_034</t>
        </is>
      </c>
      <c r="B450" s="10" t="inlineStr">
        <is>
          <t>34_1_Bay_of_Bengal_(1978)</t>
        </is>
      </c>
      <c r="C450" s="10" t="inlineStr">
        <is>
          <t>Sarda orientalis</t>
        </is>
      </c>
      <c r="D450" s="9" t="inlineStr">
        <is>
          <t>Striped bonito</t>
        </is>
      </c>
      <c r="E450" s="9" t="inlineStr">
        <is>
          <t>Large pelagics (&gt;=90 cm)</t>
        </is>
      </c>
      <c r="F450" s="9" t="inlineStr">
        <is>
          <t>Tuna &amp; billfishes</t>
        </is>
      </c>
      <c r="G450" s="10" t="inlineStr">
        <is>
          <t>Coastal scombrids</t>
        </is>
      </c>
      <c r="H450" s="11" t="n">
        <v>1</v>
      </c>
      <c r="I450" s="9" t="inlineStr">
        <is>
          <t>single</t>
        </is>
      </c>
      <c r="J450" s="13" t="inlineStr">
        <is>
          <t>high</t>
        </is>
      </c>
      <c r="K450" s="9" t="inlineStr">
        <is>
          <t>explicit_member</t>
        </is>
      </c>
      <c r="L450" s="10" t="inlineStr">
        <is>
          <t>Appendix A1.3 lists Sarda orientalis in the `coastal scombrid` species list.</t>
        </is>
      </c>
      <c r="M450" s="9" t="n">
        <v>16639.122</v>
      </c>
    </row>
    <row r="451" ht="36" customHeight="1">
      <c r="A451" s="9" t="inlineStr">
        <is>
          <t>LME_034</t>
        </is>
      </c>
      <c r="B451" s="10" t="inlineStr">
        <is>
          <t>34_1_Bay_of_Bengal_(1978)</t>
        </is>
      </c>
      <c r="C451" s="10" t="inlineStr">
        <is>
          <t>Sardinella fimbriata</t>
        </is>
      </c>
      <c r="D451" s="9" t="inlineStr">
        <is>
          <t>Fringescale sardinella</t>
        </is>
      </c>
      <c r="E451" s="9" t="inlineStr">
        <is>
          <t>Small pelagics (&lt;30 cm)</t>
        </is>
      </c>
      <c r="F451" s="9" t="inlineStr">
        <is>
          <t>Herring-likes</t>
        </is>
      </c>
      <c r="G451" s="10" t="inlineStr">
        <is>
          <t>2 S pelagics</t>
        </is>
      </c>
      <c r="H451" s="11" t="n">
        <v>0.2975985463815478</v>
      </c>
      <c r="I451" s="9" t="inlineStr">
        <is>
          <t>model_biomass</t>
        </is>
      </c>
      <c r="J451" s="12" t="inlineStr">
        <is>
          <t>medium</t>
        </is>
      </c>
      <c r="K451" s="9" t="inlineStr">
        <is>
          <t>composite_split</t>
        </is>
      </c>
      <c r="L451" s="10" t="inlineStr">
        <is>
          <t>Appendix A1.1 lists this exact catch name under `S pelagics`; apportioned over the region 2 and region 3 pools by model biomass; region 1 is the Maldives shelf, outside LME 34.</t>
        </is>
      </c>
      <c r="M451" s="9" t="n">
        <v>16259.212</v>
      </c>
    </row>
    <row r="452" ht="36" customHeight="1">
      <c r="A452" s="9" t="inlineStr">
        <is>
          <t>LME_034</t>
        </is>
      </c>
      <c r="B452" s="10" t="inlineStr">
        <is>
          <t>34_1_Bay_of_Bengal_(1978)</t>
        </is>
      </c>
      <c r="C452" s="10" t="inlineStr">
        <is>
          <t>Sardinella fimbriata</t>
        </is>
      </c>
      <c r="D452" s="9" t="inlineStr">
        <is>
          <t>Fringescale sardinella</t>
        </is>
      </c>
      <c r="E452" s="9" t="inlineStr">
        <is>
          <t>Small pelagics (&lt;30 cm)</t>
        </is>
      </c>
      <c r="F452" s="9" t="inlineStr">
        <is>
          <t>Herring-likes</t>
        </is>
      </c>
      <c r="G452" s="10" t="inlineStr">
        <is>
          <t>3 S pelagics</t>
        </is>
      </c>
      <c r="H452" s="11" t="n">
        <v>0.7024014536184523</v>
      </c>
      <c r="I452" s="9" t="inlineStr">
        <is>
          <t>model_biomass</t>
        </is>
      </c>
      <c r="J452" s="12" t="inlineStr">
        <is>
          <t>medium</t>
        </is>
      </c>
      <c r="K452" s="9" t="inlineStr">
        <is>
          <t>composite_split</t>
        </is>
      </c>
      <c r="L452" s="10" t="inlineStr">
        <is>
          <t>Appendix A1.1 lists this exact catch name under `S pelagics`; apportioned over the region 2 and region 3 pools by model biomass; region 1 is the Maldives shelf, outside LME 34.</t>
        </is>
      </c>
      <c r="M452" s="9" t="n">
        <v>16259.212</v>
      </c>
    </row>
    <row r="453" ht="36" customHeight="1">
      <c r="A453" s="9" t="inlineStr">
        <is>
          <t>LME_034</t>
        </is>
      </c>
      <c r="B453" s="10" t="inlineStr">
        <is>
          <t>34_1_Bay_of_Bengal_(1978)</t>
        </is>
      </c>
      <c r="C453" s="10" t="inlineStr">
        <is>
          <t>Gazza minuta</t>
        </is>
      </c>
      <c r="D453" s="9" t="inlineStr">
        <is>
          <t>Toothpony</t>
        </is>
      </c>
      <c r="E453" s="9" t="inlineStr">
        <is>
          <t>Small demersals (&lt;30 cm)</t>
        </is>
      </c>
      <c r="F453" s="9" t="inlineStr">
        <is>
          <t>Perch-likes</t>
        </is>
      </c>
      <c r="G453" s="10" t="inlineStr">
        <is>
          <t>2 SM inv</t>
        </is>
      </c>
      <c r="H453" s="11" t="n">
        <v>0.3170901271842734</v>
      </c>
      <c r="I453" s="9" t="inlineStr">
        <is>
          <t>model_biomass</t>
        </is>
      </c>
      <c r="J453" s="12" t="inlineStr">
        <is>
          <t>medium</t>
        </is>
      </c>
      <c r="K453" s="9" t="inlineStr">
        <is>
          <t>composite_split</t>
        </is>
      </c>
      <c r="L453" s="10" t="inlineStr">
        <is>
          <t>Appendix A1.1 lists this exact catch name under `SM inv`; apportioned over the region 2 and region 3 pools by model biomass; region 1 is the Maldives shelf, outside LME 34.</t>
        </is>
      </c>
      <c r="M453" s="9" t="n">
        <v>16255.975</v>
      </c>
    </row>
    <row r="454" ht="36" customHeight="1">
      <c r="A454" s="9" t="inlineStr">
        <is>
          <t>LME_034</t>
        </is>
      </c>
      <c r="B454" s="10" t="inlineStr">
        <is>
          <t>34_1_Bay_of_Bengal_(1978)</t>
        </is>
      </c>
      <c r="C454" s="10" t="inlineStr">
        <is>
          <t>Gazza minuta</t>
        </is>
      </c>
      <c r="D454" s="9" t="inlineStr">
        <is>
          <t>Toothpony</t>
        </is>
      </c>
      <c r="E454" s="9" t="inlineStr">
        <is>
          <t>Small demersals (&lt;30 cm)</t>
        </is>
      </c>
      <c r="F454" s="9" t="inlineStr">
        <is>
          <t>Perch-likes</t>
        </is>
      </c>
      <c r="G454" s="10" t="inlineStr">
        <is>
          <t>3 SM inv</t>
        </is>
      </c>
      <c r="H454" s="11" t="n">
        <v>0.6829098728157266</v>
      </c>
      <c r="I454" s="9" t="inlineStr">
        <is>
          <t>model_biomass</t>
        </is>
      </c>
      <c r="J454" s="12" t="inlineStr">
        <is>
          <t>medium</t>
        </is>
      </c>
      <c r="K454" s="9" t="inlineStr">
        <is>
          <t>composite_split</t>
        </is>
      </c>
      <c r="L454" s="10" t="inlineStr">
        <is>
          <t>Appendix A1.1 lists this exact catch name under `SM inv`; apportioned over the region 2 and region 3 pools by model biomass; region 1 is the Maldives shelf, outside LME 34.</t>
        </is>
      </c>
      <c r="M454" s="9" t="n">
        <v>16255.975</v>
      </c>
    </row>
    <row r="455" ht="36" customHeight="1">
      <c r="A455" s="9" t="inlineStr">
        <is>
          <t>LME_034</t>
        </is>
      </c>
      <c r="B455" s="10" t="inlineStr">
        <is>
          <t>34_1_Bay_of_Bengal_(1978)</t>
        </is>
      </c>
      <c r="C455" s="10" t="inlineStr">
        <is>
          <t>Panulirus homarus</t>
        </is>
      </c>
      <c r="D455" s="9" t="inlineStr">
        <is>
          <t>Scalloped spiny lobster</t>
        </is>
      </c>
      <c r="E455" s="9" t="inlineStr">
        <is>
          <t>Lobsters, crabs</t>
        </is>
      </c>
      <c r="F455" s="9" t="inlineStr">
        <is>
          <t>Crustaceans</t>
        </is>
      </c>
      <c r="G455" s="10" t="inlineStr">
        <is>
          <t>2 Crustaceans</t>
        </is>
      </c>
      <c r="H455" s="11" t="n">
        <v>0.2129992169146437</v>
      </c>
      <c r="I455" s="9" t="inlineStr">
        <is>
          <t>model_biomass</t>
        </is>
      </c>
      <c r="J455" s="12" t="inlineStr">
        <is>
          <t>medium</t>
        </is>
      </c>
      <c r="K455" s="9" t="inlineStr">
        <is>
          <t>composite_split</t>
        </is>
      </c>
      <c r="L455" s="10" t="inlineStr">
        <is>
          <t>Appendix A1.1 lists this exact catch name under `Crabs`; apportioned over the region 2 and region 3 pools by model biomass; region 1 is the Maldives shelf, outside LME 34.</t>
        </is>
      </c>
      <c r="M455" s="9" t="n">
        <v>15895.183</v>
      </c>
    </row>
    <row r="456" ht="36" customHeight="1">
      <c r="A456" s="9" t="inlineStr">
        <is>
          <t>LME_034</t>
        </is>
      </c>
      <c r="B456" s="10" t="inlineStr">
        <is>
          <t>34_1_Bay_of_Bengal_(1978)</t>
        </is>
      </c>
      <c r="C456" s="10" t="inlineStr">
        <is>
          <t>Panulirus homarus</t>
        </is>
      </c>
      <c r="D456" s="9" t="inlineStr">
        <is>
          <t>Scalloped spiny lobster</t>
        </is>
      </c>
      <c r="E456" s="9" t="inlineStr">
        <is>
          <t>Lobsters, crabs</t>
        </is>
      </c>
      <c r="F456" s="9" t="inlineStr">
        <is>
          <t>Crustaceans</t>
        </is>
      </c>
      <c r="G456" s="10" t="inlineStr">
        <is>
          <t>3 Crustaceans</t>
        </is>
      </c>
      <c r="H456" s="11" t="n">
        <v>0.7870007830853563</v>
      </c>
      <c r="I456" s="9" t="inlineStr">
        <is>
          <t>model_biomass</t>
        </is>
      </c>
      <c r="J456" s="12" t="inlineStr">
        <is>
          <t>medium</t>
        </is>
      </c>
      <c r="K456" s="9" t="inlineStr">
        <is>
          <t>composite_split</t>
        </is>
      </c>
      <c r="L456" s="10" t="inlineStr">
        <is>
          <t>Appendix A1.1 lists this exact catch name under `Crabs`; apportioned over the region 2 and region 3 pools by model biomass; region 1 is the Maldives shelf, outside LME 34.</t>
        </is>
      </c>
      <c r="M456" s="9" t="n">
        <v>15895.183</v>
      </c>
    </row>
    <row r="457" ht="36" customHeight="1">
      <c r="A457" s="9" t="inlineStr">
        <is>
          <t>LME_034</t>
        </is>
      </c>
      <c r="B457" s="10" t="inlineStr">
        <is>
          <t>34_1_Bay_of_Bengal_(1978)</t>
        </is>
      </c>
      <c r="C457" s="10" t="inlineStr">
        <is>
          <t>Crassostrea</t>
        </is>
      </c>
      <c r="D457" s="9" t="inlineStr">
        <is>
          <t>Cupped oysters</t>
        </is>
      </c>
      <c r="E457" s="9" t="inlineStr">
        <is>
          <t>Other demersal invertebrates</t>
        </is>
      </c>
      <c r="F457" s="9" t="inlineStr">
        <is>
          <t>Molluscs</t>
        </is>
      </c>
      <c r="G457" s="10" t="inlineStr">
        <is>
          <t>2 Macrobenthos</t>
        </is>
      </c>
      <c r="H457" s="11" t="n">
        <v>0.363210995759614</v>
      </c>
      <c r="I457" s="9" t="inlineStr">
        <is>
          <t>model_biomass</t>
        </is>
      </c>
      <c r="J457" s="12" t="inlineStr">
        <is>
          <t>medium</t>
        </is>
      </c>
      <c r="K457" s="9" t="inlineStr">
        <is>
          <t>composite_split</t>
        </is>
      </c>
      <c r="L457" s="10" t="inlineStr">
        <is>
          <t>Appendix A1.1 lists this exact catch name under `macrobenthos`; apportioned over the region 2 and region 3 pools by model biomass; region 1 is the Maldives shelf, outside LME 34.</t>
        </is>
      </c>
      <c r="M457" s="9" t="n">
        <v>15680.364</v>
      </c>
    </row>
    <row r="458" ht="36" customHeight="1">
      <c r="A458" s="9" t="inlineStr">
        <is>
          <t>LME_034</t>
        </is>
      </c>
      <c r="B458" s="10" t="inlineStr">
        <is>
          <t>34_1_Bay_of_Bengal_(1978)</t>
        </is>
      </c>
      <c r="C458" s="10" t="inlineStr">
        <is>
          <t>Crassostrea</t>
        </is>
      </c>
      <c r="D458" s="9" t="inlineStr">
        <is>
          <t>Cupped oysters</t>
        </is>
      </c>
      <c r="E458" s="9" t="inlineStr">
        <is>
          <t>Other demersal invertebrates</t>
        </is>
      </c>
      <c r="F458" s="9" t="inlineStr">
        <is>
          <t>Molluscs</t>
        </is>
      </c>
      <c r="G458" s="10" t="inlineStr">
        <is>
          <t>3 Macrobenthos</t>
        </is>
      </c>
      <c r="H458" s="11" t="n">
        <v>0.6367890042403861</v>
      </c>
      <c r="I458" s="9" t="inlineStr">
        <is>
          <t>model_biomass</t>
        </is>
      </c>
      <c r="J458" s="12" t="inlineStr">
        <is>
          <t>medium</t>
        </is>
      </c>
      <c r="K458" s="9" t="inlineStr">
        <is>
          <t>composite_split</t>
        </is>
      </c>
      <c r="L458" s="10" t="inlineStr">
        <is>
          <t>Appendix A1.1 lists this exact catch name under `macrobenthos`; apportioned over the region 2 and region 3 pools by model biomass; region 1 is the Maldives shelf, outside LME 34.</t>
        </is>
      </c>
      <c r="M458" s="9" t="n">
        <v>15680.364</v>
      </c>
    </row>
    <row r="459" ht="36" customHeight="1">
      <c r="A459" s="9" t="inlineStr">
        <is>
          <t>LME_034</t>
        </is>
      </c>
      <c r="B459" s="10" t="inlineStr">
        <is>
          <t>34_1_Bay_of_Bengal_(1978)</t>
        </is>
      </c>
      <c r="C459" s="10" t="inlineStr">
        <is>
          <t>Drepane</t>
        </is>
      </c>
      <c r="D459" s="9" t="inlineStr">
        <is>
          <t>Sicklefishes</t>
        </is>
      </c>
      <c r="E459" s="9" t="inlineStr">
        <is>
          <t>Medium benthopelagics (30 - 89 cm)</t>
        </is>
      </c>
      <c r="F459" s="9" t="inlineStr">
        <is>
          <t>Perch-likes</t>
        </is>
      </c>
      <c r="G459" s="10" t="inlineStr">
        <is>
          <t>2 SM pisc</t>
        </is>
      </c>
      <c r="H459" s="11" t="n">
        <v>0.3055989990616202</v>
      </c>
      <c r="I459" s="9" t="inlineStr">
        <is>
          <t>model_biomass</t>
        </is>
      </c>
      <c r="J459" s="12" t="inlineStr">
        <is>
          <t>medium</t>
        </is>
      </c>
      <c r="K459" s="9" t="inlineStr">
        <is>
          <t>composite_split</t>
        </is>
      </c>
      <c r="L459" s="10" t="inlineStr">
        <is>
          <t>Appendix A1.1 lists this exact catch name under `SM pisc`; apportioned over the region 2 and region 3 pools by model biomass; region 1 is the Maldives shelf, outside LME 34.</t>
        </is>
      </c>
      <c r="M459" s="9" t="n">
        <v>15276.586</v>
      </c>
    </row>
    <row r="460" ht="36" customHeight="1">
      <c r="A460" s="9" t="inlineStr">
        <is>
          <t>LME_034</t>
        </is>
      </c>
      <c r="B460" s="10" t="inlineStr">
        <is>
          <t>34_1_Bay_of_Bengal_(1978)</t>
        </is>
      </c>
      <c r="C460" s="10" t="inlineStr">
        <is>
          <t>Drepane</t>
        </is>
      </c>
      <c r="D460" s="9" t="inlineStr">
        <is>
          <t>Sicklefishes</t>
        </is>
      </c>
      <c r="E460" s="9" t="inlineStr">
        <is>
          <t>Medium benthopelagics (30 - 89 cm)</t>
        </is>
      </c>
      <c r="F460" s="9" t="inlineStr">
        <is>
          <t>Perch-likes</t>
        </is>
      </c>
      <c r="G460" s="10" t="inlineStr">
        <is>
          <t>3 SM pisc</t>
        </is>
      </c>
      <c r="H460" s="11" t="n">
        <v>0.6944010009383798</v>
      </c>
      <c r="I460" s="9" t="inlineStr">
        <is>
          <t>model_biomass</t>
        </is>
      </c>
      <c r="J460" s="12" t="inlineStr">
        <is>
          <t>medium</t>
        </is>
      </c>
      <c r="K460" s="9" t="inlineStr">
        <is>
          <t>composite_split</t>
        </is>
      </c>
      <c r="L460" s="10" t="inlineStr">
        <is>
          <t>Appendix A1.1 lists this exact catch name under `SM pisc`; apportioned over the region 2 and region 3 pools by model biomass; region 1 is the Maldives shelf, outside LME 34.</t>
        </is>
      </c>
      <c r="M460" s="9" t="n">
        <v>15276.586</v>
      </c>
    </row>
    <row r="461" ht="36" customHeight="1">
      <c r="A461" s="9" t="inlineStr">
        <is>
          <t>LME_034</t>
        </is>
      </c>
      <c r="B461" s="10" t="inlineStr">
        <is>
          <t>34_1_Bay_of_Bengal_(1978)</t>
        </is>
      </c>
      <c r="C461" s="10" t="inlineStr">
        <is>
          <t>Coryphaena hippurus</t>
        </is>
      </c>
      <c r="D461" s="9" t="inlineStr">
        <is>
          <t>Common dolphinfish</t>
        </is>
      </c>
      <c r="E461" s="9" t="inlineStr">
        <is>
          <t>Large pelagics (&gt;=90 cm)</t>
        </is>
      </c>
      <c r="F461" s="9" t="inlineStr">
        <is>
          <t>Perch-likes</t>
        </is>
      </c>
      <c r="G461" s="10" t="inlineStr">
        <is>
          <t>2 L pisc</t>
        </is>
      </c>
      <c r="H461" s="11" t="n">
        <v>0.449530936694357</v>
      </c>
      <c r="I461" s="9" t="inlineStr">
        <is>
          <t>model_biomass</t>
        </is>
      </c>
      <c r="J461" s="12" t="inlineStr">
        <is>
          <t>medium</t>
        </is>
      </c>
      <c r="K461" s="9" t="inlineStr">
        <is>
          <t>composite_split</t>
        </is>
      </c>
      <c r="L461" s="10" t="inlineStr">
        <is>
          <t>Appendix A1.1 lists this exact catch name under `L pisc`; apportioned over the region 2 and region 3 pools by model biomass; region 1 is the Maldives shelf, outside LME 34.</t>
        </is>
      </c>
      <c r="M461" s="9" t="n">
        <v>14895.758</v>
      </c>
    </row>
    <row r="462" ht="36" customHeight="1">
      <c r="A462" s="9" t="inlineStr">
        <is>
          <t>LME_034</t>
        </is>
      </c>
      <c r="B462" s="10" t="inlineStr">
        <is>
          <t>34_1_Bay_of_Bengal_(1978)</t>
        </is>
      </c>
      <c r="C462" s="10" t="inlineStr">
        <is>
          <t>Coryphaena hippurus</t>
        </is>
      </c>
      <c r="D462" s="9" t="inlineStr">
        <is>
          <t>Common dolphinfish</t>
        </is>
      </c>
      <c r="E462" s="9" t="inlineStr">
        <is>
          <t>Large pelagics (&gt;=90 cm)</t>
        </is>
      </c>
      <c r="F462" s="9" t="inlineStr">
        <is>
          <t>Perch-likes</t>
        </is>
      </c>
      <c r="G462" s="10" t="inlineStr">
        <is>
          <t>3 L pisc</t>
        </is>
      </c>
      <c r="H462" s="11" t="n">
        <v>0.5504690633056432</v>
      </c>
      <c r="I462" s="9" t="inlineStr">
        <is>
          <t>model_biomass</t>
        </is>
      </c>
      <c r="J462" s="12" t="inlineStr">
        <is>
          <t>medium</t>
        </is>
      </c>
      <c r="K462" s="9" t="inlineStr">
        <is>
          <t>composite_split</t>
        </is>
      </c>
      <c r="L462" s="10" t="inlineStr">
        <is>
          <t>Appendix A1.1 lists this exact catch name under `L pisc`; apportioned over the region 2 and region 3 pools by model biomass; region 1 is the Maldives shelf, outside LME 34.</t>
        </is>
      </c>
      <c r="M462" s="9" t="n">
        <v>14895.758</v>
      </c>
    </row>
    <row r="463" ht="36" customHeight="1">
      <c r="A463" s="9" t="inlineStr">
        <is>
          <t>LME_034</t>
        </is>
      </c>
      <c r="B463" s="10" t="inlineStr">
        <is>
          <t>34_1_Bay_of_Bengal_(1978)</t>
        </is>
      </c>
      <c r="C463" s="10" t="inlineStr">
        <is>
          <t>Latidae</t>
        </is>
      </c>
      <c r="D463" s="9" t="inlineStr">
        <is>
          <t>Lates perches</t>
        </is>
      </c>
      <c r="E463" s="9" t="inlineStr">
        <is>
          <t>Large demersals (&gt;=90 cm)</t>
        </is>
      </c>
      <c r="F463" s="9" t="inlineStr">
        <is>
          <t>Perch-likes</t>
        </is>
      </c>
      <c r="G463" s="10" t="inlineStr">
        <is>
          <t>2 L pisc</t>
        </is>
      </c>
      <c r="H463" s="11" t="n">
        <v>0.449530936694357</v>
      </c>
      <c r="I463" s="9" t="inlineStr">
        <is>
          <t>model_biomass</t>
        </is>
      </c>
      <c r="J463" s="12" t="inlineStr">
        <is>
          <t>medium</t>
        </is>
      </c>
      <c r="K463" s="9" t="inlineStr">
        <is>
          <t>composite_split</t>
        </is>
      </c>
      <c r="L463" s="10" t="inlineStr">
        <is>
          <t>Appendix A1.1 lists this exact catch name under `L pisc`; apportioned over the region 2 and region 3 pools by model biomass; region 1 is the Maldives shelf, outside LME 34.</t>
        </is>
      </c>
      <c r="M463" s="9" t="n">
        <v>13376.896</v>
      </c>
    </row>
    <row r="464" ht="36" customHeight="1">
      <c r="A464" s="9" t="inlineStr">
        <is>
          <t>LME_034</t>
        </is>
      </c>
      <c r="B464" s="10" t="inlineStr">
        <is>
          <t>34_1_Bay_of_Bengal_(1978)</t>
        </is>
      </c>
      <c r="C464" s="10" t="inlineStr">
        <is>
          <t>Latidae</t>
        </is>
      </c>
      <c r="D464" s="9" t="inlineStr">
        <is>
          <t>Lates perches</t>
        </is>
      </c>
      <c r="E464" s="9" t="inlineStr">
        <is>
          <t>Large demersals (&gt;=90 cm)</t>
        </is>
      </c>
      <c r="F464" s="9" t="inlineStr">
        <is>
          <t>Perch-likes</t>
        </is>
      </c>
      <c r="G464" s="10" t="inlineStr">
        <is>
          <t>3 L pisc</t>
        </is>
      </c>
      <c r="H464" s="11" t="n">
        <v>0.5504690633056432</v>
      </c>
      <c r="I464" s="9" t="inlineStr">
        <is>
          <t>model_biomass</t>
        </is>
      </c>
      <c r="J464" s="12" t="inlineStr">
        <is>
          <t>medium</t>
        </is>
      </c>
      <c r="K464" s="9" t="inlineStr">
        <is>
          <t>composite_split</t>
        </is>
      </c>
      <c r="L464" s="10" t="inlineStr">
        <is>
          <t>Appendix A1.1 lists this exact catch name under `L pisc`; apportioned over the region 2 and region 3 pools by model biomass; region 1 is the Maldives shelf, outside LME 34.</t>
        </is>
      </c>
      <c r="M464" s="9" t="n">
        <v>13376.896</v>
      </c>
    </row>
    <row r="465" ht="36" customHeight="1">
      <c r="A465" s="9" t="inlineStr">
        <is>
          <t>LME_034</t>
        </is>
      </c>
      <c r="B465" s="10" t="inlineStr">
        <is>
          <t>34_1_Bay_of_Bengal_(1978)</t>
        </is>
      </c>
      <c r="C465" s="10" t="inlineStr">
        <is>
          <t>Carcharhinus longimanus</t>
        </is>
      </c>
      <c r="D465" s="9" t="inlineStr">
        <is>
          <t>Oceanic whitetip shark</t>
        </is>
      </c>
      <c r="E465" s="9" t="inlineStr">
        <is>
          <t>Large sharks (&gt;=90 cm)</t>
        </is>
      </c>
      <c r="F465" s="9" t="inlineStr">
        <is>
          <t>Sharks &amp; rays</t>
        </is>
      </c>
      <c r="G465" s="10" t="inlineStr">
        <is>
          <t>Oceanic sharks</t>
        </is>
      </c>
      <c r="H465" s="11" t="n">
        <v>1</v>
      </c>
      <c r="I465" s="9" t="inlineStr">
        <is>
          <t>single</t>
        </is>
      </c>
      <c r="J465" s="13" t="inlineStr">
        <is>
          <t>high</t>
        </is>
      </c>
      <c r="K465" s="9" t="inlineStr">
        <is>
          <t>explicit_member</t>
        </is>
      </c>
      <c r="L465" s="10" t="inlineStr">
        <is>
          <t>Appendix A1.1 lists this exact catch name under `oceanic sharks`, a group modelled over the whole study area (Appendix A1.2).</t>
        </is>
      </c>
      <c r="M465" s="9" t="n">
        <v>13145.143</v>
      </c>
    </row>
    <row r="466" ht="36" customHeight="1">
      <c r="A466" s="9" t="inlineStr">
        <is>
          <t>LME_034</t>
        </is>
      </c>
      <c r="B466" s="10" t="inlineStr">
        <is>
          <t>34_1_Bay_of_Bengal_(1978)</t>
        </is>
      </c>
      <c r="C466" s="10" t="inlineStr">
        <is>
          <t>Thenus orientalis</t>
        </is>
      </c>
      <c r="D466" s="9" t="inlineStr">
        <is>
          <t>Flathead lobster</t>
        </is>
      </c>
      <c r="E466" s="9" t="inlineStr">
        <is>
          <t>Lobsters, crabs</t>
        </is>
      </c>
      <c r="F466" s="9" t="inlineStr">
        <is>
          <t>Crustaceans</t>
        </is>
      </c>
      <c r="G466" s="10" t="inlineStr">
        <is>
          <t>2 Crustaceans</t>
        </is>
      </c>
      <c r="H466" s="11" t="n">
        <v>0.2129992169146437</v>
      </c>
      <c r="I466" s="9" t="inlineStr">
        <is>
          <t>model_biomass</t>
        </is>
      </c>
      <c r="J466" s="12" t="inlineStr">
        <is>
          <t>medium</t>
        </is>
      </c>
      <c r="K466" s="9" t="inlineStr">
        <is>
          <t>composite_split</t>
        </is>
      </c>
      <c r="L466" s="10" t="inlineStr">
        <is>
          <t>Appendix A1.1 lists this exact catch name under `Crabs`; apportioned over the region 2 and region 3 pools by model biomass; region 1 is the Maldives shelf, outside LME 34.</t>
        </is>
      </c>
      <c r="M466" s="9" t="n">
        <v>11960.474</v>
      </c>
    </row>
    <row r="467" ht="36" customHeight="1">
      <c r="A467" s="9" t="inlineStr">
        <is>
          <t>LME_034</t>
        </is>
      </c>
      <c r="B467" s="10" t="inlineStr">
        <is>
          <t>34_1_Bay_of_Bengal_(1978)</t>
        </is>
      </c>
      <c r="C467" s="10" t="inlineStr">
        <is>
          <t>Thenus orientalis</t>
        </is>
      </c>
      <c r="D467" s="9" t="inlineStr">
        <is>
          <t>Flathead lobster</t>
        </is>
      </c>
      <c r="E467" s="9" t="inlineStr">
        <is>
          <t>Lobsters, crabs</t>
        </is>
      </c>
      <c r="F467" s="9" t="inlineStr">
        <is>
          <t>Crustaceans</t>
        </is>
      </c>
      <c r="G467" s="10" t="inlineStr">
        <is>
          <t>3 Crustaceans</t>
        </is>
      </c>
      <c r="H467" s="11" t="n">
        <v>0.7870007830853563</v>
      </c>
      <c r="I467" s="9" t="inlineStr">
        <is>
          <t>model_biomass</t>
        </is>
      </c>
      <c r="J467" s="12" t="inlineStr">
        <is>
          <t>medium</t>
        </is>
      </c>
      <c r="K467" s="9" t="inlineStr">
        <is>
          <t>composite_split</t>
        </is>
      </c>
      <c r="L467" s="10" t="inlineStr">
        <is>
          <t>Appendix A1.1 lists this exact catch name under `Crabs`; apportioned over the region 2 and region 3 pools by model biomass; region 1 is the Maldives shelf, outside LME 34.</t>
        </is>
      </c>
      <c r="M467" s="9" t="n">
        <v>11960.474</v>
      </c>
    </row>
    <row r="468" ht="36" customHeight="1">
      <c r="A468" s="9" t="inlineStr">
        <is>
          <t>LME_034</t>
        </is>
      </c>
      <c r="B468" s="10" t="inlineStr">
        <is>
          <t>34_1_Bay_of_Bengal_(1978)</t>
        </is>
      </c>
      <c r="C468" s="10" t="inlineStr">
        <is>
          <t>Istiophorus platypterus</t>
        </is>
      </c>
      <c r="D468" s="9" t="inlineStr">
        <is>
          <t>Indo-Pacific sailfish</t>
        </is>
      </c>
      <c r="E468" s="9" t="inlineStr">
        <is>
          <t>Large pelagics (&gt;=90 cm)</t>
        </is>
      </c>
      <c r="F468" s="9" t="inlineStr">
        <is>
          <t>Tuna &amp; billfishes</t>
        </is>
      </c>
      <c r="G468" s="10" t="inlineStr">
        <is>
          <t>Tuna-like</t>
        </is>
      </c>
      <c r="H468" s="11" t="n">
        <v>1</v>
      </c>
      <c r="I468" s="9" t="inlineStr">
        <is>
          <t>single</t>
        </is>
      </c>
      <c r="J468" s="13" t="inlineStr">
        <is>
          <t>high</t>
        </is>
      </c>
      <c r="K468" s="9" t="inlineStr">
        <is>
          <t>explicit_member</t>
        </is>
      </c>
      <c r="L468" s="10" t="inlineStr">
        <is>
          <t>Appendix A1.1 lists this exact catch name under `tuna-like`, a group modelled over the whole study area (Appendix A1.2).</t>
        </is>
      </c>
      <c r="M468" s="9" t="n">
        <v>11544.258</v>
      </c>
    </row>
    <row r="469" ht="36" customHeight="1">
      <c r="A469" s="9" t="inlineStr">
        <is>
          <t>LME_034</t>
        </is>
      </c>
      <c r="B469" s="10" t="inlineStr">
        <is>
          <t>34_1_Bay_of_Bengal_(1978)</t>
        </is>
      </c>
      <c r="C469" s="10" t="inlineStr">
        <is>
          <t>Trochus niloticus</t>
        </is>
      </c>
      <c r="D469" s="9" t="inlineStr">
        <is>
          <t>Commercial top</t>
        </is>
      </c>
      <c r="E469" s="9" t="inlineStr">
        <is>
          <t>Other demersal invertebrates</t>
        </is>
      </c>
      <c r="F469" s="9" t="inlineStr">
        <is>
          <t>Molluscs</t>
        </is>
      </c>
      <c r="G469" s="10" t="inlineStr">
        <is>
          <t>2 Macrobenthos</t>
        </is>
      </c>
      <c r="H469" s="11" t="n">
        <v>0.363210995759614</v>
      </c>
      <c r="I469" s="9" t="inlineStr">
        <is>
          <t>model_biomass</t>
        </is>
      </c>
      <c r="J469" s="12" t="inlineStr">
        <is>
          <t>medium</t>
        </is>
      </c>
      <c r="K469" s="9" t="inlineStr">
        <is>
          <t>composite_split</t>
        </is>
      </c>
      <c r="L469" s="10" t="inlineStr">
        <is>
          <t>Appendix A1.1 lists this exact catch name under `macrobenthos`; apportioned over the region 2 and region 3 pools by model biomass; region 1 is the Maldives shelf, outside LME 34.</t>
        </is>
      </c>
      <c r="M469" s="9" t="n">
        <v>10391.687</v>
      </c>
    </row>
    <row r="470" ht="36" customHeight="1">
      <c r="A470" s="9" t="inlineStr">
        <is>
          <t>LME_034</t>
        </is>
      </c>
      <c r="B470" s="10" t="inlineStr">
        <is>
          <t>34_1_Bay_of_Bengal_(1978)</t>
        </is>
      </c>
      <c r="C470" s="10" t="inlineStr">
        <is>
          <t>Trochus niloticus</t>
        </is>
      </c>
      <c r="D470" s="9" t="inlineStr">
        <is>
          <t>Commercial top</t>
        </is>
      </c>
      <c r="E470" s="9" t="inlineStr">
        <is>
          <t>Other demersal invertebrates</t>
        </is>
      </c>
      <c r="F470" s="9" t="inlineStr">
        <is>
          <t>Molluscs</t>
        </is>
      </c>
      <c r="G470" s="10" t="inlineStr">
        <is>
          <t>3 Macrobenthos</t>
        </is>
      </c>
      <c r="H470" s="11" t="n">
        <v>0.6367890042403861</v>
      </c>
      <c r="I470" s="9" t="inlineStr">
        <is>
          <t>model_biomass</t>
        </is>
      </c>
      <c r="J470" s="12" t="inlineStr">
        <is>
          <t>medium</t>
        </is>
      </c>
      <c r="K470" s="9" t="inlineStr">
        <is>
          <t>composite_split</t>
        </is>
      </c>
      <c r="L470" s="10" t="inlineStr">
        <is>
          <t>Appendix A1.1 lists this exact catch name under `macrobenthos`; apportioned over the region 2 and region 3 pools by model biomass; region 1 is the Maldives shelf, outside LME 34.</t>
        </is>
      </c>
      <c r="M470" s="9" t="n">
        <v>10391.687</v>
      </c>
    </row>
    <row r="471" ht="36" customHeight="1">
      <c r="A471" s="9" t="inlineStr">
        <is>
          <t>LME_034</t>
        </is>
      </c>
      <c r="B471" s="10" t="inlineStr">
        <is>
          <t>34_1_Bay_of_Bengal_(1978)</t>
        </is>
      </c>
      <c r="C471" s="10" t="inlineStr">
        <is>
          <t>Sillago sihama</t>
        </is>
      </c>
      <c r="D471" s="9" t="inlineStr">
        <is>
          <t>Silver sillago</t>
        </is>
      </c>
      <c r="E471" s="9" t="inlineStr">
        <is>
          <t>Medium demersals (30 - 89 cm)</t>
        </is>
      </c>
      <c r="F471" s="9" t="inlineStr">
        <is>
          <t>Perch-likes</t>
        </is>
      </c>
      <c r="G471" s="10" t="inlineStr">
        <is>
          <t>2 SM inv</t>
        </is>
      </c>
      <c r="H471" s="11" t="n">
        <v>0.3170901271842734</v>
      </c>
      <c r="I471" s="9" t="inlineStr">
        <is>
          <t>model_biomass</t>
        </is>
      </c>
      <c r="J471" s="12" t="inlineStr">
        <is>
          <t>medium</t>
        </is>
      </c>
      <c r="K471" s="9" t="inlineStr">
        <is>
          <t>composite_split</t>
        </is>
      </c>
      <c r="L471" s="10" t="inlineStr">
        <is>
          <t>Appendix A1.1 lists this exact catch name under `SM inv`; apportioned over the region 2 and region 3 pools by model biomass; region 1 is the Maldives shelf, outside LME 34.</t>
        </is>
      </c>
      <c r="M471" s="9" t="n">
        <v>10130.215</v>
      </c>
    </row>
    <row r="472" ht="36" customHeight="1">
      <c r="A472" s="9" t="inlineStr">
        <is>
          <t>LME_034</t>
        </is>
      </c>
      <c r="B472" s="10" t="inlineStr">
        <is>
          <t>34_1_Bay_of_Bengal_(1978)</t>
        </is>
      </c>
      <c r="C472" s="10" t="inlineStr">
        <is>
          <t>Sillago sihama</t>
        </is>
      </c>
      <c r="D472" s="9" t="inlineStr">
        <is>
          <t>Silver sillago</t>
        </is>
      </c>
      <c r="E472" s="9" t="inlineStr">
        <is>
          <t>Medium demersals (30 - 89 cm)</t>
        </is>
      </c>
      <c r="F472" s="9" t="inlineStr">
        <is>
          <t>Perch-likes</t>
        </is>
      </c>
      <c r="G472" s="10" t="inlineStr">
        <is>
          <t>3 SM inv</t>
        </is>
      </c>
      <c r="H472" s="11" t="n">
        <v>0.6829098728157266</v>
      </c>
      <c r="I472" s="9" t="inlineStr">
        <is>
          <t>model_biomass</t>
        </is>
      </c>
      <c r="J472" s="12" t="inlineStr">
        <is>
          <t>medium</t>
        </is>
      </c>
      <c r="K472" s="9" t="inlineStr">
        <is>
          <t>composite_split</t>
        </is>
      </c>
      <c r="L472" s="10" t="inlineStr">
        <is>
          <t>Appendix A1.1 lists this exact catch name under `SM inv`; apportioned over the region 2 and region 3 pools by model biomass; region 1 is the Maldives shelf, outside LME 34.</t>
        </is>
      </c>
      <c r="M472" s="9" t="n">
        <v>10130.215</v>
      </c>
    </row>
    <row r="473" ht="36" customHeight="1">
      <c r="A473" s="9" t="inlineStr">
        <is>
          <t>LME_034</t>
        </is>
      </c>
      <c r="B473" s="10" t="inlineStr">
        <is>
          <t>34_1_Bay_of_Bengal_(1978)</t>
        </is>
      </c>
      <c r="C473" s="10" t="inlineStr">
        <is>
          <t>Isurus oxyrinchus</t>
        </is>
      </c>
      <c r="D473" s="9" t="inlineStr">
        <is>
          <t>Shortfin mako</t>
        </is>
      </c>
      <c r="E473" s="9" t="inlineStr">
        <is>
          <t>Large sharks (&gt;=90 cm)</t>
        </is>
      </c>
      <c r="F473" s="9" t="inlineStr">
        <is>
          <t>Sharks &amp; rays</t>
        </is>
      </c>
      <c r="G473" s="10" t="inlineStr">
        <is>
          <t>Oceanic sharks</t>
        </is>
      </c>
      <c r="H473" s="11" t="n">
        <v>1</v>
      </c>
      <c r="I473" s="9" t="inlineStr">
        <is>
          <t>single</t>
        </is>
      </c>
      <c r="J473" s="13" t="inlineStr">
        <is>
          <t>high</t>
        </is>
      </c>
      <c r="K473" s="9" t="inlineStr">
        <is>
          <t>explicit_member</t>
        </is>
      </c>
      <c r="L473" s="10" t="inlineStr">
        <is>
          <t>Appendix A1.1 lists this exact catch name under `oceanic sharks`, a group modelled over the whole study area (Appendix A1.2).</t>
        </is>
      </c>
      <c r="M473" s="9" t="n">
        <v>9988.858</v>
      </c>
    </row>
    <row r="474" ht="51" customHeight="1">
      <c r="A474" s="9" t="inlineStr">
        <is>
          <t>LME_034</t>
        </is>
      </c>
      <c r="B474" s="10" t="inlineStr">
        <is>
          <t>34_1_Bay_of_Bengal_(1978)</t>
        </is>
      </c>
      <c r="C474" s="10" t="inlineStr">
        <is>
          <t>Scatophagus</t>
        </is>
      </c>
      <c r="D474" s="9" t="inlineStr">
        <is>
          <t>Scats</t>
        </is>
      </c>
      <c r="E474" s="9" t="inlineStr">
        <is>
          <t>Medium demersals (30 - 89 cm)</t>
        </is>
      </c>
      <c r="F474" s="9" t="inlineStr">
        <is>
          <t>Perch-likes</t>
        </is>
      </c>
      <c r="G474" s="10" t="inlineStr">
        <is>
          <t>2 SM inv</t>
        </is>
      </c>
      <c r="H474" s="11" t="n">
        <v>0.3170901271842734</v>
      </c>
      <c r="I474" s="9" t="inlineStr">
        <is>
          <t>model_biomass</t>
        </is>
      </c>
      <c r="J474" s="12" t="inlineStr">
        <is>
          <t>medium</t>
        </is>
      </c>
      <c r="K474" s="9" t="inlineStr">
        <is>
          <t>composite_split</t>
        </is>
      </c>
      <c r="L474" s="10" t="inlineStr">
        <is>
          <t>Appendix A1.1 lists Scatophagus argus, the only scatophagid in the region, under SM inv. Apportioned over the region 2 and region 3 pools by model biomass; region 1 is the Maldives shelf, outside LME 34.</t>
        </is>
      </c>
      <c r="M474" s="9" t="n">
        <v>9427.513000000001</v>
      </c>
    </row>
    <row r="475" ht="51" customHeight="1">
      <c r="A475" s="9" t="inlineStr">
        <is>
          <t>LME_034</t>
        </is>
      </c>
      <c r="B475" s="10" t="inlineStr">
        <is>
          <t>34_1_Bay_of_Bengal_(1978)</t>
        </is>
      </c>
      <c r="C475" s="10" t="inlineStr">
        <is>
          <t>Scatophagus</t>
        </is>
      </c>
      <c r="D475" s="9" t="inlineStr">
        <is>
          <t>Scats</t>
        </is>
      </c>
      <c r="E475" s="9" t="inlineStr">
        <is>
          <t>Medium demersals (30 - 89 cm)</t>
        </is>
      </c>
      <c r="F475" s="9" t="inlineStr">
        <is>
          <t>Perch-likes</t>
        </is>
      </c>
      <c r="G475" s="10" t="inlineStr">
        <is>
          <t>3 SM inv</t>
        </is>
      </c>
      <c r="H475" s="11" t="n">
        <v>0.6829098728157266</v>
      </c>
      <c r="I475" s="9" t="inlineStr">
        <is>
          <t>model_biomass</t>
        </is>
      </c>
      <c r="J475" s="12" t="inlineStr">
        <is>
          <t>medium</t>
        </is>
      </c>
      <c r="K475" s="9" t="inlineStr">
        <is>
          <t>composite_split</t>
        </is>
      </c>
      <c r="L475" s="10" t="inlineStr">
        <is>
          <t>Appendix A1.1 lists Scatophagus argus, the only scatophagid in the region, under SM inv. Apportioned over the region 2 and region 3 pools by model biomass; region 1 is the Maldives shelf, outside LME 34.</t>
        </is>
      </c>
      <c r="M475" s="9" t="n">
        <v>9427.513000000001</v>
      </c>
    </row>
    <row r="476" ht="51" customHeight="1">
      <c r="A476" s="9" t="inlineStr">
        <is>
          <t>LME_034</t>
        </is>
      </c>
      <c r="B476" s="10" t="inlineStr">
        <is>
          <t>34_1_Bay_of_Bengal_(1978)</t>
        </is>
      </c>
      <c r="C476" s="10" t="inlineStr">
        <is>
          <t>Scyris indica</t>
        </is>
      </c>
      <c r="D476" s="9" t="inlineStr">
        <is>
          <t>Indian threadfish</t>
        </is>
      </c>
      <c r="E476" s="9" t="inlineStr">
        <is>
          <t>Large reef assoc. fish (&gt;=90 cm)</t>
        </is>
      </c>
      <c r="F476" s="9" t="inlineStr">
        <is>
          <t>Perch-likes</t>
        </is>
      </c>
      <c r="G476" s="10" t="inlineStr">
        <is>
          <t>2 Carangids</t>
        </is>
      </c>
      <c r="H476" s="11" t="n">
        <v>0.3043867502238138</v>
      </c>
      <c r="I476" s="9" t="inlineStr">
        <is>
          <t>model_biomass</t>
        </is>
      </c>
      <c r="J476" s="12" t="inlineStr">
        <is>
          <t>medium</t>
        </is>
      </c>
      <c r="K476" s="9" t="inlineStr">
        <is>
          <t>composite_split</t>
        </is>
      </c>
      <c r="L476" s="10" t="inlineStr">
        <is>
          <t>Accepted-name/synonym match: Appendix A1.1 lists Alectis indica under `Carangids`. Apportioned over the region 2 and region 3 pools by model biomass; region 1 is the Maldives shelf, outside LME 34.</t>
        </is>
      </c>
      <c r="M476" s="9" t="n">
        <v>8953.004999999999</v>
      </c>
    </row>
    <row r="477" ht="51" customHeight="1">
      <c r="A477" s="9" t="inlineStr">
        <is>
          <t>LME_034</t>
        </is>
      </c>
      <c r="B477" s="10" t="inlineStr">
        <is>
          <t>34_1_Bay_of_Bengal_(1978)</t>
        </is>
      </c>
      <c r="C477" s="10" t="inlineStr">
        <is>
          <t>Scyris indica</t>
        </is>
      </c>
      <c r="D477" s="9" t="inlineStr">
        <is>
          <t>Indian threadfish</t>
        </is>
      </c>
      <c r="E477" s="9" t="inlineStr">
        <is>
          <t>Large reef assoc. fish (&gt;=90 cm)</t>
        </is>
      </c>
      <c r="F477" s="9" t="inlineStr">
        <is>
          <t>Perch-likes</t>
        </is>
      </c>
      <c r="G477" s="10" t="inlineStr">
        <is>
          <t>3 Carangids</t>
        </is>
      </c>
      <c r="H477" s="11" t="n">
        <v>0.6956132497761862</v>
      </c>
      <c r="I477" s="9" t="inlineStr">
        <is>
          <t>model_biomass</t>
        </is>
      </c>
      <c r="J477" s="12" t="inlineStr">
        <is>
          <t>medium</t>
        </is>
      </c>
      <c r="K477" s="9" t="inlineStr">
        <is>
          <t>composite_split</t>
        </is>
      </c>
      <c r="L477" s="10" t="inlineStr">
        <is>
          <t>Accepted-name/synonym match: Appendix A1.1 lists Alectis indica under `Carangids`. Apportioned over the region 2 and region 3 pools by model biomass; region 1 is the Maldives shelf, outside LME 34.</t>
        </is>
      </c>
      <c r="M477" s="9" t="n">
        <v>8953.004999999999</v>
      </c>
    </row>
    <row r="478" ht="36" customHeight="1">
      <c r="A478" s="9" t="inlineStr">
        <is>
          <t>LME_034</t>
        </is>
      </c>
      <c r="B478" s="10" t="inlineStr">
        <is>
          <t>34_1_Bay_of_Bengal_(1978)</t>
        </is>
      </c>
      <c r="C478" s="10" t="inlineStr">
        <is>
          <t>Pellona ditchela</t>
        </is>
      </c>
      <c r="D478" s="9" t="inlineStr">
        <is>
          <t>Indian pellona</t>
        </is>
      </c>
      <c r="E478" s="9" t="inlineStr">
        <is>
          <t>Small pelagics (&lt;30 cm)</t>
        </is>
      </c>
      <c r="F478" s="9" t="inlineStr">
        <is>
          <t>Herring-likes</t>
        </is>
      </c>
      <c r="G478" s="10" t="inlineStr">
        <is>
          <t>2 S pelagics</t>
        </is>
      </c>
      <c r="H478" s="11" t="n">
        <v>0.2975985463815478</v>
      </c>
      <c r="I478" s="9" t="inlineStr">
        <is>
          <t>model_biomass</t>
        </is>
      </c>
      <c r="J478" s="12" t="inlineStr">
        <is>
          <t>medium</t>
        </is>
      </c>
      <c r="K478" s="9" t="inlineStr">
        <is>
          <t>composite_split</t>
        </is>
      </c>
      <c r="L478" s="10" t="inlineStr">
        <is>
          <t>Appendix A1.1 lists this exact catch name under `S pelagics`; apportioned over the region 2 and region 3 pools by model biomass; region 1 is the Maldives shelf, outside LME 34.</t>
        </is>
      </c>
      <c r="M478" s="9" t="n">
        <v>8525.981</v>
      </c>
    </row>
    <row r="479" ht="36" customHeight="1">
      <c r="A479" s="9" t="inlineStr">
        <is>
          <t>LME_034</t>
        </is>
      </c>
      <c r="B479" s="10" t="inlineStr">
        <is>
          <t>34_1_Bay_of_Bengal_(1978)</t>
        </is>
      </c>
      <c r="C479" s="10" t="inlineStr">
        <is>
          <t>Pellona ditchela</t>
        </is>
      </c>
      <c r="D479" s="9" t="inlineStr">
        <is>
          <t>Indian pellona</t>
        </is>
      </c>
      <c r="E479" s="9" t="inlineStr">
        <is>
          <t>Small pelagics (&lt;30 cm)</t>
        </is>
      </c>
      <c r="F479" s="9" t="inlineStr">
        <is>
          <t>Herring-likes</t>
        </is>
      </c>
      <c r="G479" s="10" t="inlineStr">
        <is>
          <t>3 S pelagics</t>
        </is>
      </c>
      <c r="H479" s="11" t="n">
        <v>0.7024014536184523</v>
      </c>
      <c r="I479" s="9" t="inlineStr">
        <is>
          <t>model_biomass</t>
        </is>
      </c>
      <c r="J479" s="12" t="inlineStr">
        <is>
          <t>medium</t>
        </is>
      </c>
      <c r="K479" s="9" t="inlineStr">
        <is>
          <t>composite_split</t>
        </is>
      </c>
      <c r="L479" s="10" t="inlineStr">
        <is>
          <t>Appendix A1.1 lists this exact catch name under `S pelagics`; apportioned over the region 2 and region 3 pools by model biomass; region 1 is the Maldives shelf, outside LME 34.</t>
        </is>
      </c>
      <c r="M479" s="9" t="n">
        <v>8525.981</v>
      </c>
    </row>
    <row r="480" ht="36" customHeight="1">
      <c r="A480" s="9" t="inlineStr">
        <is>
          <t>LME_034</t>
        </is>
      </c>
      <c r="B480" s="10" t="inlineStr">
        <is>
          <t>34_1_Bay_of_Bengal_(1978)</t>
        </is>
      </c>
      <c r="C480" s="10" t="inlineStr">
        <is>
          <t>Panulirus</t>
        </is>
      </c>
      <c r="D480" s="9" t="inlineStr">
        <is>
          <t>Spiny lobsters</t>
        </is>
      </c>
      <c r="E480" s="9" t="inlineStr">
        <is>
          <t>Lobsters, crabs</t>
        </is>
      </c>
      <c r="F480" s="9" t="inlineStr">
        <is>
          <t>Crustaceans</t>
        </is>
      </c>
      <c r="G480" s="10" t="inlineStr">
        <is>
          <t>2 Crustaceans</t>
        </is>
      </c>
      <c r="H480" s="11" t="n">
        <v>0.2129992169146437</v>
      </c>
      <c r="I480" s="9" t="inlineStr">
        <is>
          <t>model_biomass</t>
        </is>
      </c>
      <c r="J480" s="12" t="inlineStr">
        <is>
          <t>medium</t>
        </is>
      </c>
      <c r="K480" s="9" t="inlineStr">
        <is>
          <t>composite_split</t>
        </is>
      </c>
      <c r="L480" s="10" t="inlineStr">
        <is>
          <t>Appendix A1.1 lists this exact catch name under `Crabs`; apportioned over the region 2 and region 3 pools by model biomass; region 1 is the Maldives shelf, outside LME 34.</t>
        </is>
      </c>
      <c r="M480" s="9" t="n">
        <v>8480.27</v>
      </c>
    </row>
    <row r="481" ht="36" customHeight="1">
      <c r="A481" s="9" t="inlineStr">
        <is>
          <t>LME_034</t>
        </is>
      </c>
      <c r="B481" s="10" t="inlineStr">
        <is>
          <t>34_1_Bay_of_Bengal_(1978)</t>
        </is>
      </c>
      <c r="C481" s="10" t="inlineStr">
        <is>
          <t>Panulirus</t>
        </is>
      </c>
      <c r="D481" s="9" t="inlineStr">
        <is>
          <t>Spiny lobsters</t>
        </is>
      </c>
      <c r="E481" s="9" t="inlineStr">
        <is>
          <t>Lobsters, crabs</t>
        </is>
      </c>
      <c r="F481" s="9" t="inlineStr">
        <is>
          <t>Crustaceans</t>
        </is>
      </c>
      <c r="G481" s="10" t="inlineStr">
        <is>
          <t>3 Crustaceans</t>
        </is>
      </c>
      <c r="H481" s="11" t="n">
        <v>0.7870007830853563</v>
      </c>
      <c r="I481" s="9" t="inlineStr">
        <is>
          <t>model_biomass</t>
        </is>
      </c>
      <c r="J481" s="12" t="inlineStr">
        <is>
          <t>medium</t>
        </is>
      </c>
      <c r="K481" s="9" t="inlineStr">
        <is>
          <t>composite_split</t>
        </is>
      </c>
      <c r="L481" s="10" t="inlineStr">
        <is>
          <t>Appendix A1.1 lists this exact catch name under `Crabs`; apportioned over the region 2 and region 3 pools by model biomass; region 1 is the Maldives shelf, outside LME 34.</t>
        </is>
      </c>
      <c r="M481" s="9" t="n">
        <v>8480.27</v>
      </c>
    </row>
    <row r="482" ht="36" customHeight="1">
      <c r="A482" s="9" t="inlineStr">
        <is>
          <t>LME_034</t>
        </is>
      </c>
      <c r="B482" s="10" t="inlineStr">
        <is>
          <t>34_1_Bay_of_Bengal_(1978)</t>
        </is>
      </c>
      <c r="C482" s="10" t="inlineStr">
        <is>
          <t>Lamniformes</t>
        </is>
      </c>
      <c r="D482" s="9" t="inlineStr">
        <is>
          <t>Mackerel sharks</t>
        </is>
      </c>
      <c r="E482" s="9" t="inlineStr">
        <is>
          <t>Large sharks (&gt;=90 cm)</t>
        </is>
      </c>
      <c r="F482" s="9" t="inlineStr">
        <is>
          <t>Sharks &amp; rays</t>
        </is>
      </c>
      <c r="G482" s="10" t="inlineStr">
        <is>
          <t>Oceanic sharks</t>
        </is>
      </c>
      <c r="H482" s="11" t="n">
        <v>0.305730644284871</v>
      </c>
      <c r="I482" s="9" t="inlineStr">
        <is>
          <t>catch_composition</t>
        </is>
      </c>
      <c r="J482" s="12" t="inlineStr">
        <is>
          <t>medium</t>
        </is>
      </c>
      <c r="K482" s="9" t="inlineStr">
        <is>
          <t>composite_split</t>
        </is>
      </c>
      <c r="L482" s="10" t="inlineStr">
        <is>
          <t>Appendix A1.1 lists this exact catch name under `oceanic, coastal sharks`; apportioned by the catch that taxa assigned to those groups alone already carry in this LME.</t>
        </is>
      </c>
      <c r="M482" s="9" t="n">
        <v>7511.152</v>
      </c>
    </row>
    <row r="483" ht="36" customHeight="1">
      <c r="A483" s="9" t="inlineStr">
        <is>
          <t>LME_034</t>
        </is>
      </c>
      <c r="B483" s="10" t="inlineStr">
        <is>
          <t>34_1_Bay_of_Bengal_(1978)</t>
        </is>
      </c>
      <c r="C483" s="10" t="inlineStr">
        <is>
          <t>Lamniformes</t>
        </is>
      </c>
      <c r="D483" s="9" t="inlineStr">
        <is>
          <t>Mackerel sharks</t>
        </is>
      </c>
      <c r="E483" s="9" t="inlineStr">
        <is>
          <t>Large sharks (&gt;=90 cm)</t>
        </is>
      </c>
      <c r="F483" s="9" t="inlineStr">
        <is>
          <t>Sharks &amp; rays</t>
        </is>
      </c>
      <c r="G483" s="10" t="inlineStr">
        <is>
          <t>Coastal elasmobranch</t>
        </is>
      </c>
      <c r="H483" s="11" t="n">
        <v>0.694269355715129</v>
      </c>
      <c r="I483" s="9" t="inlineStr">
        <is>
          <t>catch_composition</t>
        </is>
      </c>
      <c r="J483" s="12" t="inlineStr">
        <is>
          <t>medium</t>
        </is>
      </c>
      <c r="K483" s="9" t="inlineStr">
        <is>
          <t>composite_split</t>
        </is>
      </c>
      <c r="L483" s="10" t="inlineStr">
        <is>
          <t>Appendix A1.1 lists this exact catch name under `oceanic, coastal sharks`; apportioned by the catch that taxa assigned to those groups alone already carry in this LME.</t>
        </is>
      </c>
      <c r="M483" s="9" t="n">
        <v>7511.152</v>
      </c>
    </row>
    <row r="484" ht="36" customHeight="1">
      <c r="A484" s="9" t="inlineStr">
        <is>
          <t>LME_034</t>
        </is>
      </c>
      <c r="B484" s="10" t="inlineStr">
        <is>
          <t>34_1_Bay_of_Bengal_(1978)</t>
        </is>
      </c>
      <c r="C484" s="10" t="inlineStr">
        <is>
          <t>Siganidae</t>
        </is>
      </c>
      <c r="D484" s="9" t="inlineStr">
        <is>
          <t>Rabbitfishes</t>
        </is>
      </c>
      <c r="E484" s="9" t="inlineStr">
        <is>
          <t>Medium reef assoc. fish (30 - 89 cm)</t>
        </is>
      </c>
      <c r="F484" s="9" t="inlineStr">
        <is>
          <t>Perch-likes</t>
        </is>
      </c>
      <c r="G484" s="10" t="inlineStr">
        <is>
          <t>2 SM inv</t>
        </is>
      </c>
      <c r="H484" s="11" t="n">
        <v>0.3170901271842734</v>
      </c>
      <c r="I484" s="9" t="inlineStr">
        <is>
          <t>model_biomass</t>
        </is>
      </c>
      <c r="J484" s="12" t="inlineStr">
        <is>
          <t>medium</t>
        </is>
      </c>
      <c r="K484" s="9" t="inlineStr">
        <is>
          <t>composite_split</t>
        </is>
      </c>
      <c r="L484" s="10" t="inlineStr">
        <is>
          <t>Appendix A1.1 lists this exact catch name under `SM inv`; apportioned over the region 2 and region 3 pools by model biomass; region 1 is the Maldives shelf, outside LME 34.</t>
        </is>
      </c>
      <c r="M484" s="9" t="n">
        <v>6976.849</v>
      </c>
    </row>
    <row r="485" ht="36" customHeight="1">
      <c r="A485" s="9" t="inlineStr">
        <is>
          <t>LME_034</t>
        </is>
      </c>
      <c r="B485" s="10" t="inlineStr">
        <is>
          <t>34_1_Bay_of_Bengal_(1978)</t>
        </is>
      </c>
      <c r="C485" s="10" t="inlineStr">
        <is>
          <t>Siganidae</t>
        </is>
      </c>
      <c r="D485" s="9" t="inlineStr">
        <is>
          <t>Rabbitfishes</t>
        </is>
      </c>
      <c r="E485" s="9" t="inlineStr">
        <is>
          <t>Medium reef assoc. fish (30 - 89 cm)</t>
        </is>
      </c>
      <c r="F485" s="9" t="inlineStr">
        <is>
          <t>Perch-likes</t>
        </is>
      </c>
      <c r="G485" s="10" t="inlineStr">
        <is>
          <t>3 SM inv</t>
        </is>
      </c>
      <c r="H485" s="11" t="n">
        <v>0.6829098728157266</v>
      </c>
      <c r="I485" s="9" t="inlineStr">
        <is>
          <t>model_biomass</t>
        </is>
      </c>
      <c r="J485" s="12" t="inlineStr">
        <is>
          <t>medium</t>
        </is>
      </c>
      <c r="K485" s="9" t="inlineStr">
        <is>
          <t>composite_split</t>
        </is>
      </c>
      <c r="L485" s="10" t="inlineStr">
        <is>
          <t>Appendix A1.1 lists this exact catch name under `SM inv`; apportioned over the region 2 and region 3 pools by model biomass; region 1 is the Maldives shelf, outside LME 34.</t>
        </is>
      </c>
      <c r="M485" s="9" t="n">
        <v>6976.849</v>
      </c>
    </row>
    <row r="486" ht="36" customHeight="1">
      <c r="A486" s="9" t="inlineStr">
        <is>
          <t>LME_034</t>
        </is>
      </c>
      <c r="B486" s="10" t="inlineStr">
        <is>
          <t>34_1_Bay_of_Bengal_(1978)</t>
        </is>
      </c>
      <c r="C486" s="10" t="inlineStr">
        <is>
          <t>Holothuriidae</t>
        </is>
      </c>
      <c r="D486" s="9" t="inlineStr">
        <is>
          <t>Fleshy sea cucumbers</t>
        </is>
      </c>
      <c r="E486" s="9" t="inlineStr">
        <is>
          <t>Other demersal invertebrates</t>
        </is>
      </c>
      <c r="F486" s="9" t="inlineStr">
        <is>
          <t>Other fishes &amp; inverts</t>
        </is>
      </c>
      <c r="G486" s="10" t="inlineStr">
        <is>
          <t>2 Macrobenthos</t>
        </is>
      </c>
      <c r="H486" s="11" t="n">
        <v>0.363210995759614</v>
      </c>
      <c r="I486" s="9" t="inlineStr">
        <is>
          <t>model_biomass</t>
        </is>
      </c>
      <c r="J486" s="12" t="inlineStr">
        <is>
          <t>medium</t>
        </is>
      </c>
      <c r="K486" s="9" t="inlineStr">
        <is>
          <t>composite_split</t>
        </is>
      </c>
      <c r="L486" s="10" t="inlineStr">
        <is>
          <t>Appendix A1.1 lists this exact catch name under `macrobenthos`; apportioned over the region 2 and region 3 pools by model biomass; region 1 is the Maldives shelf, outside LME 34.</t>
        </is>
      </c>
      <c r="M486" s="9" t="n">
        <v>6933.362</v>
      </c>
    </row>
    <row r="487" ht="36" customHeight="1">
      <c r="A487" s="9" t="inlineStr">
        <is>
          <t>LME_034</t>
        </is>
      </c>
      <c r="B487" s="10" t="inlineStr">
        <is>
          <t>34_1_Bay_of_Bengal_(1978)</t>
        </is>
      </c>
      <c r="C487" s="10" t="inlineStr">
        <is>
          <t>Holothuriidae</t>
        </is>
      </c>
      <c r="D487" s="9" t="inlineStr">
        <is>
          <t>Fleshy sea cucumbers</t>
        </is>
      </c>
      <c r="E487" s="9" t="inlineStr">
        <is>
          <t>Other demersal invertebrates</t>
        </is>
      </c>
      <c r="F487" s="9" t="inlineStr">
        <is>
          <t>Other fishes &amp; inverts</t>
        </is>
      </c>
      <c r="G487" s="10" t="inlineStr">
        <is>
          <t>3 Macrobenthos</t>
        </is>
      </c>
      <c r="H487" s="11" t="n">
        <v>0.6367890042403861</v>
      </c>
      <c r="I487" s="9" t="inlineStr">
        <is>
          <t>model_biomass</t>
        </is>
      </c>
      <c r="J487" s="12" t="inlineStr">
        <is>
          <t>medium</t>
        </is>
      </c>
      <c r="K487" s="9" t="inlineStr">
        <is>
          <t>composite_split</t>
        </is>
      </c>
      <c r="L487" s="10" t="inlineStr">
        <is>
          <t>Appendix A1.1 lists this exact catch name under `macrobenthos`; apportioned over the region 2 and region 3 pools by model biomass; region 1 is the Maldives shelf, outside LME 34.</t>
        </is>
      </c>
      <c r="M487" s="9" t="n">
        <v>6933.362</v>
      </c>
    </row>
    <row r="488" ht="51" customHeight="1">
      <c r="A488" s="9" t="inlineStr">
        <is>
          <t>LME_034</t>
        </is>
      </c>
      <c r="B488" s="10" t="inlineStr">
        <is>
          <t>34_1_Bay_of_Bengal_(1978)</t>
        </is>
      </c>
      <c r="C488" s="10" t="inlineStr">
        <is>
          <t>Holothuria leucospilota</t>
        </is>
      </c>
      <c r="D488" s="9" t="inlineStr">
        <is>
          <t>White threads fish</t>
        </is>
      </c>
      <c r="E488" s="9" t="inlineStr">
        <is>
          <t>Other demersal invertebrates</t>
        </is>
      </c>
      <c r="F488" s="9" t="inlineStr">
        <is>
          <t>Other fishes &amp; inverts</t>
        </is>
      </c>
      <c r="G488" s="10" t="inlineStr">
        <is>
          <t>2 Macrobenthos</t>
        </is>
      </c>
      <c r="H488" s="11" t="n">
        <v>0.363210995759614</v>
      </c>
      <c r="I488" s="9" t="inlineStr">
        <is>
          <t>model_biomass</t>
        </is>
      </c>
      <c r="J488" s="12" t="inlineStr">
        <is>
          <t>medium</t>
        </is>
      </c>
      <c r="K488" s="9" t="inlineStr">
        <is>
          <t>composite_split</t>
        </is>
      </c>
      <c r="L488" s="10" t="inlineStr">
        <is>
          <t>Appendix A1.1 lists Holothuriidae, Holothuroidea and three Holothuria species under macrobenthos. Apportioned over the region 2 and region 3 pools by model biomass; region 1 is the Maldives shelf, outside LME 34.</t>
        </is>
      </c>
      <c r="M488" s="9" t="n">
        <v>6913.626</v>
      </c>
    </row>
    <row r="489" ht="51" customHeight="1">
      <c r="A489" s="9" t="inlineStr">
        <is>
          <t>LME_034</t>
        </is>
      </c>
      <c r="B489" s="10" t="inlineStr">
        <is>
          <t>34_1_Bay_of_Bengal_(1978)</t>
        </is>
      </c>
      <c r="C489" s="10" t="inlineStr">
        <is>
          <t>Holothuria leucospilota</t>
        </is>
      </c>
      <c r="D489" s="9" t="inlineStr">
        <is>
          <t>White threads fish</t>
        </is>
      </c>
      <c r="E489" s="9" t="inlineStr">
        <is>
          <t>Other demersal invertebrates</t>
        </is>
      </c>
      <c r="F489" s="9" t="inlineStr">
        <is>
          <t>Other fishes &amp; inverts</t>
        </is>
      </c>
      <c r="G489" s="10" t="inlineStr">
        <is>
          <t>3 Macrobenthos</t>
        </is>
      </c>
      <c r="H489" s="11" t="n">
        <v>0.6367890042403861</v>
      </c>
      <c r="I489" s="9" t="inlineStr">
        <is>
          <t>model_biomass</t>
        </is>
      </c>
      <c r="J489" s="12" t="inlineStr">
        <is>
          <t>medium</t>
        </is>
      </c>
      <c r="K489" s="9" t="inlineStr">
        <is>
          <t>composite_split</t>
        </is>
      </c>
      <c r="L489" s="10" t="inlineStr">
        <is>
          <t>Appendix A1.1 lists Holothuriidae, Holothuroidea and three Holothuria species under macrobenthos. Apportioned over the region 2 and region 3 pools by model biomass; region 1 is the Maldives shelf, outside LME 34.</t>
        </is>
      </c>
      <c r="M489" s="9" t="n">
        <v>6913.626</v>
      </c>
    </row>
    <row r="490" ht="36" customHeight="1">
      <c r="A490" s="9" t="inlineStr">
        <is>
          <t>LME_034</t>
        </is>
      </c>
      <c r="B490" s="10" t="inlineStr">
        <is>
          <t>34_1_Bay_of_Bengal_(1978)</t>
        </is>
      </c>
      <c r="C490" s="10" t="inlineStr">
        <is>
          <t>Caesionidae</t>
        </is>
      </c>
      <c r="D490" s="9" t="inlineStr">
        <is>
          <t>Fusiliers</t>
        </is>
      </c>
      <c r="E490" s="9" t="inlineStr">
        <is>
          <t>Medium reef assoc. fish (30 - 89 cm)</t>
        </is>
      </c>
      <c r="F490" s="9" t="inlineStr">
        <is>
          <t>Perch-likes</t>
        </is>
      </c>
      <c r="G490" s="10" t="inlineStr">
        <is>
          <t>2 SM inv</t>
        </is>
      </c>
      <c r="H490" s="11" t="n">
        <v>0.3170901271842734</v>
      </c>
      <c r="I490" s="9" t="inlineStr">
        <is>
          <t>model_biomass</t>
        </is>
      </c>
      <c r="J490" s="12" t="inlineStr">
        <is>
          <t>medium</t>
        </is>
      </c>
      <c r="K490" s="9" t="inlineStr">
        <is>
          <t>composite_split</t>
        </is>
      </c>
      <c r="L490" s="10" t="inlineStr">
        <is>
          <t>Appendix A1.1 lists this exact catch name under `SM inv`; apportioned over the region 2 and region 3 pools by model biomass; region 1 is the Maldives shelf, outside LME 34.</t>
        </is>
      </c>
      <c r="M490" s="9" t="n">
        <v>6893.68</v>
      </c>
    </row>
    <row r="491" ht="36" customHeight="1">
      <c r="A491" s="9" t="inlineStr">
        <is>
          <t>LME_034</t>
        </is>
      </c>
      <c r="B491" s="10" t="inlineStr">
        <is>
          <t>34_1_Bay_of_Bengal_(1978)</t>
        </is>
      </c>
      <c r="C491" s="10" t="inlineStr">
        <is>
          <t>Caesionidae</t>
        </is>
      </c>
      <c r="D491" s="9" t="inlineStr">
        <is>
          <t>Fusiliers</t>
        </is>
      </c>
      <c r="E491" s="9" t="inlineStr">
        <is>
          <t>Medium reef assoc. fish (30 - 89 cm)</t>
        </is>
      </c>
      <c r="F491" s="9" t="inlineStr">
        <is>
          <t>Perch-likes</t>
        </is>
      </c>
      <c r="G491" s="10" t="inlineStr">
        <is>
          <t>3 SM inv</t>
        </is>
      </c>
      <c r="H491" s="11" t="n">
        <v>0.6829098728157266</v>
      </c>
      <c r="I491" s="9" t="inlineStr">
        <is>
          <t>model_biomass</t>
        </is>
      </c>
      <c r="J491" s="12" t="inlineStr">
        <is>
          <t>medium</t>
        </is>
      </c>
      <c r="K491" s="9" t="inlineStr">
        <is>
          <t>composite_split</t>
        </is>
      </c>
      <c r="L491" s="10" t="inlineStr">
        <is>
          <t>Appendix A1.1 lists this exact catch name under `SM inv`; apportioned over the region 2 and region 3 pools by model biomass; region 1 is the Maldives shelf, outside LME 34.</t>
        </is>
      </c>
      <c r="M491" s="9" t="n">
        <v>6893.68</v>
      </c>
    </row>
    <row r="492" ht="21" customHeight="1">
      <c r="A492" s="9" t="inlineStr">
        <is>
          <t>LME_034</t>
        </is>
      </c>
      <c r="B492" s="10" t="inlineStr">
        <is>
          <t>34_1_Bay_of_Bengal_(1978)</t>
        </is>
      </c>
      <c r="C492" s="10" t="inlineStr">
        <is>
          <t>Scomberomorus lineolatus</t>
        </is>
      </c>
      <c r="D492" s="9" t="inlineStr">
        <is>
          <t>Streaked seerfish</t>
        </is>
      </c>
      <c r="E492" s="9" t="inlineStr">
        <is>
          <t>Large pelagics (&gt;=90 cm)</t>
        </is>
      </c>
      <c r="F492" s="9" t="inlineStr">
        <is>
          <t>Perch-likes</t>
        </is>
      </c>
      <c r="G492" s="10" t="inlineStr">
        <is>
          <t>Coastal scombrids</t>
        </is>
      </c>
      <c r="H492" s="11" t="n">
        <v>1</v>
      </c>
      <c r="I492" s="9" t="inlineStr">
        <is>
          <t>single</t>
        </is>
      </c>
      <c r="J492" s="13" t="inlineStr">
        <is>
          <t>high</t>
        </is>
      </c>
      <c r="K492" s="9" t="inlineStr">
        <is>
          <t>explicit_member</t>
        </is>
      </c>
      <c r="L492" s="10" t="inlineStr">
        <is>
          <t>Appendix A1.3 lists Scomberomorus lineolatus in the `coastal scombrid` species list.</t>
        </is>
      </c>
      <c r="M492" s="9" t="n">
        <v>6307.401</v>
      </c>
    </row>
    <row r="493" ht="36" customHeight="1">
      <c r="A493" s="9" t="inlineStr">
        <is>
          <t>LME_034</t>
        </is>
      </c>
      <c r="B493" s="10" t="inlineStr">
        <is>
          <t>34_1_Bay_of_Bengal_(1978)</t>
        </is>
      </c>
      <c r="C493" s="10" t="inlineStr">
        <is>
          <t>Stichopus</t>
        </is>
      </c>
      <c r="D493" s="9" t="inlineStr">
        <is>
          <t>Boxed sea cucumbers</t>
        </is>
      </c>
      <c r="E493" s="9" t="inlineStr">
        <is>
          <t>Other demersal invertebrates</t>
        </is>
      </c>
      <c r="F493" s="9" t="inlineStr">
        <is>
          <t>Other fishes &amp; inverts</t>
        </is>
      </c>
      <c r="G493" s="10" t="inlineStr">
        <is>
          <t>2 Macrobenthos</t>
        </is>
      </c>
      <c r="H493" s="11" t="n">
        <v>0.363210995759614</v>
      </c>
      <c r="I493" s="9" t="inlineStr">
        <is>
          <t>model_biomass</t>
        </is>
      </c>
      <c r="J493" s="12" t="inlineStr">
        <is>
          <t>medium</t>
        </is>
      </c>
      <c r="K493" s="9" t="inlineStr">
        <is>
          <t>composite_split</t>
        </is>
      </c>
      <c r="L493" s="10" t="inlineStr">
        <is>
          <t>Appendix A1.1 lists this exact catch name under `macrobenthos`; apportioned over the region 2 and region 3 pools by model biomass; region 1 is the Maldives shelf, outside LME 34.</t>
        </is>
      </c>
      <c r="M493" s="9" t="n">
        <v>5680.072</v>
      </c>
    </row>
    <row r="494" ht="36" customHeight="1">
      <c r="A494" s="9" t="inlineStr">
        <is>
          <t>LME_034</t>
        </is>
      </c>
      <c r="B494" s="10" t="inlineStr">
        <is>
          <t>34_1_Bay_of_Bengal_(1978)</t>
        </is>
      </c>
      <c r="C494" s="10" t="inlineStr">
        <is>
          <t>Stichopus</t>
        </is>
      </c>
      <c r="D494" s="9" t="inlineStr">
        <is>
          <t>Boxed sea cucumbers</t>
        </is>
      </c>
      <c r="E494" s="9" t="inlineStr">
        <is>
          <t>Other demersal invertebrates</t>
        </is>
      </c>
      <c r="F494" s="9" t="inlineStr">
        <is>
          <t>Other fishes &amp; inverts</t>
        </is>
      </c>
      <c r="G494" s="10" t="inlineStr">
        <is>
          <t>3 Macrobenthos</t>
        </is>
      </c>
      <c r="H494" s="11" t="n">
        <v>0.6367890042403861</v>
      </c>
      <c r="I494" s="9" t="inlineStr">
        <is>
          <t>model_biomass</t>
        </is>
      </c>
      <c r="J494" s="12" t="inlineStr">
        <is>
          <t>medium</t>
        </is>
      </c>
      <c r="K494" s="9" t="inlineStr">
        <is>
          <t>composite_split</t>
        </is>
      </c>
      <c r="L494" s="10" t="inlineStr">
        <is>
          <t>Appendix A1.1 lists this exact catch name under `macrobenthos`; apportioned over the region 2 and region 3 pools by model biomass; region 1 is the Maldives shelf, outside LME 34.</t>
        </is>
      </c>
      <c r="M494" s="9" t="n">
        <v>5680.072</v>
      </c>
    </row>
    <row r="495" ht="36" customHeight="1">
      <c r="A495" s="9" t="inlineStr">
        <is>
          <t>LME_034</t>
        </is>
      </c>
      <c r="B495" s="10" t="inlineStr">
        <is>
          <t>34_1_Bay_of_Bengal_(1978)</t>
        </is>
      </c>
      <c r="C495" s="10" t="inlineStr">
        <is>
          <t>Sphyrnidae</t>
        </is>
      </c>
      <c r="D495" s="9" t="inlineStr">
        <is>
          <t>Hammer, bonnet, scoophead sharks</t>
        </is>
      </c>
      <c r="E495" s="9" t="inlineStr">
        <is>
          <t>Large sharks (&gt;=90 cm)</t>
        </is>
      </c>
      <c r="F495" s="9" t="inlineStr">
        <is>
          <t>Sharks &amp; rays</t>
        </is>
      </c>
      <c r="G495" s="10" t="inlineStr">
        <is>
          <t>Oceanic sharks</t>
        </is>
      </c>
      <c r="H495" s="11" t="n">
        <v>1</v>
      </c>
      <c r="I495" s="9" t="inlineStr">
        <is>
          <t>single</t>
        </is>
      </c>
      <c r="J495" s="13" t="inlineStr">
        <is>
          <t>high</t>
        </is>
      </c>
      <c r="K495" s="9" t="inlineStr">
        <is>
          <t>explicit_member</t>
        </is>
      </c>
      <c r="L495" s="10" t="inlineStr">
        <is>
          <t>Appendix A1.1 lists this exact catch name under `oceanic sharks`, a group modelled over the whole study area (Appendix A1.2).</t>
        </is>
      </c>
      <c r="M495" s="9" t="n">
        <v>5574.426</v>
      </c>
    </row>
    <row r="496" ht="51" customHeight="1">
      <c r="A496" s="9" t="inlineStr">
        <is>
          <t>LME_034</t>
        </is>
      </c>
      <c r="B496" s="10" t="inlineStr">
        <is>
          <t>34_1_Bay_of_Bengal_(1978)</t>
        </is>
      </c>
      <c r="C496" s="10" t="inlineStr">
        <is>
          <t>Platycaranx malabaricus</t>
        </is>
      </c>
      <c r="D496" s="9" t="inlineStr">
        <is>
          <t>Malabar trevally</t>
        </is>
      </c>
      <c r="E496" s="9" t="inlineStr">
        <is>
          <t>Medium reef assoc. fish (30 - 89 cm)</t>
        </is>
      </c>
      <c r="F496" s="9" t="inlineStr">
        <is>
          <t>Perch-likes</t>
        </is>
      </c>
      <c r="G496" s="10" t="inlineStr">
        <is>
          <t>2 Carangids</t>
        </is>
      </c>
      <c r="H496" s="11" t="n">
        <v>0.3043867502238138</v>
      </c>
      <c r="I496" s="9" t="inlineStr">
        <is>
          <t>model_biomass</t>
        </is>
      </c>
      <c r="J496" s="12" t="inlineStr">
        <is>
          <t>medium</t>
        </is>
      </c>
      <c r="K496" s="9" t="inlineStr">
        <is>
          <t>composite_split</t>
        </is>
      </c>
      <c r="L496" s="10" t="inlineStr">
        <is>
          <t>Accepted-name/synonym match: Appendix A1.1 lists Carangoides malabaricus under `Carangids`. Apportioned over the region 2 and region 3 pools by model biomass; region 1 is the Maldives shelf, outside LME 34.</t>
        </is>
      </c>
      <c r="M496" s="9" t="n">
        <v>5423.849</v>
      </c>
    </row>
    <row r="497" ht="51" customHeight="1">
      <c r="A497" s="9" t="inlineStr">
        <is>
          <t>LME_034</t>
        </is>
      </c>
      <c r="B497" s="10" t="inlineStr">
        <is>
          <t>34_1_Bay_of_Bengal_(1978)</t>
        </is>
      </c>
      <c r="C497" s="10" t="inlineStr">
        <is>
          <t>Platycaranx malabaricus</t>
        </is>
      </c>
      <c r="D497" s="9" t="inlineStr">
        <is>
          <t>Malabar trevally</t>
        </is>
      </c>
      <c r="E497" s="9" t="inlineStr">
        <is>
          <t>Medium reef assoc. fish (30 - 89 cm)</t>
        </is>
      </c>
      <c r="F497" s="9" t="inlineStr">
        <is>
          <t>Perch-likes</t>
        </is>
      </c>
      <c r="G497" s="10" t="inlineStr">
        <is>
          <t>3 Carangids</t>
        </is>
      </c>
      <c r="H497" s="11" t="n">
        <v>0.6956132497761862</v>
      </c>
      <c r="I497" s="9" t="inlineStr">
        <is>
          <t>model_biomass</t>
        </is>
      </c>
      <c r="J497" s="12" t="inlineStr">
        <is>
          <t>medium</t>
        </is>
      </c>
      <c r="K497" s="9" t="inlineStr">
        <is>
          <t>composite_split</t>
        </is>
      </c>
      <c r="L497" s="10" t="inlineStr">
        <is>
          <t>Accepted-name/synonym match: Appendix A1.1 lists Carangoides malabaricus under `Carangids`. Apportioned over the region 2 and region 3 pools by model biomass; region 1 is the Maldives shelf, outside LME 34.</t>
        </is>
      </c>
      <c r="M497" s="9" t="n">
        <v>5423.849</v>
      </c>
    </row>
    <row r="498" ht="51" customHeight="1">
      <c r="A498" s="9" t="inlineStr">
        <is>
          <t>LME_034</t>
        </is>
      </c>
      <c r="B498" s="10" t="inlineStr">
        <is>
          <t>34_1_Bay_of_Bengal_(1978)</t>
        </is>
      </c>
      <c r="C498" s="10" t="inlineStr">
        <is>
          <t>Priacanthidae</t>
        </is>
      </c>
      <c r="D498" s="9" t="inlineStr">
        <is>
          <t>Bigeyes, catalufas</t>
        </is>
      </c>
      <c r="E498" s="9" t="inlineStr">
        <is>
          <t>Medium reef assoc. fish (30 - 89 cm)</t>
        </is>
      </c>
      <c r="F498" s="9" t="inlineStr">
        <is>
          <t>Perch-likes</t>
        </is>
      </c>
      <c r="G498" s="10" t="inlineStr">
        <is>
          <t>2 SM pisc</t>
        </is>
      </c>
      <c r="H498" s="11" t="n">
        <v>0.3055989990616202</v>
      </c>
      <c r="I498" s="9" t="inlineStr">
        <is>
          <t>model_biomass</t>
        </is>
      </c>
      <c r="J498" s="12" t="inlineStr">
        <is>
          <t>medium</t>
        </is>
      </c>
      <c r="K498" s="9" t="inlineStr">
        <is>
          <t>composite_split</t>
        </is>
      </c>
      <c r="L498" s="10" t="inlineStr">
        <is>
          <t>Appendix A1.1 lists the genus Priacanthus under SM pisc and A1.3 names P. macracanthus, P. tayenus and P. hamrur there. Apportioned over the region 2 and region 3 pools by model biomass; region 1 is the Maldives shelf, outside LME 34.</t>
        </is>
      </c>
      <c r="M498" s="9" t="n">
        <v>5378.071</v>
      </c>
    </row>
    <row r="499" ht="51" customHeight="1">
      <c r="A499" s="9" t="inlineStr">
        <is>
          <t>LME_034</t>
        </is>
      </c>
      <c r="B499" s="10" t="inlineStr">
        <is>
          <t>34_1_Bay_of_Bengal_(1978)</t>
        </is>
      </c>
      <c r="C499" s="10" t="inlineStr">
        <is>
          <t>Priacanthidae</t>
        </is>
      </c>
      <c r="D499" s="9" t="inlineStr">
        <is>
          <t>Bigeyes, catalufas</t>
        </is>
      </c>
      <c r="E499" s="9" t="inlineStr">
        <is>
          <t>Medium reef assoc. fish (30 - 89 cm)</t>
        </is>
      </c>
      <c r="F499" s="9" t="inlineStr">
        <is>
          <t>Perch-likes</t>
        </is>
      </c>
      <c r="G499" s="10" t="inlineStr">
        <is>
          <t>3 SM pisc</t>
        </is>
      </c>
      <c r="H499" s="11" t="n">
        <v>0.6944010009383798</v>
      </c>
      <c r="I499" s="9" t="inlineStr">
        <is>
          <t>model_biomass</t>
        </is>
      </c>
      <c r="J499" s="12" t="inlineStr">
        <is>
          <t>medium</t>
        </is>
      </c>
      <c r="K499" s="9" t="inlineStr">
        <is>
          <t>composite_split</t>
        </is>
      </c>
      <c r="L499" s="10" t="inlineStr">
        <is>
          <t>Appendix A1.1 lists the genus Priacanthus under SM pisc and A1.3 names P. macracanthus, P. tayenus and P. hamrur there. Apportioned over the region 2 and region 3 pools by model biomass; region 1 is the Maldives shelf, outside LME 34.</t>
        </is>
      </c>
      <c r="M499" s="9" t="n">
        <v>5378.071</v>
      </c>
    </row>
    <row r="500" ht="36" customHeight="1">
      <c r="A500" s="9" t="inlineStr">
        <is>
          <t>LME_034</t>
        </is>
      </c>
      <c r="B500" s="10" t="inlineStr">
        <is>
          <t>34_1_Bay_of_Bengal_(1978)</t>
        </is>
      </c>
      <c r="C500" s="10" t="inlineStr">
        <is>
          <t>Alopias vulpinus</t>
        </is>
      </c>
      <c r="D500" s="9" t="inlineStr">
        <is>
          <t>Thresher</t>
        </is>
      </c>
      <c r="E500" s="9" t="inlineStr">
        <is>
          <t>Large sharks (&gt;=90 cm)</t>
        </is>
      </c>
      <c r="F500" s="9" t="inlineStr">
        <is>
          <t>Sharks &amp; rays</t>
        </is>
      </c>
      <c r="G500" s="10" t="inlineStr">
        <is>
          <t>Oceanic sharks</t>
        </is>
      </c>
      <c r="H500" s="11" t="n">
        <v>1</v>
      </c>
      <c r="I500" s="9" t="inlineStr">
        <is>
          <t>single</t>
        </is>
      </c>
      <c r="J500" s="13" t="inlineStr">
        <is>
          <t>high</t>
        </is>
      </c>
      <c r="K500" s="9" t="inlineStr">
        <is>
          <t>explicit_member</t>
        </is>
      </c>
      <c r="L500" s="10" t="inlineStr">
        <is>
          <t>Appendix A1.1 lists this exact catch name under `oceanic sharks`, a group modelled over the whole study area (Appendix A1.2).</t>
        </is>
      </c>
      <c r="M500" s="9" t="n">
        <v>5260.447</v>
      </c>
    </row>
    <row r="501" ht="36" customHeight="1">
      <c r="A501" s="9" t="inlineStr">
        <is>
          <t>LME_034</t>
        </is>
      </c>
      <c r="B501" s="10" t="inlineStr">
        <is>
          <t>34_1_Bay_of_Bengal_(1978)</t>
        </is>
      </c>
      <c r="C501" s="10" t="inlineStr">
        <is>
          <t>Alopias pelagicus</t>
        </is>
      </c>
      <c r="D501" s="9" t="inlineStr">
        <is>
          <t>Pelagic thresher</t>
        </is>
      </c>
      <c r="E501" s="9" t="inlineStr">
        <is>
          <t>Large sharks (&gt;=90 cm)</t>
        </is>
      </c>
      <c r="F501" s="9" t="inlineStr">
        <is>
          <t>Sharks &amp; rays</t>
        </is>
      </c>
      <c r="G501" s="10" t="inlineStr">
        <is>
          <t>Oceanic sharks</t>
        </is>
      </c>
      <c r="H501" s="11" t="n">
        <v>1</v>
      </c>
      <c r="I501" s="9" t="inlineStr">
        <is>
          <t>single</t>
        </is>
      </c>
      <c r="J501" s="13" t="inlineStr">
        <is>
          <t>high</t>
        </is>
      </c>
      <c r="K501" s="9" t="inlineStr">
        <is>
          <t>explicit_member</t>
        </is>
      </c>
      <c r="L501" s="10" t="inlineStr">
        <is>
          <t>Appendix A1.1 lists this exact catch name under `oceanic sharks`, a group modelled over the whole study area (Appendix A1.2).</t>
        </is>
      </c>
      <c r="M501" s="9" t="n">
        <v>5260.17</v>
      </c>
    </row>
    <row r="502" ht="36" customHeight="1">
      <c r="A502" s="9" t="inlineStr">
        <is>
          <t>LME_034</t>
        </is>
      </c>
      <c r="B502" s="10" t="inlineStr">
        <is>
          <t>34_1_Bay_of_Bengal_(1978)</t>
        </is>
      </c>
      <c r="C502" s="10" t="inlineStr">
        <is>
          <t>Alopias superciliosus</t>
        </is>
      </c>
      <c r="D502" s="9" t="inlineStr">
        <is>
          <t>Bigeye thresher</t>
        </is>
      </c>
      <c r="E502" s="9" t="inlineStr">
        <is>
          <t>Large sharks (&gt;=90 cm)</t>
        </is>
      </c>
      <c r="F502" s="9" t="inlineStr">
        <is>
          <t>Sharks &amp; rays</t>
        </is>
      </c>
      <c r="G502" s="10" t="inlineStr">
        <is>
          <t>Oceanic sharks</t>
        </is>
      </c>
      <c r="H502" s="11" t="n">
        <v>1</v>
      </c>
      <c r="I502" s="9" t="inlineStr">
        <is>
          <t>single</t>
        </is>
      </c>
      <c r="J502" s="13" t="inlineStr">
        <is>
          <t>high</t>
        </is>
      </c>
      <c r="K502" s="9" t="inlineStr">
        <is>
          <t>explicit_member</t>
        </is>
      </c>
      <c r="L502" s="10" t="inlineStr">
        <is>
          <t>Appendix A1.1 lists this exact catch name under `oceanic sharks`, a group modelled over the whole study area (Appendix A1.2).</t>
        </is>
      </c>
      <c r="M502" s="9" t="n">
        <v>5259.934</v>
      </c>
    </row>
    <row r="503" ht="36" customHeight="1">
      <c r="A503" s="9" t="inlineStr">
        <is>
          <t>LME_034</t>
        </is>
      </c>
      <c r="B503" s="10" t="inlineStr">
        <is>
          <t>34_1_Bay_of_Bengal_(1978)</t>
        </is>
      </c>
      <c r="C503" s="10" t="inlineStr">
        <is>
          <t>Tridacna</t>
        </is>
      </c>
      <c r="D503" s="9" t="inlineStr">
        <is>
          <t>Tridacnid clams</t>
        </is>
      </c>
      <c r="E503" s="9" t="inlineStr">
        <is>
          <t>Other demersal invertebrates</t>
        </is>
      </c>
      <c r="F503" s="9" t="inlineStr">
        <is>
          <t>Molluscs</t>
        </is>
      </c>
      <c r="G503" s="10" t="inlineStr">
        <is>
          <t>2 Macrobenthos</t>
        </is>
      </c>
      <c r="H503" s="11" t="n">
        <v>0.363210995759614</v>
      </c>
      <c r="I503" s="9" t="inlineStr">
        <is>
          <t>model_biomass</t>
        </is>
      </c>
      <c r="J503" s="12" t="inlineStr">
        <is>
          <t>medium</t>
        </is>
      </c>
      <c r="K503" s="9" t="inlineStr">
        <is>
          <t>composite_split</t>
        </is>
      </c>
      <c r="L503" s="10" t="inlineStr">
        <is>
          <t>Appendix A1.1 lists this exact catch name under `macrobenthos`; apportioned over the region 2 and region 3 pools by model biomass; region 1 is the Maldives shelf, outside LME 34.</t>
        </is>
      </c>
      <c r="M503" s="9" t="n">
        <v>4823.271</v>
      </c>
    </row>
    <row r="504" ht="36" customHeight="1">
      <c r="A504" s="9" t="inlineStr">
        <is>
          <t>LME_034</t>
        </is>
      </c>
      <c r="B504" s="10" t="inlineStr">
        <is>
          <t>34_1_Bay_of_Bengal_(1978)</t>
        </is>
      </c>
      <c r="C504" s="10" t="inlineStr">
        <is>
          <t>Tridacna</t>
        </is>
      </c>
      <c r="D504" s="9" t="inlineStr">
        <is>
          <t>Tridacnid clams</t>
        </is>
      </c>
      <c r="E504" s="9" t="inlineStr">
        <is>
          <t>Other demersal invertebrates</t>
        </is>
      </c>
      <c r="F504" s="9" t="inlineStr">
        <is>
          <t>Molluscs</t>
        </is>
      </c>
      <c r="G504" s="10" t="inlineStr">
        <is>
          <t>3 Macrobenthos</t>
        </is>
      </c>
      <c r="H504" s="11" t="n">
        <v>0.6367890042403861</v>
      </c>
      <c r="I504" s="9" t="inlineStr">
        <is>
          <t>model_biomass</t>
        </is>
      </c>
      <c r="J504" s="12" t="inlineStr">
        <is>
          <t>medium</t>
        </is>
      </c>
      <c r="K504" s="9" t="inlineStr">
        <is>
          <t>composite_split</t>
        </is>
      </c>
      <c r="L504" s="10" t="inlineStr">
        <is>
          <t>Appendix A1.1 lists this exact catch name under `macrobenthos`; apportioned over the region 2 and region 3 pools by model biomass; region 1 is the Maldives shelf, outside LME 34.</t>
        </is>
      </c>
      <c r="M504" s="9" t="n">
        <v>4823.271</v>
      </c>
    </row>
    <row r="505" ht="36" customHeight="1">
      <c r="A505" s="9" t="inlineStr">
        <is>
          <t>LME_034</t>
        </is>
      </c>
      <c r="B505" s="10" t="inlineStr">
        <is>
          <t>34_1_Bay_of_Bengal_(1978)</t>
        </is>
      </c>
      <c r="C505" s="10" t="inlineStr">
        <is>
          <t>Chanos chanos</t>
        </is>
      </c>
      <c r="D505" s="9" t="inlineStr">
        <is>
          <t>Milkfish</t>
        </is>
      </c>
      <c r="E505" s="9" t="inlineStr">
        <is>
          <t>Large benthopelagics (&gt;=90 cm)</t>
        </is>
      </c>
      <c r="F505" s="9" t="inlineStr">
        <is>
          <t>Other fishes &amp; inverts</t>
        </is>
      </c>
      <c r="G505" s="10" t="inlineStr">
        <is>
          <t>2 Milkfish plus</t>
        </is>
      </c>
      <c r="H505" s="11" t="n">
        <v>0.4393727564708105</v>
      </c>
      <c r="I505" s="9" t="inlineStr">
        <is>
          <t>model_biomass</t>
        </is>
      </c>
      <c r="J505" s="12" t="inlineStr">
        <is>
          <t>medium</t>
        </is>
      </c>
      <c r="K505" s="9" t="inlineStr">
        <is>
          <t>composite_split</t>
        </is>
      </c>
      <c r="L505" s="10" t="inlineStr">
        <is>
          <t>Appendix A1.1 lists this exact catch name under `Milkfish plus`; apportioned over the region 2 and region 3 pools by model biomass; region 1 is the Maldives shelf, outside LME 34.</t>
        </is>
      </c>
      <c r="M505" s="9" t="n">
        <v>4622.736</v>
      </c>
    </row>
    <row r="506" ht="36" customHeight="1">
      <c r="A506" s="9" t="inlineStr">
        <is>
          <t>LME_034</t>
        </is>
      </c>
      <c r="B506" s="10" t="inlineStr">
        <is>
          <t>34_1_Bay_of_Bengal_(1978)</t>
        </is>
      </c>
      <c r="C506" s="10" t="inlineStr">
        <is>
          <t>Chanos chanos</t>
        </is>
      </c>
      <c r="D506" s="9" t="inlineStr">
        <is>
          <t>Milkfish</t>
        </is>
      </c>
      <c r="E506" s="9" t="inlineStr">
        <is>
          <t>Large benthopelagics (&gt;=90 cm)</t>
        </is>
      </c>
      <c r="F506" s="9" t="inlineStr">
        <is>
          <t>Other fishes &amp; inverts</t>
        </is>
      </c>
      <c r="G506" s="10" t="inlineStr">
        <is>
          <t>3 Milkfish plus</t>
        </is>
      </c>
      <c r="H506" s="11" t="n">
        <v>0.5606272435291896</v>
      </c>
      <c r="I506" s="9" t="inlineStr">
        <is>
          <t>model_biomass</t>
        </is>
      </c>
      <c r="J506" s="12" t="inlineStr">
        <is>
          <t>medium</t>
        </is>
      </c>
      <c r="K506" s="9" t="inlineStr">
        <is>
          <t>composite_split</t>
        </is>
      </c>
      <c r="L506" s="10" t="inlineStr">
        <is>
          <t>Appendix A1.1 lists this exact catch name under `Milkfish plus`; apportioned over the region 2 and region 3 pools by model biomass; region 1 is the Maldives shelf, outside LME 34.</t>
        </is>
      </c>
      <c r="M506" s="9" t="n">
        <v>4622.736</v>
      </c>
    </row>
    <row r="507" ht="36" customHeight="1">
      <c r="A507" s="9" t="inlineStr">
        <is>
          <t>LME_034</t>
        </is>
      </c>
      <c r="B507" s="10" t="inlineStr">
        <is>
          <t>34_1_Bay_of_Bengal_(1978)</t>
        </is>
      </c>
      <c r="C507" s="10" t="inlineStr">
        <is>
          <t>Muraenesocidae</t>
        </is>
      </c>
      <c r="D507" s="9" t="inlineStr">
        <is>
          <t>Pike congers</t>
        </is>
      </c>
      <c r="E507" s="9" t="inlineStr">
        <is>
          <t>Large demersals (&gt;=90 cm)</t>
        </is>
      </c>
      <c r="F507" s="9" t="inlineStr">
        <is>
          <t>Other fishes &amp; inverts</t>
        </is>
      </c>
      <c r="G507" s="10" t="inlineStr">
        <is>
          <t>2 L pisc</t>
        </is>
      </c>
      <c r="H507" s="11" t="n">
        <v>0.449530936694357</v>
      </c>
      <c r="I507" s="9" t="inlineStr">
        <is>
          <t>model_biomass</t>
        </is>
      </c>
      <c r="J507" s="12" t="inlineStr">
        <is>
          <t>medium</t>
        </is>
      </c>
      <c r="K507" s="9" t="inlineStr">
        <is>
          <t>composite_split</t>
        </is>
      </c>
      <c r="L507" s="10" t="inlineStr">
        <is>
          <t>Appendix A1.1 lists this exact catch name under `L pisc`; apportioned over the region 2 and region 3 pools by model biomass; region 1 is the Maldives shelf, outside LME 34.</t>
        </is>
      </c>
      <c r="M507" s="9" t="n">
        <v>4608.269</v>
      </c>
    </row>
    <row r="508" ht="36" customHeight="1">
      <c r="A508" s="9" t="inlineStr">
        <is>
          <t>LME_034</t>
        </is>
      </c>
      <c r="B508" s="10" t="inlineStr">
        <is>
          <t>34_1_Bay_of_Bengal_(1978)</t>
        </is>
      </c>
      <c r="C508" s="10" t="inlineStr">
        <is>
          <t>Muraenesocidae</t>
        </is>
      </c>
      <c r="D508" s="9" t="inlineStr">
        <is>
          <t>Pike congers</t>
        </is>
      </c>
      <c r="E508" s="9" t="inlineStr">
        <is>
          <t>Large demersals (&gt;=90 cm)</t>
        </is>
      </c>
      <c r="F508" s="9" t="inlineStr">
        <is>
          <t>Other fishes &amp; inverts</t>
        </is>
      </c>
      <c r="G508" s="10" t="inlineStr">
        <is>
          <t>3 L pisc</t>
        </is>
      </c>
      <c r="H508" s="11" t="n">
        <v>0.5504690633056432</v>
      </c>
      <c r="I508" s="9" t="inlineStr">
        <is>
          <t>model_biomass</t>
        </is>
      </c>
      <c r="J508" s="12" t="inlineStr">
        <is>
          <t>medium</t>
        </is>
      </c>
      <c r="K508" s="9" t="inlineStr">
        <is>
          <t>composite_split</t>
        </is>
      </c>
      <c r="L508" s="10" t="inlineStr">
        <is>
          <t>Appendix A1.1 lists this exact catch name under `L pisc`; apportioned over the region 2 and region 3 pools by model biomass; region 1 is the Maldives shelf, outside LME 34.</t>
        </is>
      </c>
      <c r="M508" s="9" t="n">
        <v>4608.269</v>
      </c>
    </row>
    <row r="509" ht="36" customHeight="1">
      <c r="A509" s="9" t="inlineStr">
        <is>
          <t>LME_034</t>
        </is>
      </c>
      <c r="B509" s="10" t="inlineStr">
        <is>
          <t>34_1_Bay_of_Bengal_(1978)</t>
        </is>
      </c>
      <c r="C509" s="10" t="inlineStr">
        <is>
          <t>Aluterus</t>
        </is>
      </c>
      <c r="D509" s="9" t="inlineStr">
        <is>
          <t>Aluterid filefishes</t>
        </is>
      </c>
      <c r="E509" s="9" t="inlineStr">
        <is>
          <t>Large reef assoc. fish (&gt;=90 cm)</t>
        </is>
      </c>
      <c r="F509" s="9" t="inlineStr">
        <is>
          <t>Other fishes &amp; inverts</t>
        </is>
      </c>
      <c r="G509" s="10" t="inlineStr">
        <is>
          <t>2 SM inv</t>
        </is>
      </c>
      <c r="H509" s="11" t="n">
        <v>0.3170901271842734</v>
      </c>
      <c r="I509" s="9" t="inlineStr">
        <is>
          <t>model_biomass</t>
        </is>
      </c>
      <c r="J509" s="12" t="inlineStr">
        <is>
          <t>medium</t>
        </is>
      </c>
      <c r="K509" s="9" t="inlineStr">
        <is>
          <t>composite_split</t>
        </is>
      </c>
      <c r="L509" s="10" t="inlineStr">
        <is>
          <t>Appendix A1.1 lists this exact catch name under `SM inv`; apportioned over the region 2 and region 3 pools by model biomass; region 1 is the Maldives shelf, outside LME 34.</t>
        </is>
      </c>
      <c r="M509" s="9" t="n">
        <v>4343.005</v>
      </c>
    </row>
    <row r="510" ht="36" customHeight="1">
      <c r="A510" s="9" t="inlineStr">
        <is>
          <t>LME_034</t>
        </is>
      </c>
      <c r="B510" s="10" t="inlineStr">
        <is>
          <t>34_1_Bay_of_Bengal_(1978)</t>
        </is>
      </c>
      <c r="C510" s="10" t="inlineStr">
        <is>
          <t>Aluterus</t>
        </is>
      </c>
      <c r="D510" s="9" t="inlineStr">
        <is>
          <t>Aluterid filefishes</t>
        </is>
      </c>
      <c r="E510" s="9" t="inlineStr">
        <is>
          <t>Large reef assoc. fish (&gt;=90 cm)</t>
        </is>
      </c>
      <c r="F510" s="9" t="inlineStr">
        <is>
          <t>Other fishes &amp; inverts</t>
        </is>
      </c>
      <c r="G510" s="10" t="inlineStr">
        <is>
          <t>3 SM inv</t>
        </is>
      </c>
      <c r="H510" s="11" t="n">
        <v>0.6829098728157266</v>
      </c>
      <c r="I510" s="9" t="inlineStr">
        <is>
          <t>model_biomass</t>
        </is>
      </c>
      <c r="J510" s="12" t="inlineStr">
        <is>
          <t>medium</t>
        </is>
      </c>
      <c r="K510" s="9" t="inlineStr">
        <is>
          <t>composite_split</t>
        </is>
      </c>
      <c r="L510" s="10" t="inlineStr">
        <is>
          <t>Appendix A1.1 lists this exact catch name under `SM inv`; apportioned over the region 2 and region 3 pools by model biomass; region 1 is the Maldives shelf, outside LME 34.</t>
        </is>
      </c>
      <c r="M510" s="9" t="n">
        <v>4343.005</v>
      </c>
    </row>
    <row r="511" ht="36" customHeight="1">
      <c r="A511" s="9" t="inlineStr">
        <is>
          <t>LME_034</t>
        </is>
      </c>
      <c r="B511" s="10" t="inlineStr">
        <is>
          <t>34_1_Bay_of_Bengal_(1978)</t>
        </is>
      </c>
      <c r="C511" s="10" t="inlineStr">
        <is>
          <t>Panulirus penicillatus</t>
        </is>
      </c>
      <c r="D511" s="9" t="inlineStr">
        <is>
          <t>Pronghorn spiny lobster</t>
        </is>
      </c>
      <c r="E511" s="9" t="inlineStr">
        <is>
          <t>Lobsters, crabs</t>
        </is>
      </c>
      <c r="F511" s="9" t="inlineStr">
        <is>
          <t>Crustaceans</t>
        </is>
      </c>
      <c r="G511" s="10" t="inlineStr">
        <is>
          <t>2 Crustaceans</t>
        </is>
      </c>
      <c r="H511" s="11" t="n">
        <v>0.2129992169146437</v>
      </c>
      <c r="I511" s="9" t="inlineStr">
        <is>
          <t>model_biomass</t>
        </is>
      </c>
      <c r="J511" s="12" t="inlineStr">
        <is>
          <t>medium</t>
        </is>
      </c>
      <c r="K511" s="9" t="inlineStr">
        <is>
          <t>composite_split</t>
        </is>
      </c>
      <c r="L511" s="10" t="inlineStr">
        <is>
          <t>Appendix A1.1 lists this exact catch name under `Crabs`; apportioned over the region 2 and region 3 pools by model biomass; region 1 is the Maldives shelf, outside LME 34.</t>
        </is>
      </c>
      <c r="M511" s="9" t="n">
        <v>4257.642</v>
      </c>
    </row>
    <row r="512" ht="36" customHeight="1">
      <c r="A512" s="9" t="inlineStr">
        <is>
          <t>LME_034</t>
        </is>
      </c>
      <c r="B512" s="10" t="inlineStr">
        <is>
          <t>34_1_Bay_of_Bengal_(1978)</t>
        </is>
      </c>
      <c r="C512" s="10" t="inlineStr">
        <is>
          <t>Panulirus penicillatus</t>
        </is>
      </c>
      <c r="D512" s="9" t="inlineStr">
        <is>
          <t>Pronghorn spiny lobster</t>
        </is>
      </c>
      <c r="E512" s="9" t="inlineStr">
        <is>
          <t>Lobsters, crabs</t>
        </is>
      </c>
      <c r="F512" s="9" t="inlineStr">
        <is>
          <t>Crustaceans</t>
        </is>
      </c>
      <c r="G512" s="10" t="inlineStr">
        <is>
          <t>3 Crustaceans</t>
        </is>
      </c>
      <c r="H512" s="11" t="n">
        <v>0.7870007830853563</v>
      </c>
      <c r="I512" s="9" t="inlineStr">
        <is>
          <t>model_biomass</t>
        </is>
      </c>
      <c r="J512" s="12" t="inlineStr">
        <is>
          <t>medium</t>
        </is>
      </c>
      <c r="K512" s="9" t="inlineStr">
        <is>
          <t>composite_split</t>
        </is>
      </c>
      <c r="L512" s="10" t="inlineStr">
        <is>
          <t>Appendix A1.1 lists this exact catch name under `Crabs`; apportioned over the region 2 and region 3 pools by model biomass; region 1 is the Maldives shelf, outside LME 34.</t>
        </is>
      </c>
      <c r="M512" s="9" t="n">
        <v>4257.642</v>
      </c>
    </row>
    <row r="513" ht="36" customHeight="1">
      <c r="A513" s="9" t="inlineStr">
        <is>
          <t>LME_034</t>
        </is>
      </c>
      <c r="B513" s="10" t="inlineStr">
        <is>
          <t>34_1_Bay_of_Bengal_(1978)</t>
        </is>
      </c>
      <c r="C513" s="10" t="inlineStr">
        <is>
          <t>Panulirus versicolor</t>
        </is>
      </c>
      <c r="D513" s="9" t="inlineStr">
        <is>
          <t>Painted spiny lobster</t>
        </is>
      </c>
      <c r="E513" s="9" t="inlineStr">
        <is>
          <t>Lobsters, crabs</t>
        </is>
      </c>
      <c r="F513" s="9" t="inlineStr">
        <is>
          <t>Crustaceans</t>
        </is>
      </c>
      <c r="G513" s="10" t="inlineStr">
        <is>
          <t>2 Crustaceans</t>
        </is>
      </c>
      <c r="H513" s="11" t="n">
        <v>0.2129992169146437</v>
      </c>
      <c r="I513" s="9" t="inlineStr">
        <is>
          <t>model_biomass</t>
        </is>
      </c>
      <c r="J513" s="12" t="inlineStr">
        <is>
          <t>medium</t>
        </is>
      </c>
      <c r="K513" s="9" t="inlineStr">
        <is>
          <t>composite_split</t>
        </is>
      </c>
      <c r="L513" s="10" t="inlineStr">
        <is>
          <t>Appendix A1.1 lists this exact catch name under `Crabs`; apportioned over the region 2 and region 3 pools by model biomass; region 1 is the Maldives shelf, outside LME 34.</t>
        </is>
      </c>
      <c r="M513" s="9" t="n">
        <v>4231.949</v>
      </c>
    </row>
    <row r="514" ht="36" customHeight="1">
      <c r="A514" s="9" t="inlineStr">
        <is>
          <t>LME_034</t>
        </is>
      </c>
      <c r="B514" s="10" t="inlineStr">
        <is>
          <t>34_1_Bay_of_Bengal_(1978)</t>
        </is>
      </c>
      <c r="C514" s="10" t="inlineStr">
        <is>
          <t>Panulirus versicolor</t>
        </is>
      </c>
      <c r="D514" s="9" t="inlineStr">
        <is>
          <t>Painted spiny lobster</t>
        </is>
      </c>
      <c r="E514" s="9" t="inlineStr">
        <is>
          <t>Lobsters, crabs</t>
        </is>
      </c>
      <c r="F514" s="9" t="inlineStr">
        <is>
          <t>Crustaceans</t>
        </is>
      </c>
      <c r="G514" s="10" t="inlineStr">
        <is>
          <t>3 Crustaceans</t>
        </is>
      </c>
      <c r="H514" s="11" t="n">
        <v>0.7870007830853563</v>
      </c>
      <c r="I514" s="9" t="inlineStr">
        <is>
          <t>model_biomass</t>
        </is>
      </c>
      <c r="J514" s="12" t="inlineStr">
        <is>
          <t>medium</t>
        </is>
      </c>
      <c r="K514" s="9" t="inlineStr">
        <is>
          <t>composite_split</t>
        </is>
      </c>
      <c r="L514" s="10" t="inlineStr">
        <is>
          <t>Appendix A1.1 lists this exact catch name under `Crabs`; apportioned over the region 2 and region 3 pools by model biomass; region 1 is the Maldives shelf, outside LME 34.</t>
        </is>
      </c>
      <c r="M514" s="9" t="n">
        <v>4231.949</v>
      </c>
    </row>
    <row r="515" ht="36" customHeight="1">
      <c r="A515" s="9" t="inlineStr">
        <is>
          <t>LME_034</t>
        </is>
      </c>
      <c r="B515" s="10" t="inlineStr">
        <is>
          <t>34_1_Bay_of_Bengal_(1978)</t>
        </is>
      </c>
      <c r="C515" s="10" t="inlineStr">
        <is>
          <t>Carcharhinus sorrah</t>
        </is>
      </c>
      <c r="D515" s="9" t="inlineStr">
        <is>
          <t>Spottail shark</t>
        </is>
      </c>
      <c r="E515" s="9" t="inlineStr">
        <is>
          <t>Large sharks (&gt;=90 cm)</t>
        </is>
      </c>
      <c r="F515" s="9" t="inlineStr">
        <is>
          <t>Sharks &amp; rays</t>
        </is>
      </c>
      <c r="G515" s="10" t="inlineStr">
        <is>
          <t>Coastal elasmobranch</t>
        </is>
      </c>
      <c r="H515" s="11" t="n">
        <v>1</v>
      </c>
      <c r="I515" s="9" t="inlineStr">
        <is>
          <t>single</t>
        </is>
      </c>
      <c r="J515" s="13" t="inlineStr">
        <is>
          <t>high</t>
        </is>
      </c>
      <c r="K515" s="9" t="inlineStr">
        <is>
          <t>explicit_member</t>
        </is>
      </c>
      <c r="L515" s="10" t="inlineStr">
        <is>
          <t>Appendix A1.1 lists this exact catch name under `coastal elasmobranch`, modelled as one stock over every EEZ of the study area, 69 % of it (Appendix A1.2).</t>
        </is>
      </c>
      <c r="M515" s="9" t="n">
        <v>4201.738</v>
      </c>
    </row>
    <row r="516" ht="36" customHeight="1">
      <c r="A516" s="9" t="inlineStr">
        <is>
          <t>LME_034</t>
        </is>
      </c>
      <c r="B516" s="10" t="inlineStr">
        <is>
          <t>34_1_Bay_of_Bengal_(1978)</t>
        </is>
      </c>
      <c r="C516" s="10" t="inlineStr">
        <is>
          <t>Carcharhinus limbatus</t>
        </is>
      </c>
      <c r="D516" s="9" t="inlineStr">
        <is>
          <t>Blacktip shark</t>
        </is>
      </c>
      <c r="E516" s="9" t="inlineStr">
        <is>
          <t>Large sharks (&gt;=90 cm)</t>
        </is>
      </c>
      <c r="F516" s="9" t="inlineStr">
        <is>
          <t>Sharks &amp; rays</t>
        </is>
      </c>
      <c r="G516" s="10" t="inlineStr">
        <is>
          <t>Coastal elasmobranch</t>
        </is>
      </c>
      <c r="H516" s="11" t="n">
        <v>1</v>
      </c>
      <c r="I516" s="9" t="inlineStr">
        <is>
          <t>single</t>
        </is>
      </c>
      <c r="J516" s="13" t="inlineStr">
        <is>
          <t>high</t>
        </is>
      </c>
      <c r="K516" s="9" t="inlineStr">
        <is>
          <t>explicit_member</t>
        </is>
      </c>
      <c r="L516" s="10" t="inlineStr">
        <is>
          <t>Appendix A1.1 lists this exact catch name under `coastal elasmobranch`, modelled as one stock over every EEZ of the study area, 69 % of it (Appendix A1.2).</t>
        </is>
      </c>
      <c r="M516" s="9" t="n">
        <v>4160.535</v>
      </c>
    </row>
    <row r="517" ht="36" customHeight="1">
      <c r="A517" s="9" t="inlineStr">
        <is>
          <t>LME_034</t>
        </is>
      </c>
      <c r="B517" s="10" t="inlineStr">
        <is>
          <t>34_1_Bay_of_Bengal_(1978)</t>
        </is>
      </c>
      <c r="C517" s="10" t="inlineStr">
        <is>
          <t>Carcharhinus albimarginatus</t>
        </is>
      </c>
      <c r="D517" s="9" t="inlineStr">
        <is>
          <t>Silvertip shark</t>
        </is>
      </c>
      <c r="E517" s="9" t="inlineStr">
        <is>
          <t>Large sharks (&gt;=90 cm)</t>
        </is>
      </c>
      <c r="F517" s="9" t="inlineStr">
        <is>
          <t>Sharks &amp; rays</t>
        </is>
      </c>
      <c r="G517" s="10" t="inlineStr">
        <is>
          <t>Coastal elasmobranch</t>
        </is>
      </c>
      <c r="H517" s="11" t="n">
        <v>1</v>
      </c>
      <c r="I517" s="9" t="inlineStr">
        <is>
          <t>single</t>
        </is>
      </c>
      <c r="J517" s="13" t="inlineStr">
        <is>
          <t>high</t>
        </is>
      </c>
      <c r="K517" s="9" t="inlineStr">
        <is>
          <t>explicit_member</t>
        </is>
      </c>
      <c r="L517" s="10" t="inlineStr">
        <is>
          <t>Appendix A1.1 lists this exact catch name under `coastal elasmobranch`, modelled as one stock over every EEZ of the study area, 69 % of it (Appendix A1.2).</t>
        </is>
      </c>
      <c r="M517" s="9" t="n">
        <v>4159.253</v>
      </c>
    </row>
    <row r="518" ht="36" customHeight="1">
      <c r="A518" s="9" t="inlineStr">
        <is>
          <t>LME_034</t>
        </is>
      </c>
      <c r="B518" s="10" t="inlineStr">
        <is>
          <t>34_1_Bay_of_Bengal_(1978)</t>
        </is>
      </c>
      <c r="C518" s="10" t="inlineStr">
        <is>
          <t>Carcharhinus melanopterus</t>
        </is>
      </c>
      <c r="D518" s="9" t="inlineStr">
        <is>
          <t>Blacktip reef shark</t>
        </is>
      </c>
      <c r="E518" s="9" t="inlineStr">
        <is>
          <t>Large sharks (&gt;=90 cm)</t>
        </is>
      </c>
      <c r="F518" s="9" t="inlineStr">
        <is>
          <t>Sharks &amp; rays</t>
        </is>
      </c>
      <c r="G518" s="10" t="inlineStr">
        <is>
          <t>Coastal elasmobranch</t>
        </is>
      </c>
      <c r="H518" s="11" t="n">
        <v>1</v>
      </c>
      <c r="I518" s="9" t="inlineStr">
        <is>
          <t>single</t>
        </is>
      </c>
      <c r="J518" s="13" t="inlineStr">
        <is>
          <t>high</t>
        </is>
      </c>
      <c r="K518" s="9" t="inlineStr">
        <is>
          <t>explicit_member</t>
        </is>
      </c>
      <c r="L518" s="10" t="inlineStr">
        <is>
          <t>Appendix A1.1 lists this exact catch name under `coastal elasmobranch`, modelled as one stock over every EEZ of the study area, 69 % of it (Appendix A1.2).</t>
        </is>
      </c>
      <c r="M518" s="9" t="n">
        <v>4159.23</v>
      </c>
    </row>
    <row r="519" ht="36" customHeight="1">
      <c r="A519" s="9" t="inlineStr">
        <is>
          <t>LME_034</t>
        </is>
      </c>
      <c r="B519" s="10" t="inlineStr">
        <is>
          <t>34_1_Bay_of_Bengal_(1978)</t>
        </is>
      </c>
      <c r="C519" s="10" t="inlineStr">
        <is>
          <t>Carcharhinus amblyrhynchos</t>
        </is>
      </c>
      <c r="D519" s="9" t="inlineStr">
        <is>
          <t>Blacktail reef shark</t>
        </is>
      </c>
      <c r="E519" s="9" t="inlineStr">
        <is>
          <t>Large sharks (&gt;=90 cm)</t>
        </is>
      </c>
      <c r="F519" s="9" t="inlineStr">
        <is>
          <t>Sharks &amp; rays</t>
        </is>
      </c>
      <c r="G519" s="10" t="inlineStr">
        <is>
          <t>Coastal elasmobranch</t>
        </is>
      </c>
      <c r="H519" s="11" t="n">
        <v>1</v>
      </c>
      <c r="I519" s="9" t="inlineStr">
        <is>
          <t>single</t>
        </is>
      </c>
      <c r="J519" s="13" t="inlineStr">
        <is>
          <t>high</t>
        </is>
      </c>
      <c r="K519" s="9" t="inlineStr">
        <is>
          <t>explicit_member</t>
        </is>
      </c>
      <c r="L519" s="10" t="inlineStr">
        <is>
          <t>Appendix A1.1 lists this exact catch name under `coastal elasmobranch`, modelled as one stock over every EEZ of the study area, 69 % of it (Appendix A1.2).</t>
        </is>
      </c>
      <c r="M519" s="9" t="n">
        <v>4158.912</v>
      </c>
    </row>
    <row r="520" ht="36" customHeight="1">
      <c r="A520" s="9" t="inlineStr">
        <is>
          <t>LME_034</t>
        </is>
      </c>
      <c r="B520" s="10" t="inlineStr">
        <is>
          <t>34_1_Bay_of_Bengal_(1978)</t>
        </is>
      </c>
      <c r="C520" s="10" t="inlineStr">
        <is>
          <t>Galeocerdo cuvier</t>
        </is>
      </c>
      <c r="D520" s="9" t="inlineStr">
        <is>
          <t>Tiger shark</t>
        </is>
      </c>
      <c r="E520" s="9" t="inlineStr">
        <is>
          <t>Large sharks (&gt;=90 cm)</t>
        </is>
      </c>
      <c r="F520" s="9" t="inlineStr">
        <is>
          <t>Sharks &amp; rays</t>
        </is>
      </c>
      <c r="G520" s="10" t="inlineStr">
        <is>
          <t>Coastal elasmobranch</t>
        </is>
      </c>
      <c r="H520" s="11" t="n">
        <v>1</v>
      </c>
      <c r="I520" s="9" t="inlineStr">
        <is>
          <t>single</t>
        </is>
      </c>
      <c r="J520" s="13" t="inlineStr">
        <is>
          <t>high</t>
        </is>
      </c>
      <c r="K520" s="9" t="inlineStr">
        <is>
          <t>explicit_member</t>
        </is>
      </c>
      <c r="L520" s="10" t="inlineStr">
        <is>
          <t>Appendix A1.1 lists this exact catch name under `coastal elasmobranch`, modelled as one stock over every EEZ of the study area, 69 % of it (Appendix A1.2).</t>
        </is>
      </c>
      <c r="M520" s="9" t="n">
        <v>4097.243</v>
      </c>
    </row>
    <row r="521" ht="36" customHeight="1">
      <c r="A521" s="9" t="inlineStr">
        <is>
          <t>LME_034</t>
        </is>
      </c>
      <c r="B521" s="10" t="inlineStr">
        <is>
          <t>34_1_Bay_of_Bengal_(1978)</t>
        </is>
      </c>
      <c r="C521" s="10" t="inlineStr">
        <is>
          <t>Istiophorus</t>
        </is>
      </c>
      <c r="D521" s="9" t="inlineStr">
        <is>
          <t>Sailfishes</t>
        </is>
      </c>
      <c r="E521" s="9" t="inlineStr">
        <is>
          <t>Large pelagics (&gt;=90 cm)</t>
        </is>
      </c>
      <c r="F521" s="9" t="inlineStr">
        <is>
          <t>Tuna &amp; billfishes</t>
        </is>
      </c>
      <c r="G521" s="10" t="inlineStr">
        <is>
          <t>Tuna-like</t>
        </is>
      </c>
      <c r="H521" s="11" t="n">
        <v>1</v>
      </c>
      <c r="I521" s="9" t="inlineStr">
        <is>
          <t>single</t>
        </is>
      </c>
      <c r="J521" s="13" t="inlineStr">
        <is>
          <t>high</t>
        </is>
      </c>
      <c r="K521" s="9" t="inlineStr">
        <is>
          <t>explicit_member</t>
        </is>
      </c>
      <c r="L521" s="10" t="inlineStr">
        <is>
          <t>Appendix A1.1 lists this exact catch name under `tuna-like`, a group modelled over the whole study area (Appendix A1.2).</t>
        </is>
      </c>
      <c r="M521" s="9" t="n">
        <v>3534.153</v>
      </c>
    </row>
    <row r="522" ht="36" customHeight="1">
      <c r="A522" s="9" t="inlineStr">
        <is>
          <t>LME_034</t>
        </is>
      </c>
      <c r="B522" s="10" t="inlineStr">
        <is>
          <t>34_1_Bay_of_Bengal_(1978)</t>
        </is>
      </c>
      <c r="C522" s="10" t="inlineStr">
        <is>
          <t>Hyporhamphus</t>
        </is>
      </c>
      <c r="D522" s="9" t="inlineStr">
        <is>
          <t>Sea garfishes</t>
        </is>
      </c>
      <c r="E522" s="9" t="inlineStr">
        <is>
          <t>Small reef assoc. fish (&lt;30 cm)</t>
        </is>
      </c>
      <c r="F522" s="9" t="inlineStr">
        <is>
          <t>Other fishes &amp; inverts</t>
        </is>
      </c>
      <c r="G522" s="10" t="inlineStr">
        <is>
          <t>2 S pelagics</t>
        </is>
      </c>
      <c r="H522" s="11" t="n">
        <v>0.2975985463815478</v>
      </c>
      <c r="I522" s="9" t="inlineStr">
        <is>
          <t>model_biomass</t>
        </is>
      </c>
      <c r="J522" s="12" t="inlineStr">
        <is>
          <t>medium</t>
        </is>
      </c>
      <c r="K522" s="9" t="inlineStr">
        <is>
          <t>composite_split</t>
        </is>
      </c>
      <c r="L522" s="10" t="inlineStr">
        <is>
          <t>Appendix A1.1 lists this exact catch name under `S pelagics`; apportioned over the region 2 and region 3 pools by model biomass; region 1 is the Maldives shelf, outside LME 34.</t>
        </is>
      </c>
      <c r="M522" s="9" t="n">
        <v>3515.63</v>
      </c>
    </row>
    <row r="523" ht="36" customHeight="1">
      <c r="A523" s="9" t="inlineStr">
        <is>
          <t>LME_034</t>
        </is>
      </c>
      <c r="B523" s="10" t="inlineStr">
        <is>
          <t>34_1_Bay_of_Bengal_(1978)</t>
        </is>
      </c>
      <c r="C523" s="10" t="inlineStr">
        <is>
          <t>Hyporhamphus</t>
        </is>
      </c>
      <c r="D523" s="9" t="inlineStr">
        <is>
          <t>Sea garfishes</t>
        </is>
      </c>
      <c r="E523" s="9" t="inlineStr">
        <is>
          <t>Small reef assoc. fish (&lt;30 cm)</t>
        </is>
      </c>
      <c r="F523" s="9" t="inlineStr">
        <is>
          <t>Other fishes &amp; inverts</t>
        </is>
      </c>
      <c r="G523" s="10" t="inlineStr">
        <is>
          <t>3 S pelagics</t>
        </is>
      </c>
      <c r="H523" s="11" t="n">
        <v>0.7024014536184523</v>
      </c>
      <c r="I523" s="9" t="inlineStr">
        <is>
          <t>model_biomass</t>
        </is>
      </c>
      <c r="J523" s="12" t="inlineStr">
        <is>
          <t>medium</t>
        </is>
      </c>
      <c r="K523" s="9" t="inlineStr">
        <is>
          <t>composite_split</t>
        </is>
      </c>
      <c r="L523" s="10" t="inlineStr">
        <is>
          <t>Appendix A1.1 lists this exact catch name under `S pelagics`; apportioned over the region 2 and region 3 pools by model biomass; region 1 is the Maldives shelf, outside LME 34.</t>
        </is>
      </c>
      <c r="M523" s="9" t="n">
        <v>3515.63</v>
      </c>
    </row>
    <row r="524" ht="36" customHeight="1">
      <c r="A524" s="9" t="inlineStr">
        <is>
          <t>LME_034</t>
        </is>
      </c>
      <c r="B524" s="10" t="inlineStr">
        <is>
          <t>34_1_Bay_of_Bengal_(1978)</t>
        </is>
      </c>
      <c r="C524" s="10" t="inlineStr">
        <is>
          <t>Lethrinus</t>
        </is>
      </c>
      <c r="D524" s="9" t="inlineStr">
        <is>
          <t>Emperors</t>
        </is>
      </c>
      <c r="E524" s="9" t="inlineStr">
        <is>
          <t>Medium reef assoc. fish (30 - 89 cm)</t>
        </is>
      </c>
      <c r="F524" s="9" t="inlineStr">
        <is>
          <t>Perch-likes</t>
        </is>
      </c>
      <c r="G524" s="10" t="inlineStr">
        <is>
          <t>2 L pisc comm</t>
        </is>
      </c>
      <c r="H524" s="11" t="n">
        <v>0.4790991864112831</v>
      </c>
      <c r="I524" s="9" t="inlineStr">
        <is>
          <t>model_biomass</t>
        </is>
      </c>
      <c r="J524" s="12" t="inlineStr">
        <is>
          <t>medium</t>
        </is>
      </c>
      <c r="K524" s="9" t="inlineStr">
        <is>
          <t>composite_split</t>
        </is>
      </c>
      <c r="L524" s="10" t="inlineStr">
        <is>
          <t>Appendix A1.1 lists this exact catch name under `L pisc comm`; apportioned over the region 2 and region 3 pools by model biomass; region 1 is the Maldives shelf, outside LME 34.</t>
        </is>
      </c>
      <c r="M524" s="9" t="n">
        <v>3407.404</v>
      </c>
    </row>
    <row r="525" ht="36" customHeight="1">
      <c r="A525" s="9" t="inlineStr">
        <is>
          <t>LME_034</t>
        </is>
      </c>
      <c r="B525" s="10" t="inlineStr">
        <is>
          <t>34_1_Bay_of_Bengal_(1978)</t>
        </is>
      </c>
      <c r="C525" s="10" t="inlineStr">
        <is>
          <t>Lethrinus</t>
        </is>
      </c>
      <c r="D525" s="9" t="inlineStr">
        <is>
          <t>Emperors</t>
        </is>
      </c>
      <c r="E525" s="9" t="inlineStr">
        <is>
          <t>Medium reef assoc. fish (30 - 89 cm)</t>
        </is>
      </c>
      <c r="F525" s="9" t="inlineStr">
        <is>
          <t>Perch-likes</t>
        </is>
      </c>
      <c r="G525" s="10" t="inlineStr">
        <is>
          <t>3 L pisc comm</t>
        </is>
      </c>
      <c r="H525" s="11" t="n">
        <v>0.5209008135887169</v>
      </c>
      <c r="I525" s="9" t="inlineStr">
        <is>
          <t>model_biomass</t>
        </is>
      </c>
      <c r="J525" s="12" t="inlineStr">
        <is>
          <t>medium</t>
        </is>
      </c>
      <c r="K525" s="9" t="inlineStr">
        <is>
          <t>composite_split</t>
        </is>
      </c>
      <c r="L525" s="10" t="inlineStr">
        <is>
          <t>Appendix A1.1 lists this exact catch name under `L pisc comm`; apportioned over the region 2 and region 3 pools by model biomass; region 1 is the Maldives shelf, outside LME 34.</t>
        </is>
      </c>
      <c r="M525" s="9" t="n">
        <v>3407.404</v>
      </c>
    </row>
    <row r="526" ht="36" customHeight="1">
      <c r="A526" s="9" t="inlineStr">
        <is>
          <t>LME_034</t>
        </is>
      </c>
      <c r="B526" s="10" t="inlineStr">
        <is>
          <t>34_1_Bay_of_Bengal_(1978)</t>
        </is>
      </c>
      <c r="C526" s="10" t="inlineStr">
        <is>
          <t>Sphyrna zygaena</t>
        </is>
      </c>
      <c r="D526" s="9" t="inlineStr">
        <is>
          <t>Smooth hammerhead</t>
        </is>
      </c>
      <c r="E526" s="9" t="inlineStr">
        <is>
          <t>Large sharks (&gt;=90 cm)</t>
        </is>
      </c>
      <c r="F526" s="9" t="inlineStr">
        <is>
          <t>Sharks &amp; rays</t>
        </is>
      </c>
      <c r="G526" s="10" t="inlineStr">
        <is>
          <t>Oceanic sharks</t>
        </is>
      </c>
      <c r="H526" s="11" t="n">
        <v>1</v>
      </c>
      <c r="I526" s="9" t="inlineStr">
        <is>
          <t>single</t>
        </is>
      </c>
      <c r="J526" s="13" t="inlineStr">
        <is>
          <t>high</t>
        </is>
      </c>
      <c r="K526" s="9" t="inlineStr">
        <is>
          <t>explicit_member</t>
        </is>
      </c>
      <c r="L526" s="10" t="inlineStr">
        <is>
          <t>Appendix A1.1 lists this exact catch name under `oceanic sharks`, a group modelled over the whole study area (Appendix A1.2).</t>
        </is>
      </c>
      <c r="M526" s="9" t="n">
        <v>3323.229</v>
      </c>
    </row>
    <row r="527" ht="36" customHeight="1">
      <c r="A527" s="9" t="inlineStr">
        <is>
          <t>LME_034</t>
        </is>
      </c>
      <c r="B527" s="10" t="inlineStr">
        <is>
          <t>34_1_Bay_of_Bengal_(1978)</t>
        </is>
      </c>
      <c r="C527" s="10" t="inlineStr">
        <is>
          <t>Sphyrna lewini</t>
        </is>
      </c>
      <c r="D527" s="9" t="inlineStr">
        <is>
          <t>Scalloped hammerhead</t>
        </is>
      </c>
      <c r="E527" s="9" t="inlineStr">
        <is>
          <t>Large sharks (&gt;=90 cm)</t>
        </is>
      </c>
      <c r="F527" s="9" t="inlineStr">
        <is>
          <t>Sharks &amp; rays</t>
        </is>
      </c>
      <c r="G527" s="10" t="inlineStr">
        <is>
          <t>Oceanic sharks</t>
        </is>
      </c>
      <c r="H527" s="11" t="n">
        <v>1</v>
      </c>
      <c r="I527" s="9" t="inlineStr">
        <is>
          <t>single</t>
        </is>
      </c>
      <c r="J527" s="13" t="inlineStr">
        <is>
          <t>high</t>
        </is>
      </c>
      <c r="K527" s="9" t="inlineStr">
        <is>
          <t>explicit_member</t>
        </is>
      </c>
      <c r="L527" s="10" t="inlineStr">
        <is>
          <t>Appendix A1.1 lists this exact catch name under `oceanic sharks`, a group modelled over the whole study area (Appendix A1.2).</t>
        </is>
      </c>
      <c r="M527" s="9" t="n">
        <v>3305.878</v>
      </c>
    </row>
    <row r="528" ht="36" customHeight="1">
      <c r="A528" s="9" t="inlineStr">
        <is>
          <t>LME_034</t>
        </is>
      </c>
      <c r="B528" s="10" t="inlineStr">
        <is>
          <t>34_1_Bay_of_Bengal_(1978)</t>
        </is>
      </c>
      <c r="C528" s="10" t="inlineStr">
        <is>
          <t>Sphyrna mokarran</t>
        </is>
      </c>
      <c r="D528" s="9" t="inlineStr">
        <is>
          <t>Great hammerhead</t>
        </is>
      </c>
      <c r="E528" s="9" t="inlineStr">
        <is>
          <t>Large sharks (&gt;=90 cm)</t>
        </is>
      </c>
      <c r="F528" s="9" t="inlineStr">
        <is>
          <t>Sharks &amp; rays</t>
        </is>
      </c>
      <c r="G528" s="10" t="inlineStr">
        <is>
          <t>Oceanic sharks</t>
        </is>
      </c>
      <c r="H528" s="11" t="n">
        <v>1</v>
      </c>
      <c r="I528" s="9" t="inlineStr">
        <is>
          <t>single</t>
        </is>
      </c>
      <c r="J528" s="13" t="inlineStr">
        <is>
          <t>high</t>
        </is>
      </c>
      <c r="K528" s="9" t="inlineStr">
        <is>
          <t>explicit_member</t>
        </is>
      </c>
      <c r="L528" s="10" t="inlineStr">
        <is>
          <t>Appendix A1.1 lists this exact catch name under `oceanic sharks`, a group modelled over the whole study area (Appendix A1.2).</t>
        </is>
      </c>
      <c r="M528" s="9" t="n">
        <v>3254.798</v>
      </c>
    </row>
    <row r="529" ht="36" customHeight="1">
      <c r="A529" s="9" t="inlineStr">
        <is>
          <t>LME_034</t>
        </is>
      </c>
      <c r="B529" s="10" t="inlineStr">
        <is>
          <t>34_1_Bay_of_Bengal_(1978)</t>
        </is>
      </c>
      <c r="C529" s="10" t="inlineStr">
        <is>
          <t>Acanthurus</t>
        </is>
      </c>
      <c r="D529" s="9" t="inlineStr">
        <is>
          <t>Surgeonfishes</t>
        </is>
      </c>
      <c r="E529" s="9" t="inlineStr">
        <is>
          <t>Small reef assoc. fish (&lt;30 cm)</t>
        </is>
      </c>
      <c r="F529" s="9" t="inlineStr">
        <is>
          <t>Perch-likes</t>
        </is>
      </c>
      <c r="G529" s="10" t="inlineStr">
        <is>
          <t>2 SM inv</t>
        </is>
      </c>
      <c r="H529" s="11" t="n">
        <v>0.3170901271842734</v>
      </c>
      <c r="I529" s="9" t="inlineStr">
        <is>
          <t>model_biomass</t>
        </is>
      </c>
      <c r="J529" s="12" t="inlineStr">
        <is>
          <t>medium</t>
        </is>
      </c>
      <c r="K529" s="9" t="inlineStr">
        <is>
          <t>composite_split</t>
        </is>
      </c>
      <c r="L529" s="10" t="inlineStr">
        <is>
          <t>Appendix A1.1 lists this exact catch name under `SM inv`; apportioned over the region 2 and region 3 pools by model biomass; region 1 is the Maldives shelf, outside LME 34.</t>
        </is>
      </c>
      <c r="M529" s="9" t="n">
        <v>3228.44</v>
      </c>
    </row>
    <row r="530" ht="36" customHeight="1">
      <c r="A530" s="9" t="inlineStr">
        <is>
          <t>LME_034</t>
        </is>
      </c>
      <c r="B530" s="10" t="inlineStr">
        <is>
          <t>34_1_Bay_of_Bengal_(1978)</t>
        </is>
      </c>
      <c r="C530" s="10" t="inlineStr">
        <is>
          <t>Acanthurus</t>
        </is>
      </c>
      <c r="D530" s="9" t="inlineStr">
        <is>
          <t>Surgeonfishes</t>
        </is>
      </c>
      <c r="E530" s="9" t="inlineStr">
        <is>
          <t>Small reef assoc. fish (&lt;30 cm)</t>
        </is>
      </c>
      <c r="F530" s="9" t="inlineStr">
        <is>
          <t>Perch-likes</t>
        </is>
      </c>
      <c r="G530" s="10" t="inlineStr">
        <is>
          <t>3 SM inv</t>
        </is>
      </c>
      <c r="H530" s="11" t="n">
        <v>0.6829098728157266</v>
      </c>
      <c r="I530" s="9" t="inlineStr">
        <is>
          <t>model_biomass</t>
        </is>
      </c>
      <c r="J530" s="12" t="inlineStr">
        <is>
          <t>medium</t>
        </is>
      </c>
      <c r="K530" s="9" t="inlineStr">
        <is>
          <t>composite_split</t>
        </is>
      </c>
      <c r="L530" s="10" t="inlineStr">
        <is>
          <t>Appendix A1.1 lists this exact catch name under `SM inv`; apportioned over the region 2 and region 3 pools by model biomass; region 1 is the Maldives shelf, outside LME 34.</t>
        </is>
      </c>
      <c r="M530" s="9" t="n">
        <v>3228.44</v>
      </c>
    </row>
    <row r="531" ht="21" customHeight="1">
      <c r="A531" s="9" t="inlineStr">
        <is>
          <t>LME_034</t>
        </is>
      </c>
      <c r="B531" s="10" t="inlineStr">
        <is>
          <t>34_1_Bay_of_Bengal_(1978)</t>
        </is>
      </c>
      <c r="C531" s="10" t="inlineStr">
        <is>
          <t>Carcharhinus macloti</t>
        </is>
      </c>
      <c r="D531" s="9" t="inlineStr">
        <is>
          <t>Hardnose shark</t>
        </is>
      </c>
      <c r="E531" s="9" t="inlineStr">
        <is>
          <t>Small to medium sharks (&lt;90 cm)</t>
        </is>
      </c>
      <c r="F531" s="9" t="inlineStr">
        <is>
          <t>Sharks &amp; rays</t>
        </is>
      </c>
      <c r="G531" s="10" t="inlineStr">
        <is>
          <t>Coastal elasmobranch</t>
        </is>
      </c>
      <c r="H531" s="11" t="n">
        <v>1</v>
      </c>
      <c r="I531" s="9" t="inlineStr">
        <is>
          <t>single</t>
        </is>
      </c>
      <c r="J531" s="13" t="inlineStr">
        <is>
          <t>high</t>
        </is>
      </c>
      <c r="K531" s="9" t="inlineStr">
        <is>
          <t>explicit_member</t>
        </is>
      </c>
      <c r="L531" s="10" t="inlineStr">
        <is>
          <t>Appendix A1.3 lists Carcharhinus macloti in the `coastal elasmobranch` species list.</t>
        </is>
      </c>
      <c r="M531" s="9" t="n">
        <v>3101.874</v>
      </c>
    </row>
    <row r="532" ht="36" customHeight="1">
      <c r="A532" s="9" t="inlineStr">
        <is>
          <t>LME_034</t>
        </is>
      </c>
      <c r="B532" s="10" t="inlineStr">
        <is>
          <t>34_1_Bay_of_Bengal_(1978)</t>
        </is>
      </c>
      <c r="C532" s="10" t="inlineStr">
        <is>
          <t>Turbo marmoratus</t>
        </is>
      </c>
      <c r="D532" s="9" t="inlineStr">
        <is>
          <t>Green turban</t>
        </is>
      </c>
      <c r="E532" s="9" t="inlineStr">
        <is>
          <t>Other demersal invertebrates</t>
        </is>
      </c>
      <c r="F532" s="9" t="inlineStr">
        <is>
          <t>Molluscs</t>
        </is>
      </c>
      <c r="G532" s="10" t="inlineStr">
        <is>
          <t>2 Macrobenthos</t>
        </is>
      </c>
      <c r="H532" s="11" t="n">
        <v>0.363210995759614</v>
      </c>
      <c r="I532" s="9" t="inlineStr">
        <is>
          <t>model_biomass</t>
        </is>
      </c>
      <c r="J532" s="12" t="inlineStr">
        <is>
          <t>medium</t>
        </is>
      </c>
      <c r="K532" s="9" t="inlineStr">
        <is>
          <t>composite_split</t>
        </is>
      </c>
      <c r="L532" s="10" t="inlineStr">
        <is>
          <t>Appendix A1.1 lists the genus Turbo under macrobenthos. Apportioned over the region 2 and region 3 pools by model biomass; region 1 is the Maldives shelf, outside LME 34.</t>
        </is>
      </c>
      <c r="M532" s="9" t="n">
        <v>2967.737</v>
      </c>
    </row>
    <row r="533" ht="36" customHeight="1">
      <c r="A533" s="9" t="inlineStr">
        <is>
          <t>LME_034</t>
        </is>
      </c>
      <c r="B533" s="10" t="inlineStr">
        <is>
          <t>34_1_Bay_of_Bengal_(1978)</t>
        </is>
      </c>
      <c r="C533" s="10" t="inlineStr">
        <is>
          <t>Turbo marmoratus</t>
        </is>
      </c>
      <c r="D533" s="9" t="inlineStr">
        <is>
          <t>Green turban</t>
        </is>
      </c>
      <c r="E533" s="9" t="inlineStr">
        <is>
          <t>Other demersal invertebrates</t>
        </is>
      </c>
      <c r="F533" s="9" t="inlineStr">
        <is>
          <t>Molluscs</t>
        </is>
      </c>
      <c r="G533" s="10" t="inlineStr">
        <is>
          <t>3 Macrobenthos</t>
        </is>
      </c>
      <c r="H533" s="11" t="n">
        <v>0.6367890042403861</v>
      </c>
      <c r="I533" s="9" t="inlineStr">
        <is>
          <t>model_biomass</t>
        </is>
      </c>
      <c r="J533" s="12" t="inlineStr">
        <is>
          <t>medium</t>
        </is>
      </c>
      <c r="K533" s="9" t="inlineStr">
        <is>
          <t>composite_split</t>
        </is>
      </c>
      <c r="L533" s="10" t="inlineStr">
        <is>
          <t>Appendix A1.1 lists the genus Turbo under macrobenthos. Apportioned over the region 2 and region 3 pools by model biomass; region 1 is the Maldives shelf, outside LME 34.</t>
        </is>
      </c>
      <c r="M533" s="9" t="n">
        <v>2967.737</v>
      </c>
    </row>
    <row r="534" ht="36" customHeight="1">
      <c r="A534" s="9" t="inlineStr">
        <is>
          <t>LME_034</t>
        </is>
      </c>
      <c r="B534" s="10" t="inlineStr">
        <is>
          <t>34_1_Bay_of_Bengal_(1978)</t>
        </is>
      </c>
      <c r="C534" s="10" t="inlineStr">
        <is>
          <t>Makaira</t>
        </is>
      </c>
      <c r="D534" s="9" t="inlineStr">
        <is>
          <t>Blue marlins</t>
        </is>
      </c>
      <c r="E534" s="9" t="inlineStr">
        <is>
          <t>Large pelagics (&gt;=90 cm)</t>
        </is>
      </c>
      <c r="F534" s="9" t="inlineStr">
        <is>
          <t>Tuna &amp; billfishes</t>
        </is>
      </c>
      <c r="G534" s="10" t="inlineStr">
        <is>
          <t>Tuna-like</t>
        </is>
      </c>
      <c r="H534" s="11" t="n">
        <v>1</v>
      </c>
      <c r="I534" s="9" t="inlineStr">
        <is>
          <t>single</t>
        </is>
      </c>
      <c r="J534" s="13" t="inlineStr">
        <is>
          <t>high</t>
        </is>
      </c>
      <c r="K534" s="9" t="inlineStr">
        <is>
          <t>explicit_member</t>
        </is>
      </c>
      <c r="L534" s="10" t="inlineStr">
        <is>
          <t>Appendix A1.1 lists this exact catch name under `tuna-like`, a group modelled over the whole study area (Appendix A1.2).</t>
        </is>
      </c>
      <c r="M534" s="9" t="n">
        <v>2581.544</v>
      </c>
    </row>
    <row r="535" ht="36" customHeight="1">
      <c r="A535" s="9" t="inlineStr">
        <is>
          <t>LME_034</t>
        </is>
      </c>
      <c r="B535" s="10" t="inlineStr">
        <is>
          <t>34_1_Bay_of_Bengal_(1978)</t>
        </is>
      </c>
      <c r="C535" s="10" t="inlineStr">
        <is>
          <t>Tetrapturus angustirostris</t>
        </is>
      </c>
      <c r="D535" s="9" t="inlineStr">
        <is>
          <t>Shortbill spearfish</t>
        </is>
      </c>
      <c r="E535" s="9" t="inlineStr">
        <is>
          <t>Large pelagics (&gt;=90 cm)</t>
        </is>
      </c>
      <c r="F535" s="9" t="inlineStr">
        <is>
          <t>Tuna &amp; billfishes</t>
        </is>
      </c>
      <c r="G535" s="10" t="inlineStr">
        <is>
          <t>Tuna-like</t>
        </is>
      </c>
      <c r="H535" s="11" t="n">
        <v>1</v>
      </c>
      <c r="I535" s="9" t="inlineStr">
        <is>
          <t>single</t>
        </is>
      </c>
      <c r="J535" s="13" t="inlineStr">
        <is>
          <t>high</t>
        </is>
      </c>
      <c r="K535" s="9" t="inlineStr">
        <is>
          <t>explicit_member</t>
        </is>
      </c>
      <c r="L535" s="10" t="inlineStr">
        <is>
          <t>Appendix A1.1 lists this exact catch name under `tuna-like`, a group modelled over the whole study area (Appendix A1.2).</t>
        </is>
      </c>
      <c r="M535" s="9" t="n">
        <v>2265.749</v>
      </c>
    </row>
    <row r="536" ht="36" customHeight="1">
      <c r="A536" s="9" t="inlineStr">
        <is>
          <t>LME_034</t>
        </is>
      </c>
      <c r="B536" s="10" t="inlineStr">
        <is>
          <t>34_1_Bay_of_Bengal_(1978)</t>
        </is>
      </c>
      <c r="C536" s="10" t="inlineStr">
        <is>
          <t>Scarus</t>
        </is>
      </c>
      <c r="D536" s="9" t="inlineStr">
        <is>
          <t>Parrots</t>
        </is>
      </c>
      <c r="E536" s="9" t="inlineStr">
        <is>
          <t>Medium reef assoc. fish (30 - 89 cm)</t>
        </is>
      </c>
      <c r="F536" s="9" t="inlineStr">
        <is>
          <t>Perch-likes</t>
        </is>
      </c>
      <c r="G536" s="10" t="inlineStr">
        <is>
          <t>2 SM inv</t>
        </is>
      </c>
      <c r="H536" s="11" t="n">
        <v>0.3170901271842734</v>
      </c>
      <c r="I536" s="9" t="inlineStr">
        <is>
          <t>model_biomass</t>
        </is>
      </c>
      <c r="J536" s="12" t="inlineStr">
        <is>
          <t>medium</t>
        </is>
      </c>
      <c r="K536" s="9" t="inlineStr">
        <is>
          <t>composite_split</t>
        </is>
      </c>
      <c r="L536" s="10" t="inlineStr">
        <is>
          <t>Appendix A1.1 lists this exact catch name under `SM inv`; apportioned over the region 2 and region 3 pools by model biomass; region 1 is the Maldives shelf, outside LME 34.</t>
        </is>
      </c>
      <c r="M536" s="9" t="n">
        <v>2206.454</v>
      </c>
    </row>
    <row r="537" ht="36" customHeight="1">
      <c r="A537" s="9" t="inlineStr">
        <is>
          <t>LME_034</t>
        </is>
      </c>
      <c r="B537" s="10" t="inlineStr">
        <is>
          <t>34_1_Bay_of_Bengal_(1978)</t>
        </is>
      </c>
      <c r="C537" s="10" t="inlineStr">
        <is>
          <t>Scarus</t>
        </is>
      </c>
      <c r="D537" s="9" t="inlineStr">
        <is>
          <t>Parrots</t>
        </is>
      </c>
      <c r="E537" s="9" t="inlineStr">
        <is>
          <t>Medium reef assoc. fish (30 - 89 cm)</t>
        </is>
      </c>
      <c r="F537" s="9" t="inlineStr">
        <is>
          <t>Perch-likes</t>
        </is>
      </c>
      <c r="G537" s="10" t="inlineStr">
        <is>
          <t>3 SM inv</t>
        </is>
      </c>
      <c r="H537" s="11" t="n">
        <v>0.6829098728157266</v>
      </c>
      <c r="I537" s="9" t="inlineStr">
        <is>
          <t>model_biomass</t>
        </is>
      </c>
      <c r="J537" s="12" t="inlineStr">
        <is>
          <t>medium</t>
        </is>
      </c>
      <c r="K537" s="9" t="inlineStr">
        <is>
          <t>composite_split</t>
        </is>
      </c>
      <c r="L537" s="10" t="inlineStr">
        <is>
          <t>Appendix A1.1 lists this exact catch name under `SM inv`; apportioned over the region 2 and region 3 pools by model biomass; region 1 is the Maldives shelf, outside LME 34.</t>
        </is>
      </c>
      <c r="M537" s="9" t="n">
        <v>2206.454</v>
      </c>
    </row>
    <row r="538" ht="36" customHeight="1">
      <c r="A538" s="9" t="inlineStr">
        <is>
          <t>LME_034</t>
        </is>
      </c>
      <c r="B538" s="10" t="inlineStr">
        <is>
          <t>34_1_Bay_of_Bengal_(1978)</t>
        </is>
      </c>
      <c r="C538" s="10" t="inlineStr">
        <is>
          <t>Holothuria atra</t>
        </is>
      </c>
      <c r="D538" s="9" t="inlineStr">
        <is>
          <t>Lollyfish</t>
        </is>
      </c>
      <c r="E538" s="9" t="inlineStr">
        <is>
          <t>Other demersal invertebrates</t>
        </is>
      </c>
      <c r="F538" s="9" t="inlineStr">
        <is>
          <t>Other fishes &amp; inverts</t>
        </is>
      </c>
      <c r="G538" s="10" t="inlineStr">
        <is>
          <t>2 Macrobenthos</t>
        </is>
      </c>
      <c r="H538" s="11" t="n">
        <v>0.363210995759614</v>
      </c>
      <c r="I538" s="9" t="inlineStr">
        <is>
          <t>model_biomass</t>
        </is>
      </c>
      <c r="J538" s="12" t="inlineStr">
        <is>
          <t>medium</t>
        </is>
      </c>
      <c r="K538" s="9" t="inlineStr">
        <is>
          <t>composite_split</t>
        </is>
      </c>
      <c r="L538" s="10" t="inlineStr">
        <is>
          <t>Appendix A1.1 lists this exact catch name under `macrobenthos`; apportioned over the region 2 and region 3 pools by model biomass; region 1 is the Maldives shelf, outside LME 34.</t>
        </is>
      </c>
      <c r="M538" s="9" t="n">
        <v>2096.13</v>
      </c>
    </row>
    <row r="539" ht="36" customHeight="1">
      <c r="A539" s="9" t="inlineStr">
        <is>
          <t>LME_034</t>
        </is>
      </c>
      <c r="B539" s="10" t="inlineStr">
        <is>
          <t>34_1_Bay_of_Bengal_(1978)</t>
        </is>
      </c>
      <c r="C539" s="10" t="inlineStr">
        <is>
          <t>Holothuria atra</t>
        </is>
      </c>
      <c r="D539" s="9" t="inlineStr">
        <is>
          <t>Lollyfish</t>
        </is>
      </c>
      <c r="E539" s="9" t="inlineStr">
        <is>
          <t>Other demersal invertebrates</t>
        </is>
      </c>
      <c r="F539" s="9" t="inlineStr">
        <is>
          <t>Other fishes &amp; inverts</t>
        </is>
      </c>
      <c r="G539" s="10" t="inlineStr">
        <is>
          <t>3 Macrobenthos</t>
        </is>
      </c>
      <c r="H539" s="11" t="n">
        <v>0.6367890042403861</v>
      </c>
      <c r="I539" s="9" t="inlineStr">
        <is>
          <t>model_biomass</t>
        </is>
      </c>
      <c r="J539" s="12" t="inlineStr">
        <is>
          <t>medium</t>
        </is>
      </c>
      <c r="K539" s="9" t="inlineStr">
        <is>
          <t>composite_split</t>
        </is>
      </c>
      <c r="L539" s="10" t="inlineStr">
        <is>
          <t>Appendix A1.1 lists this exact catch name under `macrobenthos`; apportioned over the region 2 and region 3 pools by model biomass; region 1 is the Maldives shelf, outside LME 34.</t>
        </is>
      </c>
      <c r="M539" s="9" t="n">
        <v>2096.13</v>
      </c>
    </row>
    <row r="540" ht="36" customHeight="1">
      <c r="A540" s="9" t="inlineStr">
        <is>
          <t>LME_034</t>
        </is>
      </c>
      <c r="B540" s="10" t="inlineStr">
        <is>
          <t>34_1_Bay_of_Bengal_(1978)</t>
        </is>
      </c>
      <c r="C540" s="10" t="inlineStr">
        <is>
          <t>Holothuria edulis</t>
        </is>
      </c>
      <c r="D540" s="9" t="inlineStr">
        <is>
          <t>Pinkfish</t>
        </is>
      </c>
      <c r="E540" s="9" t="inlineStr">
        <is>
          <t>Other demersal invertebrates</t>
        </is>
      </c>
      <c r="F540" s="9" t="inlineStr">
        <is>
          <t>Other fishes &amp; inverts</t>
        </is>
      </c>
      <c r="G540" s="10" t="inlineStr">
        <is>
          <t>2 Macrobenthos</t>
        </is>
      </c>
      <c r="H540" s="11" t="n">
        <v>0.363210995759614</v>
      </c>
      <c r="I540" s="9" t="inlineStr">
        <is>
          <t>model_biomass</t>
        </is>
      </c>
      <c r="J540" s="12" t="inlineStr">
        <is>
          <t>medium</t>
        </is>
      </c>
      <c r="K540" s="9" t="inlineStr">
        <is>
          <t>composite_split</t>
        </is>
      </c>
      <c r="L540" s="10" t="inlineStr">
        <is>
          <t>Appendix A1.1 lists this exact catch name under `macrobenthos`; apportioned over the region 2 and region 3 pools by model biomass; region 1 is the Maldives shelf, outside LME 34.</t>
        </is>
      </c>
      <c r="M540" s="9" t="n">
        <v>2091.225</v>
      </c>
    </row>
    <row r="541" ht="36" customHeight="1">
      <c r="A541" s="9" t="inlineStr">
        <is>
          <t>LME_034</t>
        </is>
      </c>
      <c r="B541" s="10" t="inlineStr">
        <is>
          <t>34_1_Bay_of_Bengal_(1978)</t>
        </is>
      </c>
      <c r="C541" s="10" t="inlineStr">
        <is>
          <t>Holothuria edulis</t>
        </is>
      </c>
      <c r="D541" s="9" t="inlineStr">
        <is>
          <t>Pinkfish</t>
        </is>
      </c>
      <c r="E541" s="9" t="inlineStr">
        <is>
          <t>Other demersal invertebrates</t>
        </is>
      </c>
      <c r="F541" s="9" t="inlineStr">
        <is>
          <t>Other fishes &amp; inverts</t>
        </is>
      </c>
      <c r="G541" s="10" t="inlineStr">
        <is>
          <t>3 Macrobenthos</t>
        </is>
      </c>
      <c r="H541" s="11" t="n">
        <v>0.6367890042403861</v>
      </c>
      <c r="I541" s="9" t="inlineStr">
        <is>
          <t>model_biomass</t>
        </is>
      </c>
      <c r="J541" s="12" t="inlineStr">
        <is>
          <t>medium</t>
        </is>
      </c>
      <c r="K541" s="9" t="inlineStr">
        <is>
          <t>composite_split</t>
        </is>
      </c>
      <c r="L541" s="10" t="inlineStr">
        <is>
          <t>Appendix A1.1 lists this exact catch name under `macrobenthos`; apportioned over the region 2 and region 3 pools by model biomass; region 1 is the Maldives shelf, outside LME 34.</t>
        </is>
      </c>
      <c r="M541" s="9" t="n">
        <v>2091.225</v>
      </c>
    </row>
    <row r="542" ht="36" customHeight="1">
      <c r="A542" s="9" t="inlineStr">
        <is>
          <t>LME_034</t>
        </is>
      </c>
      <c r="B542" s="10" t="inlineStr">
        <is>
          <t>34_1_Bay_of_Bengal_(1978)</t>
        </is>
      </c>
      <c r="C542" s="10" t="inlineStr">
        <is>
          <t>Bohadschia marmorata</t>
        </is>
      </c>
      <c r="D542" s="9" t="inlineStr">
        <is>
          <t>Chalky cucumber</t>
        </is>
      </c>
      <c r="E542" s="9" t="inlineStr">
        <is>
          <t>Other demersal invertebrates</t>
        </is>
      </c>
      <c r="F542" s="9" t="inlineStr">
        <is>
          <t>Other fishes &amp; inverts</t>
        </is>
      </c>
      <c r="G542" s="10" t="inlineStr">
        <is>
          <t>2 Macrobenthos</t>
        </is>
      </c>
      <c r="H542" s="11" t="n">
        <v>0.363210995759614</v>
      </c>
      <c r="I542" s="9" t="inlineStr">
        <is>
          <t>model_biomass</t>
        </is>
      </c>
      <c r="J542" s="12" t="inlineStr">
        <is>
          <t>medium</t>
        </is>
      </c>
      <c r="K542" s="9" t="inlineStr">
        <is>
          <t>composite_split</t>
        </is>
      </c>
      <c r="L542" s="10" t="inlineStr">
        <is>
          <t>Appendix A1.1 lists this exact catch name under `macrobenthos`; apportioned over the region 2 and region 3 pools by model biomass; region 1 is the Maldives shelf, outside LME 34.</t>
        </is>
      </c>
      <c r="M542" s="9" t="n">
        <v>2077.579</v>
      </c>
    </row>
    <row r="543" ht="36" customHeight="1">
      <c r="A543" s="9" t="inlineStr">
        <is>
          <t>LME_034</t>
        </is>
      </c>
      <c r="B543" s="10" t="inlineStr">
        <is>
          <t>34_1_Bay_of_Bengal_(1978)</t>
        </is>
      </c>
      <c r="C543" s="10" t="inlineStr">
        <is>
          <t>Bohadschia marmorata</t>
        </is>
      </c>
      <c r="D543" s="9" t="inlineStr">
        <is>
          <t>Chalky cucumber</t>
        </is>
      </c>
      <c r="E543" s="9" t="inlineStr">
        <is>
          <t>Other demersal invertebrates</t>
        </is>
      </c>
      <c r="F543" s="9" t="inlineStr">
        <is>
          <t>Other fishes &amp; inverts</t>
        </is>
      </c>
      <c r="G543" s="10" t="inlineStr">
        <is>
          <t>3 Macrobenthos</t>
        </is>
      </c>
      <c r="H543" s="11" t="n">
        <v>0.6367890042403861</v>
      </c>
      <c r="I543" s="9" t="inlineStr">
        <is>
          <t>model_biomass</t>
        </is>
      </c>
      <c r="J543" s="12" t="inlineStr">
        <is>
          <t>medium</t>
        </is>
      </c>
      <c r="K543" s="9" t="inlineStr">
        <is>
          <t>composite_split</t>
        </is>
      </c>
      <c r="L543" s="10" t="inlineStr">
        <is>
          <t>Appendix A1.1 lists this exact catch name under `macrobenthos`; apportioned over the region 2 and region 3 pools by model biomass; region 1 is the Maldives shelf, outside LME 34.</t>
        </is>
      </c>
      <c r="M543" s="9" t="n">
        <v>2077.579</v>
      </c>
    </row>
    <row r="544" ht="36" customHeight="1">
      <c r="A544" s="9" t="inlineStr">
        <is>
          <t>LME_034</t>
        </is>
      </c>
      <c r="B544" s="10" t="inlineStr">
        <is>
          <t>34_1_Bay_of_Bengal_(1978)</t>
        </is>
      </c>
      <c r="C544" s="10" t="inlineStr">
        <is>
          <t>Makaira mazara</t>
        </is>
      </c>
      <c r="D544" s="9" t="inlineStr">
        <is>
          <t>Indo-Pacific blue marlin</t>
        </is>
      </c>
      <c r="E544" s="9" t="inlineStr">
        <is>
          <t>Large pelagics (&gt;=90 cm)</t>
        </is>
      </c>
      <c r="F544" s="9" t="inlineStr">
        <is>
          <t>Tuna &amp; billfishes</t>
        </is>
      </c>
      <c r="G544" s="10" t="inlineStr">
        <is>
          <t>Marlins</t>
        </is>
      </c>
      <c r="H544" s="11" t="n">
        <v>1</v>
      </c>
      <c r="I544" s="9" t="inlineStr">
        <is>
          <t>single</t>
        </is>
      </c>
      <c r="J544" s="13" t="inlineStr">
        <is>
          <t>high</t>
        </is>
      </c>
      <c r="K544" s="9" t="inlineStr">
        <is>
          <t>explicit_member</t>
        </is>
      </c>
      <c r="L544" s="10" t="inlineStr">
        <is>
          <t>Appendix A1.1 lists this exact catch name under `Marlins`, a group modelled over the whole study area (Appendix A1.2).</t>
        </is>
      </c>
      <c r="M544" s="9" t="n">
        <v>1896.956</v>
      </c>
    </row>
    <row r="545" ht="36" customHeight="1">
      <c r="A545" s="9" t="inlineStr">
        <is>
          <t>LME_034</t>
        </is>
      </c>
      <c r="B545" s="10" t="inlineStr">
        <is>
          <t>34_1_Bay_of_Bengal_(1978)</t>
        </is>
      </c>
      <c r="C545" s="10" t="inlineStr">
        <is>
          <t>Hilsa kelee</t>
        </is>
      </c>
      <c r="D545" s="9" t="inlineStr">
        <is>
          <t>Kelee shad</t>
        </is>
      </c>
      <c r="E545" s="9" t="inlineStr">
        <is>
          <t>Small pelagics (&lt;30 cm)</t>
        </is>
      </c>
      <c r="F545" s="9" t="inlineStr">
        <is>
          <t>Herring-likes</t>
        </is>
      </c>
      <c r="G545" s="10" t="inlineStr">
        <is>
          <t>2-3 Hilsa</t>
        </is>
      </c>
      <c r="H545" s="11" t="n">
        <v>1</v>
      </c>
      <c r="I545" s="9" t="inlineStr">
        <is>
          <t>single</t>
        </is>
      </c>
      <c r="J545" s="13" t="inlineStr">
        <is>
          <t>high</t>
        </is>
      </c>
      <c r="K545" s="9" t="inlineStr">
        <is>
          <t>explicit_member</t>
        </is>
      </c>
      <c r="L545" s="10" t="inlineStr">
        <is>
          <t>Appendix A1.1 lists this exact catch name under `Hilsa`, which the model carries as one group straddling the shelves of regions 2 and 3 (Appendix A1.2), so no regional split applies.</t>
        </is>
      </c>
      <c r="M545" s="9" t="n">
        <v>1711.091</v>
      </c>
    </row>
    <row r="546" ht="36" customHeight="1">
      <c r="A546" s="9" t="inlineStr">
        <is>
          <t>LME_034</t>
        </is>
      </c>
      <c r="B546" s="10" t="inlineStr">
        <is>
          <t>34_1_Bay_of_Bengal_(1978)</t>
        </is>
      </c>
      <c r="C546" s="10" t="inlineStr">
        <is>
          <t>Tenualosa toli</t>
        </is>
      </c>
      <c r="D546" s="9" t="inlineStr">
        <is>
          <t>Toli shad</t>
        </is>
      </c>
      <c r="E546" s="9" t="inlineStr">
        <is>
          <t>Medium pelagics (30 - 89 cm)</t>
        </is>
      </c>
      <c r="F546" s="9" t="inlineStr">
        <is>
          <t>Herring-likes</t>
        </is>
      </c>
      <c r="G546" s="10" t="inlineStr">
        <is>
          <t>2-3 Hilsa</t>
        </is>
      </c>
      <c r="H546" s="11" t="n">
        <v>1</v>
      </c>
      <c r="I546" s="9" t="inlineStr">
        <is>
          <t>single</t>
        </is>
      </c>
      <c r="J546" s="13" t="inlineStr">
        <is>
          <t>high</t>
        </is>
      </c>
      <c r="K546" s="9" t="inlineStr">
        <is>
          <t>explicit_member</t>
        </is>
      </c>
      <c r="L546" s="10" t="inlineStr">
        <is>
          <t>Appendix A1.1 lists this exact catch name under `Hilsa`, which the model carries as one group straddling the shelves of regions 2 and 3 (Appendix A1.2), so no regional split applies.</t>
        </is>
      </c>
      <c r="M546" s="9" t="n">
        <v>1566.141</v>
      </c>
    </row>
    <row r="547" ht="36" customHeight="1">
      <c r="A547" s="9" t="inlineStr">
        <is>
          <t>LME_034</t>
        </is>
      </c>
      <c r="B547" s="10" t="inlineStr">
        <is>
          <t>34_1_Bay_of_Bengal_(1978)</t>
        </is>
      </c>
      <c r="C547" s="10" t="inlineStr">
        <is>
          <t>Scatophagus argus</t>
        </is>
      </c>
      <c r="D547" s="9" t="inlineStr">
        <is>
          <t>Spotted scat</t>
        </is>
      </c>
      <c r="E547" s="9" t="inlineStr">
        <is>
          <t>Medium demersals (30 - 89 cm)</t>
        </is>
      </c>
      <c r="F547" s="9" t="inlineStr">
        <is>
          <t>Perch-likes</t>
        </is>
      </c>
      <c r="G547" s="10" t="inlineStr">
        <is>
          <t>2 SM inv</t>
        </is>
      </c>
      <c r="H547" s="11" t="n">
        <v>0.3170901271842734</v>
      </c>
      <c r="I547" s="9" t="inlineStr">
        <is>
          <t>model_biomass</t>
        </is>
      </c>
      <c r="J547" s="12" t="inlineStr">
        <is>
          <t>medium</t>
        </is>
      </c>
      <c r="K547" s="9" t="inlineStr">
        <is>
          <t>composite_split</t>
        </is>
      </c>
      <c r="L547" s="10" t="inlineStr">
        <is>
          <t>Appendix A1.1 lists this exact catch name under `SM inv`; apportioned over the region 2 and region 3 pools by model biomass; region 1 is the Maldives shelf, outside LME 34.</t>
        </is>
      </c>
      <c r="M547" s="9" t="n">
        <v>1412.578</v>
      </c>
    </row>
    <row r="548" ht="36" customHeight="1">
      <c r="A548" s="9" t="inlineStr">
        <is>
          <t>LME_034</t>
        </is>
      </c>
      <c r="B548" s="10" t="inlineStr">
        <is>
          <t>34_1_Bay_of_Bengal_(1978)</t>
        </is>
      </c>
      <c r="C548" s="10" t="inlineStr">
        <is>
          <t>Scatophagus argus</t>
        </is>
      </c>
      <c r="D548" s="9" t="inlineStr">
        <is>
          <t>Spotted scat</t>
        </is>
      </c>
      <c r="E548" s="9" t="inlineStr">
        <is>
          <t>Medium demersals (30 - 89 cm)</t>
        </is>
      </c>
      <c r="F548" s="9" t="inlineStr">
        <is>
          <t>Perch-likes</t>
        </is>
      </c>
      <c r="G548" s="10" t="inlineStr">
        <is>
          <t>3 SM inv</t>
        </is>
      </c>
      <c r="H548" s="11" t="n">
        <v>0.6829098728157266</v>
      </c>
      <c r="I548" s="9" t="inlineStr">
        <is>
          <t>model_biomass</t>
        </is>
      </c>
      <c r="J548" s="12" t="inlineStr">
        <is>
          <t>medium</t>
        </is>
      </c>
      <c r="K548" s="9" t="inlineStr">
        <is>
          <t>composite_split</t>
        </is>
      </c>
      <c r="L548" s="10" t="inlineStr">
        <is>
          <t>Appendix A1.1 lists this exact catch name under `SM inv`; apportioned over the region 2 and region 3 pools by model biomass; region 1 is the Maldives shelf, outside LME 34.</t>
        </is>
      </c>
      <c r="M548" s="9" t="n">
        <v>1412.578</v>
      </c>
    </row>
    <row r="549" ht="36" customHeight="1">
      <c r="A549" s="9" t="inlineStr">
        <is>
          <t>LME_034</t>
        </is>
      </c>
      <c r="B549" s="10" t="inlineStr">
        <is>
          <t>34_1_Bay_of_Bengal_(1978)</t>
        </is>
      </c>
      <c r="C549" s="10" t="inlineStr">
        <is>
          <t>Lobotes surinamensis</t>
        </is>
      </c>
      <c r="D549" s="9" t="inlineStr">
        <is>
          <t>Tripletail</t>
        </is>
      </c>
      <c r="E549" s="9" t="inlineStr">
        <is>
          <t>Large benthopelagics (&gt;=90 cm)</t>
        </is>
      </c>
      <c r="F549" s="9" t="inlineStr">
        <is>
          <t>Perch-likes</t>
        </is>
      </c>
      <c r="G549" s="10" t="inlineStr">
        <is>
          <t>2 L pisc</t>
        </is>
      </c>
      <c r="H549" s="11" t="n">
        <v>0.449530936694357</v>
      </c>
      <c r="I549" s="9" t="inlineStr">
        <is>
          <t>model_biomass</t>
        </is>
      </c>
      <c r="J549" s="12" t="inlineStr">
        <is>
          <t>medium</t>
        </is>
      </c>
      <c r="K549" s="9" t="inlineStr">
        <is>
          <t>composite_split</t>
        </is>
      </c>
      <c r="L549" s="10" t="inlineStr">
        <is>
          <t>Appendix A1.1 lists this exact catch name under `L pisc`; apportioned over the region 2 and region 3 pools by model biomass; region 1 is the Maldives shelf, outside LME 34.</t>
        </is>
      </c>
      <c r="M549" s="9" t="n">
        <v>1305.306</v>
      </c>
    </row>
    <row r="550" ht="36" customHeight="1">
      <c r="A550" s="9" t="inlineStr">
        <is>
          <t>LME_034</t>
        </is>
      </c>
      <c r="B550" s="10" t="inlineStr">
        <is>
          <t>34_1_Bay_of_Bengal_(1978)</t>
        </is>
      </c>
      <c r="C550" s="10" t="inlineStr">
        <is>
          <t>Lobotes surinamensis</t>
        </is>
      </c>
      <c r="D550" s="9" t="inlineStr">
        <is>
          <t>Tripletail</t>
        </is>
      </c>
      <c r="E550" s="9" t="inlineStr">
        <is>
          <t>Large benthopelagics (&gt;=90 cm)</t>
        </is>
      </c>
      <c r="F550" s="9" t="inlineStr">
        <is>
          <t>Perch-likes</t>
        </is>
      </c>
      <c r="G550" s="10" t="inlineStr">
        <is>
          <t>3 L pisc</t>
        </is>
      </c>
      <c r="H550" s="11" t="n">
        <v>0.5504690633056432</v>
      </c>
      <c r="I550" s="9" t="inlineStr">
        <is>
          <t>model_biomass</t>
        </is>
      </c>
      <c r="J550" s="12" t="inlineStr">
        <is>
          <t>medium</t>
        </is>
      </c>
      <c r="K550" s="9" t="inlineStr">
        <is>
          <t>composite_split</t>
        </is>
      </c>
      <c r="L550" s="10" t="inlineStr">
        <is>
          <t>Appendix A1.1 lists this exact catch name under `L pisc`; apportioned over the region 2 and region 3 pools by model biomass; region 1 is the Maldives shelf, outside LME 34.</t>
        </is>
      </c>
      <c r="M550" s="9" t="n">
        <v>1305.306</v>
      </c>
    </row>
    <row r="551" ht="36" customHeight="1">
      <c r="A551" s="9" t="inlineStr">
        <is>
          <t>LME_034</t>
        </is>
      </c>
      <c r="B551" s="10" t="inlineStr">
        <is>
          <t>34_1_Bay_of_Bengal_(1978)</t>
        </is>
      </c>
      <c r="C551" s="10" t="inlineStr">
        <is>
          <t>Megalops cyprinoides</t>
        </is>
      </c>
      <c r="D551" s="9" t="inlineStr">
        <is>
          <t>Indo-Pacific tarpon</t>
        </is>
      </c>
      <c r="E551" s="9" t="inlineStr">
        <is>
          <t>Large pelagics (&gt;=90 cm)</t>
        </is>
      </c>
      <c r="F551" s="9" t="inlineStr">
        <is>
          <t>Other fishes &amp; inverts</t>
        </is>
      </c>
      <c r="G551" s="10" t="inlineStr">
        <is>
          <t>2 L pisc</t>
        </is>
      </c>
      <c r="H551" s="11" t="n">
        <v>0.449530936694357</v>
      </c>
      <c r="I551" s="9" t="inlineStr">
        <is>
          <t>model_biomass</t>
        </is>
      </c>
      <c r="J551" s="12" t="inlineStr">
        <is>
          <t>medium</t>
        </is>
      </c>
      <c r="K551" s="9" t="inlineStr">
        <is>
          <t>composite_split</t>
        </is>
      </c>
      <c r="L551" s="10" t="inlineStr">
        <is>
          <t>Appendix A1.1 lists this exact catch name under `L pisc`; apportioned over the region 2 and region 3 pools by model biomass; region 1 is the Maldives shelf, outside LME 34.</t>
        </is>
      </c>
      <c r="M551" s="9" t="n">
        <v>1190.199</v>
      </c>
    </row>
    <row r="552" ht="36" customHeight="1">
      <c r="A552" s="9" t="inlineStr">
        <is>
          <t>LME_034</t>
        </is>
      </c>
      <c r="B552" s="10" t="inlineStr">
        <is>
          <t>34_1_Bay_of_Bengal_(1978)</t>
        </is>
      </c>
      <c r="C552" s="10" t="inlineStr">
        <is>
          <t>Megalops cyprinoides</t>
        </is>
      </c>
      <c r="D552" s="9" t="inlineStr">
        <is>
          <t>Indo-Pacific tarpon</t>
        </is>
      </c>
      <c r="E552" s="9" t="inlineStr">
        <is>
          <t>Large pelagics (&gt;=90 cm)</t>
        </is>
      </c>
      <c r="F552" s="9" t="inlineStr">
        <is>
          <t>Other fishes &amp; inverts</t>
        </is>
      </c>
      <c r="G552" s="10" t="inlineStr">
        <is>
          <t>3 L pisc</t>
        </is>
      </c>
      <c r="H552" s="11" t="n">
        <v>0.5504690633056432</v>
      </c>
      <c r="I552" s="9" t="inlineStr">
        <is>
          <t>model_biomass</t>
        </is>
      </c>
      <c r="J552" s="12" t="inlineStr">
        <is>
          <t>medium</t>
        </is>
      </c>
      <c r="K552" s="9" t="inlineStr">
        <is>
          <t>composite_split</t>
        </is>
      </c>
      <c r="L552" s="10" t="inlineStr">
        <is>
          <t>Appendix A1.1 lists this exact catch name under `L pisc`; apportioned over the region 2 and region 3 pools by model biomass; region 1 is the Maldives shelf, outside LME 34.</t>
        </is>
      </c>
      <c r="M552" s="9" t="n">
        <v>1190.199</v>
      </c>
    </row>
    <row r="553" ht="36" customHeight="1">
      <c r="A553" s="9" t="inlineStr">
        <is>
          <t>LME_034</t>
        </is>
      </c>
      <c r="B553" s="10" t="inlineStr">
        <is>
          <t>34_1_Bay_of_Bengal_(1978)</t>
        </is>
      </c>
      <c r="C553" s="10" t="inlineStr">
        <is>
          <t>Hemiramphidae</t>
        </is>
      </c>
      <c r="D553" s="9" t="inlineStr">
        <is>
          <t>Halfbeaks, garfishes</t>
        </is>
      </c>
      <c r="E553" s="9" t="inlineStr">
        <is>
          <t>Medium pelagics (30 - 89 cm)</t>
        </is>
      </c>
      <c r="F553" s="9" t="inlineStr">
        <is>
          <t>Other fishes &amp; inverts</t>
        </is>
      </c>
      <c r="G553" s="10" t="inlineStr">
        <is>
          <t>2 S pelagics</t>
        </is>
      </c>
      <c r="H553" s="11" t="n">
        <v>0.2975985463815478</v>
      </c>
      <c r="I553" s="9" t="inlineStr">
        <is>
          <t>model_biomass</t>
        </is>
      </c>
      <c r="J553" s="12" t="inlineStr">
        <is>
          <t>medium</t>
        </is>
      </c>
      <c r="K553" s="9" t="inlineStr">
        <is>
          <t>composite_split</t>
        </is>
      </c>
      <c r="L553" s="10" t="inlineStr">
        <is>
          <t>Appendix A1.1 lists this exact catch name under `S pelagics`; apportioned over the region 2 and region 3 pools by model biomass; region 1 is the Maldives shelf, outside LME 34.</t>
        </is>
      </c>
      <c r="M553" s="9" t="n">
        <v>870.384</v>
      </c>
    </row>
    <row r="554" ht="36" customHeight="1">
      <c r="A554" s="9" t="inlineStr">
        <is>
          <t>LME_034</t>
        </is>
      </c>
      <c r="B554" s="10" t="inlineStr">
        <is>
          <t>34_1_Bay_of_Bengal_(1978)</t>
        </is>
      </c>
      <c r="C554" s="10" t="inlineStr">
        <is>
          <t>Hemiramphidae</t>
        </is>
      </c>
      <c r="D554" s="9" t="inlineStr">
        <is>
          <t>Halfbeaks, garfishes</t>
        </is>
      </c>
      <c r="E554" s="9" t="inlineStr">
        <is>
          <t>Medium pelagics (30 - 89 cm)</t>
        </is>
      </c>
      <c r="F554" s="9" t="inlineStr">
        <is>
          <t>Other fishes &amp; inverts</t>
        </is>
      </c>
      <c r="G554" s="10" t="inlineStr">
        <is>
          <t>3 S pelagics</t>
        </is>
      </c>
      <c r="H554" s="11" t="n">
        <v>0.7024014536184523</v>
      </c>
      <c r="I554" s="9" t="inlineStr">
        <is>
          <t>model_biomass</t>
        </is>
      </c>
      <c r="J554" s="12" t="inlineStr">
        <is>
          <t>medium</t>
        </is>
      </c>
      <c r="K554" s="9" t="inlineStr">
        <is>
          <t>composite_split</t>
        </is>
      </c>
      <c r="L554" s="10" t="inlineStr">
        <is>
          <t>Appendix A1.1 lists this exact catch name under `S pelagics`; apportioned over the region 2 and region 3 pools by model biomass; region 1 is the Maldives shelf, outside LME 34.</t>
        </is>
      </c>
      <c r="M554" s="9" t="n">
        <v>870.384</v>
      </c>
    </row>
    <row r="555" ht="36" customHeight="1">
      <c r="A555" s="9" t="inlineStr">
        <is>
          <t>LME_034</t>
        </is>
      </c>
      <c r="B555" s="10" t="inlineStr">
        <is>
          <t>34_1_Bay_of_Bengal_(1978)</t>
        </is>
      </c>
      <c r="C555" s="10" t="inlineStr">
        <is>
          <t>Sphyraena jello</t>
        </is>
      </c>
      <c r="D555" s="9" t="inlineStr">
        <is>
          <t>Pickhandle barracuda</t>
        </is>
      </c>
      <c r="E555" s="9" t="inlineStr">
        <is>
          <t>Large reef assoc. fish (&gt;=90 cm)</t>
        </is>
      </c>
      <c r="F555" s="9" t="inlineStr">
        <is>
          <t>Perch-likes</t>
        </is>
      </c>
      <c r="G555" s="10" t="inlineStr">
        <is>
          <t>2 L pisc</t>
        </is>
      </c>
      <c r="H555" s="11" t="n">
        <v>0.449530936694357</v>
      </c>
      <c r="I555" s="9" t="inlineStr">
        <is>
          <t>model_biomass</t>
        </is>
      </c>
      <c r="J555" s="12" t="inlineStr">
        <is>
          <t>medium</t>
        </is>
      </c>
      <c r="K555" s="9" t="inlineStr">
        <is>
          <t>composite_split</t>
        </is>
      </c>
      <c r="L555" s="10" t="inlineStr">
        <is>
          <t>Appendix A1.1 lists this exact catch name under `L pisc`; apportioned over the region 2 and region 3 pools by model biomass; region 1 is the Maldives shelf, outside LME 34.</t>
        </is>
      </c>
      <c r="M555" s="9" t="n">
        <v>818.529</v>
      </c>
    </row>
    <row r="556" ht="36" customHeight="1">
      <c r="A556" s="9" t="inlineStr">
        <is>
          <t>LME_034</t>
        </is>
      </c>
      <c r="B556" s="10" t="inlineStr">
        <is>
          <t>34_1_Bay_of_Bengal_(1978)</t>
        </is>
      </c>
      <c r="C556" s="10" t="inlineStr">
        <is>
          <t>Sphyraena jello</t>
        </is>
      </c>
      <c r="D556" s="9" t="inlineStr">
        <is>
          <t>Pickhandle barracuda</t>
        </is>
      </c>
      <c r="E556" s="9" t="inlineStr">
        <is>
          <t>Large reef assoc. fish (&gt;=90 cm)</t>
        </is>
      </c>
      <c r="F556" s="9" t="inlineStr">
        <is>
          <t>Perch-likes</t>
        </is>
      </c>
      <c r="G556" s="10" t="inlineStr">
        <is>
          <t>3 L pisc</t>
        </is>
      </c>
      <c r="H556" s="11" t="n">
        <v>0.5504690633056432</v>
      </c>
      <c r="I556" s="9" t="inlineStr">
        <is>
          <t>model_biomass</t>
        </is>
      </c>
      <c r="J556" s="12" t="inlineStr">
        <is>
          <t>medium</t>
        </is>
      </c>
      <c r="K556" s="9" t="inlineStr">
        <is>
          <t>composite_split</t>
        </is>
      </c>
      <c r="L556" s="10" t="inlineStr">
        <is>
          <t>Appendix A1.1 lists this exact catch name under `L pisc`; apportioned over the region 2 and region 3 pools by model biomass; region 1 is the Maldives shelf, outside LME 34.</t>
        </is>
      </c>
      <c r="M556" s="9" t="n">
        <v>818.529</v>
      </c>
    </row>
    <row r="557" ht="36" customHeight="1">
      <c r="A557" s="9" t="inlineStr">
        <is>
          <t>LME_034</t>
        </is>
      </c>
      <c r="B557" s="10" t="inlineStr">
        <is>
          <t>34_1_Bay_of_Bengal_(1978)</t>
        </is>
      </c>
      <c r="C557" s="10" t="inlineStr">
        <is>
          <t>Gnathanodon speciosus</t>
        </is>
      </c>
      <c r="D557" s="9" t="inlineStr">
        <is>
          <t>Golden trevally</t>
        </is>
      </c>
      <c r="E557" s="9" t="inlineStr">
        <is>
          <t>Large reef assoc. fish (&gt;=90 cm)</t>
        </is>
      </c>
      <c r="F557" s="9" t="inlineStr">
        <is>
          <t>Perch-likes</t>
        </is>
      </c>
      <c r="G557" s="10" t="inlineStr">
        <is>
          <t>2 Carangids</t>
        </is>
      </c>
      <c r="H557" s="11" t="n">
        <v>0.3043867502238138</v>
      </c>
      <c r="I557" s="9" t="inlineStr">
        <is>
          <t>model_biomass</t>
        </is>
      </c>
      <c r="J557" s="12" t="inlineStr">
        <is>
          <t>medium</t>
        </is>
      </c>
      <c r="K557" s="9" t="inlineStr">
        <is>
          <t>composite_split</t>
        </is>
      </c>
      <c r="L557" s="10" t="inlineStr">
        <is>
          <t>Appendix A1.1 lists this exact catch name under `Carangids`; apportioned over the region 2 and region 3 pools by model biomass; region 1 is the Maldives shelf, outside LME 34.</t>
        </is>
      </c>
      <c r="M557" s="9" t="n">
        <v>483.716</v>
      </c>
    </row>
    <row r="558" ht="36" customHeight="1">
      <c r="A558" s="9" t="inlineStr">
        <is>
          <t>LME_034</t>
        </is>
      </c>
      <c r="B558" s="10" t="inlineStr">
        <is>
          <t>34_1_Bay_of_Bengal_(1978)</t>
        </is>
      </c>
      <c r="C558" s="10" t="inlineStr">
        <is>
          <t>Gnathanodon speciosus</t>
        </is>
      </c>
      <c r="D558" s="9" t="inlineStr">
        <is>
          <t>Golden trevally</t>
        </is>
      </c>
      <c r="E558" s="9" t="inlineStr">
        <is>
          <t>Large reef assoc. fish (&gt;=90 cm)</t>
        </is>
      </c>
      <c r="F558" s="9" t="inlineStr">
        <is>
          <t>Perch-likes</t>
        </is>
      </c>
      <c r="G558" s="10" t="inlineStr">
        <is>
          <t>3 Carangids</t>
        </is>
      </c>
      <c r="H558" s="11" t="n">
        <v>0.6956132497761862</v>
      </c>
      <c r="I558" s="9" t="inlineStr">
        <is>
          <t>model_biomass</t>
        </is>
      </c>
      <c r="J558" s="12" t="inlineStr">
        <is>
          <t>medium</t>
        </is>
      </c>
      <c r="K558" s="9" t="inlineStr">
        <is>
          <t>composite_split</t>
        </is>
      </c>
      <c r="L558" s="10" t="inlineStr">
        <is>
          <t>Appendix A1.1 lists this exact catch name under `Carangids`; apportioned over the region 2 and region 3 pools by model biomass; region 1 is the Maldives shelf, outside LME 34.</t>
        </is>
      </c>
      <c r="M558" s="9" t="n">
        <v>483.716</v>
      </c>
    </row>
    <row r="559" ht="36" customHeight="1">
      <c r="A559" s="9" t="inlineStr">
        <is>
          <t>LME_034</t>
        </is>
      </c>
      <c r="B559" s="10" t="inlineStr">
        <is>
          <t>34_1_Bay_of_Bengal_(1978)</t>
        </is>
      </c>
      <c r="C559" s="10" t="inlineStr">
        <is>
          <t>Bregmaceros mcclellandi</t>
        </is>
      </c>
      <c r="D559" s="9" t="inlineStr">
        <is>
          <t>Unicorn cod</t>
        </is>
      </c>
      <c r="E559" s="9" t="inlineStr">
        <is>
          <t>Small pelagics (&lt;30 cm)</t>
        </is>
      </c>
      <c r="F559" s="9" t="inlineStr">
        <is>
          <t>Cod-likes</t>
        </is>
      </c>
      <c r="G559" s="10" t="inlineStr">
        <is>
          <t>2 S pelagics</t>
        </is>
      </c>
      <c r="H559" s="11" t="n">
        <v>0.2975985463815478</v>
      </c>
      <c r="I559" s="9" t="inlineStr">
        <is>
          <t>model_biomass</t>
        </is>
      </c>
      <c r="J559" s="12" t="inlineStr">
        <is>
          <t>medium</t>
        </is>
      </c>
      <c r="K559" s="9" t="inlineStr">
        <is>
          <t>composite_split</t>
        </is>
      </c>
      <c r="L559" s="10" t="inlineStr">
        <is>
          <t>Appendix A1.1 lists this exact catch name under `S pelagics`; apportioned over the region 2 and region 3 pools by model biomass; region 1 is the Maldives shelf, outside LME 34.</t>
        </is>
      </c>
      <c r="M559" s="9" t="n">
        <v>255.081</v>
      </c>
    </row>
    <row r="560" ht="36" customHeight="1">
      <c r="A560" s="9" t="inlineStr">
        <is>
          <t>LME_034</t>
        </is>
      </c>
      <c r="B560" s="10" t="inlineStr">
        <is>
          <t>34_1_Bay_of_Bengal_(1978)</t>
        </is>
      </c>
      <c r="C560" s="10" t="inlineStr">
        <is>
          <t>Bregmaceros mcclellandi</t>
        </is>
      </c>
      <c r="D560" s="9" t="inlineStr">
        <is>
          <t>Unicorn cod</t>
        </is>
      </c>
      <c r="E560" s="9" t="inlineStr">
        <is>
          <t>Small pelagics (&lt;30 cm)</t>
        </is>
      </c>
      <c r="F560" s="9" t="inlineStr">
        <is>
          <t>Cod-likes</t>
        </is>
      </c>
      <c r="G560" s="10" t="inlineStr">
        <is>
          <t>3 S pelagics</t>
        </is>
      </c>
      <c r="H560" s="11" t="n">
        <v>0.7024014536184523</v>
      </c>
      <c r="I560" s="9" t="inlineStr">
        <is>
          <t>model_biomass</t>
        </is>
      </c>
      <c r="J560" s="12" t="inlineStr">
        <is>
          <t>medium</t>
        </is>
      </c>
      <c r="K560" s="9" t="inlineStr">
        <is>
          <t>composite_split</t>
        </is>
      </c>
      <c r="L560" s="10" t="inlineStr">
        <is>
          <t>Appendix A1.1 lists this exact catch name under `S pelagics`; apportioned over the region 2 and region 3 pools by model biomass; region 1 is the Maldives shelf, outside LME 34.</t>
        </is>
      </c>
      <c r="M560" s="9" t="n">
        <v>255.081</v>
      </c>
    </row>
    <row r="561" ht="36" customHeight="1">
      <c r="A561" s="9" t="inlineStr">
        <is>
          <t>LME_034</t>
        </is>
      </c>
      <c r="B561" s="10" t="inlineStr">
        <is>
          <t>34_1_Bay_of_Bengal_(1978)</t>
        </is>
      </c>
      <c r="C561" s="10" t="inlineStr">
        <is>
          <t>Lutjanus argentimaculatus</t>
        </is>
      </c>
      <c r="D561" s="9" t="inlineStr">
        <is>
          <t>Mangrove red snapper</t>
        </is>
      </c>
      <c r="E561" s="9" t="inlineStr">
        <is>
          <t>Large reef assoc. fish (&gt;=90 cm)</t>
        </is>
      </c>
      <c r="F561" s="9" t="inlineStr">
        <is>
          <t>Perch-likes</t>
        </is>
      </c>
      <c r="G561" s="10" t="inlineStr">
        <is>
          <t>2 L pisc comm</t>
        </is>
      </c>
      <c r="H561" s="11" t="n">
        <v>0.4790991864112831</v>
      </c>
      <c r="I561" s="9" t="inlineStr">
        <is>
          <t>model_biomass</t>
        </is>
      </c>
      <c r="J561" s="12" t="inlineStr">
        <is>
          <t>medium</t>
        </is>
      </c>
      <c r="K561" s="9" t="inlineStr">
        <is>
          <t>composite_split</t>
        </is>
      </c>
      <c r="L561" s="10" t="inlineStr">
        <is>
          <t>Appendix A1.1 lists this exact catch name under `L pisc comm`; apportioned over the region 2 and region 3 pools by model biomass; region 1 is the Maldives shelf, outside LME 34.</t>
        </is>
      </c>
      <c r="M561" s="9" t="n">
        <v>231.181</v>
      </c>
    </row>
    <row r="562" ht="36" customHeight="1">
      <c r="A562" s="9" t="inlineStr">
        <is>
          <t>LME_034</t>
        </is>
      </c>
      <c r="B562" s="10" t="inlineStr">
        <is>
          <t>34_1_Bay_of_Bengal_(1978)</t>
        </is>
      </c>
      <c r="C562" s="10" t="inlineStr">
        <is>
          <t>Lutjanus argentimaculatus</t>
        </is>
      </c>
      <c r="D562" s="9" t="inlineStr">
        <is>
          <t>Mangrove red snapper</t>
        </is>
      </c>
      <c r="E562" s="9" t="inlineStr">
        <is>
          <t>Large reef assoc. fish (&gt;=90 cm)</t>
        </is>
      </c>
      <c r="F562" s="9" t="inlineStr">
        <is>
          <t>Perch-likes</t>
        </is>
      </c>
      <c r="G562" s="10" t="inlineStr">
        <is>
          <t>3 L pisc comm</t>
        </is>
      </c>
      <c r="H562" s="11" t="n">
        <v>0.5209008135887169</v>
      </c>
      <c r="I562" s="9" t="inlineStr">
        <is>
          <t>model_biomass</t>
        </is>
      </c>
      <c r="J562" s="12" t="inlineStr">
        <is>
          <t>medium</t>
        </is>
      </c>
      <c r="K562" s="9" t="inlineStr">
        <is>
          <t>composite_split</t>
        </is>
      </c>
      <c r="L562" s="10" t="inlineStr">
        <is>
          <t>Appendix A1.1 lists this exact catch name under `L pisc comm`; apportioned over the region 2 and region 3 pools by model biomass; region 1 is the Maldives shelf, outside LME 34.</t>
        </is>
      </c>
      <c r="M562" s="9" t="n">
        <v>231.181</v>
      </c>
    </row>
    <row r="563" ht="36" customHeight="1">
      <c r="A563" s="9" t="inlineStr">
        <is>
          <t>LME_034</t>
        </is>
      </c>
      <c r="B563" s="10" t="inlineStr">
        <is>
          <t>34_1_Bay_of_Bengal_(1978)</t>
        </is>
      </c>
      <c r="C563" s="10" t="inlineStr">
        <is>
          <t>Trochus</t>
        </is>
      </c>
      <c r="D563" s="9" t="inlineStr">
        <is>
          <t>Trochus</t>
        </is>
      </c>
      <c r="E563" s="9" t="inlineStr">
        <is>
          <t>Other demersal invertebrates</t>
        </is>
      </c>
      <c r="F563" s="9" t="inlineStr">
        <is>
          <t>Molluscs</t>
        </is>
      </c>
      <c r="G563" s="10" t="inlineStr">
        <is>
          <t>2 Macrobenthos</t>
        </is>
      </c>
      <c r="H563" s="11" t="n">
        <v>0.363210995759614</v>
      </c>
      <c r="I563" s="9" t="inlineStr">
        <is>
          <t>model_biomass</t>
        </is>
      </c>
      <c r="J563" s="12" t="inlineStr">
        <is>
          <t>medium</t>
        </is>
      </c>
      <c r="K563" s="9" t="inlineStr">
        <is>
          <t>composite_split</t>
        </is>
      </c>
      <c r="L563" s="10" t="inlineStr">
        <is>
          <t>Appendix A1.1 lists this exact catch name under `macrobenthos`; apportioned over the region 2 and region 3 pools by model biomass; region 1 is the Maldives shelf, outside LME 34.</t>
        </is>
      </c>
      <c r="M563" s="9" t="n">
        <v>230.468</v>
      </c>
    </row>
    <row r="564" ht="36" customHeight="1">
      <c r="A564" s="9" t="inlineStr">
        <is>
          <t>LME_034</t>
        </is>
      </c>
      <c r="B564" s="10" t="inlineStr">
        <is>
          <t>34_1_Bay_of_Bengal_(1978)</t>
        </is>
      </c>
      <c r="C564" s="10" t="inlineStr">
        <is>
          <t>Trochus</t>
        </is>
      </c>
      <c r="D564" s="9" t="inlineStr">
        <is>
          <t>Trochus</t>
        </is>
      </c>
      <c r="E564" s="9" t="inlineStr">
        <is>
          <t>Other demersal invertebrates</t>
        </is>
      </c>
      <c r="F564" s="9" t="inlineStr">
        <is>
          <t>Molluscs</t>
        </is>
      </c>
      <c r="G564" s="10" t="inlineStr">
        <is>
          <t>3 Macrobenthos</t>
        </is>
      </c>
      <c r="H564" s="11" t="n">
        <v>0.6367890042403861</v>
      </c>
      <c r="I564" s="9" t="inlineStr">
        <is>
          <t>model_biomass</t>
        </is>
      </c>
      <c r="J564" s="12" t="inlineStr">
        <is>
          <t>medium</t>
        </is>
      </c>
      <c r="K564" s="9" t="inlineStr">
        <is>
          <t>composite_split</t>
        </is>
      </c>
      <c r="L564" s="10" t="inlineStr">
        <is>
          <t>Appendix A1.1 lists this exact catch name under `macrobenthos`; apportioned over the region 2 and region 3 pools by model biomass; region 1 is the Maldives shelf, outside LME 34.</t>
        </is>
      </c>
      <c r="M564" s="9" t="n">
        <v>230.468</v>
      </c>
    </row>
    <row r="565" ht="36" customHeight="1">
      <c r="A565" s="9" t="inlineStr">
        <is>
          <t>LME_034</t>
        </is>
      </c>
      <c r="B565" s="10" t="inlineStr">
        <is>
          <t>34_1_Bay_of_Bengal_(1978)</t>
        </is>
      </c>
      <c r="C565" s="10" t="inlineStr">
        <is>
          <t>Saccostrea cuccullata</t>
        </is>
      </c>
      <c r="D565" s="9" t="inlineStr">
        <is>
          <t>Hooded oyster</t>
        </is>
      </c>
      <c r="E565" s="9" t="inlineStr">
        <is>
          <t>Other demersal invertebrates</t>
        </is>
      </c>
      <c r="F565" s="9" t="inlineStr">
        <is>
          <t>Molluscs</t>
        </is>
      </c>
      <c r="G565" s="10" t="inlineStr">
        <is>
          <t>2 Macrobenthos</t>
        </is>
      </c>
      <c r="H565" s="11" t="n">
        <v>0.363210995759614</v>
      </c>
      <c r="I565" s="9" t="inlineStr">
        <is>
          <t>model_biomass</t>
        </is>
      </c>
      <c r="J565" s="12" t="inlineStr">
        <is>
          <t>medium</t>
        </is>
      </c>
      <c r="K565" s="9" t="inlineStr">
        <is>
          <t>composite_split</t>
        </is>
      </c>
      <c r="L565" s="10" t="inlineStr">
        <is>
          <t>Appendix A1.1 lists this exact catch name under `macrobenthos`; apportioned over the region 2 and region 3 pools by model biomass; region 1 is the Maldives shelf, outside LME 34.</t>
        </is>
      </c>
      <c r="M565" s="9" t="n">
        <v>212.899</v>
      </c>
    </row>
    <row r="566" ht="36" customHeight="1">
      <c r="A566" s="9" t="inlineStr">
        <is>
          <t>LME_034</t>
        </is>
      </c>
      <c r="B566" s="10" t="inlineStr">
        <is>
          <t>34_1_Bay_of_Bengal_(1978)</t>
        </is>
      </c>
      <c r="C566" s="10" t="inlineStr">
        <is>
          <t>Saccostrea cuccullata</t>
        </is>
      </c>
      <c r="D566" s="9" t="inlineStr">
        <is>
          <t>Hooded oyster</t>
        </is>
      </c>
      <c r="E566" s="9" t="inlineStr">
        <is>
          <t>Other demersal invertebrates</t>
        </is>
      </c>
      <c r="F566" s="9" t="inlineStr">
        <is>
          <t>Molluscs</t>
        </is>
      </c>
      <c r="G566" s="10" t="inlineStr">
        <is>
          <t>3 Macrobenthos</t>
        </is>
      </c>
      <c r="H566" s="11" t="n">
        <v>0.6367890042403861</v>
      </c>
      <c r="I566" s="9" t="inlineStr">
        <is>
          <t>model_biomass</t>
        </is>
      </c>
      <c r="J566" s="12" t="inlineStr">
        <is>
          <t>medium</t>
        </is>
      </c>
      <c r="K566" s="9" t="inlineStr">
        <is>
          <t>composite_split</t>
        </is>
      </c>
      <c r="L566" s="10" t="inlineStr">
        <is>
          <t>Appendix A1.1 lists this exact catch name under `macrobenthos`; apportioned over the region 2 and region 3 pools by model biomass; region 1 is the Maldives shelf, outside LME 34.</t>
        </is>
      </c>
      <c r="M566" s="9" t="n">
        <v>212.899</v>
      </c>
    </row>
    <row r="567" ht="36" customHeight="1">
      <c r="A567" s="9" t="inlineStr">
        <is>
          <t>LME_034</t>
        </is>
      </c>
      <c r="B567" s="10" t="inlineStr">
        <is>
          <t>34_1_Bay_of_Bengal_(1978)</t>
        </is>
      </c>
      <c r="C567" s="10" t="inlineStr">
        <is>
          <t>Lambis lambis</t>
        </is>
      </c>
      <c r="D567" s="9" t="inlineStr">
        <is>
          <t>Common spider conch</t>
        </is>
      </c>
      <c r="E567" s="9" t="inlineStr">
        <is>
          <t>Other demersal invertebrates</t>
        </is>
      </c>
      <c r="F567" s="9" t="inlineStr">
        <is>
          <t>Molluscs</t>
        </is>
      </c>
      <c r="G567" s="10" t="inlineStr">
        <is>
          <t>2 Macrobenthos</t>
        </is>
      </c>
      <c r="H567" s="11" t="n">
        <v>0.363210995759614</v>
      </c>
      <c r="I567" s="9" t="inlineStr">
        <is>
          <t>model_biomass</t>
        </is>
      </c>
      <c r="J567" s="12" t="inlineStr">
        <is>
          <t>medium</t>
        </is>
      </c>
      <c r="K567" s="9" t="inlineStr">
        <is>
          <t>composite_split</t>
        </is>
      </c>
      <c r="L567" s="10" t="inlineStr">
        <is>
          <t>Appendix A1.1 lists this exact catch name under `macrobenthos`; apportioned over the region 2 and region 3 pools by model biomass; region 1 is the Maldives shelf, outside LME 34.</t>
        </is>
      </c>
      <c r="M567" s="9" t="n">
        <v>212.788</v>
      </c>
    </row>
    <row r="568" ht="36" customHeight="1">
      <c r="A568" s="9" t="inlineStr">
        <is>
          <t>LME_034</t>
        </is>
      </c>
      <c r="B568" s="10" t="inlineStr">
        <is>
          <t>34_1_Bay_of_Bengal_(1978)</t>
        </is>
      </c>
      <c r="C568" s="10" t="inlineStr">
        <is>
          <t>Lambis lambis</t>
        </is>
      </c>
      <c r="D568" s="9" t="inlineStr">
        <is>
          <t>Common spider conch</t>
        </is>
      </c>
      <c r="E568" s="9" t="inlineStr">
        <is>
          <t>Other demersal invertebrates</t>
        </is>
      </c>
      <c r="F568" s="9" t="inlineStr">
        <is>
          <t>Molluscs</t>
        </is>
      </c>
      <c r="G568" s="10" t="inlineStr">
        <is>
          <t>3 Macrobenthos</t>
        </is>
      </c>
      <c r="H568" s="11" t="n">
        <v>0.6367890042403861</v>
      </c>
      <c r="I568" s="9" t="inlineStr">
        <is>
          <t>model_biomass</t>
        </is>
      </c>
      <c r="J568" s="12" t="inlineStr">
        <is>
          <t>medium</t>
        </is>
      </c>
      <c r="K568" s="9" t="inlineStr">
        <is>
          <t>composite_split</t>
        </is>
      </c>
      <c r="L568" s="10" t="inlineStr">
        <is>
          <t>Appendix A1.1 lists this exact catch name under `macrobenthos`; apportioned over the region 2 and region 3 pools by model biomass; region 1 is the Maldives shelf, outside LME 34.</t>
        </is>
      </c>
      <c r="M568" s="9" t="n">
        <v>212.788</v>
      </c>
    </row>
    <row r="569" ht="51" customHeight="1">
      <c r="A569" s="9" t="inlineStr">
        <is>
          <t>LME_034</t>
        </is>
      </c>
      <c r="B569" s="10" t="inlineStr">
        <is>
          <t>34_1_Bay_of_Bengal_(1978)</t>
        </is>
      </c>
      <c r="C569" s="10" t="inlineStr">
        <is>
          <t>Menidae</t>
        </is>
      </c>
      <c r="D569" s="9" t="inlineStr">
        <is>
          <t>Moonfishes</t>
        </is>
      </c>
      <c r="E569" s="9" t="inlineStr">
        <is>
          <t>Medium reef assoc. fish (30 - 89 cm)</t>
        </is>
      </c>
      <c r="F569" s="9" t="inlineStr">
        <is>
          <t>Perch-likes</t>
        </is>
      </c>
      <c r="G569" s="10" t="inlineStr">
        <is>
          <t>2 SM inv</t>
        </is>
      </c>
      <c r="H569" s="11" t="n">
        <v>0.3170901271842734</v>
      </c>
      <c r="I569" s="9" t="inlineStr">
        <is>
          <t>model_biomass</t>
        </is>
      </c>
      <c r="J569" s="12" t="inlineStr">
        <is>
          <t>medium</t>
        </is>
      </c>
      <c r="K569" s="9" t="inlineStr">
        <is>
          <t>composite_split</t>
        </is>
      </c>
      <c r="L569" s="10" t="inlineStr">
        <is>
          <t>Appendix A1.3 lists Mene maculata, the single Indo-Pacific menid, in the SM inv species list. Apportioned over the region 2 and region 3 pools by model biomass; region 1 is the Maldives shelf, outside LME 34.</t>
        </is>
      </c>
      <c r="M569" s="9" t="n">
        <v>154.076</v>
      </c>
    </row>
    <row r="570" ht="51" customHeight="1">
      <c r="A570" s="9" t="inlineStr">
        <is>
          <t>LME_034</t>
        </is>
      </c>
      <c r="B570" s="10" t="inlineStr">
        <is>
          <t>34_1_Bay_of_Bengal_(1978)</t>
        </is>
      </c>
      <c r="C570" s="10" t="inlineStr">
        <is>
          <t>Menidae</t>
        </is>
      </c>
      <c r="D570" s="9" t="inlineStr">
        <is>
          <t>Moonfishes</t>
        </is>
      </c>
      <c r="E570" s="9" t="inlineStr">
        <is>
          <t>Medium reef assoc. fish (30 - 89 cm)</t>
        </is>
      </c>
      <c r="F570" s="9" t="inlineStr">
        <is>
          <t>Perch-likes</t>
        </is>
      </c>
      <c r="G570" s="10" t="inlineStr">
        <is>
          <t>3 SM inv</t>
        </is>
      </c>
      <c r="H570" s="11" t="n">
        <v>0.6829098728157266</v>
      </c>
      <c r="I570" s="9" t="inlineStr">
        <is>
          <t>model_biomass</t>
        </is>
      </c>
      <c r="J570" s="12" t="inlineStr">
        <is>
          <t>medium</t>
        </is>
      </c>
      <c r="K570" s="9" t="inlineStr">
        <is>
          <t>composite_split</t>
        </is>
      </c>
      <c r="L570" s="10" t="inlineStr">
        <is>
          <t>Appendix A1.3 lists Mene maculata, the single Indo-Pacific menid, in the SM inv species list. Apportioned over the region 2 and region 3 pools by model biomass; region 1 is the Maldives shelf, outside LME 34.</t>
        </is>
      </c>
      <c r="M570" s="9" t="n">
        <v>154.076</v>
      </c>
    </row>
    <row r="571" ht="51" customHeight="1">
      <c r="A571" s="9" t="inlineStr">
        <is>
          <t>LME_034</t>
        </is>
      </c>
      <c r="B571" s="10" t="inlineStr">
        <is>
          <t>34_1_Bay_of_Bengal_(1978)</t>
        </is>
      </c>
      <c r="C571" s="10" t="inlineStr">
        <is>
          <t>Scyllaridae</t>
        </is>
      </c>
      <c r="D571" s="9" t="inlineStr">
        <is>
          <t>Slipper lobsters</t>
        </is>
      </c>
      <c r="E571" s="9" t="inlineStr">
        <is>
          <t>Lobsters, crabs</t>
        </is>
      </c>
      <c r="F571" s="9" t="inlineStr">
        <is>
          <t>Crustaceans</t>
        </is>
      </c>
      <c r="G571" s="10" t="inlineStr">
        <is>
          <t>2 Crustaceans</t>
        </is>
      </c>
      <c r="H571" s="11" t="n">
        <v>0.2129992169146437</v>
      </c>
      <c r="I571" s="9" t="inlineStr">
        <is>
          <t>model_biomass</t>
        </is>
      </c>
      <c r="J571" s="12" t="inlineStr">
        <is>
          <t>medium</t>
        </is>
      </c>
      <c r="K571" s="9" t="inlineStr">
        <is>
          <t>composite_split</t>
        </is>
      </c>
      <c r="L571" s="10" t="inlineStr">
        <is>
          <t>Appendix A1.1 puts Thenus orientalis - a scyllarid - and `Homaridae and Palinuridae` under Crabs. Apportioned over the region 2 and region 3 pools by model biomass; region 1 is the Maldives shelf, outside LME 34.</t>
        </is>
      </c>
      <c r="M571" s="9" t="n">
        <v>153.675</v>
      </c>
    </row>
    <row r="572" ht="51" customHeight="1">
      <c r="A572" s="9" t="inlineStr">
        <is>
          <t>LME_034</t>
        </is>
      </c>
      <c r="B572" s="10" t="inlineStr">
        <is>
          <t>34_1_Bay_of_Bengal_(1978)</t>
        </is>
      </c>
      <c r="C572" s="10" t="inlineStr">
        <is>
          <t>Scyllaridae</t>
        </is>
      </c>
      <c r="D572" s="9" t="inlineStr">
        <is>
          <t>Slipper lobsters</t>
        </is>
      </c>
      <c r="E572" s="9" t="inlineStr">
        <is>
          <t>Lobsters, crabs</t>
        </is>
      </c>
      <c r="F572" s="9" t="inlineStr">
        <is>
          <t>Crustaceans</t>
        </is>
      </c>
      <c r="G572" s="10" t="inlineStr">
        <is>
          <t>3 Crustaceans</t>
        </is>
      </c>
      <c r="H572" s="11" t="n">
        <v>0.7870007830853563</v>
      </c>
      <c r="I572" s="9" t="inlineStr">
        <is>
          <t>model_biomass</t>
        </is>
      </c>
      <c r="J572" s="12" t="inlineStr">
        <is>
          <t>medium</t>
        </is>
      </c>
      <c r="K572" s="9" t="inlineStr">
        <is>
          <t>composite_split</t>
        </is>
      </c>
      <c r="L572" s="10" t="inlineStr">
        <is>
          <t>Appendix A1.1 puts Thenus orientalis - a scyllarid - and `Homaridae and Palinuridae` under Crabs. Apportioned over the region 2 and region 3 pools by model biomass; region 1 is the Maldives shelf, outside LME 34.</t>
        </is>
      </c>
      <c r="M572" s="9" t="n">
        <v>153.675</v>
      </c>
    </row>
    <row r="573" ht="36" customHeight="1">
      <c r="A573" s="9" t="inlineStr">
        <is>
          <t>LME_034</t>
        </is>
      </c>
      <c r="B573" s="10" t="inlineStr">
        <is>
          <t>34_1_Bay_of_Bengal_(1978)</t>
        </is>
      </c>
      <c r="C573" s="10" t="inlineStr">
        <is>
          <t>Pomadasys argenteus</t>
        </is>
      </c>
      <c r="D573" s="9" t="inlineStr">
        <is>
          <t>Silver grunt</t>
        </is>
      </c>
      <c r="E573" s="9" t="inlineStr">
        <is>
          <t>Medium demersals (30 - 89 cm)</t>
        </is>
      </c>
      <c r="F573" s="9" t="inlineStr">
        <is>
          <t>Perch-likes</t>
        </is>
      </c>
      <c r="G573" s="10" t="inlineStr">
        <is>
          <t>2 SM pisc</t>
        </is>
      </c>
      <c r="H573" s="11" t="n">
        <v>0.3055989990616202</v>
      </c>
      <c r="I573" s="9" t="inlineStr">
        <is>
          <t>model_biomass</t>
        </is>
      </c>
      <c r="J573" s="12" t="inlineStr">
        <is>
          <t>medium</t>
        </is>
      </c>
      <c r="K573" s="9" t="inlineStr">
        <is>
          <t>composite_split</t>
        </is>
      </c>
      <c r="L573" s="10" t="inlineStr">
        <is>
          <t>Appendix A1.1 lists this exact catch name under `SM pisc`; apportioned over the region 2 and region 3 pools by model biomass; region 1 is the Maldives shelf, outside LME 34.</t>
        </is>
      </c>
      <c r="M573" s="9" t="n">
        <v>152.166</v>
      </c>
    </row>
    <row r="574" ht="36" customHeight="1">
      <c r="A574" s="9" t="inlineStr">
        <is>
          <t>LME_034</t>
        </is>
      </c>
      <c r="B574" s="10" t="inlineStr">
        <is>
          <t>34_1_Bay_of_Bengal_(1978)</t>
        </is>
      </c>
      <c r="C574" s="10" t="inlineStr">
        <is>
          <t>Pomadasys argenteus</t>
        </is>
      </c>
      <c r="D574" s="9" t="inlineStr">
        <is>
          <t>Silver grunt</t>
        </is>
      </c>
      <c r="E574" s="9" t="inlineStr">
        <is>
          <t>Medium demersals (30 - 89 cm)</t>
        </is>
      </c>
      <c r="F574" s="9" t="inlineStr">
        <is>
          <t>Perch-likes</t>
        </is>
      </c>
      <c r="G574" s="10" t="inlineStr">
        <is>
          <t>3 SM pisc</t>
        </is>
      </c>
      <c r="H574" s="11" t="n">
        <v>0.6944010009383798</v>
      </c>
      <c r="I574" s="9" t="inlineStr">
        <is>
          <t>model_biomass</t>
        </is>
      </c>
      <c r="J574" s="12" t="inlineStr">
        <is>
          <t>medium</t>
        </is>
      </c>
      <c r="K574" s="9" t="inlineStr">
        <is>
          <t>composite_split</t>
        </is>
      </c>
      <c r="L574" s="10" t="inlineStr">
        <is>
          <t>Appendix A1.1 lists this exact catch name under `SM pisc`; apportioned over the region 2 and region 3 pools by model biomass; region 1 is the Maldives shelf, outside LME 34.</t>
        </is>
      </c>
      <c r="M574" s="9" t="n">
        <v>152.166</v>
      </c>
    </row>
    <row r="575" ht="51" customHeight="1">
      <c r="A575" s="9" t="inlineStr">
        <is>
          <t>LME_034</t>
        </is>
      </c>
      <c r="B575" s="10" t="inlineStr">
        <is>
          <t>34_1_Bay_of_Bengal_(1978)</t>
        </is>
      </c>
      <c r="C575" s="10" t="inlineStr">
        <is>
          <t>Echinodermata</t>
        </is>
      </c>
      <c r="D575" s="9" t="inlineStr">
        <is>
          <t>Sea urchins, stars, cucumbers</t>
        </is>
      </c>
      <c r="E575" s="9" t="inlineStr">
        <is>
          <t>Other demersal invertebrates</t>
        </is>
      </c>
      <c r="F575" s="9" t="inlineStr">
        <is>
          <t>Other fishes &amp; inverts</t>
        </is>
      </c>
      <c r="G575" s="10" t="inlineStr">
        <is>
          <t>2 Macrobenthos</t>
        </is>
      </c>
      <c r="H575" s="11" t="n">
        <v>0.363210995759614</v>
      </c>
      <c r="I575" s="9" t="inlineStr">
        <is>
          <t>model_biomass</t>
        </is>
      </c>
      <c r="J575" s="12" t="inlineStr">
        <is>
          <t>medium</t>
        </is>
      </c>
      <c r="K575" s="9" t="inlineStr">
        <is>
          <t>composite_split</t>
        </is>
      </c>
      <c r="L575" s="10" t="inlineStr">
        <is>
          <t>Appendix A1.1 sends Holothuroidea, Holothuriidae and Stichopus - the only echinoderms in the catch - to macrobenthos. Apportioned over the region 2 and region 3 pools by model biomass; region 1 is the Maldives shelf, outside LME 34.</t>
        </is>
      </c>
      <c r="M575" s="9" t="n">
        <v>139.415</v>
      </c>
    </row>
    <row r="576" ht="51" customHeight="1">
      <c r="A576" s="9" t="inlineStr">
        <is>
          <t>LME_034</t>
        </is>
      </c>
      <c r="B576" s="10" t="inlineStr">
        <is>
          <t>34_1_Bay_of_Bengal_(1978)</t>
        </is>
      </c>
      <c r="C576" s="10" t="inlineStr">
        <is>
          <t>Echinodermata</t>
        </is>
      </c>
      <c r="D576" s="9" t="inlineStr">
        <is>
          <t>Sea urchins, stars, cucumbers</t>
        </is>
      </c>
      <c r="E576" s="9" t="inlineStr">
        <is>
          <t>Other demersal invertebrates</t>
        </is>
      </c>
      <c r="F576" s="9" t="inlineStr">
        <is>
          <t>Other fishes &amp; inverts</t>
        </is>
      </c>
      <c r="G576" s="10" t="inlineStr">
        <is>
          <t>3 Macrobenthos</t>
        </is>
      </c>
      <c r="H576" s="11" t="n">
        <v>0.6367890042403861</v>
      </c>
      <c r="I576" s="9" t="inlineStr">
        <is>
          <t>model_biomass</t>
        </is>
      </c>
      <c r="J576" s="12" t="inlineStr">
        <is>
          <t>medium</t>
        </is>
      </c>
      <c r="K576" s="9" t="inlineStr">
        <is>
          <t>composite_split</t>
        </is>
      </c>
      <c r="L576" s="10" t="inlineStr">
        <is>
          <t>Appendix A1.1 sends Holothuroidea, Holothuriidae and Stichopus - the only echinoderms in the catch - to macrobenthos. Apportioned over the region 2 and region 3 pools by model biomass; region 1 is the Maldives shelf, outside LME 34.</t>
        </is>
      </c>
      <c r="M576" s="9" t="n">
        <v>139.415</v>
      </c>
    </row>
    <row r="577" ht="36" customHeight="1">
      <c r="A577" s="9" t="inlineStr">
        <is>
          <t>LME_034</t>
        </is>
      </c>
      <c r="B577" s="10" t="inlineStr">
        <is>
          <t>34_1_Bay_of_Bengal_(1978)</t>
        </is>
      </c>
      <c r="C577" s="10" t="inlineStr">
        <is>
          <t>Panulirus polyphagus</t>
        </is>
      </c>
      <c r="D577" s="9" t="inlineStr">
        <is>
          <t>Mud spiny lobster</t>
        </is>
      </c>
      <c r="E577" s="9" t="inlineStr">
        <is>
          <t>Lobsters, crabs</t>
        </is>
      </c>
      <c r="F577" s="9" t="inlineStr">
        <is>
          <t>Crustaceans</t>
        </is>
      </c>
      <c r="G577" s="10" t="inlineStr">
        <is>
          <t>2 Crustaceans</t>
        </is>
      </c>
      <c r="H577" s="11" t="n">
        <v>0.2129992169146437</v>
      </c>
      <c r="I577" s="9" t="inlineStr">
        <is>
          <t>model_biomass</t>
        </is>
      </c>
      <c r="J577" s="12" t="inlineStr">
        <is>
          <t>medium</t>
        </is>
      </c>
      <c r="K577" s="9" t="inlineStr">
        <is>
          <t>composite_split</t>
        </is>
      </c>
      <c r="L577" s="10" t="inlineStr">
        <is>
          <t>Appendix A1.1 lists Panulirus and six of its species under Crabs. Apportioned over the region 2 and region 3 pools by model biomass; region 1 is the Maldives shelf, outside LME 34.</t>
        </is>
      </c>
      <c r="M577" s="9" t="n">
        <v>104.265</v>
      </c>
    </row>
    <row r="578" ht="36" customHeight="1">
      <c r="A578" s="9" t="inlineStr">
        <is>
          <t>LME_034</t>
        </is>
      </c>
      <c r="B578" s="10" t="inlineStr">
        <is>
          <t>34_1_Bay_of_Bengal_(1978)</t>
        </is>
      </c>
      <c r="C578" s="10" t="inlineStr">
        <is>
          <t>Panulirus polyphagus</t>
        </is>
      </c>
      <c r="D578" s="9" t="inlineStr">
        <is>
          <t>Mud spiny lobster</t>
        </is>
      </c>
      <c r="E578" s="9" t="inlineStr">
        <is>
          <t>Lobsters, crabs</t>
        </is>
      </c>
      <c r="F578" s="9" t="inlineStr">
        <is>
          <t>Crustaceans</t>
        </is>
      </c>
      <c r="G578" s="10" t="inlineStr">
        <is>
          <t>3 Crustaceans</t>
        </is>
      </c>
      <c r="H578" s="11" t="n">
        <v>0.7870007830853563</v>
      </c>
      <c r="I578" s="9" t="inlineStr">
        <is>
          <t>model_biomass</t>
        </is>
      </c>
      <c r="J578" s="12" t="inlineStr">
        <is>
          <t>medium</t>
        </is>
      </c>
      <c r="K578" s="9" t="inlineStr">
        <is>
          <t>composite_split</t>
        </is>
      </c>
      <c r="L578" s="10" t="inlineStr">
        <is>
          <t>Appendix A1.1 lists Panulirus and six of its species under Crabs. Apportioned over the region 2 and region 3 pools by model biomass; region 1 is the Maldives shelf, outside LME 34.</t>
        </is>
      </c>
      <c r="M578" s="9" t="n">
        <v>104.265</v>
      </c>
    </row>
    <row r="579" ht="36" customHeight="1">
      <c r="A579" s="9" t="inlineStr">
        <is>
          <t>LME_034</t>
        </is>
      </c>
      <c r="B579" s="10" t="inlineStr">
        <is>
          <t>34_1_Bay_of_Bengal_(1978)</t>
        </is>
      </c>
      <c r="C579" s="10" t="inlineStr">
        <is>
          <t>Carcharhinus obscurus</t>
        </is>
      </c>
      <c r="D579" s="9" t="inlineStr">
        <is>
          <t>Dusky shark</t>
        </is>
      </c>
      <c r="E579" s="9" t="inlineStr">
        <is>
          <t>Large sharks (&gt;=90 cm)</t>
        </is>
      </c>
      <c r="F579" s="9" t="inlineStr">
        <is>
          <t>Sharks &amp; rays</t>
        </is>
      </c>
      <c r="G579" s="10" t="inlineStr">
        <is>
          <t>Coastal elasmobranch</t>
        </is>
      </c>
      <c r="H579" s="11" t="n">
        <v>1</v>
      </c>
      <c r="I579" s="9" t="inlineStr">
        <is>
          <t>single</t>
        </is>
      </c>
      <c r="J579" s="13" t="inlineStr">
        <is>
          <t>high</t>
        </is>
      </c>
      <c r="K579" s="9" t="inlineStr">
        <is>
          <t>explicit_member</t>
        </is>
      </c>
      <c r="L579" s="10" t="inlineStr">
        <is>
          <t>Appendix A1.1 lists this exact catch name under `coastal elasmobranch`, modelled as one stock over every EEZ of the study area, 69 % of it (Appendix A1.2).</t>
        </is>
      </c>
      <c r="M579" s="9" t="n">
        <v>74.998</v>
      </c>
    </row>
    <row r="580" ht="36" customHeight="1">
      <c r="A580" s="9" t="inlineStr">
        <is>
          <t>LME_034</t>
        </is>
      </c>
      <c r="B580" s="10" t="inlineStr">
        <is>
          <t>34_1_Bay_of_Bengal_(1978)</t>
        </is>
      </c>
      <c r="C580" s="10" t="inlineStr">
        <is>
          <t>Labridae</t>
        </is>
      </c>
      <c r="D580" s="9" t="inlineStr">
        <is>
          <t>Wrasses, gropers, tuskfishes</t>
        </is>
      </c>
      <c r="E580" s="9" t="inlineStr">
        <is>
          <t>Medium reef assoc. fish (30 - 89 cm)</t>
        </is>
      </c>
      <c r="F580" s="9" t="inlineStr">
        <is>
          <t>Perch-likes</t>
        </is>
      </c>
      <c r="G580" s="10" t="inlineStr">
        <is>
          <t>2 L pisc</t>
        </is>
      </c>
      <c r="H580" s="11" t="n">
        <v>0.449530936694357</v>
      </c>
      <c r="I580" s="9" t="inlineStr">
        <is>
          <t>model_biomass</t>
        </is>
      </c>
      <c r="J580" s="12" t="inlineStr">
        <is>
          <t>medium</t>
        </is>
      </c>
      <c r="K580" s="9" t="inlineStr">
        <is>
          <t>composite_split</t>
        </is>
      </c>
      <c r="L580" s="10" t="inlineStr">
        <is>
          <t>Appendix A1.1 lists this exact catch name under `L pisc`; apportioned over the region 2 and region 3 pools by model biomass; region 1 is the Maldives shelf, outside LME 34.</t>
        </is>
      </c>
      <c r="M580" s="9" t="n">
        <v>67.274</v>
      </c>
    </row>
    <row r="581" ht="36" customHeight="1">
      <c r="A581" s="9" t="inlineStr">
        <is>
          <t>LME_034</t>
        </is>
      </c>
      <c r="B581" s="10" t="inlineStr">
        <is>
          <t>34_1_Bay_of_Bengal_(1978)</t>
        </is>
      </c>
      <c r="C581" s="10" t="inlineStr">
        <is>
          <t>Labridae</t>
        </is>
      </c>
      <c r="D581" s="9" t="inlineStr">
        <is>
          <t>Wrasses, gropers, tuskfishes</t>
        </is>
      </c>
      <c r="E581" s="9" t="inlineStr">
        <is>
          <t>Medium reef assoc. fish (30 - 89 cm)</t>
        </is>
      </c>
      <c r="F581" s="9" t="inlineStr">
        <is>
          <t>Perch-likes</t>
        </is>
      </c>
      <c r="G581" s="10" t="inlineStr">
        <is>
          <t>3 L pisc</t>
        </is>
      </c>
      <c r="H581" s="11" t="n">
        <v>0.5504690633056432</v>
      </c>
      <c r="I581" s="9" t="inlineStr">
        <is>
          <t>model_biomass</t>
        </is>
      </c>
      <c r="J581" s="12" t="inlineStr">
        <is>
          <t>medium</t>
        </is>
      </c>
      <c r="K581" s="9" t="inlineStr">
        <is>
          <t>composite_split</t>
        </is>
      </c>
      <c r="L581" s="10" t="inlineStr">
        <is>
          <t>Appendix A1.1 lists this exact catch name under `L pisc`; apportioned over the region 2 and region 3 pools by model biomass; region 1 is the Maldives shelf, outside LME 34.</t>
        </is>
      </c>
      <c r="M581" s="9" t="n">
        <v>67.274</v>
      </c>
    </row>
    <row r="582" ht="36" customHeight="1">
      <c r="A582" s="9" t="inlineStr">
        <is>
          <t>LME_034</t>
        </is>
      </c>
      <c r="B582" s="10" t="inlineStr">
        <is>
          <t>34_1_Bay_of_Bengal_(1978)</t>
        </is>
      </c>
      <c r="C582" s="10" t="inlineStr">
        <is>
          <t>Polynemus</t>
        </is>
      </c>
      <c r="D582" s="9" t="inlineStr">
        <is>
          <t>Paradise fishes</t>
        </is>
      </c>
      <c r="E582" s="9" t="inlineStr">
        <is>
          <t>Small demersals (&lt;30 cm)</t>
        </is>
      </c>
      <c r="F582" s="9" t="inlineStr">
        <is>
          <t>Perch-likes</t>
        </is>
      </c>
      <c r="G582" s="10" t="inlineStr">
        <is>
          <t>2 L pisc</t>
        </is>
      </c>
      <c r="H582" s="11" t="n">
        <v>0.09211754045054156</v>
      </c>
      <c r="I582" s="9" t="inlineStr">
        <is>
          <t>model_biomass</t>
        </is>
      </c>
      <c r="J582" s="12" t="inlineStr">
        <is>
          <t>medium</t>
        </is>
      </c>
      <c r="K582" s="9" t="inlineStr">
        <is>
          <t>composite_split</t>
        </is>
      </c>
      <c r="L582" s="10" t="inlineStr">
        <is>
          <t>Appendix A1.1 lists this exact catch name under `L pisc, SM inv`; apportioned over the region 2 and region 3 pools by model biomass; region 1 is the Maldives shelf, outside LME 34.</t>
        </is>
      </c>
      <c r="M582" s="9" t="n">
        <v>56.255</v>
      </c>
    </row>
    <row r="583" ht="36" customHeight="1">
      <c r="A583" s="9" t="inlineStr">
        <is>
          <t>LME_034</t>
        </is>
      </c>
      <c r="B583" s="10" t="inlineStr">
        <is>
          <t>34_1_Bay_of_Bengal_(1978)</t>
        </is>
      </c>
      <c r="C583" s="10" t="inlineStr">
        <is>
          <t>Polynemus</t>
        </is>
      </c>
      <c r="D583" s="9" t="inlineStr">
        <is>
          <t>Paradise fishes</t>
        </is>
      </c>
      <c r="E583" s="9" t="inlineStr">
        <is>
          <t>Small demersals (&lt;30 cm)</t>
        </is>
      </c>
      <c r="F583" s="9" t="inlineStr">
        <is>
          <t>Perch-likes</t>
        </is>
      </c>
      <c r="G583" s="10" t="inlineStr">
        <is>
          <t>3 L pisc</t>
        </is>
      </c>
      <c r="H583" s="11" t="n">
        <v>0.1128017052145765</v>
      </c>
      <c r="I583" s="9" t="inlineStr">
        <is>
          <t>model_biomass</t>
        </is>
      </c>
      <c r="J583" s="12" t="inlineStr">
        <is>
          <t>medium</t>
        </is>
      </c>
      <c r="K583" s="9" t="inlineStr">
        <is>
          <t>composite_split</t>
        </is>
      </c>
      <c r="L583" s="10" t="inlineStr">
        <is>
          <t>Appendix A1.1 lists this exact catch name under `L pisc, SM inv`; apportioned over the region 2 and region 3 pools by model biomass; region 1 is the Maldives shelf, outside LME 34.</t>
        </is>
      </c>
      <c r="M583" s="9" t="n">
        <v>56.255</v>
      </c>
    </row>
    <row r="584" ht="36" customHeight="1">
      <c r="A584" s="9" t="inlineStr">
        <is>
          <t>LME_034</t>
        </is>
      </c>
      <c r="B584" s="10" t="inlineStr">
        <is>
          <t>34_1_Bay_of_Bengal_(1978)</t>
        </is>
      </c>
      <c r="C584" s="10" t="inlineStr">
        <is>
          <t>Polynemus</t>
        </is>
      </c>
      <c r="D584" s="9" t="inlineStr">
        <is>
          <t>Paradise fishes</t>
        </is>
      </c>
      <c r="E584" s="9" t="inlineStr">
        <is>
          <t>Small demersals (&lt;30 cm)</t>
        </is>
      </c>
      <c r="F584" s="9" t="inlineStr">
        <is>
          <t>Perch-likes</t>
        </is>
      </c>
      <c r="G584" s="10" t="inlineStr">
        <is>
          <t>2 SM inv</t>
        </is>
      </c>
      <c r="H584" s="11" t="n">
        <v>0.2521122575138158</v>
      </c>
      <c r="I584" s="9" t="inlineStr">
        <is>
          <t>model_biomass</t>
        </is>
      </c>
      <c r="J584" s="12" t="inlineStr">
        <is>
          <t>medium</t>
        </is>
      </c>
      <c r="K584" s="9" t="inlineStr">
        <is>
          <t>composite_split</t>
        </is>
      </c>
      <c r="L584" s="10" t="inlineStr">
        <is>
          <t>Appendix A1.1 lists this exact catch name under `L pisc, SM inv`; apportioned over the region 2 and region 3 pools by model biomass; region 1 is the Maldives shelf, outside LME 34.</t>
        </is>
      </c>
      <c r="M584" s="9" t="n">
        <v>56.255</v>
      </c>
    </row>
    <row r="585" ht="36" customHeight="1">
      <c r="A585" s="9" t="inlineStr">
        <is>
          <t>LME_034</t>
        </is>
      </c>
      <c r="B585" s="10" t="inlineStr">
        <is>
          <t>34_1_Bay_of_Bengal_(1978)</t>
        </is>
      </c>
      <c r="C585" s="10" t="inlineStr">
        <is>
          <t>Polynemus</t>
        </is>
      </c>
      <c r="D585" s="9" t="inlineStr">
        <is>
          <t>Paradise fishes</t>
        </is>
      </c>
      <c r="E585" s="9" t="inlineStr">
        <is>
          <t>Small demersals (&lt;30 cm)</t>
        </is>
      </c>
      <c r="F585" s="9" t="inlineStr">
        <is>
          <t>Perch-likes</t>
        </is>
      </c>
      <c r="G585" s="10" t="inlineStr">
        <is>
          <t>3 SM inv</t>
        </is>
      </c>
      <c r="H585" s="11" t="n">
        <v>0.5429684968210662</v>
      </c>
      <c r="I585" s="9" t="inlineStr">
        <is>
          <t>model_biomass</t>
        </is>
      </c>
      <c r="J585" s="12" t="inlineStr">
        <is>
          <t>medium</t>
        </is>
      </c>
      <c r="K585" s="9" t="inlineStr">
        <is>
          <t>composite_split</t>
        </is>
      </c>
      <c r="L585" s="10" t="inlineStr">
        <is>
          <t>Appendix A1.1 lists this exact catch name under `L pisc, SM inv`; apportioned over the region 2 and region 3 pools by model biomass; region 1 is the Maldives shelf, outside LME 34.</t>
        </is>
      </c>
      <c r="M585" s="9" t="n">
        <v>56.255</v>
      </c>
    </row>
    <row r="586" ht="51" customHeight="1">
      <c r="A586" s="9" t="inlineStr">
        <is>
          <t>LME_034</t>
        </is>
      </c>
      <c r="B586" s="10" t="inlineStr">
        <is>
          <t>34_1_Bay_of_Bengal_(1978)</t>
        </is>
      </c>
      <c r="C586" s="10" t="inlineStr">
        <is>
          <t>Decapterus macarellus</t>
        </is>
      </c>
      <c r="D586" s="9" t="inlineStr">
        <is>
          <t>Mackerel scad</t>
        </is>
      </c>
      <c r="E586" s="9" t="inlineStr">
        <is>
          <t>Medium pelagics (30 - 89 cm)</t>
        </is>
      </c>
      <c r="F586" s="9" t="inlineStr">
        <is>
          <t>Perch-likes</t>
        </is>
      </c>
      <c r="G586" s="10" t="inlineStr">
        <is>
          <t>2 Carangids</t>
        </is>
      </c>
      <c r="H586" s="11" t="n">
        <v>0.3043867502238138</v>
      </c>
      <c r="I586" s="9" t="inlineStr">
        <is>
          <t>model_biomass</t>
        </is>
      </c>
      <c r="J586" s="12" t="inlineStr">
        <is>
          <t>medium</t>
        </is>
      </c>
      <c r="K586" s="9" t="inlineStr">
        <is>
          <t>composite_split</t>
        </is>
      </c>
      <c r="L586" s="10" t="inlineStr">
        <is>
          <t>Appendix A1.1 lists Decapterus and D. russelli under Carangids, and A1.3 names D. macrosoma and D. russelli in that species list. Apportioned over the region 2 and region 3 pools by model biomass; region 1 is the Maldives shelf, outside LME 34.</t>
        </is>
      </c>
      <c r="M586" s="9" t="n">
        <v>23.574</v>
      </c>
    </row>
    <row r="587" ht="51" customHeight="1">
      <c r="A587" s="9" t="inlineStr">
        <is>
          <t>LME_034</t>
        </is>
      </c>
      <c r="B587" s="10" t="inlineStr">
        <is>
          <t>34_1_Bay_of_Bengal_(1978)</t>
        </is>
      </c>
      <c r="C587" s="10" t="inlineStr">
        <is>
          <t>Decapterus macarellus</t>
        </is>
      </c>
      <c r="D587" s="9" t="inlineStr">
        <is>
          <t>Mackerel scad</t>
        </is>
      </c>
      <c r="E587" s="9" t="inlineStr">
        <is>
          <t>Medium pelagics (30 - 89 cm)</t>
        </is>
      </c>
      <c r="F587" s="9" t="inlineStr">
        <is>
          <t>Perch-likes</t>
        </is>
      </c>
      <c r="G587" s="10" t="inlineStr">
        <is>
          <t>3 Carangids</t>
        </is>
      </c>
      <c r="H587" s="11" t="n">
        <v>0.6956132497761862</v>
      </c>
      <c r="I587" s="9" t="inlineStr">
        <is>
          <t>model_biomass</t>
        </is>
      </c>
      <c r="J587" s="12" t="inlineStr">
        <is>
          <t>medium</t>
        </is>
      </c>
      <c r="K587" s="9" t="inlineStr">
        <is>
          <t>composite_split</t>
        </is>
      </c>
      <c r="L587" s="10" t="inlineStr">
        <is>
          <t>Appendix A1.1 lists Decapterus and D. russelli under Carangids, and A1.3 names D. macrosoma and D. russelli in that species list. Apportioned over the region 2 and region 3 pools by model biomass; region 1 is the Maldives shelf, outside LME 34.</t>
        </is>
      </c>
      <c r="M587" s="9" t="n">
        <v>23.574</v>
      </c>
    </row>
    <row r="588" ht="36" customHeight="1">
      <c r="A588" s="9" t="inlineStr">
        <is>
          <t>LME_034</t>
        </is>
      </c>
      <c r="B588" s="10" t="inlineStr">
        <is>
          <t>34_1_Bay_of_Bengal_(1978)</t>
        </is>
      </c>
      <c r="C588" s="10" t="inlineStr">
        <is>
          <t>Carcharhinus brachyurus</t>
        </is>
      </c>
      <c r="D588" s="9" t="inlineStr">
        <is>
          <t>Copper shark</t>
        </is>
      </c>
      <c r="E588" s="9" t="inlineStr">
        <is>
          <t>Large sharks (&gt;=90 cm)</t>
        </is>
      </c>
      <c r="F588" s="9" t="inlineStr">
        <is>
          <t>Sharks &amp; rays</t>
        </is>
      </c>
      <c r="G588" s="10" t="inlineStr">
        <is>
          <t>Coastal elasmobranch</t>
        </is>
      </c>
      <c r="H588" s="11" t="n">
        <v>1</v>
      </c>
      <c r="I588" s="9" t="inlineStr">
        <is>
          <t>single</t>
        </is>
      </c>
      <c r="J588" s="12" t="inlineStr">
        <is>
          <t>medium</t>
        </is>
      </c>
      <c r="K588" s="9" t="inlineStr">
        <is>
          <t>taxonomic_containment</t>
        </is>
      </c>
      <c r="L588" s="10" t="inlineStr">
        <is>
          <t>Appendix A1.1 assigns the genus Carcharhinus to coastal elasmobranch on the Andaman species list, and A1.3 places every shelf Carcharhinus there; the copper shark is a shelf species.</t>
        </is>
      </c>
      <c r="M588" s="9" t="n">
        <v>2.775</v>
      </c>
    </row>
    <row r="589" ht="36" customHeight="1">
      <c r="A589" s="9" t="inlineStr">
        <is>
          <t>LME_034</t>
        </is>
      </c>
      <c r="B589" s="10" t="inlineStr">
        <is>
          <t>34_1_Bay_of_Bengal_(1978)</t>
        </is>
      </c>
      <c r="C589" s="10" t="inlineStr">
        <is>
          <t>Epinephelus tauvina</t>
        </is>
      </c>
      <c r="D589" s="9" t="inlineStr">
        <is>
          <t>Greasy grouper</t>
        </is>
      </c>
      <c r="E589" s="9" t="inlineStr">
        <is>
          <t>Medium reef assoc. fish (30 - 89 cm)</t>
        </is>
      </c>
      <c r="F589" s="9" t="inlineStr">
        <is>
          <t>Perch-likes</t>
        </is>
      </c>
      <c r="G589" s="10" t="inlineStr">
        <is>
          <t>2 L pisc comm</t>
        </is>
      </c>
      <c r="H589" s="11" t="n">
        <v>0.4790991864112831</v>
      </c>
      <c r="I589" s="9" t="inlineStr">
        <is>
          <t>model_biomass</t>
        </is>
      </c>
      <c r="J589" s="12" t="inlineStr">
        <is>
          <t>medium</t>
        </is>
      </c>
      <c r="K589" s="9" t="inlineStr">
        <is>
          <t>composite_split</t>
        </is>
      </c>
      <c r="L589" s="10" t="inlineStr">
        <is>
          <t>Appendix A1.1 lists this exact catch name under `L pisc comm`; apportioned over the region 2 and region 3 pools by model biomass; region 1 is the Maldives shelf, outside LME 34.</t>
        </is>
      </c>
      <c r="M589" s="9" t="n">
        <v>2.122</v>
      </c>
    </row>
    <row r="590" ht="36" customHeight="1">
      <c r="A590" s="9" t="inlineStr">
        <is>
          <t>LME_034</t>
        </is>
      </c>
      <c r="B590" s="10" t="inlineStr">
        <is>
          <t>34_1_Bay_of_Bengal_(1978)</t>
        </is>
      </c>
      <c r="C590" s="10" t="inlineStr">
        <is>
          <t>Epinephelus tauvina</t>
        </is>
      </c>
      <c r="D590" s="9" t="inlineStr">
        <is>
          <t>Greasy grouper</t>
        </is>
      </c>
      <c r="E590" s="9" t="inlineStr">
        <is>
          <t>Medium reef assoc. fish (30 - 89 cm)</t>
        </is>
      </c>
      <c r="F590" s="9" t="inlineStr">
        <is>
          <t>Perch-likes</t>
        </is>
      </c>
      <c r="G590" s="10" t="inlineStr">
        <is>
          <t>3 L pisc comm</t>
        </is>
      </c>
      <c r="H590" s="11" t="n">
        <v>0.5209008135887169</v>
      </c>
      <c r="I590" s="9" t="inlineStr">
        <is>
          <t>model_biomass</t>
        </is>
      </c>
      <c r="J590" s="12" t="inlineStr">
        <is>
          <t>medium</t>
        </is>
      </c>
      <c r="K590" s="9" t="inlineStr">
        <is>
          <t>composite_split</t>
        </is>
      </c>
      <c r="L590" s="10" t="inlineStr">
        <is>
          <t>Appendix A1.1 lists this exact catch name under `L pisc comm`; apportioned over the region 2 and region 3 pools by model biomass; region 1 is the Maldives shelf, outside LME 34.</t>
        </is>
      </c>
      <c r="M590" s="9" t="n">
        <v>2.122</v>
      </c>
    </row>
    <row r="591" ht="66" customHeight="1">
      <c r="A591" s="9" t="inlineStr">
        <is>
          <t>LME_034</t>
        </is>
      </c>
      <c r="B591" s="10" t="inlineStr">
        <is>
          <t>34_1_Bay_of_Bengal_(1978)</t>
        </is>
      </c>
      <c r="C591" s="10" t="inlineStr">
        <is>
          <t>Rajiformes</t>
        </is>
      </c>
      <c r="D591" s="9" t="inlineStr">
        <is>
          <t>Skates and rays</t>
        </is>
      </c>
      <c r="E591" s="9" t="inlineStr">
        <is>
          <t>Large rays (&gt;=90 cm)</t>
        </is>
      </c>
      <c r="F591" s="9" t="inlineStr">
        <is>
          <t>Sharks &amp; rays</t>
        </is>
      </c>
      <c r="G591" s="10" t="inlineStr">
        <is>
          <t>Coastal elasmobranch</t>
        </is>
      </c>
      <c r="H591" s="11" t="n">
        <v>1</v>
      </c>
      <c r="I591" s="9" t="inlineStr">
        <is>
          <t>single</t>
        </is>
      </c>
      <c r="J591" s="12" t="inlineStr">
        <is>
          <t>medium</t>
        </is>
      </c>
      <c r="K591" s="9" t="inlineStr">
        <is>
          <t>taxonomic_containment</t>
        </is>
      </c>
      <c r="L591" s="10" t="inlineStr">
        <is>
          <t>Appendix A1.1 sends every elasmobranch nei label to `oceanic, coastal sharks`, but Appendix A1.3 places all of the model's batoids - Rhynchobatus, Glaucostegus, Dasyatis, six Himantura, Aetobatus, Rhinoptera, two Mobula and two Aetomylaeus - in Coastal elasmobranch; the only batoid in Oceanic sharks is the oceanic pelagic stingray.</t>
        </is>
      </c>
      <c r="M591" s="9" t="n">
        <v>0.897</v>
      </c>
    </row>
    <row r="592" ht="66" customHeight="1">
      <c r="A592" s="9" t="inlineStr">
        <is>
          <t>LME_034</t>
        </is>
      </c>
      <c r="B592" s="10" t="inlineStr">
        <is>
          <t>34_1_Bay_of_Bengal_(1978)</t>
        </is>
      </c>
      <c r="C592" s="10" t="inlineStr">
        <is>
          <t>Lepidocybium flavobrunneum</t>
        </is>
      </c>
      <c r="D592" s="9" t="inlineStr">
        <is>
          <t>Escolar</t>
        </is>
      </c>
      <c r="E592" s="9" t="inlineStr">
        <is>
          <t>Large bathypelagics (&gt;=90 cm)</t>
        </is>
      </c>
      <c r="F592" s="9" t="inlineStr">
        <is>
          <t>Perch-likes</t>
        </is>
      </c>
      <c r="G592" s="10" t="inlineStr">
        <is>
          <t>ML bathy</t>
        </is>
      </c>
      <c r="H592" s="11" t="n">
        <v>1</v>
      </c>
      <c r="I592" s="9" t="inlineStr">
        <is>
          <t>single</t>
        </is>
      </c>
      <c r="J592" s="14" t="inlineStr">
        <is>
          <t>low</t>
        </is>
      </c>
      <c r="K592" s="9" t="inlineStr">
        <is>
          <t>analogue</t>
        </is>
      </c>
      <c r="L592" s="10" t="inlineStr">
        <is>
          <t>Sea Around Us classes the escolar as a large bathypelagic. The model's only deep-water fish pools are S bathy (myctophids and other small mesopelagics) and ML bathy, whose A1.3 list of medium-to-large deep-water fishes - Alepisaurus, Lampris, Nemichthys, Trachipterus - is the analogue for a large gempylid.</t>
        </is>
      </c>
      <c r="M592" s="9" t="n">
        <v>0.512</v>
      </c>
    </row>
    <row r="593" ht="36" customHeight="1">
      <c r="A593" s="9" t="inlineStr">
        <is>
          <t>LME_034</t>
        </is>
      </c>
      <c r="B593" s="10" t="inlineStr">
        <is>
          <t>34_1_Bay_of_Bengal_(1978)</t>
        </is>
      </c>
      <c r="C593" s="10" t="inlineStr">
        <is>
          <t>Carcharhinus plumbeus</t>
        </is>
      </c>
      <c r="D593" s="9" t="inlineStr">
        <is>
          <t>Sandbar shark</t>
        </is>
      </c>
      <c r="E593" s="9" t="inlineStr">
        <is>
          <t>Large sharks (&gt;=90 cm)</t>
        </is>
      </c>
      <c r="F593" s="9" t="inlineStr">
        <is>
          <t>Sharks &amp; rays</t>
        </is>
      </c>
      <c r="G593" s="10" t="inlineStr">
        <is>
          <t>Coastal elasmobranch</t>
        </is>
      </c>
      <c r="H593" s="11" t="n">
        <v>1</v>
      </c>
      <c r="I593" s="9" t="inlineStr">
        <is>
          <t>single</t>
        </is>
      </c>
      <c r="J593" s="12" t="inlineStr">
        <is>
          <t>medium</t>
        </is>
      </c>
      <c r="K593" s="9" t="inlineStr">
        <is>
          <t>taxonomic_containment</t>
        </is>
      </c>
      <c r="L593" s="10" t="inlineStr">
        <is>
          <t>Appendix A1.1 assigns the genus Carcharhinus to coastal elasmobranch on the Andaman species list; the sandbar shark is a shelf species. No catch is recorded for it in this LME.</t>
        </is>
      </c>
      <c r="M593" s="9" t="n">
        <v>0.183</v>
      </c>
    </row>
    <row r="594" ht="36" customHeight="1">
      <c r="A594" s="9" t="inlineStr">
        <is>
          <t>LME_034</t>
        </is>
      </c>
      <c r="B594" s="10" t="inlineStr">
        <is>
          <t>34_1_Bay_of_Bengal_(1978)</t>
        </is>
      </c>
      <c r="C594" s="10" t="inlineStr">
        <is>
          <t>Mobula birostris</t>
        </is>
      </c>
      <c r="D594" s="9" t="inlineStr">
        <is>
          <t>Giant manta</t>
        </is>
      </c>
      <c r="E594" s="9" t="inlineStr">
        <is>
          <t>Large rays (&gt;=90 cm)</t>
        </is>
      </c>
      <c r="F594" s="9" t="inlineStr">
        <is>
          <t>Sharks &amp; rays</t>
        </is>
      </c>
      <c r="G594" s="10" t="inlineStr">
        <is>
          <t>Coastal elasmobranch</t>
        </is>
      </c>
      <c r="H594" s="11" t="n">
        <v>1</v>
      </c>
      <c r="I594" s="9" t="inlineStr">
        <is>
          <t>single</t>
        </is>
      </c>
      <c r="J594" s="12" t="inlineStr">
        <is>
          <t>medium</t>
        </is>
      </c>
      <c r="K594" s="9" t="inlineStr">
        <is>
          <t>taxonomic_containment</t>
        </is>
      </c>
      <c r="L594" s="10" t="inlineStr">
        <is>
          <t>Appendix A1.3 lists Mobula japonica and M. eregoodootenkee in Coastal elasmobranch; this congener follows them. No catch is recorded for it in this LME.</t>
        </is>
      </c>
      <c r="M594" s="9" t="n">
        <v>0.079</v>
      </c>
    </row>
    <row r="595" ht="36" customHeight="1">
      <c r="A595" s="9" t="inlineStr">
        <is>
          <t>LME_034</t>
        </is>
      </c>
      <c r="B595" s="10" t="inlineStr">
        <is>
          <t>34_1_Bay_of_Bengal_(1978)</t>
        </is>
      </c>
      <c r="C595" s="10" t="inlineStr">
        <is>
          <t>Mene maculata</t>
        </is>
      </c>
      <c r="D595" s="9" t="inlineStr">
        <is>
          <t>Moonfish</t>
        </is>
      </c>
      <c r="E595" s="9" t="inlineStr">
        <is>
          <t>Medium reef assoc. fish (30 - 89 cm)</t>
        </is>
      </c>
      <c r="F595" s="9" t="inlineStr">
        <is>
          <t>Perch-likes</t>
        </is>
      </c>
      <c r="G595" s="10" t="inlineStr">
        <is>
          <t>2 SM inv</t>
        </is>
      </c>
      <c r="H595" s="11" t="n">
        <v>0.3170901271842734</v>
      </c>
      <c r="I595" s="9" t="inlineStr">
        <is>
          <t>model_biomass</t>
        </is>
      </c>
      <c r="J595" s="12" t="inlineStr">
        <is>
          <t>medium</t>
        </is>
      </c>
      <c r="K595" s="9" t="inlineStr">
        <is>
          <t>composite_split</t>
        </is>
      </c>
      <c r="L595" s="10" t="inlineStr">
        <is>
          <t>Appendix A1.3 lists Mene maculata in the `SM inv` species list. Apportioned over the region 2 and region 3 pools by model biomass; region 1 is the Maldives shelf, outside LME 34.</t>
        </is>
      </c>
      <c r="M595" s="9" t="n">
        <v>0.022</v>
      </c>
    </row>
    <row r="596" ht="36" customHeight="1">
      <c r="A596" s="9" t="inlineStr">
        <is>
          <t>LME_034</t>
        </is>
      </c>
      <c r="B596" s="10" t="inlineStr">
        <is>
          <t>34_1_Bay_of_Bengal_(1978)</t>
        </is>
      </c>
      <c r="C596" s="10" t="inlineStr">
        <is>
          <t>Mene maculata</t>
        </is>
      </c>
      <c r="D596" s="9" t="inlineStr">
        <is>
          <t>Moonfish</t>
        </is>
      </c>
      <c r="E596" s="9" t="inlineStr">
        <is>
          <t>Medium reef assoc. fish (30 - 89 cm)</t>
        </is>
      </c>
      <c r="F596" s="9" t="inlineStr">
        <is>
          <t>Perch-likes</t>
        </is>
      </c>
      <c r="G596" s="10" t="inlineStr">
        <is>
          <t>3 SM inv</t>
        </is>
      </c>
      <c r="H596" s="11" t="n">
        <v>0.6829098728157266</v>
      </c>
      <c r="I596" s="9" t="inlineStr">
        <is>
          <t>model_biomass</t>
        </is>
      </c>
      <c r="J596" s="12" t="inlineStr">
        <is>
          <t>medium</t>
        </is>
      </c>
      <c r="K596" s="9" t="inlineStr">
        <is>
          <t>composite_split</t>
        </is>
      </c>
      <c r="L596" s="10" t="inlineStr">
        <is>
          <t>Appendix A1.3 lists Mene maculata in the `SM inv` species list. Apportioned over the region 2 and region 3 pools by model biomass; region 1 is the Maldives shelf, outside LME 34.</t>
        </is>
      </c>
      <c r="M596" s="9" t="n">
        <v>0.022</v>
      </c>
    </row>
    <row r="597" ht="21" customHeight="1">
      <c r="A597" s="9" t="inlineStr">
        <is>
          <t>LME_034</t>
        </is>
      </c>
      <c r="B597" s="10" t="inlineStr">
        <is>
          <t>34_1_Bay_of_Bengal_(1978)</t>
        </is>
      </c>
      <c r="C597" s="10" t="inlineStr">
        <is>
          <t>Lampris guttatus</t>
        </is>
      </c>
      <c r="D597" s="9" t="inlineStr">
        <is>
          <t>Opah</t>
        </is>
      </c>
      <c r="E597" s="9" t="inlineStr">
        <is>
          <t>Large bathypelagics (&gt;=90 cm)</t>
        </is>
      </c>
      <c r="F597" s="9" t="inlineStr">
        <is>
          <t>Other fishes &amp; inverts</t>
        </is>
      </c>
      <c r="G597" s="10" t="inlineStr">
        <is>
          <t>ML bathy</t>
        </is>
      </c>
      <c r="H597" s="11" t="n">
        <v>1</v>
      </c>
      <c r="I597" s="9" t="inlineStr">
        <is>
          <t>single</t>
        </is>
      </c>
      <c r="J597" s="13" t="inlineStr">
        <is>
          <t>high</t>
        </is>
      </c>
      <c r="K597" s="9" t="inlineStr">
        <is>
          <t>explicit_member</t>
        </is>
      </c>
      <c r="L597" s="10" t="inlineStr">
        <is>
          <t>Appendix A1.3 lists Lampris guttatus in the `ML bathy` species list.</t>
        </is>
      </c>
      <c r="M597" s="9" t="n">
        <v>0.006</v>
      </c>
    </row>
  </sheetData>
  <autoFilter ref="A4:M59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319"/>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4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s>
  <sheetData>
    <row r="1">
      <c r="A1" s="1" t="inlineStr">
        <is>
          <t>Specific PPR per taxon — LME_034, model 34_1_Bay_of_Bengal_(1978)</t>
        </is>
      </c>
    </row>
    <row r="2">
      <c r="A2" t="inlineStr">
        <is>
          <t>sppr_simple is the trophic-chain estimate (1/TE)^(TL-1) at TE=0.1, applied to the taxon's own trophic level and needing no model.</t>
        </is>
      </c>
    </row>
    <row r="3">
      <c r="A3" t="inlineStr">
        <is>
          <t>All basal sources, including imports. Blank means unavailable, not zero. sppr_simple is an unpartitioned reference.</t>
        </is>
      </c>
    </row>
    <row r="4">
      <c r="A4" s="4" t="inlineStr">
        <is>
          <t>taxon</t>
        </is>
      </c>
      <c r="B4" s="4" t="inlineStr">
        <is>
          <t>trophic_level</t>
        </is>
      </c>
      <c r="C4" s="4" t="inlineStr">
        <is>
          <t>sppr_simple</t>
        </is>
      </c>
      <c r="D4" s="4" t="inlineStr">
        <is>
          <t>Ecopath group</t>
        </is>
      </c>
      <c r="E4" s="4" t="inlineStr">
        <is>
          <t>SPPR_1986</t>
        </is>
      </c>
      <c r="F4" s="4" t="inlineStr">
        <is>
          <t>SPPR_1995_TE0.1</t>
        </is>
      </c>
      <c r="G4" s="4" t="inlineStr">
        <is>
          <t>SPPR_1995_TEmean</t>
        </is>
      </c>
      <c r="H4" s="4" t="inlineStr">
        <is>
          <t>Ulanowicz_globalTEmean</t>
        </is>
      </c>
      <c r="I4" s="4" t="inlineStr">
        <is>
          <t>Ulanowicz_TE</t>
        </is>
      </c>
      <c r="J4" s="4" t="inlineStr">
        <is>
          <t>EwE_TE_noEE</t>
        </is>
      </c>
      <c r="K4" s="4" t="inlineStr">
        <is>
          <t>EwE_TE_EE</t>
        </is>
      </c>
      <c r="L4" s="4" t="inlineStr">
        <is>
          <t>SPPR_2015</t>
        </is>
      </c>
      <c r="M4" s="4" t="inlineStr">
        <is>
          <t>new_TE_noEEfix</t>
        </is>
      </c>
      <c r="N4" s="4" t="inlineStr">
        <is>
          <t>new_TE_EEfix</t>
        </is>
      </c>
      <c r="O4" s="4" t="inlineStr">
        <is>
          <t>new_GE</t>
        </is>
      </c>
      <c r="P4" s="4" t="inlineStr">
        <is>
          <t>new_WithEgestion</t>
        </is>
      </c>
      <c r="Q4" s="4" t="inlineStr">
        <is>
          <t>sym_TE_asPP</t>
        </is>
      </c>
      <c r="R4" s="4" t="inlineStr">
        <is>
          <t>sym_TE_asDC</t>
        </is>
      </c>
      <c r="S4" s="4" t="inlineStr">
        <is>
          <t>sym_GE_asPP</t>
        </is>
      </c>
      <c r="T4" s="4" t="inlineStr">
        <is>
          <t>sym_GE_asDC</t>
        </is>
      </c>
      <c r="U4" s="4" t="inlineStr">
        <is>
          <t>sym_WithEgestion_asPP</t>
        </is>
      </c>
      <c r="V4" s="4" t="inlineStr">
        <is>
          <t>sym_WithEgestion_asDC</t>
        </is>
      </c>
      <c r="W4" s="4" t="inlineStr">
        <is>
          <t>MC_new_GE</t>
        </is>
      </c>
      <c r="X4" s="4" t="inlineStr">
        <is>
          <t>MC_new_TE_EEfix</t>
        </is>
      </c>
      <c r="Y4" s="4" t="inlineStr">
        <is>
          <t>SPPR_1995_TEmean_catch</t>
        </is>
      </c>
      <c r="Z4" s="4" t="inlineStr">
        <is>
          <t>Ulanowicz_globalTEmean_catch</t>
        </is>
      </c>
    </row>
    <row r="5" ht="51" customHeight="1">
      <c r="A5" t="inlineStr">
        <is>
          <t>Marine fishes not identified</t>
        </is>
      </c>
      <c r="B5" t="n">
        <v>3.28</v>
      </c>
      <c r="C5" t="n">
        <v>190.546072</v>
      </c>
      <c r="D5" s="10" t="inlineStr">
        <is>
          <t>2 L pisc comm | 3 L pisc comm | 2 SM pisc | 3 SM pisc | 2 SM inv | 3 SM inv | 2 L pisc | 3 L pisc</t>
        </is>
      </c>
      <c r="E5" t="n">
        <v>276.665746</v>
      </c>
      <c r="F5" t="n">
        <v>624.960598</v>
      </c>
      <c r="G5" t="n">
        <v>381.961857</v>
      </c>
      <c r="H5" t="n">
        <v>1068.936421</v>
      </c>
      <c r="I5" t="n">
        <v>315.08601</v>
      </c>
      <c r="J5" t="n">
        <v>388.547117</v>
      </c>
      <c r="K5" t="n">
        <v>357.844854</v>
      </c>
      <c r="L5" t="n">
        <v>1115.481833</v>
      </c>
      <c r="M5" t="n">
        <v>1115.481833</v>
      </c>
      <c r="N5" t="n">
        <v>1115.481833</v>
      </c>
      <c r="O5" t="n">
        <v>895.370466</v>
      </c>
      <c r="P5" t="n">
        <v>290.499242</v>
      </c>
      <c r="Q5" t="n">
        <v>1115.481833</v>
      </c>
      <c r="R5" t="n">
        <v>-156594.909325</v>
      </c>
      <c r="S5" t="n">
        <v>895.370466</v>
      </c>
      <c r="T5" t="n">
        <v>2832695.731259</v>
      </c>
      <c r="U5" t="n">
        <v>290.499242</v>
      </c>
      <c r="V5" t="n">
        <v>920900493.107239</v>
      </c>
      <c r="W5" t="n">
        <v>1435.442915</v>
      </c>
      <c r="X5" t="n">
        <v>1492.648824</v>
      </c>
      <c r="Y5" t="n">
        <v>92.92978100000001</v>
      </c>
      <c r="Z5" t="n">
        <v>152.424756</v>
      </c>
    </row>
    <row r="6" ht="21" customHeight="1">
      <c r="A6" t="inlineStr">
        <is>
          <t>Penaeidae</t>
        </is>
      </c>
      <c r="B6" t="n">
        <v>3.31</v>
      </c>
      <c r="C6" t="n">
        <v>204.173794</v>
      </c>
      <c r="D6" s="10" t="inlineStr">
        <is>
          <t>2 Crustaceans | 3 Crustaceans</t>
        </is>
      </c>
      <c r="E6" t="n">
        <v>276.665746</v>
      </c>
      <c r="F6" t="n">
        <v>87.346446</v>
      </c>
      <c r="G6" t="n">
        <v>62.825827</v>
      </c>
      <c r="H6" t="n">
        <v>62.583797</v>
      </c>
      <c r="I6" t="n">
        <v>49.059783</v>
      </c>
      <c r="J6" t="n">
        <v>49.059783</v>
      </c>
      <c r="K6" t="n">
        <v>45.848307</v>
      </c>
      <c r="L6" t="n">
        <v>88.61683499999999</v>
      </c>
      <c r="M6" t="n">
        <v>88.61683499999999</v>
      </c>
      <c r="N6" t="n">
        <v>88.61683499999999</v>
      </c>
      <c r="O6" t="n">
        <v>112.736869</v>
      </c>
      <c r="P6" t="n">
        <v>69.749027</v>
      </c>
      <c r="Q6" t="n">
        <v>88.61683499999999</v>
      </c>
      <c r="R6" t="n">
        <v>88.61683499999999</v>
      </c>
      <c r="S6" t="n">
        <v>112.736869</v>
      </c>
      <c r="T6" t="n">
        <v>18.000131</v>
      </c>
      <c r="U6" t="n">
        <v>69.749027</v>
      </c>
      <c r="V6" t="n">
        <v>77.336753</v>
      </c>
      <c r="W6" t="n">
        <v>138.030843</v>
      </c>
      <c r="X6" t="n">
        <v>98.46392899999999</v>
      </c>
      <c r="Y6" t="n">
        <v>24.163479</v>
      </c>
      <c r="Z6" t="n">
        <v>23.495104</v>
      </c>
    </row>
    <row r="7" ht="21" customHeight="1">
      <c r="A7" t="inlineStr">
        <is>
          <t>Tenualosa ilisha</t>
        </is>
      </c>
      <c r="B7" t="n">
        <v>2.2</v>
      </c>
      <c r="C7" t="n">
        <v>15.848932</v>
      </c>
      <c r="D7" s="10" t="inlineStr">
        <is>
          <t>2-3 Hilsa</t>
        </is>
      </c>
      <c r="E7" t="n">
        <v>276.665746</v>
      </c>
      <c r="F7" t="n">
        <v>19.832171</v>
      </c>
      <c r="G7" t="n">
        <v>15.945855</v>
      </c>
      <c r="H7" t="n">
        <v>27.184936</v>
      </c>
      <c r="I7" t="n">
        <v>23.959577</v>
      </c>
      <c r="J7" t="n">
        <v>23.959577</v>
      </c>
      <c r="K7" t="n">
        <v>22.402205</v>
      </c>
      <c r="L7" t="n">
        <v>23.5341</v>
      </c>
      <c r="M7" t="n">
        <v>23.5341</v>
      </c>
      <c r="N7" t="n">
        <v>23.5341</v>
      </c>
      <c r="O7" t="n">
        <v>8.732358</v>
      </c>
      <c r="P7" t="n">
        <v>6.162297</v>
      </c>
      <c r="Q7" t="n">
        <v>23.5341</v>
      </c>
      <c r="R7" t="n">
        <v>27.800673</v>
      </c>
      <c r="S7" t="n">
        <v>8.732358</v>
      </c>
      <c r="T7" t="n">
        <v>8.694547999999999</v>
      </c>
      <c r="U7" t="n">
        <v>6.162297</v>
      </c>
      <c r="V7" t="n">
        <v>6.925038</v>
      </c>
      <c r="W7" t="n">
        <v>9.202946000000001</v>
      </c>
      <c r="X7" t="n">
        <v>23.246832</v>
      </c>
      <c r="Y7" t="n">
        <v>8.458360000000001</v>
      </c>
      <c r="Z7" t="n">
        <v>11.637438</v>
      </c>
    </row>
    <row r="8" ht="21" customHeight="1">
      <c r="A8" t="inlineStr">
        <is>
          <t>Sciaenidae</t>
        </is>
      </c>
      <c r="B8" t="n">
        <v>3.76</v>
      </c>
      <c r="C8" t="n">
        <v>575.439937</v>
      </c>
      <c r="D8" s="10" t="inlineStr">
        <is>
          <t>2 L pisc comm | 3 L pisc comm</t>
        </is>
      </c>
      <c r="E8" t="n">
        <v>276.665746</v>
      </c>
      <c r="F8" t="n">
        <v>942.008432</v>
      </c>
      <c r="G8" t="n">
        <v>569.455705</v>
      </c>
      <c r="H8" t="n">
        <v>2134.327853</v>
      </c>
      <c r="I8" t="n">
        <v>640.479051</v>
      </c>
      <c r="J8" t="n">
        <v>809.758325</v>
      </c>
      <c r="K8" t="n">
        <v>735.799922</v>
      </c>
      <c r="L8" t="n">
        <v>2161.826618</v>
      </c>
      <c r="M8" t="n">
        <v>2161.826618</v>
      </c>
      <c r="N8" t="n">
        <v>2161.826618</v>
      </c>
      <c r="O8" t="n">
        <v>1597.141175</v>
      </c>
      <c r="P8" t="n">
        <v>484.321234</v>
      </c>
      <c r="Q8" t="n">
        <v>2161.826618</v>
      </c>
      <c r="R8" t="n">
        <v>-1582279.837302</v>
      </c>
      <c r="S8" t="n">
        <v>1597.141175</v>
      </c>
      <c r="T8" t="n">
        <v>18597729.236262</v>
      </c>
      <c r="U8" t="n">
        <v>484.321234</v>
      </c>
      <c r="V8" t="n">
        <v>-731199951.6958441</v>
      </c>
      <c r="W8" t="n">
        <v>2522.004884</v>
      </c>
      <c r="X8" t="n">
        <v>2847.344437</v>
      </c>
      <c r="Y8" t="n">
        <v>132.205276</v>
      </c>
      <c r="Z8" t="n">
        <v>267.681374</v>
      </c>
    </row>
    <row r="9" ht="21" customHeight="1">
      <c r="A9" t="inlineStr">
        <is>
          <t>Rastrelliger</t>
        </is>
      </c>
      <c r="B9" t="n">
        <v>3.1</v>
      </c>
      <c r="C9" t="n">
        <v>125.892541</v>
      </c>
      <c r="D9" s="10" t="inlineStr">
        <is>
          <t>2-3 Indian mackerel</t>
        </is>
      </c>
      <c r="E9" t="n">
        <v>276.665746</v>
      </c>
      <c r="F9" t="n">
        <v>120.78179</v>
      </c>
      <c r="G9" t="n">
        <v>85.112274</v>
      </c>
      <c r="H9" t="n">
        <v>192.146529</v>
      </c>
      <c r="I9" t="n">
        <v>101.39556</v>
      </c>
      <c r="J9" t="n">
        <v>103.551538</v>
      </c>
      <c r="K9" t="n">
        <v>96.717136</v>
      </c>
      <c r="L9" t="n">
        <v>293.317418</v>
      </c>
      <c r="M9" t="n">
        <v>293.317418</v>
      </c>
      <c r="N9" t="n">
        <v>293.317418</v>
      </c>
      <c r="O9" t="n">
        <v>271.728732</v>
      </c>
      <c r="P9" t="n">
        <v>111.244059</v>
      </c>
      <c r="Q9" t="n">
        <v>293.317418</v>
      </c>
      <c r="R9" t="n">
        <v>263.487421</v>
      </c>
      <c r="S9" t="n">
        <v>271.728732</v>
      </c>
      <c r="T9" t="n">
        <v>60.624655</v>
      </c>
      <c r="U9" t="n">
        <v>111.244059</v>
      </c>
      <c r="V9" t="n">
        <v>132.607488</v>
      </c>
      <c r="W9" t="n">
        <v>466.304362</v>
      </c>
      <c r="X9" t="n">
        <v>427.286877</v>
      </c>
      <c r="Y9" t="n">
        <v>30.767747</v>
      </c>
      <c r="Z9" t="n">
        <v>48.426923</v>
      </c>
    </row>
    <row r="10" ht="21" customHeight="1">
      <c r="A10" t="inlineStr">
        <is>
          <t>Leiognathidae</t>
        </is>
      </c>
      <c r="B10" t="n">
        <v>3.24</v>
      </c>
      <c r="C10" t="n">
        <v>173.780083</v>
      </c>
      <c r="D10" s="10" t="inlineStr">
        <is>
          <t>2 SM inv | 3 SM inv</t>
        </is>
      </c>
      <c r="E10" t="n">
        <v>276.665746</v>
      </c>
      <c r="F10" t="n">
        <v>195.237034</v>
      </c>
      <c r="G10" t="n">
        <v>132.430212</v>
      </c>
      <c r="H10" t="n">
        <v>264.469084</v>
      </c>
      <c r="I10" t="n">
        <v>118.913507</v>
      </c>
      <c r="J10" t="n">
        <v>136.139541</v>
      </c>
      <c r="K10" t="n">
        <v>127.362312</v>
      </c>
      <c r="L10" t="n">
        <v>358.406583</v>
      </c>
      <c r="M10" t="n">
        <v>358.406583</v>
      </c>
      <c r="N10" t="n">
        <v>358.406583</v>
      </c>
      <c r="O10" t="n">
        <v>341.418803</v>
      </c>
      <c r="P10" t="n">
        <v>140.125818</v>
      </c>
      <c r="Q10" t="n">
        <v>358.406583</v>
      </c>
      <c r="R10" t="n">
        <v>5989.509989</v>
      </c>
      <c r="S10" t="n">
        <v>341.418803</v>
      </c>
      <c r="T10" t="n">
        <v>178554.604556</v>
      </c>
      <c r="U10" t="n">
        <v>140.125818</v>
      </c>
      <c r="V10" t="n">
        <v>-299079.478285</v>
      </c>
      <c r="W10" t="n">
        <v>574.027146</v>
      </c>
      <c r="X10" t="n">
        <v>502.728082</v>
      </c>
      <c r="Y10" t="n">
        <v>42.955466</v>
      </c>
      <c r="Z10" t="n">
        <v>65.044787</v>
      </c>
    </row>
    <row r="11" ht="21" customHeight="1">
      <c r="A11" t="inlineStr">
        <is>
          <t>Clupeiformes</t>
        </is>
      </c>
      <c r="B11" t="n">
        <v>3.24</v>
      </c>
      <c r="C11" t="n">
        <v>173.780083</v>
      </c>
      <c r="D11" s="10" t="inlineStr">
        <is>
          <t>2 S pelagics | 3 S pelagics</t>
        </is>
      </c>
      <c r="E11" t="n">
        <v>276.665746</v>
      </c>
      <c r="F11" t="n">
        <v>140.109476</v>
      </c>
      <c r="G11" t="n">
        <v>97.63290000000001</v>
      </c>
      <c r="H11" t="n">
        <v>192.742209</v>
      </c>
      <c r="I11" t="n">
        <v>80.89349199999999</v>
      </c>
      <c r="J11" t="n">
        <v>105.806754</v>
      </c>
      <c r="K11" t="n">
        <v>98.775728</v>
      </c>
      <c r="L11" t="n">
        <v>234.092906</v>
      </c>
      <c r="M11" t="n">
        <v>234.092906</v>
      </c>
      <c r="N11" t="n">
        <v>234.092906</v>
      </c>
      <c r="O11" t="n">
        <v>202.855848</v>
      </c>
      <c r="P11" t="n">
        <v>80.16221299999999</v>
      </c>
      <c r="Q11" t="n">
        <v>234.092906</v>
      </c>
      <c r="R11" t="n">
        <v>-33950.413664</v>
      </c>
      <c r="S11" t="n">
        <v>202.855848</v>
      </c>
      <c r="T11" t="n">
        <v>227501.375555</v>
      </c>
      <c r="U11" t="n">
        <v>80.16221299999999</v>
      </c>
      <c r="V11" t="n">
        <v>-5091897.075108</v>
      </c>
      <c r="W11" t="n">
        <v>296.389113</v>
      </c>
      <c r="X11" t="n">
        <v>299.235812</v>
      </c>
      <c r="Y11" t="n">
        <v>34.1744</v>
      </c>
      <c r="Z11" t="n">
        <v>48.437594</v>
      </c>
    </row>
    <row r="12" ht="21" customHeight="1">
      <c r="A12" t="inlineStr">
        <is>
          <t>Carangidae</t>
        </is>
      </c>
      <c r="B12" t="n">
        <v>4.05</v>
      </c>
      <c r="C12" t="n">
        <v>1122.018454</v>
      </c>
      <c r="D12" s="10" t="inlineStr">
        <is>
          <t>2 Carangids | 3 Carangids</t>
        </is>
      </c>
      <c r="E12" t="n">
        <v>276.665746</v>
      </c>
      <c r="F12" t="n">
        <v>1047.559324</v>
      </c>
      <c r="G12" t="n">
        <v>629.821299</v>
      </c>
      <c r="H12" t="n">
        <v>2238.50504</v>
      </c>
      <c r="I12" t="n">
        <v>641.128381</v>
      </c>
      <c r="J12" t="n">
        <v>754.920494</v>
      </c>
      <c r="K12" t="n">
        <v>726.746267</v>
      </c>
      <c r="L12" t="n">
        <v>2160.61505</v>
      </c>
      <c r="M12" t="n">
        <v>2160.61505</v>
      </c>
      <c r="N12" t="n">
        <v>2160.61505</v>
      </c>
      <c r="O12" t="n">
        <v>1714.802766</v>
      </c>
      <c r="P12" t="n">
        <v>507.968664</v>
      </c>
      <c r="Q12" t="n">
        <v>2160.61505</v>
      </c>
      <c r="R12" t="n">
        <v>1782592.482977</v>
      </c>
      <c r="S12" t="n">
        <v>1714.802766</v>
      </c>
      <c r="T12" t="n">
        <v>15448395.144238</v>
      </c>
      <c r="U12" t="n">
        <v>507.968664</v>
      </c>
      <c r="V12" t="n">
        <v>363121069.828352</v>
      </c>
      <c r="W12" t="n">
        <v>2799.375544</v>
      </c>
      <c r="X12" t="n">
        <v>2890.556852</v>
      </c>
      <c r="Y12" t="n">
        <v>143.6356</v>
      </c>
      <c r="Z12" t="n">
        <v>294.157869</v>
      </c>
    </row>
    <row r="13" ht="21" customHeight="1">
      <c r="A13" t="inlineStr">
        <is>
          <t>Nemipteridae</t>
        </is>
      </c>
      <c r="B13" t="n">
        <v>3.51</v>
      </c>
      <c r="C13" t="n">
        <v>323.593657</v>
      </c>
      <c r="D13" s="10" t="inlineStr">
        <is>
          <t>2 SM pisc | 3 SM pisc</t>
        </is>
      </c>
      <c r="E13" t="n">
        <v>276.665746</v>
      </c>
      <c r="F13" t="n">
        <v>735.917019</v>
      </c>
      <c r="G13" t="n">
        <v>452.492682</v>
      </c>
      <c r="H13" t="n">
        <v>682.505571</v>
      </c>
      <c r="I13" t="n">
        <v>235.544874</v>
      </c>
      <c r="J13" t="n">
        <v>314.328392</v>
      </c>
      <c r="K13" t="n">
        <v>298.611973</v>
      </c>
      <c r="L13" t="n">
        <v>954.92823</v>
      </c>
      <c r="M13" t="n">
        <v>954.92823</v>
      </c>
      <c r="N13" t="n">
        <v>954.92823</v>
      </c>
      <c r="O13" t="n">
        <v>843.700548</v>
      </c>
      <c r="P13" t="n">
        <v>294.126635</v>
      </c>
      <c r="Q13" t="n">
        <v>954.92823</v>
      </c>
      <c r="R13" t="n">
        <v>10111.529968</v>
      </c>
      <c r="S13" t="n">
        <v>843.700548</v>
      </c>
      <c r="T13" t="n">
        <v>668478.0116420001</v>
      </c>
      <c r="U13" t="n">
        <v>294.126635</v>
      </c>
      <c r="V13" t="n">
        <v>-16893452.951404</v>
      </c>
      <c r="W13" t="n">
        <v>1324.45367</v>
      </c>
      <c r="X13" t="n">
        <v>1272.235398</v>
      </c>
      <c r="Y13" t="n">
        <v>110.428635</v>
      </c>
      <c r="Z13" t="n">
        <v>131.805708</v>
      </c>
    </row>
    <row r="14" ht="21" customHeight="1">
      <c r="A14" t="inlineStr">
        <is>
          <t>Clupeidae</t>
        </is>
      </c>
      <c r="B14" t="n">
        <v>3.16</v>
      </c>
      <c r="C14" t="n">
        <v>144.543977</v>
      </c>
      <c r="D14" s="10" t="inlineStr">
        <is>
          <t>2 S pelagics | 3 S pelagics</t>
        </is>
      </c>
      <c r="E14" t="n">
        <v>276.665746</v>
      </c>
      <c r="F14" t="n">
        <v>140.109476</v>
      </c>
      <c r="G14" t="n">
        <v>97.63290000000001</v>
      </c>
      <c r="H14" t="n">
        <v>192.742209</v>
      </c>
      <c r="I14" t="n">
        <v>80.89349199999999</v>
      </c>
      <c r="J14" t="n">
        <v>105.806754</v>
      </c>
      <c r="K14" t="n">
        <v>98.775728</v>
      </c>
      <c r="L14" t="n">
        <v>234.092906</v>
      </c>
      <c r="M14" t="n">
        <v>234.092906</v>
      </c>
      <c r="N14" t="n">
        <v>234.092906</v>
      </c>
      <c r="O14" t="n">
        <v>202.855848</v>
      </c>
      <c r="P14" t="n">
        <v>80.16221299999999</v>
      </c>
      <c r="Q14" t="n">
        <v>234.092906</v>
      </c>
      <c r="R14" t="n">
        <v>-33950.413664</v>
      </c>
      <c r="S14" t="n">
        <v>202.855848</v>
      </c>
      <c r="T14" t="n">
        <v>227501.375555</v>
      </c>
      <c r="U14" t="n">
        <v>80.16221299999999</v>
      </c>
      <c r="V14" t="n">
        <v>-5091897.075108</v>
      </c>
      <c r="W14" t="n">
        <v>296.389113</v>
      </c>
      <c r="X14" t="n">
        <v>299.235812</v>
      </c>
      <c r="Y14" t="n">
        <v>34.1744</v>
      </c>
      <c r="Z14" t="n">
        <v>48.437594</v>
      </c>
    </row>
    <row r="15" ht="21" customHeight="1">
      <c r="A15" t="inlineStr">
        <is>
          <t>Rastrelliger kanagurta</t>
        </is>
      </c>
      <c r="B15" t="n">
        <v>3.19</v>
      </c>
      <c r="C15" t="n">
        <v>154.881662</v>
      </c>
      <c r="D15" s="10" t="inlineStr">
        <is>
          <t>2-3 Indian mackerel</t>
        </is>
      </c>
      <c r="E15" t="n">
        <v>276.665746</v>
      </c>
      <c r="F15" t="n">
        <v>120.78179</v>
      </c>
      <c r="G15" t="n">
        <v>85.112274</v>
      </c>
      <c r="H15" t="n">
        <v>192.146529</v>
      </c>
      <c r="I15" t="n">
        <v>101.39556</v>
      </c>
      <c r="J15" t="n">
        <v>103.551538</v>
      </c>
      <c r="K15" t="n">
        <v>96.717136</v>
      </c>
      <c r="L15" t="n">
        <v>293.317418</v>
      </c>
      <c r="M15" t="n">
        <v>293.317418</v>
      </c>
      <c r="N15" t="n">
        <v>293.317418</v>
      </c>
      <c r="O15" t="n">
        <v>271.728732</v>
      </c>
      <c r="P15" t="n">
        <v>111.244059</v>
      </c>
      <c r="Q15" t="n">
        <v>293.317418</v>
      </c>
      <c r="R15" t="n">
        <v>263.487421</v>
      </c>
      <c r="S15" t="n">
        <v>271.728732</v>
      </c>
      <c r="T15" t="n">
        <v>60.624655</v>
      </c>
      <c r="U15" t="n">
        <v>111.244059</v>
      </c>
      <c r="V15" t="n">
        <v>132.607488</v>
      </c>
      <c r="W15" t="n">
        <v>466.304362</v>
      </c>
      <c r="X15" t="n">
        <v>427.286877</v>
      </c>
      <c r="Y15" t="n">
        <v>30.767747</v>
      </c>
      <c r="Z15" t="n">
        <v>48.426923</v>
      </c>
    </row>
    <row r="16" ht="21" customHeight="1">
      <c r="A16" t="inlineStr">
        <is>
          <t>Stolephorus</t>
        </is>
      </c>
      <c r="B16" t="n">
        <v>3.44</v>
      </c>
      <c r="C16" t="n">
        <v>275.42287</v>
      </c>
      <c r="D16" s="10" t="inlineStr">
        <is>
          <t>2 S pelagics | 3 S pelagics</t>
        </is>
      </c>
      <c r="E16" t="n">
        <v>276.665746</v>
      </c>
      <c r="F16" t="n">
        <v>140.109476</v>
      </c>
      <c r="G16" t="n">
        <v>97.63290000000001</v>
      </c>
      <c r="H16" t="n">
        <v>192.742209</v>
      </c>
      <c r="I16" t="n">
        <v>80.89349199999999</v>
      </c>
      <c r="J16" t="n">
        <v>105.806754</v>
      </c>
      <c r="K16" t="n">
        <v>98.775728</v>
      </c>
      <c r="L16" t="n">
        <v>234.092906</v>
      </c>
      <c r="M16" t="n">
        <v>234.092906</v>
      </c>
      <c r="N16" t="n">
        <v>234.092906</v>
      </c>
      <c r="O16" t="n">
        <v>202.855848</v>
      </c>
      <c r="P16" t="n">
        <v>80.16221299999999</v>
      </c>
      <c r="Q16" t="n">
        <v>234.092906</v>
      </c>
      <c r="R16" t="n">
        <v>-33950.413664</v>
      </c>
      <c r="S16" t="n">
        <v>202.855848</v>
      </c>
      <c r="T16" t="n">
        <v>227501.375555</v>
      </c>
      <c r="U16" t="n">
        <v>80.16221299999999</v>
      </c>
      <c r="V16" t="n">
        <v>-5091897.075108</v>
      </c>
      <c r="W16" t="n">
        <v>296.389113</v>
      </c>
      <c r="X16" t="n">
        <v>299.235812</v>
      </c>
      <c r="Y16" t="n">
        <v>34.1744</v>
      </c>
      <c r="Z16" t="n">
        <v>48.437594</v>
      </c>
    </row>
    <row r="17" ht="21" customHeight="1">
      <c r="A17" t="inlineStr">
        <is>
          <t>Harpadon nehereus</t>
        </is>
      </c>
      <c r="B17" t="n">
        <v>4.2</v>
      </c>
      <c r="C17" t="n">
        <v>1584.893192</v>
      </c>
      <c r="D17" s="10" t="inlineStr">
        <is>
          <t>2 L pisc comm | 3 L pisc comm</t>
        </is>
      </c>
      <c r="E17" t="n">
        <v>276.665746</v>
      </c>
      <c r="F17" t="n">
        <v>942.008432</v>
      </c>
      <c r="G17" t="n">
        <v>569.455705</v>
      </c>
      <c r="H17" t="n">
        <v>2134.327853</v>
      </c>
      <c r="I17" t="n">
        <v>640.479051</v>
      </c>
      <c r="J17" t="n">
        <v>809.758325</v>
      </c>
      <c r="K17" t="n">
        <v>735.799922</v>
      </c>
      <c r="L17" t="n">
        <v>2161.826618</v>
      </c>
      <c r="M17" t="n">
        <v>2161.826618</v>
      </c>
      <c r="N17" t="n">
        <v>2161.826618</v>
      </c>
      <c r="O17" t="n">
        <v>1597.141175</v>
      </c>
      <c r="P17" t="n">
        <v>484.321234</v>
      </c>
      <c r="Q17" t="n">
        <v>2161.826618</v>
      </c>
      <c r="R17" t="n">
        <v>-1582279.837302</v>
      </c>
      <c r="S17" t="n">
        <v>1597.141175</v>
      </c>
      <c r="T17" t="n">
        <v>18597729.236262</v>
      </c>
      <c r="U17" t="n">
        <v>484.321234</v>
      </c>
      <c r="V17" t="n">
        <v>-731199951.6958441</v>
      </c>
      <c r="W17" t="n">
        <v>2522.004884</v>
      </c>
      <c r="X17" t="n">
        <v>2847.344437</v>
      </c>
      <c r="Y17" t="n">
        <v>132.205276</v>
      </c>
      <c r="Z17" t="n">
        <v>267.681374</v>
      </c>
    </row>
    <row r="18" ht="21" customHeight="1">
      <c r="A18" t="inlineStr">
        <is>
          <t>Engraulidae</t>
        </is>
      </c>
      <c r="B18" t="n">
        <v>3.2</v>
      </c>
      <c r="C18" t="n">
        <v>158.489319</v>
      </c>
      <c r="D18" s="10" t="inlineStr">
        <is>
          <t>2 S pelagics | 3 S pelagics</t>
        </is>
      </c>
      <c r="E18" t="n">
        <v>276.665746</v>
      </c>
      <c r="F18" t="n">
        <v>140.109476</v>
      </c>
      <c r="G18" t="n">
        <v>97.63290000000001</v>
      </c>
      <c r="H18" t="n">
        <v>192.742209</v>
      </c>
      <c r="I18" t="n">
        <v>80.89349199999999</v>
      </c>
      <c r="J18" t="n">
        <v>105.806754</v>
      </c>
      <c r="K18" t="n">
        <v>98.775728</v>
      </c>
      <c r="L18" t="n">
        <v>234.092906</v>
      </c>
      <c r="M18" t="n">
        <v>234.092906</v>
      </c>
      <c r="N18" t="n">
        <v>234.092906</v>
      </c>
      <c r="O18" t="n">
        <v>202.855848</v>
      </c>
      <c r="P18" t="n">
        <v>80.16221299999999</v>
      </c>
      <c r="Q18" t="n">
        <v>234.092906</v>
      </c>
      <c r="R18" t="n">
        <v>-33950.413664</v>
      </c>
      <c r="S18" t="n">
        <v>202.855848</v>
      </c>
      <c r="T18" t="n">
        <v>227501.375555</v>
      </c>
      <c r="U18" t="n">
        <v>80.16221299999999</v>
      </c>
      <c r="V18" t="n">
        <v>-5091897.075108</v>
      </c>
      <c r="W18" t="n">
        <v>296.389113</v>
      </c>
      <c r="X18" t="n">
        <v>299.235812</v>
      </c>
      <c r="Y18" t="n">
        <v>34.1744</v>
      </c>
      <c r="Z18" t="n">
        <v>48.437594</v>
      </c>
    </row>
    <row r="19" ht="21" customHeight="1">
      <c r="A19" t="inlineStr">
        <is>
          <t>Acetes</t>
        </is>
      </c>
      <c r="B19" t="n">
        <v>2.7</v>
      </c>
      <c r="C19" t="n">
        <v>50.118723</v>
      </c>
      <c r="D19" s="10" t="inlineStr">
        <is>
          <t>2 Crustaceans | 3 Crustaceans</t>
        </is>
      </c>
      <c r="E19" t="n">
        <v>276.665746</v>
      </c>
      <c r="F19" t="n">
        <v>87.346446</v>
      </c>
      <c r="G19" t="n">
        <v>62.825827</v>
      </c>
      <c r="H19" t="n">
        <v>62.583797</v>
      </c>
      <c r="I19" t="n">
        <v>49.059783</v>
      </c>
      <c r="J19" t="n">
        <v>49.059783</v>
      </c>
      <c r="K19" t="n">
        <v>45.848307</v>
      </c>
      <c r="L19" t="n">
        <v>88.61683499999999</v>
      </c>
      <c r="M19" t="n">
        <v>88.61683499999999</v>
      </c>
      <c r="N19" t="n">
        <v>88.61683499999999</v>
      </c>
      <c r="O19" t="n">
        <v>112.736869</v>
      </c>
      <c r="P19" t="n">
        <v>69.749027</v>
      </c>
      <c r="Q19" t="n">
        <v>88.61683499999999</v>
      </c>
      <c r="R19" t="n">
        <v>88.61683499999999</v>
      </c>
      <c r="S19" t="n">
        <v>112.736869</v>
      </c>
      <c r="T19" t="n">
        <v>18.000131</v>
      </c>
      <c r="U19" t="n">
        <v>69.749027</v>
      </c>
      <c r="V19" t="n">
        <v>77.336753</v>
      </c>
      <c r="W19" t="n">
        <v>138.030843</v>
      </c>
      <c r="X19" t="n">
        <v>98.46392899999999</v>
      </c>
      <c r="Y19" t="n">
        <v>24.163479</v>
      </c>
      <c r="Z19" t="n">
        <v>23.495104</v>
      </c>
    </row>
    <row r="20" ht="36" customHeight="1">
      <c r="A20" t="inlineStr">
        <is>
          <t>Elasmobranchii</t>
        </is>
      </c>
      <c r="B20" t="n">
        <v>4.05</v>
      </c>
      <c r="C20" t="n">
        <v>1122.018454</v>
      </c>
      <c r="D20" s="10" t="inlineStr">
        <is>
          <t>Oceanic sharks | Coastal elasmobranch</t>
        </is>
      </c>
      <c r="E20" t="n">
        <v>276.665746</v>
      </c>
      <c r="F20" t="n">
        <v>1380.156554</v>
      </c>
      <c r="G20" t="n">
        <v>813.237349</v>
      </c>
      <c r="H20" t="n">
        <v>11696.257871</v>
      </c>
      <c r="I20" t="n">
        <v>3303.980516</v>
      </c>
      <c r="J20" t="n">
        <v>3755.931739</v>
      </c>
      <c r="K20" t="n">
        <v>2869.988061</v>
      </c>
      <c r="L20" t="n">
        <v>18858.336069</v>
      </c>
      <c r="M20" t="n">
        <v>18858.336069</v>
      </c>
      <c r="N20" t="n">
        <v>18858.336069</v>
      </c>
      <c r="O20" t="n">
        <v>9043.074076999999</v>
      </c>
      <c r="P20" t="n">
        <v>1863.271319</v>
      </c>
      <c r="Q20" t="n">
        <v>18858.336069</v>
      </c>
      <c r="R20" t="n">
        <v>107107363.803131</v>
      </c>
      <c r="S20" t="n">
        <v>9043.074076999999</v>
      </c>
      <c r="T20" t="n">
        <v>-5362399.549138</v>
      </c>
      <c r="U20" t="n">
        <v>1863.271319</v>
      </c>
      <c r="V20" t="n">
        <v>1.156849958050017e+19</v>
      </c>
      <c r="W20" t="n">
        <v>14990.009917</v>
      </c>
      <c r="X20" t="n">
        <v>26162.023176</v>
      </c>
      <c r="Y20" t="n">
        <v>174.929003</v>
      </c>
      <c r="Z20" t="n">
        <v>766.601483</v>
      </c>
    </row>
    <row r="21" ht="51" customHeight="1">
      <c r="A21" t="inlineStr">
        <is>
          <t>Ariidae</t>
        </is>
      </c>
      <c r="B21" t="n">
        <v>3.48</v>
      </c>
      <c r="C21" t="n">
        <v>301.995172</v>
      </c>
      <c r="D21" s="10" t="inlineStr">
        <is>
          <t>2 Milkfish plus | 3 Milkfish plus | 2 SM inv | 3 SM inv | 2 SM pisc | 3 SM pisc</t>
        </is>
      </c>
      <c r="E21" t="n">
        <v>276.665746</v>
      </c>
      <c r="F21" t="n">
        <v>434.537025</v>
      </c>
      <c r="G21" t="n">
        <v>274.456865</v>
      </c>
      <c r="H21" t="n">
        <v>467.763977</v>
      </c>
      <c r="I21" t="n">
        <v>179.045386</v>
      </c>
      <c r="J21" t="n">
        <v>232.482164</v>
      </c>
      <c r="K21" t="n">
        <v>218.528735</v>
      </c>
      <c r="L21" t="n">
        <v>656.3398120000001</v>
      </c>
      <c r="M21" t="n">
        <v>656.3398120000001</v>
      </c>
      <c r="N21" t="n">
        <v>656.3398120000001</v>
      </c>
      <c r="O21" t="n">
        <v>587.1881530000001</v>
      </c>
      <c r="P21" t="n">
        <v>216.480446</v>
      </c>
      <c r="Q21" t="n">
        <v>656.3398120000001</v>
      </c>
      <c r="R21" t="n">
        <v>26265.897369</v>
      </c>
      <c r="S21" t="n">
        <v>587.1881530000001</v>
      </c>
      <c r="T21" t="n">
        <v>535169.6240130001</v>
      </c>
      <c r="U21" t="n">
        <v>216.480446</v>
      </c>
      <c r="V21" t="n">
        <v>-11378301.014526</v>
      </c>
      <c r="W21" t="n">
        <v>947.60934</v>
      </c>
      <c r="X21" t="n">
        <v>892.360647</v>
      </c>
      <c r="Y21" t="n">
        <v>73.124354</v>
      </c>
      <c r="Z21" t="n">
        <v>96.21581999999999</v>
      </c>
    </row>
    <row r="22" ht="21" customHeight="1">
      <c r="A22" t="inlineStr">
        <is>
          <t>Decapterus</t>
        </is>
      </c>
      <c r="B22" t="n">
        <v>3.63</v>
      </c>
      <c r="C22" t="n">
        <v>426.579519</v>
      </c>
      <c r="D22" s="10" t="inlineStr">
        <is>
          <t>2 Carangids | 3 Carangids</t>
        </is>
      </c>
      <c r="E22" t="n">
        <v>276.665746</v>
      </c>
      <c r="F22" t="n">
        <v>1047.559324</v>
      </c>
      <c r="G22" t="n">
        <v>629.821299</v>
      </c>
      <c r="H22" t="n">
        <v>2238.50504</v>
      </c>
      <c r="I22" t="n">
        <v>641.128381</v>
      </c>
      <c r="J22" t="n">
        <v>754.920494</v>
      </c>
      <c r="K22" t="n">
        <v>726.746267</v>
      </c>
      <c r="L22" t="n">
        <v>2160.61505</v>
      </c>
      <c r="M22" t="n">
        <v>2160.61505</v>
      </c>
      <c r="N22" t="n">
        <v>2160.61505</v>
      </c>
      <c r="O22" t="n">
        <v>1714.802766</v>
      </c>
      <c r="P22" t="n">
        <v>507.968664</v>
      </c>
      <c r="Q22" t="n">
        <v>2160.61505</v>
      </c>
      <c r="R22" t="n">
        <v>1782592.482977</v>
      </c>
      <c r="S22" t="n">
        <v>1714.802766</v>
      </c>
      <c r="T22" t="n">
        <v>15448395.144238</v>
      </c>
      <c r="U22" t="n">
        <v>507.968664</v>
      </c>
      <c r="V22" t="n">
        <v>363121069.828352</v>
      </c>
      <c r="W22" t="n">
        <v>2799.375544</v>
      </c>
      <c r="X22" t="n">
        <v>2890.556852</v>
      </c>
      <c r="Y22" t="n">
        <v>143.6356</v>
      </c>
      <c r="Z22" t="n">
        <v>294.157869</v>
      </c>
    </row>
    <row r="23" ht="21" customHeight="1">
      <c r="A23" t="inlineStr">
        <is>
          <t>Synodontidae</t>
        </is>
      </c>
      <c r="B23" t="n">
        <v>4.3</v>
      </c>
      <c r="C23" t="n">
        <v>1995.262315</v>
      </c>
      <c r="D23" s="10" t="inlineStr">
        <is>
          <t>2 L pisc comm | 3 L pisc comm</t>
        </is>
      </c>
      <c r="E23" t="n">
        <v>276.665746</v>
      </c>
      <c r="F23" t="n">
        <v>942.008432</v>
      </c>
      <c r="G23" t="n">
        <v>569.455705</v>
      </c>
      <c r="H23" t="n">
        <v>2134.327853</v>
      </c>
      <c r="I23" t="n">
        <v>640.479051</v>
      </c>
      <c r="J23" t="n">
        <v>809.758325</v>
      </c>
      <c r="K23" t="n">
        <v>735.799922</v>
      </c>
      <c r="L23" t="n">
        <v>2161.826618</v>
      </c>
      <c r="M23" t="n">
        <v>2161.826618</v>
      </c>
      <c r="N23" t="n">
        <v>2161.826618</v>
      </c>
      <c r="O23" t="n">
        <v>1597.141175</v>
      </c>
      <c r="P23" t="n">
        <v>484.321234</v>
      </c>
      <c r="Q23" t="n">
        <v>2161.826618</v>
      </c>
      <c r="R23" t="n">
        <v>-1582279.837302</v>
      </c>
      <c r="S23" t="n">
        <v>1597.141175</v>
      </c>
      <c r="T23" t="n">
        <v>18597729.236262</v>
      </c>
      <c r="U23" t="n">
        <v>484.321234</v>
      </c>
      <c r="V23" t="n">
        <v>-731199951.6958441</v>
      </c>
      <c r="W23" t="n">
        <v>2522.004884</v>
      </c>
      <c r="X23" t="n">
        <v>2847.344437</v>
      </c>
      <c r="Y23" t="n">
        <v>132.205276</v>
      </c>
      <c r="Z23" t="n">
        <v>267.681374</v>
      </c>
    </row>
    <row r="24" ht="21" customHeight="1">
      <c r="A24" t="inlineStr">
        <is>
          <t>Sardinella</t>
        </is>
      </c>
      <c r="B24" t="n">
        <v>2.77</v>
      </c>
      <c r="C24" t="n">
        <v>58.884366</v>
      </c>
      <c r="D24" s="10" t="inlineStr">
        <is>
          <t>2 S pelagics | 3 S pelagics</t>
        </is>
      </c>
      <c r="E24" t="n">
        <v>276.665746</v>
      </c>
      <c r="F24" t="n">
        <v>140.109476</v>
      </c>
      <c r="G24" t="n">
        <v>97.63290000000001</v>
      </c>
      <c r="H24" t="n">
        <v>192.742209</v>
      </c>
      <c r="I24" t="n">
        <v>80.89349199999999</v>
      </c>
      <c r="J24" t="n">
        <v>105.806754</v>
      </c>
      <c r="K24" t="n">
        <v>98.775728</v>
      </c>
      <c r="L24" t="n">
        <v>234.092906</v>
      </c>
      <c r="M24" t="n">
        <v>234.092906</v>
      </c>
      <c r="N24" t="n">
        <v>234.092906</v>
      </c>
      <c r="O24" t="n">
        <v>202.855848</v>
      </c>
      <c r="P24" t="n">
        <v>80.16221299999999</v>
      </c>
      <c r="Q24" t="n">
        <v>234.092906</v>
      </c>
      <c r="R24" t="n">
        <v>-33950.413664</v>
      </c>
      <c r="S24" t="n">
        <v>202.855848</v>
      </c>
      <c r="T24" t="n">
        <v>227501.375555</v>
      </c>
      <c r="U24" t="n">
        <v>80.16221299999999</v>
      </c>
      <c r="V24" t="n">
        <v>-5091897.075108</v>
      </c>
      <c r="W24" t="n">
        <v>296.389113</v>
      </c>
      <c r="X24" t="n">
        <v>299.235812</v>
      </c>
      <c r="Y24" t="n">
        <v>34.1744</v>
      </c>
      <c r="Z24" t="n">
        <v>48.437594</v>
      </c>
    </row>
    <row r="25" ht="21" customHeight="1">
      <c r="A25" t="inlineStr">
        <is>
          <t>Sardinella longiceps</t>
        </is>
      </c>
      <c r="B25" t="n">
        <v>2.41</v>
      </c>
      <c r="C25" t="n">
        <v>25.703958</v>
      </c>
      <c r="D25" s="10" t="inlineStr">
        <is>
          <t>2 S pelagics | 3 S pelagics</t>
        </is>
      </c>
      <c r="E25" t="n">
        <v>276.665746</v>
      </c>
      <c r="F25" t="n">
        <v>140.109476</v>
      </c>
      <c r="G25" t="n">
        <v>97.63290000000001</v>
      </c>
      <c r="H25" t="n">
        <v>192.742209</v>
      </c>
      <c r="I25" t="n">
        <v>80.89349199999999</v>
      </c>
      <c r="J25" t="n">
        <v>105.806754</v>
      </c>
      <c r="K25" t="n">
        <v>98.775728</v>
      </c>
      <c r="L25" t="n">
        <v>234.092906</v>
      </c>
      <c r="M25" t="n">
        <v>234.092906</v>
      </c>
      <c r="N25" t="n">
        <v>234.092906</v>
      </c>
      <c r="O25" t="n">
        <v>202.855848</v>
      </c>
      <c r="P25" t="n">
        <v>80.16221299999999</v>
      </c>
      <c r="Q25" t="n">
        <v>234.092906</v>
      </c>
      <c r="R25" t="n">
        <v>-33950.413664</v>
      </c>
      <c r="S25" t="n">
        <v>202.855848</v>
      </c>
      <c r="T25" t="n">
        <v>227501.375555</v>
      </c>
      <c r="U25" t="n">
        <v>80.16221299999999</v>
      </c>
      <c r="V25" t="n">
        <v>-5091897.075108</v>
      </c>
      <c r="W25" t="n">
        <v>296.389113</v>
      </c>
      <c r="X25" t="n">
        <v>299.235812</v>
      </c>
      <c r="Y25" t="n">
        <v>34.1744</v>
      </c>
      <c r="Z25" t="n">
        <v>48.437594</v>
      </c>
    </row>
    <row r="26" ht="36" customHeight="1">
      <c r="A26" t="inlineStr">
        <is>
          <t>Scombridae</t>
        </is>
      </c>
      <c r="B26" t="n">
        <v>4.26</v>
      </c>
      <c r="C26" t="n">
        <v>1819.700859</v>
      </c>
      <c r="D26" s="10" t="inlineStr">
        <is>
          <t>Tuna-like | Coastal scombrids | 2-3 Indian mackerel</t>
        </is>
      </c>
      <c r="E26" t="n">
        <v>276.665746</v>
      </c>
      <c r="F26" t="n">
        <v>817.831285</v>
      </c>
      <c r="G26" t="n">
        <v>474.697647</v>
      </c>
      <c r="H26" t="n">
        <v>2034.919974</v>
      </c>
      <c r="I26" t="n">
        <v>628.681585</v>
      </c>
      <c r="J26" t="n">
        <v>729.829211</v>
      </c>
      <c r="K26" t="n">
        <v>492.359446</v>
      </c>
      <c r="L26" t="n">
        <v>2122.709585</v>
      </c>
      <c r="M26" t="n">
        <v>2122.709585</v>
      </c>
      <c r="N26" t="n">
        <v>2122.709585</v>
      </c>
      <c r="O26" t="n">
        <v>1194.429755</v>
      </c>
      <c r="P26" t="n">
        <v>339.021515</v>
      </c>
      <c r="Q26" t="n">
        <v>2122.709585</v>
      </c>
      <c r="R26" t="n">
        <v>4924313.0021</v>
      </c>
      <c r="S26" t="n">
        <v>1194.429755</v>
      </c>
      <c r="T26" t="n">
        <v>-4808951.407629</v>
      </c>
      <c r="U26" t="n">
        <v>339.021515</v>
      </c>
      <c r="V26" t="n">
        <v>-1582025722622073</v>
      </c>
      <c r="W26" t="n">
        <v>1953.116181</v>
      </c>
      <c r="X26" t="n">
        <v>2905.813862</v>
      </c>
      <c r="Y26" t="n">
        <v>100.995238</v>
      </c>
      <c r="Z26" t="n">
        <v>214.036764</v>
      </c>
    </row>
    <row r="27" ht="21" customHeight="1">
      <c r="A27" t="inlineStr">
        <is>
          <t>Anguilliformes</t>
        </is>
      </c>
      <c r="B27" t="n">
        <v>3.89</v>
      </c>
      <c r="C27" t="n">
        <v>776.247117</v>
      </c>
      <c r="D27" s="10" t="inlineStr">
        <is>
          <t>2 L pisc | 3 L pisc</t>
        </is>
      </c>
      <c r="E27" t="n">
        <v>276.665746</v>
      </c>
      <c r="F27" t="n">
        <v>1671.644897</v>
      </c>
      <c r="G27" t="n">
        <v>968.768055</v>
      </c>
      <c r="H27" t="n">
        <v>4321.103431</v>
      </c>
      <c r="I27" t="n">
        <v>1003.861945</v>
      </c>
      <c r="J27" t="n">
        <v>1190.295649</v>
      </c>
      <c r="K27" t="n">
        <v>1071.266084</v>
      </c>
      <c r="L27" t="n">
        <v>3542.246528</v>
      </c>
      <c r="M27" t="n">
        <v>3542.246528</v>
      </c>
      <c r="N27" t="n">
        <v>3542.246528</v>
      </c>
      <c r="O27" t="n">
        <v>2538.689141</v>
      </c>
      <c r="P27" t="n">
        <v>681.946673</v>
      </c>
      <c r="Q27" t="n">
        <v>3542.246528</v>
      </c>
      <c r="R27" t="n">
        <v>60332.209612</v>
      </c>
      <c r="S27" t="n">
        <v>2538.689141</v>
      </c>
      <c r="T27" t="n">
        <v>4692815.596611</v>
      </c>
      <c r="U27" t="n">
        <v>681.946673</v>
      </c>
      <c r="V27" t="n">
        <v>8778895377.827705</v>
      </c>
      <c r="W27" t="n">
        <v>4084.723039</v>
      </c>
      <c r="X27" t="n">
        <v>4708.979406</v>
      </c>
      <c r="Y27" t="n">
        <v>198.988407</v>
      </c>
      <c r="Z27" t="n">
        <v>443.769811</v>
      </c>
    </row>
    <row r="28" ht="21" customHeight="1">
      <c r="A28" t="inlineStr">
        <is>
          <t>Decapoda</t>
        </is>
      </c>
      <c r="B28" t="n">
        <v>3.43</v>
      </c>
      <c r="C28" t="n">
        <v>269.15348</v>
      </c>
      <c r="D28" s="10" t="inlineStr">
        <is>
          <t>2 Crustaceans | 3 Crustaceans</t>
        </is>
      </c>
      <c r="E28" t="n">
        <v>276.665746</v>
      </c>
      <c r="F28" t="n">
        <v>87.346446</v>
      </c>
      <c r="G28" t="n">
        <v>62.825827</v>
      </c>
      <c r="H28" t="n">
        <v>62.583797</v>
      </c>
      <c r="I28" t="n">
        <v>49.059783</v>
      </c>
      <c r="J28" t="n">
        <v>49.059783</v>
      </c>
      <c r="K28" t="n">
        <v>45.848307</v>
      </c>
      <c r="L28" t="n">
        <v>88.61683499999999</v>
      </c>
      <c r="M28" t="n">
        <v>88.61683499999999</v>
      </c>
      <c r="N28" t="n">
        <v>88.61683499999999</v>
      </c>
      <c r="O28" t="n">
        <v>112.736869</v>
      </c>
      <c r="P28" t="n">
        <v>69.749027</v>
      </c>
      <c r="Q28" t="n">
        <v>88.61683499999999</v>
      </c>
      <c r="R28" t="n">
        <v>88.61683499999999</v>
      </c>
      <c r="S28" t="n">
        <v>112.736869</v>
      </c>
      <c r="T28" t="n">
        <v>18.000131</v>
      </c>
      <c r="U28" t="n">
        <v>69.749027</v>
      </c>
      <c r="V28" t="n">
        <v>77.336753</v>
      </c>
      <c r="W28" t="n">
        <v>138.030843</v>
      </c>
      <c r="X28" t="n">
        <v>98.46392899999999</v>
      </c>
      <c r="Y28" t="n">
        <v>24.163479</v>
      </c>
      <c r="Z28" t="n">
        <v>23.495104</v>
      </c>
    </row>
    <row r="29" ht="21" customHeight="1">
      <c r="A29" t="inlineStr">
        <is>
          <t>Megalaspis cordyla</t>
        </is>
      </c>
      <c r="B29" t="n">
        <v>4.24</v>
      </c>
      <c r="C29" t="n">
        <v>1737.800829</v>
      </c>
      <c r="D29" s="10" t="inlineStr">
        <is>
          <t>2 Carangids | 3 Carangids</t>
        </is>
      </c>
      <c r="E29" t="n">
        <v>276.665746</v>
      </c>
      <c r="F29" t="n">
        <v>1047.559324</v>
      </c>
      <c r="G29" t="n">
        <v>629.821299</v>
      </c>
      <c r="H29" t="n">
        <v>2238.50504</v>
      </c>
      <c r="I29" t="n">
        <v>641.128381</v>
      </c>
      <c r="J29" t="n">
        <v>754.920494</v>
      </c>
      <c r="K29" t="n">
        <v>726.746267</v>
      </c>
      <c r="L29" t="n">
        <v>2160.61505</v>
      </c>
      <c r="M29" t="n">
        <v>2160.61505</v>
      </c>
      <c r="N29" t="n">
        <v>2160.61505</v>
      </c>
      <c r="O29" t="n">
        <v>1714.802766</v>
      </c>
      <c r="P29" t="n">
        <v>507.968664</v>
      </c>
      <c r="Q29" t="n">
        <v>2160.61505</v>
      </c>
      <c r="R29" t="n">
        <v>1782592.482977</v>
      </c>
      <c r="S29" t="n">
        <v>1714.802766</v>
      </c>
      <c r="T29" t="n">
        <v>15448395.144238</v>
      </c>
      <c r="U29" t="n">
        <v>507.968664</v>
      </c>
      <c r="V29" t="n">
        <v>363121069.828352</v>
      </c>
      <c r="W29" t="n">
        <v>2799.375544</v>
      </c>
      <c r="X29" t="n">
        <v>2890.556852</v>
      </c>
      <c r="Y29" t="n">
        <v>143.6356</v>
      </c>
      <c r="Z29" t="n">
        <v>294.157869</v>
      </c>
    </row>
    <row r="30" ht="21" customHeight="1">
      <c r="A30" t="inlineStr">
        <is>
          <t>Pampus argenteus</t>
        </is>
      </c>
      <c r="B30" t="n">
        <v>3.3</v>
      </c>
      <c r="C30" t="n">
        <v>199.526231</v>
      </c>
      <c r="D30" s="10" t="inlineStr">
        <is>
          <t>2 SM inv | 3 SM inv</t>
        </is>
      </c>
      <c r="E30" t="n">
        <v>276.665746</v>
      </c>
      <c r="F30" t="n">
        <v>195.237034</v>
      </c>
      <c r="G30" t="n">
        <v>132.430212</v>
      </c>
      <c r="H30" t="n">
        <v>264.469084</v>
      </c>
      <c r="I30" t="n">
        <v>118.913507</v>
      </c>
      <c r="J30" t="n">
        <v>136.139541</v>
      </c>
      <c r="K30" t="n">
        <v>127.362312</v>
      </c>
      <c r="L30" t="n">
        <v>358.406583</v>
      </c>
      <c r="M30" t="n">
        <v>358.406583</v>
      </c>
      <c r="N30" t="n">
        <v>358.406583</v>
      </c>
      <c r="O30" t="n">
        <v>341.418803</v>
      </c>
      <c r="P30" t="n">
        <v>140.125818</v>
      </c>
      <c r="Q30" t="n">
        <v>358.406583</v>
      </c>
      <c r="R30" t="n">
        <v>5989.509989</v>
      </c>
      <c r="S30" t="n">
        <v>341.418803</v>
      </c>
      <c r="T30" t="n">
        <v>178554.604556</v>
      </c>
      <c r="U30" t="n">
        <v>140.125818</v>
      </c>
      <c r="V30" t="n">
        <v>-299079.478285</v>
      </c>
      <c r="W30" t="n">
        <v>574.027146</v>
      </c>
      <c r="X30" t="n">
        <v>502.728082</v>
      </c>
      <c r="Y30" t="n">
        <v>42.955466</v>
      </c>
      <c r="Z30" t="n">
        <v>65.044787</v>
      </c>
    </row>
    <row r="31" ht="21" customHeight="1">
      <c r="A31" t="inlineStr">
        <is>
          <t>Bivalvia</t>
        </is>
      </c>
      <c r="B31" t="n">
        <v>2.23</v>
      </c>
      <c r="C31" t="n">
        <v>16.982437</v>
      </c>
      <c r="D31" s="10" t="inlineStr">
        <is>
          <t>2 Macrobenthos | 3 Macrobenthos</t>
        </is>
      </c>
      <c r="E31" t="n">
        <v>276.665746</v>
      </c>
      <c r="F31" t="n">
        <v>43.212782</v>
      </c>
      <c r="G31" t="n">
        <v>32.623281</v>
      </c>
      <c r="H31" t="n">
        <v>41.368719</v>
      </c>
      <c r="I31" t="n">
        <v>34.461512</v>
      </c>
      <c r="J31" t="n">
        <v>34.461512</v>
      </c>
      <c r="K31" t="n">
        <v>31.432014</v>
      </c>
      <c r="L31" t="n">
        <v>106.719149</v>
      </c>
      <c r="M31" t="n">
        <v>106.719149</v>
      </c>
      <c r="N31" t="n">
        <v>106.719149</v>
      </c>
      <c r="O31" t="n">
        <v>113.412456</v>
      </c>
      <c r="P31" t="n">
        <v>57.717594</v>
      </c>
      <c r="Q31" t="n">
        <v>106.719149</v>
      </c>
      <c r="R31" t="n">
        <v>106.719149</v>
      </c>
      <c r="S31" t="n">
        <v>113.412456</v>
      </c>
      <c r="T31" t="n">
        <v>25.029149</v>
      </c>
      <c r="U31" t="n">
        <v>57.717594</v>
      </c>
      <c r="V31" t="n">
        <v>63.584441</v>
      </c>
      <c r="W31" t="n">
        <v>206.884057</v>
      </c>
      <c r="X31" t="n">
        <v>165.070073</v>
      </c>
      <c r="Y31" t="n">
        <v>14.477738</v>
      </c>
      <c r="Z31" t="n">
        <v>16.337529</v>
      </c>
    </row>
    <row r="32" ht="21" customHeight="1">
      <c r="A32" t="inlineStr">
        <is>
          <t>Cephalopoda</t>
        </is>
      </c>
      <c r="B32" t="n">
        <v>3.81</v>
      </c>
      <c r="C32" t="n">
        <v>645.654229</v>
      </c>
      <c r="D32" s="10" t="inlineStr">
        <is>
          <t>Cephalopods</t>
        </is>
      </c>
      <c r="E32" t="n">
        <v>276.665746</v>
      </c>
      <c r="F32" t="n">
        <v>990.119511</v>
      </c>
      <c r="G32" t="n">
        <v>598.369015</v>
      </c>
      <c r="H32" t="n">
        <v>1346.888416</v>
      </c>
      <c r="I32" t="n">
        <v>377.016205</v>
      </c>
      <c r="J32" t="n">
        <v>457.659002</v>
      </c>
      <c r="K32" t="n">
        <v>411.893102</v>
      </c>
      <c r="L32" t="n">
        <v>1154.963068</v>
      </c>
      <c r="M32" t="n">
        <v>1154.963068</v>
      </c>
      <c r="N32" t="n">
        <v>1154.963068</v>
      </c>
      <c r="O32" t="n">
        <v>883.48756</v>
      </c>
      <c r="P32" t="n">
        <v>288.738455</v>
      </c>
      <c r="Q32" t="n">
        <v>1154.963068</v>
      </c>
      <c r="R32" t="n">
        <v>-30007.429063</v>
      </c>
      <c r="S32" t="n">
        <v>883.48756</v>
      </c>
      <c r="T32" t="n">
        <v>-4635.736133</v>
      </c>
      <c r="U32" t="n">
        <v>288.738455</v>
      </c>
      <c r="V32" t="n">
        <v>-68084.421791</v>
      </c>
      <c r="W32" t="n">
        <v>1393.890949</v>
      </c>
      <c r="X32" t="n">
        <v>1512.449191</v>
      </c>
      <c r="Y32" t="n">
        <v>138.403273</v>
      </c>
      <c r="Z32" t="n">
        <v>209.479831</v>
      </c>
    </row>
    <row r="33" ht="21" customHeight="1">
      <c r="A33" t="inlineStr">
        <is>
          <t>Cephea</t>
        </is>
      </c>
      <c r="B33" t="n">
        <v>3.46</v>
      </c>
      <c r="C33" t="n">
        <v>288.40315</v>
      </c>
      <c r="D33" s="10" t="inlineStr">
        <is>
          <t>Jellyfish</t>
        </is>
      </c>
      <c r="E33" t="n">
        <v>276.665746</v>
      </c>
      <c r="F33" t="n">
        <v>100</v>
      </c>
      <c r="G33" t="n">
        <v>71.445972</v>
      </c>
      <c r="H33" t="n">
        <v>71.445972</v>
      </c>
      <c r="I33" t="n">
        <v>392.817059</v>
      </c>
      <c r="J33" t="n">
        <v>392.817059</v>
      </c>
      <c r="K33" t="n">
        <v>25.925926</v>
      </c>
      <c r="L33" t="n">
        <v>392.817059</v>
      </c>
      <c r="M33" t="n">
        <v>392.817059</v>
      </c>
      <c r="N33" t="n">
        <v>392.817059</v>
      </c>
      <c r="O33" t="n">
        <v>15.555556</v>
      </c>
      <c r="P33" t="n">
        <v>9.955556</v>
      </c>
      <c r="Q33" t="n">
        <v>392.817059</v>
      </c>
      <c r="R33" t="n">
        <v>392.817059</v>
      </c>
      <c r="S33" t="n">
        <v>15.555556</v>
      </c>
      <c r="T33" t="n">
        <v>15.555556</v>
      </c>
      <c r="U33" t="n">
        <v>9.955556</v>
      </c>
      <c r="V33" t="n">
        <v>9.955556</v>
      </c>
      <c r="W33" t="n">
        <v>15.908519</v>
      </c>
      <c r="X33" t="n">
        <v>405.819791</v>
      </c>
      <c r="Y33" t="n">
        <v>26.883496</v>
      </c>
      <c r="Z33" t="n">
        <v>26.883496</v>
      </c>
    </row>
    <row r="34" ht="21" customHeight="1">
      <c r="A34" t="inlineStr">
        <is>
          <t>Miscellaneous marine crustaceans</t>
        </is>
      </c>
      <c r="B34" t="n">
        <v>2.7</v>
      </c>
      <c r="C34" t="n">
        <v>50.118723</v>
      </c>
      <c r="D34" s="10" t="inlineStr">
        <is>
          <t>2 Crustaceans | 3 Crustaceans</t>
        </is>
      </c>
      <c r="E34" t="n">
        <v>276.665746</v>
      </c>
      <c r="F34" t="n">
        <v>87.346446</v>
      </c>
      <c r="G34" t="n">
        <v>62.825827</v>
      </c>
      <c r="H34" t="n">
        <v>62.583797</v>
      </c>
      <c r="I34" t="n">
        <v>49.059783</v>
      </c>
      <c r="J34" t="n">
        <v>49.059783</v>
      </c>
      <c r="K34" t="n">
        <v>45.848307</v>
      </c>
      <c r="L34" t="n">
        <v>88.61683499999999</v>
      </c>
      <c r="M34" t="n">
        <v>88.61683499999999</v>
      </c>
      <c r="N34" t="n">
        <v>88.61683499999999</v>
      </c>
      <c r="O34" t="n">
        <v>112.736869</v>
      </c>
      <c r="P34" t="n">
        <v>69.749027</v>
      </c>
      <c r="Q34" t="n">
        <v>88.61683499999999</v>
      </c>
      <c r="R34" t="n">
        <v>88.61683499999999</v>
      </c>
      <c r="S34" t="n">
        <v>112.736869</v>
      </c>
      <c r="T34" t="n">
        <v>18.000131</v>
      </c>
      <c r="U34" t="n">
        <v>69.749027</v>
      </c>
      <c r="V34" t="n">
        <v>77.336753</v>
      </c>
      <c r="W34" t="n">
        <v>138.030843</v>
      </c>
      <c r="X34" t="n">
        <v>98.46392899999999</v>
      </c>
      <c r="Y34" t="n">
        <v>24.163479</v>
      </c>
      <c r="Z34" t="n">
        <v>23.495104</v>
      </c>
    </row>
    <row r="35" ht="21" customHeight="1">
      <c r="A35" t="inlineStr">
        <is>
          <t>Scomberomorus</t>
        </is>
      </c>
      <c r="B35" t="n">
        <v>4.35</v>
      </c>
      <c r="C35" t="n">
        <v>2238.721139</v>
      </c>
      <c r="D35" s="10" t="inlineStr">
        <is>
          <t>Coastal scombrids</t>
        </is>
      </c>
      <c r="E35" t="n">
        <v>276.665746</v>
      </c>
      <c r="F35" t="n">
        <v>2151.411916</v>
      </c>
      <c r="G35" t="n">
        <v>1228.563684</v>
      </c>
      <c r="H35" t="n">
        <v>5449.628126</v>
      </c>
      <c r="I35" t="n">
        <v>1746.481623</v>
      </c>
      <c r="J35" t="n">
        <v>2058.735989</v>
      </c>
      <c r="K35" t="n">
        <v>1231.124121</v>
      </c>
      <c r="L35" t="n">
        <v>5799.192784</v>
      </c>
      <c r="M35" t="n">
        <v>5799.192784</v>
      </c>
      <c r="N35" t="n">
        <v>5799.192784</v>
      </c>
      <c r="O35" t="n">
        <v>2889.445671</v>
      </c>
      <c r="P35" t="n">
        <v>773.655572</v>
      </c>
      <c r="Q35" t="n">
        <v>5799.192784</v>
      </c>
      <c r="R35" t="n">
        <v>16496946.005748</v>
      </c>
      <c r="S35" t="n">
        <v>2889.445671</v>
      </c>
      <c r="T35" t="n">
        <v>-17915259.4837</v>
      </c>
      <c r="U35" t="n">
        <v>773.655572</v>
      </c>
      <c r="V35" t="n">
        <v>-5915900048852866</v>
      </c>
      <c r="W35" t="n">
        <v>4649.46224</v>
      </c>
      <c r="X35" t="n">
        <v>7908.520493</v>
      </c>
      <c r="Y35" t="n">
        <v>241.012964</v>
      </c>
      <c r="Z35" t="n">
        <v>536.974768</v>
      </c>
    </row>
    <row r="36" ht="21" customHeight="1">
      <c r="A36" t="inlineStr">
        <is>
          <t>Platycephalidae</t>
        </is>
      </c>
      <c r="B36" t="n">
        <v>3.9</v>
      </c>
      <c r="C36" t="n">
        <v>794.3282349999999</v>
      </c>
      <c r="D36" s="10" t="inlineStr">
        <is>
          <t>2 L pisc | 3 L pisc</t>
        </is>
      </c>
      <c r="E36" t="n">
        <v>276.665746</v>
      </c>
      <c r="F36" t="n">
        <v>1671.644897</v>
      </c>
      <c r="G36" t="n">
        <v>968.768055</v>
      </c>
      <c r="H36" t="n">
        <v>4321.103431</v>
      </c>
      <c r="I36" t="n">
        <v>1003.861945</v>
      </c>
      <c r="J36" t="n">
        <v>1190.295649</v>
      </c>
      <c r="K36" t="n">
        <v>1071.266084</v>
      </c>
      <c r="L36" t="n">
        <v>3542.246528</v>
      </c>
      <c r="M36" t="n">
        <v>3542.246528</v>
      </c>
      <c r="N36" t="n">
        <v>3542.246528</v>
      </c>
      <c r="O36" t="n">
        <v>2538.689141</v>
      </c>
      <c r="P36" t="n">
        <v>681.946673</v>
      </c>
      <c r="Q36" t="n">
        <v>3542.246528</v>
      </c>
      <c r="R36" t="n">
        <v>60332.209612</v>
      </c>
      <c r="S36" t="n">
        <v>2538.689141</v>
      </c>
      <c r="T36" t="n">
        <v>4692815.596611</v>
      </c>
      <c r="U36" t="n">
        <v>681.946673</v>
      </c>
      <c r="V36" t="n">
        <v>8778895377.827705</v>
      </c>
      <c r="W36" t="n">
        <v>4084.723039</v>
      </c>
      <c r="X36" t="n">
        <v>4708.979406</v>
      </c>
      <c r="Y36" t="n">
        <v>198.988407</v>
      </c>
      <c r="Z36" t="n">
        <v>443.769811</v>
      </c>
    </row>
    <row r="37" ht="21" customHeight="1">
      <c r="A37" t="inlineStr">
        <is>
          <t>Selaroides leptolepis</t>
        </is>
      </c>
      <c r="B37" t="n">
        <v>3.84</v>
      </c>
      <c r="C37" t="n">
        <v>691.830971</v>
      </c>
      <c r="D37" s="10" t="inlineStr">
        <is>
          <t>2 SM inv | 3 SM inv</t>
        </is>
      </c>
      <c r="E37" t="n">
        <v>276.665746</v>
      </c>
      <c r="F37" t="n">
        <v>195.237034</v>
      </c>
      <c r="G37" t="n">
        <v>132.430212</v>
      </c>
      <c r="H37" t="n">
        <v>264.469084</v>
      </c>
      <c r="I37" t="n">
        <v>118.913507</v>
      </c>
      <c r="J37" t="n">
        <v>136.139541</v>
      </c>
      <c r="K37" t="n">
        <v>127.362312</v>
      </c>
      <c r="L37" t="n">
        <v>358.406583</v>
      </c>
      <c r="M37" t="n">
        <v>358.406583</v>
      </c>
      <c r="N37" t="n">
        <v>358.406583</v>
      </c>
      <c r="O37" t="n">
        <v>341.418803</v>
      </c>
      <c r="P37" t="n">
        <v>140.125818</v>
      </c>
      <c r="Q37" t="n">
        <v>358.406583</v>
      </c>
      <c r="R37" t="n">
        <v>5989.509989</v>
      </c>
      <c r="S37" t="n">
        <v>341.418803</v>
      </c>
      <c r="T37" t="n">
        <v>178554.604556</v>
      </c>
      <c r="U37" t="n">
        <v>140.125818</v>
      </c>
      <c r="V37" t="n">
        <v>-299079.478285</v>
      </c>
      <c r="W37" t="n">
        <v>574.027146</v>
      </c>
      <c r="X37" t="n">
        <v>502.728082</v>
      </c>
      <c r="Y37" t="n">
        <v>42.955466</v>
      </c>
      <c r="Z37" t="n">
        <v>65.044787</v>
      </c>
    </row>
    <row r="38" ht="21" customHeight="1">
      <c r="A38" t="inlineStr">
        <is>
          <t>Parastromateus niger</t>
        </is>
      </c>
      <c r="B38" t="n">
        <v>2.93</v>
      </c>
      <c r="C38" t="n">
        <v>85.113804</v>
      </c>
      <c r="D38" s="10" t="inlineStr">
        <is>
          <t>2 Carangids | 3 Carangids</t>
        </is>
      </c>
      <c r="E38" t="n">
        <v>276.665746</v>
      </c>
      <c r="F38" t="n">
        <v>1047.559324</v>
      </c>
      <c r="G38" t="n">
        <v>629.821299</v>
      </c>
      <c r="H38" t="n">
        <v>2238.50504</v>
      </c>
      <c r="I38" t="n">
        <v>641.128381</v>
      </c>
      <c r="J38" t="n">
        <v>754.920494</v>
      </c>
      <c r="K38" t="n">
        <v>726.746267</v>
      </c>
      <c r="L38" t="n">
        <v>2160.61505</v>
      </c>
      <c r="M38" t="n">
        <v>2160.61505</v>
      </c>
      <c r="N38" t="n">
        <v>2160.61505</v>
      </c>
      <c r="O38" t="n">
        <v>1714.802766</v>
      </c>
      <c r="P38" t="n">
        <v>507.968664</v>
      </c>
      <c r="Q38" t="n">
        <v>2160.61505</v>
      </c>
      <c r="R38" t="n">
        <v>1782592.482977</v>
      </c>
      <c r="S38" t="n">
        <v>1714.802766</v>
      </c>
      <c r="T38" t="n">
        <v>15448395.144238</v>
      </c>
      <c r="U38" t="n">
        <v>507.968664</v>
      </c>
      <c r="V38" t="n">
        <v>363121069.828352</v>
      </c>
      <c r="W38" t="n">
        <v>2799.375544</v>
      </c>
      <c r="X38" t="n">
        <v>2890.556852</v>
      </c>
      <c r="Y38" t="n">
        <v>143.6356</v>
      </c>
      <c r="Z38" t="n">
        <v>294.157869</v>
      </c>
    </row>
    <row r="39" ht="21" customHeight="1">
      <c r="A39" t="inlineStr">
        <is>
          <t>Nemipterus</t>
        </is>
      </c>
      <c r="B39" t="n">
        <v>3.72</v>
      </c>
      <c r="C39" t="n">
        <v>524.80746</v>
      </c>
      <c r="D39" s="10" t="inlineStr">
        <is>
          <t>2 SM pisc | 3 SM pisc</t>
        </is>
      </c>
      <c r="E39" t="n">
        <v>276.665746</v>
      </c>
      <c r="F39" t="n">
        <v>735.917019</v>
      </c>
      <c r="G39" t="n">
        <v>452.492682</v>
      </c>
      <c r="H39" t="n">
        <v>682.505571</v>
      </c>
      <c r="I39" t="n">
        <v>235.544874</v>
      </c>
      <c r="J39" t="n">
        <v>314.328392</v>
      </c>
      <c r="K39" t="n">
        <v>298.611973</v>
      </c>
      <c r="L39" t="n">
        <v>954.92823</v>
      </c>
      <c r="M39" t="n">
        <v>954.92823</v>
      </c>
      <c r="N39" t="n">
        <v>954.92823</v>
      </c>
      <c r="O39" t="n">
        <v>843.700548</v>
      </c>
      <c r="P39" t="n">
        <v>294.126635</v>
      </c>
      <c r="Q39" t="n">
        <v>954.92823</v>
      </c>
      <c r="R39" t="n">
        <v>10111.529968</v>
      </c>
      <c r="S39" t="n">
        <v>843.700548</v>
      </c>
      <c r="T39" t="n">
        <v>668478.0116420001</v>
      </c>
      <c r="U39" t="n">
        <v>294.126635</v>
      </c>
      <c r="V39" t="n">
        <v>-16893452.951404</v>
      </c>
      <c r="W39" t="n">
        <v>1324.45367</v>
      </c>
      <c r="X39" t="n">
        <v>1272.235398</v>
      </c>
      <c r="Y39" t="n">
        <v>110.428635</v>
      </c>
      <c r="Z39" t="n">
        <v>131.805708</v>
      </c>
    </row>
    <row r="40" ht="21" customHeight="1">
      <c r="A40" t="inlineStr">
        <is>
          <t>Chirocentrus</t>
        </is>
      </c>
      <c r="B40" t="n">
        <v>4.3</v>
      </c>
      <c r="C40" t="n">
        <v>1995.262315</v>
      </c>
      <c r="D40" s="10" t="inlineStr">
        <is>
          <t>2 L pisc | 3 L pisc</t>
        </is>
      </c>
      <c r="E40" t="n">
        <v>276.665746</v>
      </c>
      <c r="F40" t="n">
        <v>1671.644897</v>
      </c>
      <c r="G40" t="n">
        <v>968.768055</v>
      </c>
      <c r="H40" t="n">
        <v>4321.103431</v>
      </c>
      <c r="I40" t="n">
        <v>1003.861945</v>
      </c>
      <c r="J40" t="n">
        <v>1190.295649</v>
      </c>
      <c r="K40" t="n">
        <v>1071.266084</v>
      </c>
      <c r="L40" t="n">
        <v>3542.246528</v>
      </c>
      <c r="M40" t="n">
        <v>3542.246528</v>
      </c>
      <c r="N40" t="n">
        <v>3542.246528</v>
      </c>
      <c r="O40" t="n">
        <v>2538.689141</v>
      </c>
      <c r="P40" t="n">
        <v>681.946673</v>
      </c>
      <c r="Q40" t="n">
        <v>3542.246528</v>
      </c>
      <c r="R40" t="n">
        <v>60332.209612</v>
      </c>
      <c r="S40" t="n">
        <v>2538.689141</v>
      </c>
      <c r="T40" t="n">
        <v>4692815.596611</v>
      </c>
      <c r="U40" t="n">
        <v>681.946673</v>
      </c>
      <c r="V40" t="n">
        <v>8778895377.827705</v>
      </c>
      <c r="W40" t="n">
        <v>4084.723039</v>
      </c>
      <c r="X40" t="n">
        <v>4708.979406</v>
      </c>
      <c r="Y40" t="n">
        <v>198.988407</v>
      </c>
      <c r="Z40" t="n">
        <v>443.769811</v>
      </c>
    </row>
    <row r="41" ht="51" customHeight="1">
      <c r="A41" t="inlineStr">
        <is>
          <t>Siluriformes</t>
        </is>
      </c>
      <c r="B41" t="n">
        <v>3.48</v>
      </c>
      <c r="C41" t="n">
        <v>301.995172</v>
      </c>
      <c r="D41" s="10" t="inlineStr">
        <is>
          <t>2 Milkfish plus | 3 Milkfish plus | 2 SM inv | 3 SM inv | 2 SM pisc | 3 SM pisc</t>
        </is>
      </c>
      <c r="E41" t="n">
        <v>276.665746</v>
      </c>
      <c r="F41" t="n">
        <v>434.537025</v>
      </c>
      <c r="G41" t="n">
        <v>274.456865</v>
      </c>
      <c r="H41" t="n">
        <v>467.763977</v>
      </c>
      <c r="I41" t="n">
        <v>179.045386</v>
      </c>
      <c r="J41" t="n">
        <v>232.482164</v>
      </c>
      <c r="K41" t="n">
        <v>218.528735</v>
      </c>
      <c r="L41" t="n">
        <v>656.3398120000001</v>
      </c>
      <c r="M41" t="n">
        <v>656.3398120000001</v>
      </c>
      <c r="N41" t="n">
        <v>656.3398120000001</v>
      </c>
      <c r="O41" t="n">
        <v>587.1881530000001</v>
      </c>
      <c r="P41" t="n">
        <v>216.480446</v>
      </c>
      <c r="Q41" t="n">
        <v>656.3398120000001</v>
      </c>
      <c r="R41" t="n">
        <v>26265.897369</v>
      </c>
      <c r="S41" t="n">
        <v>587.1881530000001</v>
      </c>
      <c r="T41" t="n">
        <v>535169.6240130001</v>
      </c>
      <c r="U41" t="n">
        <v>216.480446</v>
      </c>
      <c r="V41" t="n">
        <v>-11378301.014526</v>
      </c>
      <c r="W41" t="n">
        <v>947.60934</v>
      </c>
      <c r="X41" t="n">
        <v>892.360647</v>
      </c>
      <c r="Y41" t="n">
        <v>73.124354</v>
      </c>
      <c r="Z41" t="n">
        <v>96.21581999999999</v>
      </c>
    </row>
    <row r="42" ht="21" customHeight="1">
      <c r="A42" t="inlineStr">
        <is>
          <t>Dendrobranchiata</t>
        </is>
      </c>
      <c r="B42" t="n">
        <v>3.24</v>
      </c>
      <c r="C42" t="n">
        <v>173.780083</v>
      </c>
      <c r="D42" s="10" t="inlineStr">
        <is>
          <t>2 Crustaceans | 3 Crustaceans</t>
        </is>
      </c>
      <c r="E42" t="n">
        <v>276.665746</v>
      </c>
      <c r="F42" t="n">
        <v>87.346446</v>
      </c>
      <c r="G42" t="n">
        <v>62.825827</v>
      </c>
      <c r="H42" t="n">
        <v>62.583797</v>
      </c>
      <c r="I42" t="n">
        <v>49.059783</v>
      </c>
      <c r="J42" t="n">
        <v>49.059783</v>
      </c>
      <c r="K42" t="n">
        <v>45.848307</v>
      </c>
      <c r="L42" t="n">
        <v>88.61683499999999</v>
      </c>
      <c r="M42" t="n">
        <v>88.61683499999999</v>
      </c>
      <c r="N42" t="n">
        <v>88.61683499999999</v>
      </c>
      <c r="O42" t="n">
        <v>112.736869</v>
      </c>
      <c r="P42" t="n">
        <v>69.749027</v>
      </c>
      <c r="Q42" t="n">
        <v>88.61683499999999</v>
      </c>
      <c r="R42" t="n">
        <v>88.61683499999999</v>
      </c>
      <c r="S42" t="n">
        <v>112.736869</v>
      </c>
      <c r="T42" t="n">
        <v>18.000131</v>
      </c>
      <c r="U42" t="n">
        <v>69.749027</v>
      </c>
      <c r="V42" t="n">
        <v>77.336753</v>
      </c>
      <c r="W42" t="n">
        <v>138.030843</v>
      </c>
      <c r="X42" t="n">
        <v>98.46392899999999</v>
      </c>
      <c r="Y42" t="n">
        <v>24.163479</v>
      </c>
      <c r="Z42" t="n">
        <v>23.495104</v>
      </c>
    </row>
    <row r="43" ht="21" customHeight="1">
      <c r="A43" t="inlineStr">
        <is>
          <t>Pennahia</t>
        </is>
      </c>
      <c r="B43" t="n">
        <v>3.73</v>
      </c>
      <c r="C43" t="n">
        <v>537.031796</v>
      </c>
      <c r="D43" s="10" t="inlineStr">
        <is>
          <t>2 L pisc comm | 3 L pisc comm</t>
        </is>
      </c>
      <c r="E43" t="n">
        <v>276.665746</v>
      </c>
      <c r="F43" t="n">
        <v>942.008432</v>
      </c>
      <c r="G43" t="n">
        <v>569.455705</v>
      </c>
      <c r="H43" t="n">
        <v>2134.327853</v>
      </c>
      <c r="I43" t="n">
        <v>640.479051</v>
      </c>
      <c r="J43" t="n">
        <v>809.758325</v>
      </c>
      <c r="K43" t="n">
        <v>735.799922</v>
      </c>
      <c r="L43" t="n">
        <v>2161.826618</v>
      </c>
      <c r="M43" t="n">
        <v>2161.826618</v>
      </c>
      <c r="N43" t="n">
        <v>2161.826618</v>
      </c>
      <c r="O43" t="n">
        <v>1597.141175</v>
      </c>
      <c r="P43" t="n">
        <v>484.321234</v>
      </c>
      <c r="Q43" t="n">
        <v>2161.826618</v>
      </c>
      <c r="R43" t="n">
        <v>-1582279.837302</v>
      </c>
      <c r="S43" t="n">
        <v>1597.141175</v>
      </c>
      <c r="T43" t="n">
        <v>18597729.236262</v>
      </c>
      <c r="U43" t="n">
        <v>484.321234</v>
      </c>
      <c r="V43" t="n">
        <v>-731199951.6958441</v>
      </c>
      <c r="W43" t="n">
        <v>2522.004884</v>
      </c>
      <c r="X43" t="n">
        <v>2847.344437</v>
      </c>
      <c r="Y43" t="n">
        <v>132.205276</v>
      </c>
      <c r="Z43" t="n">
        <v>267.681374</v>
      </c>
    </row>
    <row r="44" ht="21" customHeight="1">
      <c r="A44" t="inlineStr">
        <is>
          <t>Trichiuridae</t>
        </is>
      </c>
      <c r="B44" t="n">
        <v>4.15</v>
      </c>
      <c r="C44" t="n">
        <v>1412.537545</v>
      </c>
      <c r="D44" s="10" t="inlineStr">
        <is>
          <t>2 L pisc | 3 L pisc</t>
        </is>
      </c>
      <c r="E44" t="n">
        <v>276.665746</v>
      </c>
      <c r="F44" t="n">
        <v>1671.644897</v>
      </c>
      <c r="G44" t="n">
        <v>968.768055</v>
      </c>
      <c r="H44" t="n">
        <v>4321.103431</v>
      </c>
      <c r="I44" t="n">
        <v>1003.861945</v>
      </c>
      <c r="J44" t="n">
        <v>1190.295649</v>
      </c>
      <c r="K44" t="n">
        <v>1071.266084</v>
      </c>
      <c r="L44" t="n">
        <v>3542.246528</v>
      </c>
      <c r="M44" t="n">
        <v>3542.246528</v>
      </c>
      <c r="N44" t="n">
        <v>3542.246528</v>
      </c>
      <c r="O44" t="n">
        <v>2538.689141</v>
      </c>
      <c r="P44" t="n">
        <v>681.946673</v>
      </c>
      <c r="Q44" t="n">
        <v>3542.246528</v>
      </c>
      <c r="R44" t="n">
        <v>60332.209612</v>
      </c>
      <c r="S44" t="n">
        <v>2538.689141</v>
      </c>
      <c r="T44" t="n">
        <v>4692815.596611</v>
      </c>
      <c r="U44" t="n">
        <v>681.946673</v>
      </c>
      <c r="V44" t="n">
        <v>8778895377.827705</v>
      </c>
      <c r="W44" t="n">
        <v>4084.723039</v>
      </c>
      <c r="X44" t="n">
        <v>4708.979406</v>
      </c>
      <c r="Y44" t="n">
        <v>198.988407</v>
      </c>
      <c r="Z44" t="n">
        <v>443.769811</v>
      </c>
    </row>
    <row r="45" ht="51" customHeight="1">
      <c r="A45" t="inlineStr">
        <is>
          <t>Perciformes</t>
        </is>
      </c>
      <c r="B45" t="n">
        <v>3.53</v>
      </c>
      <c r="C45" t="n">
        <v>338.844156</v>
      </c>
      <c r="D45" s="10" t="inlineStr">
        <is>
          <t>2 L pisc comm | 3 L pisc comm | 2 SM pisc | 3 SM pisc | 2 SM inv | 3 SM inv | 2 L pisc | 3 L pisc</t>
        </is>
      </c>
      <c r="E45" t="n">
        <v>276.665746</v>
      </c>
      <c r="F45" t="n">
        <v>624.960598</v>
      </c>
      <c r="G45" t="n">
        <v>381.961857</v>
      </c>
      <c r="H45" t="n">
        <v>1068.936421</v>
      </c>
      <c r="I45" t="n">
        <v>315.08601</v>
      </c>
      <c r="J45" t="n">
        <v>388.547117</v>
      </c>
      <c r="K45" t="n">
        <v>357.844854</v>
      </c>
      <c r="L45" t="n">
        <v>1115.481833</v>
      </c>
      <c r="M45" t="n">
        <v>1115.481833</v>
      </c>
      <c r="N45" t="n">
        <v>1115.481833</v>
      </c>
      <c r="O45" t="n">
        <v>895.370466</v>
      </c>
      <c r="P45" t="n">
        <v>290.499242</v>
      </c>
      <c r="Q45" t="n">
        <v>1115.481833</v>
      </c>
      <c r="R45" t="n">
        <v>-156594.909325</v>
      </c>
      <c r="S45" t="n">
        <v>895.370466</v>
      </c>
      <c r="T45" t="n">
        <v>2832695.731259</v>
      </c>
      <c r="U45" t="n">
        <v>290.499242</v>
      </c>
      <c r="V45" t="n">
        <v>920900493.107239</v>
      </c>
      <c r="W45" t="n">
        <v>1435.442915</v>
      </c>
      <c r="X45" t="n">
        <v>1492.648824</v>
      </c>
      <c r="Y45" t="n">
        <v>92.92978100000001</v>
      </c>
      <c r="Z45" t="n">
        <v>152.424756</v>
      </c>
    </row>
    <row r="46" ht="36" customHeight="1">
      <c r="A46" t="inlineStr">
        <is>
          <t>Odontamblyopus rubicundus</t>
        </is>
      </c>
      <c r="B46" t="n">
        <v>3.9</v>
      </c>
      <c r="C46" t="n">
        <v>794.3282349999999</v>
      </c>
      <c r="D46" s="10" t="inlineStr">
        <is>
          <t>2 SM inv | 3 SM inv | 2 SM pisc | 3 SM pisc</t>
        </is>
      </c>
      <c r="E46" t="n">
        <v>276.665746</v>
      </c>
      <c r="F46" t="n">
        <v>427.369702</v>
      </c>
      <c r="G46" t="n">
        <v>269.84413</v>
      </c>
      <c r="H46" t="n">
        <v>443.946645</v>
      </c>
      <c r="I46" t="n">
        <v>168.987397</v>
      </c>
      <c r="J46" t="n">
        <v>212.642194</v>
      </c>
      <c r="K46" t="n">
        <v>200.88573</v>
      </c>
      <c r="L46" t="n">
        <v>614.514013</v>
      </c>
      <c r="M46" t="n">
        <v>614.514013</v>
      </c>
      <c r="N46" t="n">
        <v>614.514013</v>
      </c>
      <c r="O46" t="n">
        <v>557.065775</v>
      </c>
      <c r="P46" t="n">
        <v>206.243709</v>
      </c>
      <c r="Q46" t="n">
        <v>614.514013</v>
      </c>
      <c r="R46" t="n">
        <v>7759.236114</v>
      </c>
      <c r="S46" t="n">
        <v>557.065775</v>
      </c>
      <c r="T46" t="n">
        <v>388895.713364</v>
      </c>
      <c r="U46" t="n">
        <v>206.243709</v>
      </c>
      <c r="V46" t="n">
        <v>-7423619.489708</v>
      </c>
      <c r="W46" t="n">
        <v>896.211277</v>
      </c>
      <c r="X46" t="n">
        <v>833.104258</v>
      </c>
      <c r="Y46" t="n">
        <v>71.924037</v>
      </c>
      <c r="Z46" t="n">
        <v>93.707566</v>
      </c>
    </row>
    <row r="47" ht="21" customHeight="1">
      <c r="A47" t="inlineStr">
        <is>
          <t>Scomberomorus commerson</t>
        </is>
      </c>
      <c r="B47" t="n">
        <v>4.5</v>
      </c>
      <c r="C47" t="n">
        <v>3162.27766</v>
      </c>
      <c r="D47" s="10" t="inlineStr">
        <is>
          <t>Coastal scombrids</t>
        </is>
      </c>
      <c r="E47" t="n">
        <v>276.665746</v>
      </c>
      <c r="F47" t="n">
        <v>2151.411916</v>
      </c>
      <c r="G47" t="n">
        <v>1228.563684</v>
      </c>
      <c r="H47" t="n">
        <v>5449.628126</v>
      </c>
      <c r="I47" t="n">
        <v>1746.481623</v>
      </c>
      <c r="J47" t="n">
        <v>2058.735989</v>
      </c>
      <c r="K47" t="n">
        <v>1231.124121</v>
      </c>
      <c r="L47" t="n">
        <v>5799.192784</v>
      </c>
      <c r="M47" t="n">
        <v>5799.192784</v>
      </c>
      <c r="N47" t="n">
        <v>5799.192784</v>
      </c>
      <c r="O47" t="n">
        <v>2889.445671</v>
      </c>
      <c r="P47" t="n">
        <v>773.655572</v>
      </c>
      <c r="Q47" t="n">
        <v>5799.192784</v>
      </c>
      <c r="R47" t="n">
        <v>16496946.005748</v>
      </c>
      <c r="S47" t="n">
        <v>2889.445671</v>
      </c>
      <c r="T47" t="n">
        <v>-17915259.4837</v>
      </c>
      <c r="U47" t="n">
        <v>773.655572</v>
      </c>
      <c r="V47" t="n">
        <v>-5915900048852866</v>
      </c>
      <c r="W47" t="n">
        <v>4649.46224</v>
      </c>
      <c r="X47" t="n">
        <v>7908.520493</v>
      </c>
      <c r="Y47" t="n">
        <v>241.012964</v>
      </c>
      <c r="Z47" t="n">
        <v>536.974768</v>
      </c>
    </row>
    <row r="48" ht="21" customHeight="1">
      <c r="A48" t="inlineStr">
        <is>
          <t>Saurida</t>
        </is>
      </c>
      <c r="B48" t="n">
        <v>4.35</v>
      </c>
      <c r="C48" t="n">
        <v>2238.721139</v>
      </c>
      <c r="D48" s="10" t="inlineStr">
        <is>
          <t>2 L pisc comm | 3 L pisc comm</t>
        </is>
      </c>
      <c r="E48" t="n">
        <v>276.665746</v>
      </c>
      <c r="F48" t="n">
        <v>942.008432</v>
      </c>
      <c r="G48" t="n">
        <v>569.455705</v>
      </c>
      <c r="H48" t="n">
        <v>2134.327853</v>
      </c>
      <c r="I48" t="n">
        <v>640.479051</v>
      </c>
      <c r="J48" t="n">
        <v>809.758325</v>
      </c>
      <c r="K48" t="n">
        <v>735.799922</v>
      </c>
      <c r="L48" t="n">
        <v>2161.826618</v>
      </c>
      <c r="M48" t="n">
        <v>2161.826618</v>
      </c>
      <c r="N48" t="n">
        <v>2161.826618</v>
      </c>
      <c r="O48" t="n">
        <v>1597.141175</v>
      </c>
      <c r="P48" t="n">
        <v>484.321234</v>
      </c>
      <c r="Q48" t="n">
        <v>2161.826618</v>
      </c>
      <c r="R48" t="n">
        <v>-1582279.837302</v>
      </c>
      <c r="S48" t="n">
        <v>1597.141175</v>
      </c>
      <c r="T48" t="n">
        <v>18597729.236262</v>
      </c>
      <c r="U48" t="n">
        <v>484.321234</v>
      </c>
      <c r="V48" t="n">
        <v>-731199951.6958441</v>
      </c>
      <c r="W48" t="n">
        <v>2522.004884</v>
      </c>
      <c r="X48" t="n">
        <v>2847.344437</v>
      </c>
      <c r="Y48" t="n">
        <v>132.205276</v>
      </c>
      <c r="Z48" t="n">
        <v>267.681374</v>
      </c>
    </row>
    <row r="49" ht="21" customHeight="1">
      <c r="A49" t="inlineStr">
        <is>
          <t>Apogonidae</t>
        </is>
      </c>
      <c r="B49" t="n">
        <v>3.54</v>
      </c>
      <c r="C49" t="n">
        <v>346.73685</v>
      </c>
      <c r="D49" s="10" t="inlineStr">
        <is>
          <t>2 SM inv | 3 SM inv</t>
        </is>
      </c>
      <c r="E49" t="n">
        <v>276.665746</v>
      </c>
      <c r="F49" t="n">
        <v>195.237034</v>
      </c>
      <c r="G49" t="n">
        <v>132.430212</v>
      </c>
      <c r="H49" t="n">
        <v>264.469084</v>
      </c>
      <c r="I49" t="n">
        <v>118.913507</v>
      </c>
      <c r="J49" t="n">
        <v>136.139541</v>
      </c>
      <c r="K49" t="n">
        <v>127.362312</v>
      </c>
      <c r="L49" t="n">
        <v>358.406583</v>
      </c>
      <c r="M49" t="n">
        <v>358.406583</v>
      </c>
      <c r="N49" t="n">
        <v>358.406583</v>
      </c>
      <c r="O49" t="n">
        <v>341.418803</v>
      </c>
      <c r="P49" t="n">
        <v>140.125818</v>
      </c>
      <c r="Q49" t="n">
        <v>358.406583</v>
      </c>
      <c r="R49" t="n">
        <v>5989.509989</v>
      </c>
      <c r="S49" t="n">
        <v>341.418803</v>
      </c>
      <c r="T49" t="n">
        <v>178554.604556</v>
      </c>
      <c r="U49" t="n">
        <v>140.125818</v>
      </c>
      <c r="V49" t="n">
        <v>-299079.478285</v>
      </c>
      <c r="W49" t="n">
        <v>574.027146</v>
      </c>
      <c r="X49" t="n">
        <v>502.728082</v>
      </c>
      <c r="Y49" t="n">
        <v>42.955466</v>
      </c>
      <c r="Z49" t="n">
        <v>65.044787</v>
      </c>
    </row>
    <row r="50" ht="21" customHeight="1">
      <c r="A50" t="inlineStr">
        <is>
          <t>Decapterus russelli</t>
        </is>
      </c>
      <c r="B50" t="n">
        <v>3.68</v>
      </c>
      <c r="C50" t="n">
        <v>478.630092</v>
      </c>
      <c r="D50" s="10" t="inlineStr">
        <is>
          <t>2 Carangids | 3 Carangids</t>
        </is>
      </c>
      <c r="E50" t="n">
        <v>276.665746</v>
      </c>
      <c r="F50" t="n">
        <v>1047.559324</v>
      </c>
      <c r="G50" t="n">
        <v>629.821299</v>
      </c>
      <c r="H50" t="n">
        <v>2238.50504</v>
      </c>
      <c r="I50" t="n">
        <v>641.128381</v>
      </c>
      <c r="J50" t="n">
        <v>754.920494</v>
      </c>
      <c r="K50" t="n">
        <v>726.746267</v>
      </c>
      <c r="L50" t="n">
        <v>2160.61505</v>
      </c>
      <c r="M50" t="n">
        <v>2160.61505</v>
      </c>
      <c r="N50" t="n">
        <v>2160.61505</v>
      </c>
      <c r="O50" t="n">
        <v>1714.802766</v>
      </c>
      <c r="P50" t="n">
        <v>507.968664</v>
      </c>
      <c r="Q50" t="n">
        <v>2160.61505</v>
      </c>
      <c r="R50" t="n">
        <v>1782592.482977</v>
      </c>
      <c r="S50" t="n">
        <v>1714.802766</v>
      </c>
      <c r="T50" t="n">
        <v>15448395.144238</v>
      </c>
      <c r="U50" t="n">
        <v>507.968664</v>
      </c>
      <c r="V50" t="n">
        <v>363121069.828352</v>
      </c>
      <c r="W50" t="n">
        <v>2799.375544</v>
      </c>
      <c r="X50" t="n">
        <v>2890.556852</v>
      </c>
      <c r="Y50" t="n">
        <v>143.6356</v>
      </c>
      <c r="Z50" t="n">
        <v>294.157869</v>
      </c>
    </row>
    <row r="51" ht="21" customHeight="1">
      <c r="A51" t="inlineStr">
        <is>
          <t>Sepia</t>
        </is>
      </c>
      <c r="B51" t="n">
        <v>3.69</v>
      </c>
      <c r="C51" t="n">
        <v>489.778819</v>
      </c>
      <c r="D51" s="10" t="inlineStr">
        <is>
          <t>Cephalopods</t>
        </is>
      </c>
      <c r="E51" t="n">
        <v>276.665746</v>
      </c>
      <c r="F51" t="n">
        <v>990.119511</v>
      </c>
      <c r="G51" t="n">
        <v>598.369015</v>
      </c>
      <c r="H51" t="n">
        <v>1346.888416</v>
      </c>
      <c r="I51" t="n">
        <v>377.016205</v>
      </c>
      <c r="J51" t="n">
        <v>457.659002</v>
      </c>
      <c r="K51" t="n">
        <v>411.893102</v>
      </c>
      <c r="L51" t="n">
        <v>1154.963068</v>
      </c>
      <c r="M51" t="n">
        <v>1154.963068</v>
      </c>
      <c r="N51" t="n">
        <v>1154.963068</v>
      </c>
      <c r="O51" t="n">
        <v>883.48756</v>
      </c>
      <c r="P51" t="n">
        <v>288.738455</v>
      </c>
      <c r="Q51" t="n">
        <v>1154.963068</v>
      </c>
      <c r="R51" t="n">
        <v>-30007.429063</v>
      </c>
      <c r="S51" t="n">
        <v>883.48756</v>
      </c>
      <c r="T51" t="n">
        <v>-4635.736133</v>
      </c>
      <c r="U51" t="n">
        <v>288.738455</v>
      </c>
      <c r="V51" t="n">
        <v>-68084.421791</v>
      </c>
      <c r="W51" t="n">
        <v>1393.890949</v>
      </c>
      <c r="X51" t="n">
        <v>1512.449191</v>
      </c>
      <c r="Y51" t="n">
        <v>138.403273</v>
      </c>
      <c r="Z51" t="n">
        <v>209.479831</v>
      </c>
    </row>
    <row r="52" ht="21" customHeight="1">
      <c r="A52" t="inlineStr">
        <is>
          <t>Mugilidae</t>
        </is>
      </c>
      <c r="B52" t="n">
        <v>2.53</v>
      </c>
      <c r="C52" t="n">
        <v>33.884416</v>
      </c>
      <c r="D52" s="10" t="inlineStr">
        <is>
          <t>2 SM inv | 3 SM inv</t>
        </is>
      </c>
      <c r="E52" t="n">
        <v>276.665746</v>
      </c>
      <c r="F52" t="n">
        <v>195.237034</v>
      </c>
      <c r="G52" t="n">
        <v>132.430212</v>
      </c>
      <c r="H52" t="n">
        <v>264.469084</v>
      </c>
      <c r="I52" t="n">
        <v>118.913507</v>
      </c>
      <c r="J52" t="n">
        <v>136.139541</v>
      </c>
      <c r="K52" t="n">
        <v>127.362312</v>
      </c>
      <c r="L52" t="n">
        <v>358.406583</v>
      </c>
      <c r="M52" t="n">
        <v>358.406583</v>
      </c>
      <c r="N52" t="n">
        <v>358.406583</v>
      </c>
      <c r="O52" t="n">
        <v>341.418803</v>
      </c>
      <c r="P52" t="n">
        <v>140.125818</v>
      </c>
      <c r="Q52" t="n">
        <v>358.406583</v>
      </c>
      <c r="R52" t="n">
        <v>5989.509989</v>
      </c>
      <c r="S52" t="n">
        <v>341.418803</v>
      </c>
      <c r="T52" t="n">
        <v>178554.604556</v>
      </c>
      <c r="U52" t="n">
        <v>140.125818</v>
      </c>
      <c r="V52" t="n">
        <v>-299079.478285</v>
      </c>
      <c r="W52" t="n">
        <v>574.027146</v>
      </c>
      <c r="X52" t="n">
        <v>502.728082</v>
      </c>
      <c r="Y52" t="n">
        <v>42.955466</v>
      </c>
      <c r="Z52" t="n">
        <v>65.044787</v>
      </c>
    </row>
    <row r="53" ht="21" customHeight="1">
      <c r="A53" t="inlineStr">
        <is>
          <t>Thryssa</t>
        </is>
      </c>
      <c r="B53" t="n">
        <v>3.34</v>
      </c>
      <c r="C53" t="n">
        <v>218.776162</v>
      </c>
      <c r="D53" s="10" t="inlineStr">
        <is>
          <t>2 S pelagics | 3 S pelagics</t>
        </is>
      </c>
      <c r="E53" t="n">
        <v>276.665746</v>
      </c>
      <c r="F53" t="n">
        <v>140.109476</v>
      </c>
      <c r="G53" t="n">
        <v>97.63290000000001</v>
      </c>
      <c r="H53" t="n">
        <v>192.742209</v>
      </c>
      <c r="I53" t="n">
        <v>80.89349199999999</v>
      </c>
      <c r="J53" t="n">
        <v>105.806754</v>
      </c>
      <c r="K53" t="n">
        <v>98.775728</v>
      </c>
      <c r="L53" t="n">
        <v>234.092906</v>
      </c>
      <c r="M53" t="n">
        <v>234.092906</v>
      </c>
      <c r="N53" t="n">
        <v>234.092906</v>
      </c>
      <c r="O53" t="n">
        <v>202.855848</v>
      </c>
      <c r="P53" t="n">
        <v>80.16221299999999</v>
      </c>
      <c r="Q53" t="n">
        <v>234.092906</v>
      </c>
      <c r="R53" t="n">
        <v>-33950.413664</v>
      </c>
      <c r="S53" t="n">
        <v>202.855848</v>
      </c>
      <c r="T53" t="n">
        <v>227501.375555</v>
      </c>
      <c r="U53" t="n">
        <v>80.16221299999999</v>
      </c>
      <c r="V53" t="n">
        <v>-5091897.075108</v>
      </c>
      <c r="W53" t="n">
        <v>296.389113</v>
      </c>
      <c r="X53" t="n">
        <v>299.235812</v>
      </c>
      <c r="Y53" t="n">
        <v>34.1744</v>
      </c>
      <c r="Z53" t="n">
        <v>48.437594</v>
      </c>
    </row>
    <row r="54" ht="21" customHeight="1">
      <c r="A54" t="inlineStr">
        <is>
          <t>Portunidae</t>
        </is>
      </c>
      <c r="B54" t="n">
        <v>3.56</v>
      </c>
      <c r="C54" t="n">
        <v>363.078055</v>
      </c>
      <c r="D54" s="10" t="inlineStr">
        <is>
          <t>2 Crustaceans | 3 Crustaceans</t>
        </is>
      </c>
      <c r="E54" t="n">
        <v>276.665746</v>
      </c>
      <c r="F54" t="n">
        <v>87.346446</v>
      </c>
      <c r="G54" t="n">
        <v>62.825827</v>
      </c>
      <c r="H54" t="n">
        <v>62.583797</v>
      </c>
      <c r="I54" t="n">
        <v>49.059783</v>
      </c>
      <c r="J54" t="n">
        <v>49.059783</v>
      </c>
      <c r="K54" t="n">
        <v>45.848307</v>
      </c>
      <c r="L54" t="n">
        <v>88.61683499999999</v>
      </c>
      <c r="M54" t="n">
        <v>88.61683499999999</v>
      </c>
      <c r="N54" t="n">
        <v>88.61683499999999</v>
      </c>
      <c r="O54" t="n">
        <v>112.736869</v>
      </c>
      <c r="P54" t="n">
        <v>69.749027</v>
      </c>
      <c r="Q54" t="n">
        <v>88.61683499999999</v>
      </c>
      <c r="R54" t="n">
        <v>88.61683499999999</v>
      </c>
      <c r="S54" t="n">
        <v>112.736869</v>
      </c>
      <c r="T54" t="n">
        <v>18.000131</v>
      </c>
      <c r="U54" t="n">
        <v>69.749027</v>
      </c>
      <c r="V54" t="n">
        <v>77.336753</v>
      </c>
      <c r="W54" t="n">
        <v>138.030843</v>
      </c>
      <c r="X54" t="n">
        <v>98.46392899999999</v>
      </c>
      <c r="Y54" t="n">
        <v>24.163479</v>
      </c>
      <c r="Z54" t="n">
        <v>23.495104</v>
      </c>
    </row>
    <row r="55" ht="21" customHeight="1">
      <c r="A55" t="inlineStr">
        <is>
          <t>Pterotolithus maculatus</t>
        </is>
      </c>
      <c r="B55" t="n">
        <v>3.7</v>
      </c>
      <c r="C55" t="n">
        <v>501.187234</v>
      </c>
      <c r="D55" s="10" t="inlineStr">
        <is>
          <t>2 L pisc comm | 3 L pisc comm</t>
        </is>
      </c>
      <c r="E55" t="n">
        <v>276.665746</v>
      </c>
      <c r="F55" t="n">
        <v>942.008432</v>
      </c>
      <c r="G55" t="n">
        <v>569.455705</v>
      </c>
      <c r="H55" t="n">
        <v>2134.327853</v>
      </c>
      <c r="I55" t="n">
        <v>640.479051</v>
      </c>
      <c r="J55" t="n">
        <v>809.758325</v>
      </c>
      <c r="K55" t="n">
        <v>735.799922</v>
      </c>
      <c r="L55" t="n">
        <v>2161.826618</v>
      </c>
      <c r="M55" t="n">
        <v>2161.826618</v>
      </c>
      <c r="N55" t="n">
        <v>2161.826618</v>
      </c>
      <c r="O55" t="n">
        <v>1597.141175</v>
      </c>
      <c r="P55" t="n">
        <v>484.321234</v>
      </c>
      <c r="Q55" t="n">
        <v>2161.826618</v>
      </c>
      <c r="R55" t="n">
        <v>-1582279.837302</v>
      </c>
      <c r="S55" t="n">
        <v>1597.141175</v>
      </c>
      <c r="T55" t="n">
        <v>18597729.236262</v>
      </c>
      <c r="U55" t="n">
        <v>484.321234</v>
      </c>
      <c r="V55" t="n">
        <v>-731199951.6958441</v>
      </c>
      <c r="W55" t="n">
        <v>2522.004884</v>
      </c>
      <c r="X55" t="n">
        <v>2847.344437</v>
      </c>
      <c r="Y55" t="n">
        <v>132.205276</v>
      </c>
      <c r="Z55" t="n">
        <v>267.681374</v>
      </c>
    </row>
    <row r="56" ht="21" customHeight="1">
      <c r="A56" t="inlineStr">
        <is>
          <t>Rastrelliger brachysoma</t>
        </is>
      </c>
      <c r="B56" t="n">
        <v>2.72</v>
      </c>
      <c r="C56" t="n">
        <v>52.480746</v>
      </c>
      <c r="D56" s="10" t="inlineStr">
        <is>
          <t>2-3 Indian mackerel</t>
        </is>
      </c>
      <c r="E56" t="n">
        <v>276.665746</v>
      </c>
      <c r="F56" t="n">
        <v>120.78179</v>
      </c>
      <c r="G56" t="n">
        <v>85.112274</v>
      </c>
      <c r="H56" t="n">
        <v>192.146529</v>
      </c>
      <c r="I56" t="n">
        <v>101.39556</v>
      </c>
      <c r="J56" t="n">
        <v>103.551538</v>
      </c>
      <c r="K56" t="n">
        <v>96.717136</v>
      </c>
      <c r="L56" t="n">
        <v>293.317418</v>
      </c>
      <c r="M56" t="n">
        <v>293.317418</v>
      </c>
      <c r="N56" t="n">
        <v>293.317418</v>
      </c>
      <c r="O56" t="n">
        <v>271.728732</v>
      </c>
      <c r="P56" t="n">
        <v>111.244059</v>
      </c>
      <c r="Q56" t="n">
        <v>293.317418</v>
      </c>
      <c r="R56" t="n">
        <v>263.487421</v>
      </c>
      <c r="S56" t="n">
        <v>271.728732</v>
      </c>
      <c r="T56" t="n">
        <v>60.624655</v>
      </c>
      <c r="U56" t="n">
        <v>111.244059</v>
      </c>
      <c r="V56" t="n">
        <v>132.607488</v>
      </c>
      <c r="W56" t="n">
        <v>466.304362</v>
      </c>
      <c r="X56" t="n">
        <v>427.286877</v>
      </c>
      <c r="Y56" t="n">
        <v>30.767747</v>
      </c>
      <c r="Z56" t="n">
        <v>48.426923</v>
      </c>
    </row>
    <row r="57" ht="36" customHeight="1">
      <c r="A57" t="inlineStr">
        <is>
          <t>Polynemidae</t>
        </is>
      </c>
      <c r="B57" t="n">
        <v>3.62</v>
      </c>
      <c r="C57" t="n">
        <v>416.869383</v>
      </c>
      <c r="D57" s="10" t="inlineStr">
        <is>
          <t>2 L pisc | 3 L pisc | 2 SM inv | 3 SM inv</t>
        </is>
      </c>
      <c r="E57" t="n">
        <v>276.665746</v>
      </c>
      <c r="F57" t="n">
        <v>497.781419</v>
      </c>
      <c r="G57" t="n">
        <v>303.811932</v>
      </c>
      <c r="H57" t="n">
        <v>1095.751534</v>
      </c>
      <c r="I57" t="n">
        <v>300.256473</v>
      </c>
      <c r="J57" t="n">
        <v>352.156415</v>
      </c>
      <c r="K57" t="n">
        <v>320.786361</v>
      </c>
      <c r="L57" t="n">
        <v>1010.836663</v>
      </c>
      <c r="M57" t="n">
        <v>1010.836663</v>
      </c>
      <c r="N57" t="n">
        <v>1010.836663</v>
      </c>
      <c r="O57" t="n">
        <v>791.681783</v>
      </c>
      <c r="P57" t="n">
        <v>251.155339</v>
      </c>
      <c r="Q57" t="n">
        <v>1010.836663</v>
      </c>
      <c r="R57" t="n">
        <v>17125.375003</v>
      </c>
      <c r="S57" t="n">
        <v>791.681783</v>
      </c>
      <c r="T57" t="n">
        <v>1103613.561783</v>
      </c>
      <c r="U57" t="n">
        <v>251.155339</v>
      </c>
      <c r="V57" t="n">
        <v>1798726826.260244</v>
      </c>
      <c r="W57" t="n">
        <v>1293.4363</v>
      </c>
      <c r="X57" t="n">
        <v>1364.66993</v>
      </c>
      <c r="Y57" t="n">
        <v>74.929619</v>
      </c>
      <c r="Z57" t="n">
        <v>142.652833</v>
      </c>
    </row>
    <row r="58" ht="21" customHeight="1">
      <c r="A58" t="inlineStr">
        <is>
          <t>Thunnus albacares</t>
        </is>
      </c>
      <c r="B58" t="n">
        <v>4.41</v>
      </c>
      <c r="C58" t="n">
        <v>2570.395783</v>
      </c>
      <c r="D58" s="10" t="inlineStr">
        <is>
          <t>Yellowfin tuna</t>
        </is>
      </c>
      <c r="E58" t="n">
        <v>276.665746</v>
      </c>
      <c r="F58" t="n">
        <v>7345.100997</v>
      </c>
      <c r="G58" t="n">
        <v>3834.748855</v>
      </c>
      <c r="H58" t="n">
        <v>9823.345812</v>
      </c>
      <c r="I58" t="n">
        <v>1880.530271</v>
      </c>
      <c r="J58" t="n">
        <v>2274.693646</v>
      </c>
      <c r="K58" t="n">
        <v>2047.224281</v>
      </c>
      <c r="L58" t="n">
        <v>5882.016048</v>
      </c>
      <c r="M58" t="n">
        <v>5882.016048</v>
      </c>
      <c r="N58" t="n">
        <v>5882.016048</v>
      </c>
      <c r="O58" t="n">
        <v>4117.74033</v>
      </c>
      <c r="P58" t="n">
        <v>1090.333002</v>
      </c>
      <c r="Q58" t="n">
        <v>5882.016048</v>
      </c>
      <c r="R58" t="n">
        <v>-1269627.80489</v>
      </c>
      <c r="S58" t="n">
        <v>4117.74033</v>
      </c>
      <c r="T58" t="n">
        <v>825155.20499</v>
      </c>
      <c r="U58" t="n">
        <v>1090.333002</v>
      </c>
      <c r="V58" t="n">
        <v>-1.428082070158519e+22</v>
      </c>
      <c r="W58" t="n">
        <v>6516.838262</v>
      </c>
      <c r="X58" t="n">
        <v>7809.894595</v>
      </c>
      <c r="Y58" t="n">
        <v>579.688036</v>
      </c>
      <c r="Z58" t="n">
        <v>954.472864</v>
      </c>
    </row>
    <row r="59" ht="21" customHeight="1">
      <c r="A59" t="inlineStr">
        <is>
          <t>Mullidae</t>
        </is>
      </c>
      <c r="B59" t="n">
        <v>3.46</v>
      </c>
      <c r="C59" t="n">
        <v>288.40315</v>
      </c>
      <c r="D59" s="10" t="inlineStr">
        <is>
          <t>2 SM inv | 3 SM inv</t>
        </is>
      </c>
      <c r="E59" t="n">
        <v>276.665746</v>
      </c>
      <c r="F59" t="n">
        <v>195.237034</v>
      </c>
      <c r="G59" t="n">
        <v>132.430212</v>
      </c>
      <c r="H59" t="n">
        <v>264.469084</v>
      </c>
      <c r="I59" t="n">
        <v>118.913507</v>
      </c>
      <c r="J59" t="n">
        <v>136.139541</v>
      </c>
      <c r="K59" t="n">
        <v>127.362312</v>
      </c>
      <c r="L59" t="n">
        <v>358.406583</v>
      </c>
      <c r="M59" t="n">
        <v>358.406583</v>
      </c>
      <c r="N59" t="n">
        <v>358.406583</v>
      </c>
      <c r="O59" t="n">
        <v>341.418803</v>
      </c>
      <c r="P59" t="n">
        <v>140.125818</v>
      </c>
      <c r="Q59" t="n">
        <v>358.406583</v>
      </c>
      <c r="R59" t="n">
        <v>5989.509989</v>
      </c>
      <c r="S59" t="n">
        <v>341.418803</v>
      </c>
      <c r="T59" t="n">
        <v>178554.604556</v>
      </c>
      <c r="U59" t="n">
        <v>140.125818</v>
      </c>
      <c r="V59" t="n">
        <v>-299079.478285</v>
      </c>
      <c r="W59" t="n">
        <v>574.027146</v>
      </c>
      <c r="X59" t="n">
        <v>502.728082</v>
      </c>
      <c r="Y59" t="n">
        <v>42.955466</v>
      </c>
      <c r="Z59" t="n">
        <v>65.044787</v>
      </c>
    </row>
    <row r="60" ht="21" customHeight="1">
      <c r="A60" t="inlineStr">
        <is>
          <t>Saurida tumbil</t>
        </is>
      </c>
      <c r="B60" t="n">
        <v>4.4</v>
      </c>
      <c r="C60" t="n">
        <v>2511.886432</v>
      </c>
      <c r="D60" s="10" t="inlineStr">
        <is>
          <t>2 L pisc comm | 3 L pisc comm</t>
        </is>
      </c>
      <c r="E60" t="n">
        <v>276.665746</v>
      </c>
      <c r="F60" t="n">
        <v>942.008432</v>
      </c>
      <c r="G60" t="n">
        <v>569.455705</v>
      </c>
      <c r="H60" t="n">
        <v>2134.327853</v>
      </c>
      <c r="I60" t="n">
        <v>640.479051</v>
      </c>
      <c r="J60" t="n">
        <v>809.758325</v>
      </c>
      <c r="K60" t="n">
        <v>735.799922</v>
      </c>
      <c r="L60" t="n">
        <v>2161.826618</v>
      </c>
      <c r="M60" t="n">
        <v>2161.826618</v>
      </c>
      <c r="N60" t="n">
        <v>2161.826618</v>
      </c>
      <c r="O60" t="n">
        <v>1597.141175</v>
      </c>
      <c r="P60" t="n">
        <v>484.321234</v>
      </c>
      <c r="Q60" t="n">
        <v>2161.826618</v>
      </c>
      <c r="R60" t="n">
        <v>-1582279.837302</v>
      </c>
      <c r="S60" t="n">
        <v>1597.141175</v>
      </c>
      <c r="T60" t="n">
        <v>18597729.236262</v>
      </c>
      <c r="U60" t="n">
        <v>484.321234</v>
      </c>
      <c r="V60" t="n">
        <v>-731199951.6958441</v>
      </c>
      <c r="W60" t="n">
        <v>2522.004884</v>
      </c>
      <c r="X60" t="n">
        <v>2847.344437</v>
      </c>
      <c r="Y60" t="n">
        <v>132.205276</v>
      </c>
      <c r="Z60" t="n">
        <v>267.681374</v>
      </c>
    </row>
    <row r="61" ht="21" customHeight="1">
      <c r="A61" t="inlineStr">
        <is>
          <t>Scomberomorus guttatus</t>
        </is>
      </c>
      <c r="B61" t="n">
        <v>4.28</v>
      </c>
      <c r="C61" t="n">
        <v>1905.460718</v>
      </c>
      <c r="D61" s="10" t="inlineStr">
        <is>
          <t>Coastal scombrids</t>
        </is>
      </c>
      <c r="E61" t="n">
        <v>276.665746</v>
      </c>
      <c r="F61" t="n">
        <v>2151.411916</v>
      </c>
      <c r="G61" t="n">
        <v>1228.563684</v>
      </c>
      <c r="H61" t="n">
        <v>5449.628126</v>
      </c>
      <c r="I61" t="n">
        <v>1746.481623</v>
      </c>
      <c r="J61" t="n">
        <v>2058.735989</v>
      </c>
      <c r="K61" t="n">
        <v>1231.124121</v>
      </c>
      <c r="L61" t="n">
        <v>5799.192784</v>
      </c>
      <c r="M61" t="n">
        <v>5799.192784</v>
      </c>
      <c r="N61" t="n">
        <v>5799.192784</v>
      </c>
      <c r="O61" t="n">
        <v>2889.445671</v>
      </c>
      <c r="P61" t="n">
        <v>773.655572</v>
      </c>
      <c r="Q61" t="n">
        <v>5799.192784</v>
      </c>
      <c r="R61" t="n">
        <v>16496946.005748</v>
      </c>
      <c r="S61" t="n">
        <v>2889.445671</v>
      </c>
      <c r="T61" t="n">
        <v>-17915259.4837</v>
      </c>
      <c r="U61" t="n">
        <v>773.655572</v>
      </c>
      <c r="V61" t="n">
        <v>-5915900048852866</v>
      </c>
      <c r="W61" t="n">
        <v>4649.46224</v>
      </c>
      <c r="X61" t="n">
        <v>7908.520493</v>
      </c>
      <c r="Y61" t="n">
        <v>241.012964</v>
      </c>
      <c r="Z61" t="n">
        <v>536.974768</v>
      </c>
    </row>
    <row r="62" ht="21" customHeight="1">
      <c r="A62" t="inlineStr">
        <is>
          <t>Priacanthus</t>
        </is>
      </c>
      <c r="B62" t="n">
        <v>3.81</v>
      </c>
      <c r="C62" t="n">
        <v>645.654229</v>
      </c>
      <c r="D62" s="10" t="inlineStr">
        <is>
          <t>2 SM pisc | 3 SM pisc</t>
        </is>
      </c>
      <c r="E62" t="n">
        <v>276.665746</v>
      </c>
      <c r="F62" t="n">
        <v>735.917019</v>
      </c>
      <c r="G62" t="n">
        <v>452.492682</v>
      </c>
      <c r="H62" t="n">
        <v>682.505571</v>
      </c>
      <c r="I62" t="n">
        <v>235.544874</v>
      </c>
      <c r="J62" t="n">
        <v>314.328392</v>
      </c>
      <c r="K62" t="n">
        <v>298.611973</v>
      </c>
      <c r="L62" t="n">
        <v>954.92823</v>
      </c>
      <c r="M62" t="n">
        <v>954.92823</v>
      </c>
      <c r="N62" t="n">
        <v>954.92823</v>
      </c>
      <c r="O62" t="n">
        <v>843.700548</v>
      </c>
      <c r="P62" t="n">
        <v>294.126635</v>
      </c>
      <c r="Q62" t="n">
        <v>954.92823</v>
      </c>
      <c r="R62" t="n">
        <v>10111.529968</v>
      </c>
      <c r="S62" t="n">
        <v>843.700548</v>
      </c>
      <c r="T62" t="n">
        <v>668478.0116420001</v>
      </c>
      <c r="U62" t="n">
        <v>294.126635</v>
      </c>
      <c r="V62" t="n">
        <v>-16893452.951404</v>
      </c>
      <c r="W62" t="n">
        <v>1324.45367</v>
      </c>
      <c r="X62" t="n">
        <v>1272.235398</v>
      </c>
      <c r="Y62" t="n">
        <v>110.428635</v>
      </c>
      <c r="Z62" t="n">
        <v>131.805708</v>
      </c>
    </row>
    <row r="63" ht="36" customHeight="1">
      <c r="A63" t="inlineStr">
        <is>
          <t>Marine pelagic fishes not identified</t>
        </is>
      </c>
      <c r="B63" t="n">
        <v>3.35</v>
      </c>
      <c r="C63" t="n">
        <v>223.872114</v>
      </c>
      <c r="D63" s="10" t="inlineStr">
        <is>
          <t>2 S pelagics | 3 S pelagics | 2 Carangids | 3 Carangids</t>
        </is>
      </c>
      <c r="E63" t="n">
        <v>276.665746</v>
      </c>
      <c r="F63" t="n">
        <v>491.216771</v>
      </c>
      <c r="G63" t="n">
        <v>303.545359</v>
      </c>
      <c r="H63" t="n">
        <v>984.281548</v>
      </c>
      <c r="I63" t="n">
        <v>297.6576</v>
      </c>
      <c r="J63" t="n">
        <v>356.959553</v>
      </c>
      <c r="K63" t="n">
        <v>341.747874</v>
      </c>
      <c r="L63" t="n">
        <v>979.4960589999999</v>
      </c>
      <c r="M63" t="n">
        <v>979.4960589999999</v>
      </c>
      <c r="N63" t="n">
        <v>979.4960589999999</v>
      </c>
      <c r="O63" t="n">
        <v>787.853017</v>
      </c>
      <c r="P63" t="n">
        <v>245.687577</v>
      </c>
      <c r="Q63" t="n">
        <v>979.4960589999999</v>
      </c>
      <c r="R63" t="n">
        <v>668899.9572309999</v>
      </c>
      <c r="S63" t="n">
        <v>787.853017</v>
      </c>
      <c r="T63" t="n">
        <v>6116715.910736</v>
      </c>
      <c r="U63" t="n">
        <v>245.687577</v>
      </c>
      <c r="V63" t="n">
        <v>137375765.447534</v>
      </c>
      <c r="W63" t="n">
        <v>1264.835795</v>
      </c>
      <c r="X63" t="n">
        <v>1301.860609</v>
      </c>
      <c r="Y63" t="n">
        <v>76.526741</v>
      </c>
      <c r="Z63" t="n">
        <v>143.510816</v>
      </c>
    </row>
    <row r="64" ht="21" customHeight="1">
      <c r="A64" t="inlineStr">
        <is>
          <t>Batoidea</t>
        </is>
      </c>
      <c r="B64" t="n">
        <v>3.72</v>
      </c>
      <c r="C64" t="n">
        <v>524.80746</v>
      </c>
      <c r="D64" s="10" t="inlineStr">
        <is>
          <t>Coastal elasmobranch</t>
        </is>
      </c>
      <c r="E64" t="n">
        <v>276.665746</v>
      </c>
      <c r="F64" t="n">
        <v>1214.104792</v>
      </c>
      <c r="G64" t="n">
        <v>722.888243</v>
      </c>
      <c r="H64" t="n">
        <v>10121.435398</v>
      </c>
      <c r="I64" t="n">
        <v>2496.053382</v>
      </c>
      <c r="J64" t="n">
        <v>2721.71256</v>
      </c>
      <c r="K64" t="n">
        <v>2569.296656</v>
      </c>
      <c r="L64" t="n">
        <v>17002.234886</v>
      </c>
      <c r="M64" t="n">
        <v>17002.234886</v>
      </c>
      <c r="N64" t="n">
        <v>17002.234886</v>
      </c>
      <c r="O64" t="n">
        <v>9185.440402</v>
      </c>
      <c r="P64" t="n">
        <v>1863.771432</v>
      </c>
      <c r="Q64" t="n">
        <v>17002.234886</v>
      </c>
      <c r="R64" t="n">
        <v>111559561.583727</v>
      </c>
      <c r="S64" t="n">
        <v>9185.440402</v>
      </c>
      <c r="T64" t="n">
        <v>-6478612.295953</v>
      </c>
      <c r="U64" t="n">
        <v>1863.771432</v>
      </c>
      <c r="V64" t="n">
        <v>1.299598425206395e+19</v>
      </c>
      <c r="W64" t="n">
        <v>15257.306447</v>
      </c>
      <c r="X64" t="n">
        <v>23728.582321</v>
      </c>
      <c r="Y64" t="n">
        <v>160.121668</v>
      </c>
      <c r="Z64" t="n">
        <v>658.77156</v>
      </c>
    </row>
    <row r="65" ht="21" customHeight="1">
      <c r="A65" t="inlineStr">
        <is>
          <t>Parapenaeopsis</t>
        </is>
      </c>
      <c r="B65" t="n">
        <v>2.72</v>
      </c>
      <c r="C65" t="n">
        <v>52.480746</v>
      </c>
      <c r="D65" s="10" t="inlineStr">
        <is>
          <t>2 Crustaceans | 3 Crustaceans</t>
        </is>
      </c>
      <c r="E65" t="n">
        <v>276.665746</v>
      </c>
      <c r="F65" t="n">
        <v>87.346446</v>
      </c>
      <c r="G65" t="n">
        <v>62.825827</v>
      </c>
      <c r="H65" t="n">
        <v>62.583797</v>
      </c>
      <c r="I65" t="n">
        <v>49.059783</v>
      </c>
      <c r="J65" t="n">
        <v>49.059783</v>
      </c>
      <c r="K65" t="n">
        <v>45.848307</v>
      </c>
      <c r="L65" t="n">
        <v>88.61683499999999</v>
      </c>
      <c r="M65" t="n">
        <v>88.61683499999999</v>
      </c>
      <c r="N65" t="n">
        <v>88.61683499999999</v>
      </c>
      <c r="O65" t="n">
        <v>112.736869</v>
      </c>
      <c r="P65" t="n">
        <v>69.749027</v>
      </c>
      <c r="Q65" t="n">
        <v>88.61683499999999</v>
      </c>
      <c r="R65" t="n">
        <v>88.61683499999999</v>
      </c>
      <c r="S65" t="n">
        <v>112.736869</v>
      </c>
      <c r="T65" t="n">
        <v>18.000131</v>
      </c>
      <c r="U65" t="n">
        <v>69.749027</v>
      </c>
      <c r="V65" t="n">
        <v>77.336753</v>
      </c>
      <c r="W65" t="n">
        <v>138.030843</v>
      </c>
      <c r="X65" t="n">
        <v>98.46392899999999</v>
      </c>
      <c r="Y65" t="n">
        <v>24.163479</v>
      </c>
      <c r="Z65" t="n">
        <v>23.495104</v>
      </c>
    </row>
    <row r="66" ht="21" customHeight="1">
      <c r="A66" t="inlineStr">
        <is>
          <t>Sphyraena</t>
        </is>
      </c>
      <c r="B66" t="n">
        <v>4.4</v>
      </c>
      <c r="C66" t="n">
        <v>2511.886432</v>
      </c>
      <c r="D66" s="10" t="inlineStr">
        <is>
          <t>2 L pisc | 3 L pisc</t>
        </is>
      </c>
      <c r="E66" t="n">
        <v>276.665746</v>
      </c>
      <c r="F66" t="n">
        <v>1671.644897</v>
      </c>
      <c r="G66" t="n">
        <v>968.768055</v>
      </c>
      <c r="H66" t="n">
        <v>4321.103431</v>
      </c>
      <c r="I66" t="n">
        <v>1003.861945</v>
      </c>
      <c r="J66" t="n">
        <v>1190.295649</v>
      </c>
      <c r="K66" t="n">
        <v>1071.266084</v>
      </c>
      <c r="L66" t="n">
        <v>3542.246528</v>
      </c>
      <c r="M66" t="n">
        <v>3542.246528</v>
      </c>
      <c r="N66" t="n">
        <v>3542.246528</v>
      </c>
      <c r="O66" t="n">
        <v>2538.689141</v>
      </c>
      <c r="P66" t="n">
        <v>681.946673</v>
      </c>
      <c r="Q66" t="n">
        <v>3542.246528</v>
      </c>
      <c r="R66" t="n">
        <v>60332.209612</v>
      </c>
      <c r="S66" t="n">
        <v>2538.689141</v>
      </c>
      <c r="T66" t="n">
        <v>4692815.596611</v>
      </c>
      <c r="U66" t="n">
        <v>681.946673</v>
      </c>
      <c r="V66" t="n">
        <v>8778895377.827705</v>
      </c>
      <c r="W66" t="n">
        <v>4084.723039</v>
      </c>
      <c r="X66" t="n">
        <v>4708.979406</v>
      </c>
      <c r="Y66" t="n">
        <v>198.988407</v>
      </c>
      <c r="Z66" t="n">
        <v>443.769811</v>
      </c>
    </row>
    <row r="67" ht="21" customHeight="1">
      <c r="A67" t="inlineStr">
        <is>
          <t>Sepiidae</t>
        </is>
      </c>
      <c r="B67" t="n">
        <v>3.6</v>
      </c>
      <c r="C67" t="n">
        <v>398.107171</v>
      </c>
      <c r="D67" s="10" t="inlineStr">
        <is>
          <t>Cephalopods</t>
        </is>
      </c>
      <c r="E67" t="n">
        <v>276.665746</v>
      </c>
      <c r="F67" t="n">
        <v>990.119511</v>
      </c>
      <c r="G67" t="n">
        <v>598.369015</v>
      </c>
      <c r="H67" t="n">
        <v>1346.888416</v>
      </c>
      <c r="I67" t="n">
        <v>377.016205</v>
      </c>
      <c r="J67" t="n">
        <v>457.659002</v>
      </c>
      <c r="K67" t="n">
        <v>411.893102</v>
      </c>
      <c r="L67" t="n">
        <v>1154.963068</v>
      </c>
      <c r="M67" t="n">
        <v>1154.963068</v>
      </c>
      <c r="N67" t="n">
        <v>1154.963068</v>
      </c>
      <c r="O67" t="n">
        <v>883.48756</v>
      </c>
      <c r="P67" t="n">
        <v>288.738455</v>
      </c>
      <c r="Q67" t="n">
        <v>1154.963068</v>
      </c>
      <c r="R67" t="n">
        <v>-30007.429063</v>
      </c>
      <c r="S67" t="n">
        <v>883.48756</v>
      </c>
      <c r="T67" t="n">
        <v>-4635.736133</v>
      </c>
      <c r="U67" t="n">
        <v>288.738455</v>
      </c>
      <c r="V67" t="n">
        <v>-68084.421791</v>
      </c>
      <c r="W67" t="n">
        <v>1393.890949</v>
      </c>
      <c r="X67" t="n">
        <v>1512.449191</v>
      </c>
      <c r="Y67" t="n">
        <v>138.403273</v>
      </c>
      <c r="Z67" t="n">
        <v>209.479831</v>
      </c>
    </row>
    <row r="68" ht="21" customHeight="1">
      <c r="A68" t="inlineStr">
        <is>
          <t>Trichiurus lepturus</t>
        </is>
      </c>
      <c r="B68" t="n">
        <v>4.42</v>
      </c>
      <c r="C68" t="n">
        <v>2630.267992</v>
      </c>
      <c r="D68" s="10" t="inlineStr">
        <is>
          <t>2 L pisc | 3 L pisc</t>
        </is>
      </c>
      <c r="E68" t="n">
        <v>276.665746</v>
      </c>
      <c r="F68" t="n">
        <v>1671.644897</v>
      </c>
      <c r="G68" t="n">
        <v>968.768055</v>
      </c>
      <c r="H68" t="n">
        <v>4321.103431</v>
      </c>
      <c r="I68" t="n">
        <v>1003.861945</v>
      </c>
      <c r="J68" t="n">
        <v>1190.295649</v>
      </c>
      <c r="K68" t="n">
        <v>1071.266084</v>
      </c>
      <c r="L68" t="n">
        <v>3542.246528</v>
      </c>
      <c r="M68" t="n">
        <v>3542.246528</v>
      </c>
      <c r="N68" t="n">
        <v>3542.246528</v>
      </c>
      <c r="O68" t="n">
        <v>2538.689141</v>
      </c>
      <c r="P68" t="n">
        <v>681.946673</v>
      </c>
      <c r="Q68" t="n">
        <v>3542.246528</v>
      </c>
      <c r="R68" t="n">
        <v>60332.209612</v>
      </c>
      <c r="S68" t="n">
        <v>2538.689141</v>
      </c>
      <c r="T68" t="n">
        <v>4692815.596611</v>
      </c>
      <c r="U68" t="n">
        <v>681.946673</v>
      </c>
      <c r="V68" t="n">
        <v>8778895377.827705</v>
      </c>
      <c r="W68" t="n">
        <v>4084.723039</v>
      </c>
      <c r="X68" t="n">
        <v>4708.979406</v>
      </c>
      <c r="Y68" t="n">
        <v>198.988407</v>
      </c>
      <c r="Z68" t="n">
        <v>443.769811</v>
      </c>
    </row>
    <row r="69" ht="21" customHeight="1">
      <c r="A69" t="inlineStr">
        <is>
          <t>Alepes</t>
        </is>
      </c>
      <c r="B69" t="n">
        <v>3.32</v>
      </c>
      <c r="C69" t="n">
        <v>208.929613</v>
      </c>
      <c r="D69" s="10" t="inlineStr">
        <is>
          <t>2 Carangids | 3 Carangids</t>
        </is>
      </c>
      <c r="E69" t="n">
        <v>276.665746</v>
      </c>
      <c r="F69" t="n">
        <v>1047.559324</v>
      </c>
      <c r="G69" t="n">
        <v>629.821299</v>
      </c>
      <c r="H69" t="n">
        <v>2238.50504</v>
      </c>
      <c r="I69" t="n">
        <v>641.128381</v>
      </c>
      <c r="J69" t="n">
        <v>754.920494</v>
      </c>
      <c r="K69" t="n">
        <v>726.746267</v>
      </c>
      <c r="L69" t="n">
        <v>2160.61505</v>
      </c>
      <c r="M69" t="n">
        <v>2160.61505</v>
      </c>
      <c r="N69" t="n">
        <v>2160.61505</v>
      </c>
      <c r="O69" t="n">
        <v>1714.802766</v>
      </c>
      <c r="P69" t="n">
        <v>507.968664</v>
      </c>
      <c r="Q69" t="n">
        <v>2160.61505</v>
      </c>
      <c r="R69" t="n">
        <v>1782592.482977</v>
      </c>
      <c r="S69" t="n">
        <v>1714.802766</v>
      </c>
      <c r="T69" t="n">
        <v>15448395.144238</v>
      </c>
      <c r="U69" t="n">
        <v>507.968664</v>
      </c>
      <c r="V69" t="n">
        <v>363121069.828352</v>
      </c>
      <c r="W69" t="n">
        <v>2799.375544</v>
      </c>
      <c r="X69" t="n">
        <v>2890.556852</v>
      </c>
      <c r="Y69" t="n">
        <v>143.6356</v>
      </c>
      <c r="Z69" t="n">
        <v>294.157869</v>
      </c>
    </row>
    <row r="70" ht="21" customHeight="1">
      <c r="A70" t="inlineStr">
        <is>
          <t>Euthynnus affinis</t>
        </is>
      </c>
      <c r="B70" t="n">
        <v>4.5</v>
      </c>
      <c r="C70" t="n">
        <v>3162.27766</v>
      </c>
      <c r="D70" s="10" t="inlineStr">
        <is>
          <t>Coastal scombrids</t>
        </is>
      </c>
      <c r="E70" t="n">
        <v>276.665746</v>
      </c>
      <c r="F70" t="n">
        <v>2151.411916</v>
      </c>
      <c r="G70" t="n">
        <v>1228.563684</v>
      </c>
      <c r="H70" t="n">
        <v>5449.628126</v>
      </c>
      <c r="I70" t="n">
        <v>1746.481623</v>
      </c>
      <c r="J70" t="n">
        <v>2058.735989</v>
      </c>
      <c r="K70" t="n">
        <v>1231.124121</v>
      </c>
      <c r="L70" t="n">
        <v>5799.192784</v>
      </c>
      <c r="M70" t="n">
        <v>5799.192784</v>
      </c>
      <c r="N70" t="n">
        <v>5799.192784</v>
      </c>
      <c r="O70" t="n">
        <v>2889.445671</v>
      </c>
      <c r="P70" t="n">
        <v>773.655572</v>
      </c>
      <c r="Q70" t="n">
        <v>5799.192784</v>
      </c>
      <c r="R70" t="n">
        <v>16496946.005748</v>
      </c>
      <c r="S70" t="n">
        <v>2889.445671</v>
      </c>
      <c r="T70" t="n">
        <v>-17915259.4837</v>
      </c>
      <c r="U70" t="n">
        <v>773.655572</v>
      </c>
      <c r="V70" t="n">
        <v>-5915900048852866</v>
      </c>
      <c r="W70" t="n">
        <v>4649.46224</v>
      </c>
      <c r="X70" t="n">
        <v>7908.520493</v>
      </c>
      <c r="Y70" t="n">
        <v>241.012964</v>
      </c>
      <c r="Z70" t="n">
        <v>536.974768</v>
      </c>
    </row>
    <row r="71" ht="21" customHeight="1">
      <c r="A71" t="inlineStr">
        <is>
          <t>Trichiurus</t>
        </is>
      </c>
      <c r="B71" t="n">
        <v>4.42</v>
      </c>
      <c r="C71" t="n">
        <v>2630.267992</v>
      </c>
      <c r="D71" s="10" t="inlineStr">
        <is>
          <t>2 L pisc | 3 L pisc</t>
        </is>
      </c>
      <c r="E71" t="n">
        <v>276.665746</v>
      </c>
      <c r="F71" t="n">
        <v>1671.644897</v>
      </c>
      <c r="G71" t="n">
        <v>968.768055</v>
      </c>
      <c r="H71" t="n">
        <v>4321.103431</v>
      </c>
      <c r="I71" t="n">
        <v>1003.861945</v>
      </c>
      <c r="J71" t="n">
        <v>1190.295649</v>
      </c>
      <c r="K71" t="n">
        <v>1071.266084</v>
      </c>
      <c r="L71" t="n">
        <v>3542.246528</v>
      </c>
      <c r="M71" t="n">
        <v>3542.246528</v>
      </c>
      <c r="N71" t="n">
        <v>3542.246528</v>
      </c>
      <c r="O71" t="n">
        <v>2538.689141</v>
      </c>
      <c r="P71" t="n">
        <v>681.946673</v>
      </c>
      <c r="Q71" t="n">
        <v>3542.246528</v>
      </c>
      <c r="R71" t="n">
        <v>60332.209612</v>
      </c>
      <c r="S71" t="n">
        <v>2538.689141</v>
      </c>
      <c r="T71" t="n">
        <v>4692815.596611</v>
      </c>
      <c r="U71" t="n">
        <v>681.946673</v>
      </c>
      <c r="V71" t="n">
        <v>8778895377.827705</v>
      </c>
      <c r="W71" t="n">
        <v>4084.723039</v>
      </c>
      <c r="X71" t="n">
        <v>4708.979406</v>
      </c>
      <c r="Y71" t="n">
        <v>198.988407</v>
      </c>
      <c r="Z71" t="n">
        <v>443.769811</v>
      </c>
    </row>
    <row r="72" ht="21" customHeight="1">
      <c r="A72" t="inlineStr">
        <is>
          <t>Portunus pelagicus</t>
        </is>
      </c>
      <c r="B72" t="n">
        <v>2.48</v>
      </c>
      <c r="C72" t="n">
        <v>30.199517</v>
      </c>
      <c r="D72" s="10" t="inlineStr">
        <is>
          <t>2 Crustaceans | 3 Crustaceans</t>
        </is>
      </c>
      <c r="E72" t="n">
        <v>276.665746</v>
      </c>
      <c r="F72" t="n">
        <v>87.346446</v>
      </c>
      <c r="G72" t="n">
        <v>62.825827</v>
      </c>
      <c r="H72" t="n">
        <v>62.583797</v>
      </c>
      <c r="I72" t="n">
        <v>49.059783</v>
      </c>
      <c r="J72" t="n">
        <v>49.059783</v>
      </c>
      <c r="K72" t="n">
        <v>45.848307</v>
      </c>
      <c r="L72" t="n">
        <v>88.61683499999999</v>
      </c>
      <c r="M72" t="n">
        <v>88.61683499999999</v>
      </c>
      <c r="N72" t="n">
        <v>88.61683499999999</v>
      </c>
      <c r="O72" t="n">
        <v>112.736869</v>
      </c>
      <c r="P72" t="n">
        <v>69.749027</v>
      </c>
      <c r="Q72" t="n">
        <v>88.61683499999999</v>
      </c>
      <c r="R72" t="n">
        <v>88.61683499999999</v>
      </c>
      <c r="S72" t="n">
        <v>112.736869</v>
      </c>
      <c r="T72" t="n">
        <v>18.000131</v>
      </c>
      <c r="U72" t="n">
        <v>69.749027</v>
      </c>
      <c r="V72" t="n">
        <v>77.336753</v>
      </c>
      <c r="W72" t="n">
        <v>138.030843</v>
      </c>
      <c r="X72" t="n">
        <v>98.46392899999999</v>
      </c>
      <c r="Y72" t="n">
        <v>24.163479</v>
      </c>
      <c r="Z72" t="n">
        <v>23.495104</v>
      </c>
    </row>
    <row r="73" ht="21" customHeight="1">
      <c r="A73" t="inlineStr">
        <is>
          <t>Penaeus merguiensis</t>
        </is>
      </c>
      <c r="B73" t="n">
        <v>3.77</v>
      </c>
      <c r="C73" t="n">
        <v>588.843655</v>
      </c>
      <c r="D73" s="10" t="inlineStr">
        <is>
          <t>2 Crustaceans | 3 Crustaceans</t>
        </is>
      </c>
      <c r="E73" t="n">
        <v>276.665746</v>
      </c>
      <c r="F73" t="n">
        <v>87.346446</v>
      </c>
      <c r="G73" t="n">
        <v>62.825827</v>
      </c>
      <c r="H73" t="n">
        <v>62.583797</v>
      </c>
      <c r="I73" t="n">
        <v>49.059783</v>
      </c>
      <c r="J73" t="n">
        <v>49.059783</v>
      </c>
      <c r="K73" t="n">
        <v>45.848307</v>
      </c>
      <c r="L73" t="n">
        <v>88.61683499999999</v>
      </c>
      <c r="M73" t="n">
        <v>88.61683499999999</v>
      </c>
      <c r="N73" t="n">
        <v>88.61683499999999</v>
      </c>
      <c r="O73" t="n">
        <v>112.736869</v>
      </c>
      <c r="P73" t="n">
        <v>69.749027</v>
      </c>
      <c r="Q73" t="n">
        <v>88.61683499999999</v>
      </c>
      <c r="R73" t="n">
        <v>88.61683499999999</v>
      </c>
      <c r="S73" t="n">
        <v>112.736869</v>
      </c>
      <c r="T73" t="n">
        <v>18.000131</v>
      </c>
      <c r="U73" t="n">
        <v>69.749027</v>
      </c>
      <c r="V73" t="n">
        <v>77.336753</v>
      </c>
      <c r="W73" t="n">
        <v>138.030843</v>
      </c>
      <c r="X73" t="n">
        <v>98.46392899999999</v>
      </c>
      <c r="Y73" t="n">
        <v>24.163479</v>
      </c>
      <c r="Z73" t="n">
        <v>23.495104</v>
      </c>
    </row>
    <row r="74" ht="21" customHeight="1">
      <c r="A74" t="inlineStr">
        <is>
          <t>Metapenaeus</t>
        </is>
      </c>
      <c r="B74" t="n">
        <v>2.7</v>
      </c>
      <c r="C74" t="n">
        <v>50.118723</v>
      </c>
      <c r="D74" s="10" t="inlineStr">
        <is>
          <t>2 Crustaceans | 3 Crustaceans</t>
        </is>
      </c>
      <c r="E74" t="n">
        <v>276.665746</v>
      </c>
      <c r="F74" t="n">
        <v>87.346446</v>
      </c>
      <c r="G74" t="n">
        <v>62.825827</v>
      </c>
      <c r="H74" t="n">
        <v>62.583797</v>
      </c>
      <c r="I74" t="n">
        <v>49.059783</v>
      </c>
      <c r="J74" t="n">
        <v>49.059783</v>
      </c>
      <c r="K74" t="n">
        <v>45.848307</v>
      </c>
      <c r="L74" t="n">
        <v>88.61683499999999</v>
      </c>
      <c r="M74" t="n">
        <v>88.61683499999999</v>
      </c>
      <c r="N74" t="n">
        <v>88.61683499999999</v>
      </c>
      <c r="O74" t="n">
        <v>112.736869</v>
      </c>
      <c r="P74" t="n">
        <v>69.749027</v>
      </c>
      <c r="Q74" t="n">
        <v>88.61683499999999</v>
      </c>
      <c r="R74" t="n">
        <v>88.61683499999999</v>
      </c>
      <c r="S74" t="n">
        <v>112.736869</v>
      </c>
      <c r="T74" t="n">
        <v>18.000131</v>
      </c>
      <c r="U74" t="n">
        <v>69.749027</v>
      </c>
      <c r="V74" t="n">
        <v>77.336753</v>
      </c>
      <c r="W74" t="n">
        <v>138.030843</v>
      </c>
      <c r="X74" t="n">
        <v>98.46392899999999</v>
      </c>
      <c r="Y74" t="n">
        <v>24.163479</v>
      </c>
      <c r="Z74" t="n">
        <v>23.495104</v>
      </c>
    </row>
    <row r="75" ht="21" customHeight="1">
      <c r="A75" t="inlineStr">
        <is>
          <t>Tegillarca granosa</t>
        </is>
      </c>
      <c r="B75" t="n">
        <v>2</v>
      </c>
      <c r="C75" t="n">
        <v>10</v>
      </c>
      <c r="D75" s="10" t="inlineStr">
        <is>
          <t>2 Macrobenthos | 3 Macrobenthos</t>
        </is>
      </c>
      <c r="E75" t="n">
        <v>276.665746</v>
      </c>
      <c r="F75" t="n">
        <v>43.212782</v>
      </c>
      <c r="G75" t="n">
        <v>32.623281</v>
      </c>
      <c r="H75" t="n">
        <v>41.368719</v>
      </c>
      <c r="I75" t="n">
        <v>34.461512</v>
      </c>
      <c r="J75" t="n">
        <v>34.461512</v>
      </c>
      <c r="K75" t="n">
        <v>31.432014</v>
      </c>
      <c r="L75" t="n">
        <v>106.719149</v>
      </c>
      <c r="M75" t="n">
        <v>106.719149</v>
      </c>
      <c r="N75" t="n">
        <v>106.719149</v>
      </c>
      <c r="O75" t="n">
        <v>113.412456</v>
      </c>
      <c r="P75" t="n">
        <v>57.717594</v>
      </c>
      <c r="Q75" t="n">
        <v>106.719149</v>
      </c>
      <c r="R75" t="n">
        <v>106.719149</v>
      </c>
      <c r="S75" t="n">
        <v>113.412456</v>
      </c>
      <c r="T75" t="n">
        <v>25.029149</v>
      </c>
      <c r="U75" t="n">
        <v>57.717594</v>
      </c>
      <c r="V75" t="n">
        <v>63.584441</v>
      </c>
      <c r="W75" t="n">
        <v>206.884057</v>
      </c>
      <c r="X75" t="n">
        <v>165.070073</v>
      </c>
      <c r="Y75" t="n">
        <v>14.477738</v>
      </c>
      <c r="Z75" t="n">
        <v>16.337529</v>
      </c>
    </row>
    <row r="76" ht="21" customHeight="1">
      <c r="A76" t="inlineStr">
        <is>
          <t>Setipinna taty</t>
        </is>
      </c>
      <c r="B76" t="n">
        <v>3.2</v>
      </c>
      <c r="C76" t="n">
        <v>158.489319</v>
      </c>
      <c r="D76" s="10" t="inlineStr">
        <is>
          <t>2 S pelagics | 3 S pelagics</t>
        </is>
      </c>
      <c r="E76" t="n">
        <v>276.665746</v>
      </c>
      <c r="F76" t="n">
        <v>140.109476</v>
      </c>
      <c r="G76" t="n">
        <v>97.63290000000001</v>
      </c>
      <c r="H76" t="n">
        <v>192.742209</v>
      </c>
      <c r="I76" t="n">
        <v>80.89349199999999</v>
      </c>
      <c r="J76" t="n">
        <v>105.806754</v>
      </c>
      <c r="K76" t="n">
        <v>98.775728</v>
      </c>
      <c r="L76" t="n">
        <v>234.092906</v>
      </c>
      <c r="M76" t="n">
        <v>234.092906</v>
      </c>
      <c r="N76" t="n">
        <v>234.092906</v>
      </c>
      <c r="O76" t="n">
        <v>202.855848</v>
      </c>
      <c r="P76" t="n">
        <v>80.16221299999999</v>
      </c>
      <c r="Q76" t="n">
        <v>234.092906</v>
      </c>
      <c r="R76" t="n">
        <v>-33950.413664</v>
      </c>
      <c r="S76" t="n">
        <v>202.855848</v>
      </c>
      <c r="T76" t="n">
        <v>227501.375555</v>
      </c>
      <c r="U76" t="n">
        <v>80.16221299999999</v>
      </c>
      <c r="V76" t="n">
        <v>-5091897.075108</v>
      </c>
      <c r="W76" t="n">
        <v>296.389113</v>
      </c>
      <c r="X76" t="n">
        <v>299.235812</v>
      </c>
      <c r="Y76" t="n">
        <v>34.1744</v>
      </c>
      <c r="Z76" t="n">
        <v>48.437594</v>
      </c>
    </row>
    <row r="77" ht="21" customHeight="1">
      <c r="A77" t="inlineStr">
        <is>
          <t>Loliginidae</t>
        </is>
      </c>
      <c r="B77" t="n">
        <v>3.9</v>
      </c>
      <c r="C77" t="n">
        <v>794.3282349999999</v>
      </c>
      <c r="D77" s="10" t="inlineStr">
        <is>
          <t>Cephalopods</t>
        </is>
      </c>
      <c r="E77" t="n">
        <v>276.665746</v>
      </c>
      <c r="F77" t="n">
        <v>990.119511</v>
      </c>
      <c r="G77" t="n">
        <v>598.369015</v>
      </c>
      <c r="H77" t="n">
        <v>1346.888416</v>
      </c>
      <c r="I77" t="n">
        <v>377.016205</v>
      </c>
      <c r="J77" t="n">
        <v>457.659002</v>
      </c>
      <c r="K77" t="n">
        <v>411.893102</v>
      </c>
      <c r="L77" t="n">
        <v>1154.963068</v>
      </c>
      <c r="M77" t="n">
        <v>1154.963068</v>
      </c>
      <c r="N77" t="n">
        <v>1154.963068</v>
      </c>
      <c r="O77" t="n">
        <v>883.48756</v>
      </c>
      <c r="P77" t="n">
        <v>288.738455</v>
      </c>
      <c r="Q77" t="n">
        <v>1154.963068</v>
      </c>
      <c r="R77" t="n">
        <v>-30007.429063</v>
      </c>
      <c r="S77" t="n">
        <v>883.48756</v>
      </c>
      <c r="T77" t="n">
        <v>-4635.736133</v>
      </c>
      <c r="U77" t="n">
        <v>288.738455</v>
      </c>
      <c r="V77" t="n">
        <v>-68084.421791</v>
      </c>
      <c r="W77" t="n">
        <v>1393.890949</v>
      </c>
      <c r="X77" t="n">
        <v>1512.449191</v>
      </c>
      <c r="Y77" t="n">
        <v>138.403273</v>
      </c>
      <c r="Z77" t="n">
        <v>209.479831</v>
      </c>
    </row>
    <row r="78" ht="21" customHeight="1">
      <c r="A78" t="inlineStr">
        <is>
          <t>Lethrinidae</t>
        </is>
      </c>
      <c r="B78" t="n">
        <v>3.59</v>
      </c>
      <c r="C78" t="n">
        <v>389.045145</v>
      </c>
      <c r="D78" s="10" t="inlineStr">
        <is>
          <t>2 L pisc comm | 3 L pisc comm</t>
        </is>
      </c>
      <c r="E78" t="n">
        <v>276.665746</v>
      </c>
      <c r="F78" t="n">
        <v>942.008432</v>
      </c>
      <c r="G78" t="n">
        <v>569.455705</v>
      </c>
      <c r="H78" t="n">
        <v>2134.327853</v>
      </c>
      <c r="I78" t="n">
        <v>640.479051</v>
      </c>
      <c r="J78" t="n">
        <v>809.758325</v>
      </c>
      <c r="K78" t="n">
        <v>735.799922</v>
      </c>
      <c r="L78" t="n">
        <v>2161.826618</v>
      </c>
      <c r="M78" t="n">
        <v>2161.826618</v>
      </c>
      <c r="N78" t="n">
        <v>2161.826618</v>
      </c>
      <c r="O78" t="n">
        <v>1597.141175</v>
      </c>
      <c r="P78" t="n">
        <v>484.321234</v>
      </c>
      <c r="Q78" t="n">
        <v>2161.826618</v>
      </c>
      <c r="R78" t="n">
        <v>-1582279.837302</v>
      </c>
      <c r="S78" t="n">
        <v>1597.141175</v>
      </c>
      <c r="T78" t="n">
        <v>18597729.236262</v>
      </c>
      <c r="U78" t="n">
        <v>484.321234</v>
      </c>
      <c r="V78" t="n">
        <v>-731199951.6958441</v>
      </c>
      <c r="W78" t="n">
        <v>2522.004884</v>
      </c>
      <c r="X78" t="n">
        <v>2847.344437</v>
      </c>
      <c r="Y78" t="n">
        <v>132.205276</v>
      </c>
      <c r="Z78" t="n">
        <v>267.681374</v>
      </c>
    </row>
    <row r="79" ht="21" customHeight="1">
      <c r="A79" t="inlineStr">
        <is>
          <t>Setipinna phasa</t>
        </is>
      </c>
      <c r="B79" t="n">
        <v>3.25</v>
      </c>
      <c r="C79" t="n">
        <v>177.827941</v>
      </c>
      <c r="D79" s="10" t="inlineStr">
        <is>
          <t>2 S pelagics | 3 S pelagics</t>
        </is>
      </c>
      <c r="E79" t="n">
        <v>276.665746</v>
      </c>
      <c r="F79" t="n">
        <v>140.109476</v>
      </c>
      <c r="G79" t="n">
        <v>97.63290000000001</v>
      </c>
      <c r="H79" t="n">
        <v>192.742209</v>
      </c>
      <c r="I79" t="n">
        <v>80.89349199999999</v>
      </c>
      <c r="J79" t="n">
        <v>105.806754</v>
      </c>
      <c r="K79" t="n">
        <v>98.775728</v>
      </c>
      <c r="L79" t="n">
        <v>234.092906</v>
      </c>
      <c r="M79" t="n">
        <v>234.092906</v>
      </c>
      <c r="N79" t="n">
        <v>234.092906</v>
      </c>
      <c r="O79" t="n">
        <v>202.855848</v>
      </c>
      <c r="P79" t="n">
        <v>80.16221299999999</v>
      </c>
      <c r="Q79" t="n">
        <v>234.092906</v>
      </c>
      <c r="R79" t="n">
        <v>-33950.413664</v>
      </c>
      <c r="S79" t="n">
        <v>202.855848</v>
      </c>
      <c r="T79" t="n">
        <v>227501.375555</v>
      </c>
      <c r="U79" t="n">
        <v>80.16221299999999</v>
      </c>
      <c r="V79" t="n">
        <v>-5091897.075108</v>
      </c>
      <c r="W79" t="n">
        <v>296.389113</v>
      </c>
      <c r="X79" t="n">
        <v>299.235812</v>
      </c>
      <c r="Y79" t="n">
        <v>34.1744</v>
      </c>
      <c r="Z79" t="n">
        <v>48.437594</v>
      </c>
    </row>
    <row r="80" ht="21" customHeight="1">
      <c r="A80" t="inlineStr">
        <is>
          <t>Auxis thazard</t>
        </is>
      </c>
      <c r="B80" t="n">
        <v>4.37</v>
      </c>
      <c r="C80" t="n">
        <v>2344.228815</v>
      </c>
      <c r="D80" s="10" t="inlineStr">
        <is>
          <t>Coastal scombrids</t>
        </is>
      </c>
      <c r="E80" t="n">
        <v>276.665746</v>
      </c>
      <c r="F80" t="n">
        <v>2151.411916</v>
      </c>
      <c r="G80" t="n">
        <v>1228.563684</v>
      </c>
      <c r="H80" t="n">
        <v>5449.628126</v>
      </c>
      <c r="I80" t="n">
        <v>1746.481623</v>
      </c>
      <c r="J80" t="n">
        <v>2058.735989</v>
      </c>
      <c r="K80" t="n">
        <v>1231.124121</v>
      </c>
      <c r="L80" t="n">
        <v>5799.192784</v>
      </c>
      <c r="M80" t="n">
        <v>5799.192784</v>
      </c>
      <c r="N80" t="n">
        <v>5799.192784</v>
      </c>
      <c r="O80" t="n">
        <v>2889.445671</v>
      </c>
      <c r="P80" t="n">
        <v>773.655572</v>
      </c>
      <c r="Q80" t="n">
        <v>5799.192784</v>
      </c>
      <c r="R80" t="n">
        <v>16496946.005748</v>
      </c>
      <c r="S80" t="n">
        <v>2889.445671</v>
      </c>
      <c r="T80" t="n">
        <v>-17915259.4837</v>
      </c>
      <c r="U80" t="n">
        <v>773.655572</v>
      </c>
      <c r="V80" t="n">
        <v>-5915900048852866</v>
      </c>
      <c r="W80" t="n">
        <v>4649.46224</v>
      </c>
      <c r="X80" t="n">
        <v>7908.520493</v>
      </c>
      <c r="Y80" t="n">
        <v>241.012964</v>
      </c>
      <c r="Z80" t="n">
        <v>536.974768</v>
      </c>
    </row>
    <row r="81" ht="21" customHeight="1">
      <c r="A81" t="inlineStr">
        <is>
          <t>Miscellaneous aquatic invertebrates</t>
        </is>
      </c>
      <c r="B81" t="n">
        <v>2.43</v>
      </c>
      <c r="C81" t="n">
        <v>26.915348</v>
      </c>
      <c r="D81" s="10" t="inlineStr">
        <is>
          <t>2 Macrobenthos | 3 Macrobenthos</t>
        </is>
      </c>
      <c r="E81" t="n">
        <v>276.665746</v>
      </c>
      <c r="F81" t="n">
        <v>43.212782</v>
      </c>
      <c r="G81" t="n">
        <v>32.623281</v>
      </c>
      <c r="H81" t="n">
        <v>41.368719</v>
      </c>
      <c r="I81" t="n">
        <v>34.461512</v>
      </c>
      <c r="J81" t="n">
        <v>34.461512</v>
      </c>
      <c r="K81" t="n">
        <v>31.432014</v>
      </c>
      <c r="L81" t="n">
        <v>106.719149</v>
      </c>
      <c r="M81" t="n">
        <v>106.719149</v>
      </c>
      <c r="N81" t="n">
        <v>106.719149</v>
      </c>
      <c r="O81" t="n">
        <v>113.412456</v>
      </c>
      <c r="P81" t="n">
        <v>57.717594</v>
      </c>
      <c r="Q81" t="n">
        <v>106.719149</v>
      </c>
      <c r="R81" t="n">
        <v>106.719149</v>
      </c>
      <c r="S81" t="n">
        <v>113.412456</v>
      </c>
      <c r="T81" t="n">
        <v>25.029149</v>
      </c>
      <c r="U81" t="n">
        <v>57.717594</v>
      </c>
      <c r="V81" t="n">
        <v>63.584441</v>
      </c>
      <c r="W81" t="n">
        <v>206.884057</v>
      </c>
      <c r="X81" t="n">
        <v>165.070073</v>
      </c>
      <c r="Y81" t="n">
        <v>14.477738</v>
      </c>
      <c r="Z81" t="n">
        <v>16.337529</v>
      </c>
    </row>
    <row r="82" ht="21" customHeight="1">
      <c r="A82" t="inlineStr">
        <is>
          <t>Leiognathus</t>
        </is>
      </c>
      <c r="B82" t="n">
        <v>3.22</v>
      </c>
      <c r="C82" t="n">
        <v>165.958691</v>
      </c>
      <c r="D82" s="10" t="inlineStr">
        <is>
          <t>2 SM inv | 3 SM inv</t>
        </is>
      </c>
      <c r="E82" t="n">
        <v>276.665746</v>
      </c>
      <c r="F82" t="n">
        <v>195.237034</v>
      </c>
      <c r="G82" t="n">
        <v>132.430212</v>
      </c>
      <c r="H82" t="n">
        <v>264.469084</v>
      </c>
      <c r="I82" t="n">
        <v>118.913507</v>
      </c>
      <c r="J82" t="n">
        <v>136.139541</v>
      </c>
      <c r="K82" t="n">
        <v>127.362312</v>
      </c>
      <c r="L82" t="n">
        <v>358.406583</v>
      </c>
      <c r="M82" t="n">
        <v>358.406583</v>
      </c>
      <c r="N82" t="n">
        <v>358.406583</v>
      </c>
      <c r="O82" t="n">
        <v>341.418803</v>
      </c>
      <c r="P82" t="n">
        <v>140.125818</v>
      </c>
      <c r="Q82" t="n">
        <v>358.406583</v>
      </c>
      <c r="R82" t="n">
        <v>5989.509989</v>
      </c>
      <c r="S82" t="n">
        <v>341.418803</v>
      </c>
      <c r="T82" t="n">
        <v>178554.604556</v>
      </c>
      <c r="U82" t="n">
        <v>140.125818</v>
      </c>
      <c r="V82" t="n">
        <v>-299079.478285</v>
      </c>
      <c r="W82" t="n">
        <v>574.027146</v>
      </c>
      <c r="X82" t="n">
        <v>502.728082</v>
      </c>
      <c r="Y82" t="n">
        <v>42.955466</v>
      </c>
      <c r="Z82" t="n">
        <v>65.044787</v>
      </c>
    </row>
    <row r="83" ht="21" customHeight="1">
      <c r="A83" t="inlineStr">
        <is>
          <t>Lutjanidae</t>
        </is>
      </c>
      <c r="B83" t="n">
        <v>4.02</v>
      </c>
      <c r="C83" t="n">
        <v>1047.128548</v>
      </c>
      <c r="D83" s="10" t="inlineStr">
        <is>
          <t>2 L pisc comm | 3 L pisc comm</t>
        </is>
      </c>
      <c r="E83" t="n">
        <v>276.665746</v>
      </c>
      <c r="F83" t="n">
        <v>942.008432</v>
      </c>
      <c r="G83" t="n">
        <v>569.455705</v>
      </c>
      <c r="H83" t="n">
        <v>2134.327853</v>
      </c>
      <c r="I83" t="n">
        <v>640.479051</v>
      </c>
      <c r="J83" t="n">
        <v>809.758325</v>
      </c>
      <c r="K83" t="n">
        <v>735.799922</v>
      </c>
      <c r="L83" t="n">
        <v>2161.826618</v>
      </c>
      <c r="M83" t="n">
        <v>2161.826618</v>
      </c>
      <c r="N83" t="n">
        <v>2161.826618</v>
      </c>
      <c r="O83" t="n">
        <v>1597.141175</v>
      </c>
      <c r="P83" t="n">
        <v>484.321234</v>
      </c>
      <c r="Q83" t="n">
        <v>2161.826618</v>
      </c>
      <c r="R83" t="n">
        <v>-1582279.837302</v>
      </c>
      <c r="S83" t="n">
        <v>1597.141175</v>
      </c>
      <c r="T83" t="n">
        <v>18597729.236262</v>
      </c>
      <c r="U83" t="n">
        <v>484.321234</v>
      </c>
      <c r="V83" t="n">
        <v>-731199951.6958441</v>
      </c>
      <c r="W83" t="n">
        <v>2522.004884</v>
      </c>
      <c r="X83" t="n">
        <v>2847.344437</v>
      </c>
      <c r="Y83" t="n">
        <v>132.205276</v>
      </c>
      <c r="Z83" t="n">
        <v>267.681374</v>
      </c>
    </row>
    <row r="84" ht="21" customHeight="1">
      <c r="A84" t="inlineStr">
        <is>
          <t>Penaeus</t>
        </is>
      </c>
      <c r="B84" t="n">
        <v>2.7</v>
      </c>
      <c r="C84" t="n">
        <v>50.118723</v>
      </c>
      <c r="D84" s="10" t="inlineStr">
        <is>
          <t>2 Crustaceans | 3 Crustaceans</t>
        </is>
      </c>
      <c r="E84" t="n">
        <v>276.665746</v>
      </c>
      <c r="F84" t="n">
        <v>87.346446</v>
      </c>
      <c r="G84" t="n">
        <v>62.825827</v>
      </c>
      <c r="H84" t="n">
        <v>62.583797</v>
      </c>
      <c r="I84" t="n">
        <v>49.059783</v>
      </c>
      <c r="J84" t="n">
        <v>49.059783</v>
      </c>
      <c r="K84" t="n">
        <v>45.848307</v>
      </c>
      <c r="L84" t="n">
        <v>88.61683499999999</v>
      </c>
      <c r="M84" t="n">
        <v>88.61683499999999</v>
      </c>
      <c r="N84" t="n">
        <v>88.61683499999999</v>
      </c>
      <c r="O84" t="n">
        <v>112.736869</v>
      </c>
      <c r="P84" t="n">
        <v>69.749027</v>
      </c>
      <c r="Q84" t="n">
        <v>88.61683499999999</v>
      </c>
      <c r="R84" t="n">
        <v>88.61683499999999</v>
      </c>
      <c r="S84" t="n">
        <v>112.736869</v>
      </c>
      <c r="T84" t="n">
        <v>18.000131</v>
      </c>
      <c r="U84" t="n">
        <v>69.749027</v>
      </c>
      <c r="V84" t="n">
        <v>77.336753</v>
      </c>
      <c r="W84" t="n">
        <v>138.030843</v>
      </c>
      <c r="X84" t="n">
        <v>98.46392899999999</v>
      </c>
      <c r="Y84" t="n">
        <v>24.163479</v>
      </c>
      <c r="Z84" t="n">
        <v>23.495104</v>
      </c>
    </row>
    <row r="85" ht="21" customHeight="1">
      <c r="A85" t="inlineStr">
        <is>
          <t>Katsuwonus pelamis</t>
        </is>
      </c>
      <c r="B85" t="n">
        <v>4.43</v>
      </c>
      <c r="C85" t="n">
        <v>2691.534804</v>
      </c>
      <c r="D85" s="10" t="inlineStr">
        <is>
          <t>Tuna-like</t>
        </is>
      </c>
      <c r="E85" t="n">
        <v>276.665746</v>
      </c>
      <c r="F85" t="n">
        <v>3650.332839</v>
      </c>
      <c r="G85" t="n">
        <v>2005.591894</v>
      </c>
      <c r="H85" t="n">
        <v>10202.43919</v>
      </c>
      <c r="I85" t="n">
        <v>2103.316703</v>
      </c>
      <c r="J85" t="n">
        <v>2473.629877</v>
      </c>
      <c r="K85" t="n">
        <v>2211.42511</v>
      </c>
      <c r="L85" t="n">
        <v>8474.746773000001</v>
      </c>
      <c r="M85" t="n">
        <v>8474.746773000001</v>
      </c>
      <c r="N85" t="n">
        <v>8474.746773000001</v>
      </c>
      <c r="O85" t="n">
        <v>5374.550638</v>
      </c>
      <c r="P85" t="n">
        <v>1271.625707</v>
      </c>
      <c r="Q85" t="n">
        <v>8474.746773000001</v>
      </c>
      <c r="R85" t="n">
        <v>11745249.699026</v>
      </c>
      <c r="S85" t="n">
        <v>5374.550638</v>
      </c>
      <c r="T85" t="n">
        <v>-414959.643064</v>
      </c>
      <c r="U85" t="n">
        <v>1271.625707</v>
      </c>
      <c r="V85" t="n">
        <v>-2163898509.296668</v>
      </c>
      <c r="W85" t="n">
        <v>8903.01534</v>
      </c>
      <c r="X85" t="n">
        <v>11378.963772</v>
      </c>
      <c r="Y85" t="n">
        <v>351.683283</v>
      </c>
      <c r="Z85" t="n">
        <v>849.64013</v>
      </c>
    </row>
    <row r="86" ht="21" customHeight="1">
      <c r="A86" t="inlineStr">
        <is>
          <t>Mollusca</t>
        </is>
      </c>
      <c r="B86" t="n">
        <v>2.1</v>
      </c>
      <c r="C86" t="n">
        <v>12.589254</v>
      </c>
      <c r="D86" s="10" t="inlineStr">
        <is>
          <t>2 Macrobenthos | 3 Macrobenthos</t>
        </is>
      </c>
      <c r="E86" t="n">
        <v>276.665746</v>
      </c>
      <c r="F86" t="n">
        <v>43.212782</v>
      </c>
      <c r="G86" t="n">
        <v>32.623281</v>
      </c>
      <c r="H86" t="n">
        <v>41.368719</v>
      </c>
      <c r="I86" t="n">
        <v>34.461512</v>
      </c>
      <c r="J86" t="n">
        <v>34.461512</v>
      </c>
      <c r="K86" t="n">
        <v>31.432014</v>
      </c>
      <c r="L86" t="n">
        <v>106.719149</v>
      </c>
      <c r="M86" t="n">
        <v>106.719149</v>
      </c>
      <c r="N86" t="n">
        <v>106.719149</v>
      </c>
      <c r="O86" t="n">
        <v>113.412456</v>
      </c>
      <c r="P86" t="n">
        <v>57.717594</v>
      </c>
      <c r="Q86" t="n">
        <v>106.719149</v>
      </c>
      <c r="R86" t="n">
        <v>106.719149</v>
      </c>
      <c r="S86" t="n">
        <v>113.412456</v>
      </c>
      <c r="T86" t="n">
        <v>25.029149</v>
      </c>
      <c r="U86" t="n">
        <v>57.717594</v>
      </c>
      <c r="V86" t="n">
        <v>63.584441</v>
      </c>
      <c r="W86" t="n">
        <v>206.884057</v>
      </c>
      <c r="X86" t="n">
        <v>165.070073</v>
      </c>
      <c r="Y86" t="n">
        <v>14.477738</v>
      </c>
      <c r="Z86" t="n">
        <v>16.337529</v>
      </c>
    </row>
    <row r="87" ht="21" customHeight="1">
      <c r="A87" t="inlineStr">
        <is>
          <t>Serranidae</t>
        </is>
      </c>
      <c r="B87" t="n">
        <v>3.98</v>
      </c>
      <c r="C87" t="n">
        <v>954.992586</v>
      </c>
      <c r="D87" s="10" t="inlineStr">
        <is>
          <t>2 L pisc comm | 3 L pisc comm</t>
        </is>
      </c>
      <c r="E87" t="n">
        <v>276.665746</v>
      </c>
      <c r="F87" t="n">
        <v>942.008432</v>
      </c>
      <c r="G87" t="n">
        <v>569.455705</v>
      </c>
      <c r="H87" t="n">
        <v>2134.327853</v>
      </c>
      <c r="I87" t="n">
        <v>640.479051</v>
      </c>
      <c r="J87" t="n">
        <v>809.758325</v>
      </c>
      <c r="K87" t="n">
        <v>735.799922</v>
      </c>
      <c r="L87" t="n">
        <v>2161.826618</v>
      </c>
      <c r="M87" t="n">
        <v>2161.826618</v>
      </c>
      <c r="N87" t="n">
        <v>2161.826618</v>
      </c>
      <c r="O87" t="n">
        <v>1597.141175</v>
      </c>
      <c r="P87" t="n">
        <v>484.321234</v>
      </c>
      <c r="Q87" t="n">
        <v>2161.826618</v>
      </c>
      <c r="R87" t="n">
        <v>-1582279.837302</v>
      </c>
      <c r="S87" t="n">
        <v>1597.141175</v>
      </c>
      <c r="T87" t="n">
        <v>18597729.236262</v>
      </c>
      <c r="U87" t="n">
        <v>484.321234</v>
      </c>
      <c r="V87" t="n">
        <v>-731199951.6958441</v>
      </c>
      <c r="W87" t="n">
        <v>2522.004884</v>
      </c>
      <c r="X87" t="n">
        <v>2847.344437</v>
      </c>
      <c r="Y87" t="n">
        <v>132.205276</v>
      </c>
      <c r="Z87" t="n">
        <v>267.681374</v>
      </c>
    </row>
    <row r="88" ht="21" customHeight="1">
      <c r="A88" t="inlineStr">
        <is>
          <t>Auxis</t>
        </is>
      </c>
      <c r="B88" t="n">
        <v>4.24</v>
      </c>
      <c r="C88" t="n">
        <v>1737.800829</v>
      </c>
      <c r="D88" s="10" t="inlineStr">
        <is>
          <t>Coastal scombrids</t>
        </is>
      </c>
      <c r="E88" t="n">
        <v>276.665746</v>
      </c>
      <c r="F88" t="n">
        <v>2151.411916</v>
      </c>
      <c r="G88" t="n">
        <v>1228.563684</v>
      </c>
      <c r="H88" t="n">
        <v>5449.628126</v>
      </c>
      <c r="I88" t="n">
        <v>1746.481623</v>
      </c>
      <c r="J88" t="n">
        <v>2058.735989</v>
      </c>
      <c r="K88" t="n">
        <v>1231.124121</v>
      </c>
      <c r="L88" t="n">
        <v>5799.192784</v>
      </c>
      <c r="M88" t="n">
        <v>5799.192784</v>
      </c>
      <c r="N88" t="n">
        <v>5799.192784</v>
      </c>
      <c r="O88" t="n">
        <v>2889.445671</v>
      </c>
      <c r="P88" t="n">
        <v>773.655572</v>
      </c>
      <c r="Q88" t="n">
        <v>5799.192784</v>
      </c>
      <c r="R88" t="n">
        <v>16496946.005748</v>
      </c>
      <c r="S88" t="n">
        <v>2889.445671</v>
      </c>
      <c r="T88" t="n">
        <v>-17915259.4837</v>
      </c>
      <c r="U88" t="n">
        <v>773.655572</v>
      </c>
      <c r="V88" t="n">
        <v>-5915900048852866</v>
      </c>
      <c r="W88" t="n">
        <v>4649.46224</v>
      </c>
      <c r="X88" t="n">
        <v>7908.520493</v>
      </c>
      <c r="Y88" t="n">
        <v>241.012964</v>
      </c>
      <c r="Z88" t="n">
        <v>536.974768</v>
      </c>
    </row>
    <row r="89" ht="21" customHeight="1">
      <c r="A89" t="inlineStr">
        <is>
          <t>Lactarius lactarius</t>
        </is>
      </c>
      <c r="B89" t="n">
        <v>3.97</v>
      </c>
      <c r="C89" t="n">
        <v>933.2543010000001</v>
      </c>
      <c r="D89" s="10" t="inlineStr">
        <is>
          <t>2 S pelagics | 3 S pelagics</t>
        </is>
      </c>
      <c r="E89" t="n">
        <v>276.665746</v>
      </c>
      <c r="F89" t="n">
        <v>140.109476</v>
      </c>
      <c r="G89" t="n">
        <v>97.63290000000001</v>
      </c>
      <c r="H89" t="n">
        <v>192.742209</v>
      </c>
      <c r="I89" t="n">
        <v>80.89349199999999</v>
      </c>
      <c r="J89" t="n">
        <v>105.806754</v>
      </c>
      <c r="K89" t="n">
        <v>98.775728</v>
      </c>
      <c r="L89" t="n">
        <v>234.092906</v>
      </c>
      <c r="M89" t="n">
        <v>234.092906</v>
      </c>
      <c r="N89" t="n">
        <v>234.092906</v>
      </c>
      <c r="O89" t="n">
        <v>202.855848</v>
      </c>
      <c r="P89" t="n">
        <v>80.16221299999999</v>
      </c>
      <c r="Q89" t="n">
        <v>234.092906</v>
      </c>
      <c r="R89" t="n">
        <v>-33950.413664</v>
      </c>
      <c r="S89" t="n">
        <v>202.855848</v>
      </c>
      <c r="T89" t="n">
        <v>227501.375555</v>
      </c>
      <c r="U89" t="n">
        <v>80.16221299999999</v>
      </c>
      <c r="V89" t="n">
        <v>-5091897.075108</v>
      </c>
      <c r="W89" t="n">
        <v>296.389113</v>
      </c>
      <c r="X89" t="n">
        <v>299.235812</v>
      </c>
      <c r="Y89" t="n">
        <v>34.1744</v>
      </c>
      <c r="Z89" t="n">
        <v>48.437594</v>
      </c>
    </row>
    <row r="90" ht="21" customHeight="1">
      <c r="A90" t="inlineStr">
        <is>
          <t>Himantura</t>
        </is>
      </c>
      <c r="B90" t="n">
        <v>3.85</v>
      </c>
      <c r="C90" t="n">
        <v>707.945784</v>
      </c>
      <c r="D90" s="10" t="inlineStr">
        <is>
          <t>Coastal elasmobranch</t>
        </is>
      </c>
      <c r="E90" t="n">
        <v>276.665746</v>
      </c>
      <c r="F90" t="n">
        <v>1214.104792</v>
      </c>
      <c r="G90" t="n">
        <v>722.888243</v>
      </c>
      <c r="H90" t="n">
        <v>10121.435398</v>
      </c>
      <c r="I90" t="n">
        <v>2496.053382</v>
      </c>
      <c r="J90" t="n">
        <v>2721.71256</v>
      </c>
      <c r="K90" t="n">
        <v>2569.296656</v>
      </c>
      <c r="L90" t="n">
        <v>17002.234886</v>
      </c>
      <c r="M90" t="n">
        <v>17002.234886</v>
      </c>
      <c r="N90" t="n">
        <v>17002.234886</v>
      </c>
      <c r="O90" t="n">
        <v>9185.440402</v>
      </c>
      <c r="P90" t="n">
        <v>1863.771432</v>
      </c>
      <c r="Q90" t="n">
        <v>17002.234886</v>
      </c>
      <c r="R90" t="n">
        <v>111559561.583727</v>
      </c>
      <c r="S90" t="n">
        <v>9185.440402</v>
      </c>
      <c r="T90" t="n">
        <v>-6478612.295953</v>
      </c>
      <c r="U90" t="n">
        <v>1863.771432</v>
      </c>
      <c r="V90" t="n">
        <v>1.299598425206395e+19</v>
      </c>
      <c r="W90" t="n">
        <v>15257.306447</v>
      </c>
      <c r="X90" t="n">
        <v>23728.582321</v>
      </c>
      <c r="Y90" t="n">
        <v>160.121668</v>
      </c>
      <c r="Z90" t="n">
        <v>658.77156</v>
      </c>
    </row>
    <row r="91" ht="21" customHeight="1">
      <c r="A91" t="inlineStr">
        <is>
          <t>Cynoglossus cynoglossus</t>
        </is>
      </c>
      <c r="B91" t="n">
        <v>3.5</v>
      </c>
      <c r="C91" t="n">
        <v>316.227766</v>
      </c>
      <c r="D91" s="10" t="inlineStr">
        <is>
          <t>2 SM inv | 3 SM inv</t>
        </is>
      </c>
      <c r="E91" t="n">
        <v>276.665746</v>
      </c>
      <c r="F91" t="n">
        <v>195.237034</v>
      </c>
      <c r="G91" t="n">
        <v>132.430212</v>
      </c>
      <c r="H91" t="n">
        <v>264.469084</v>
      </c>
      <c r="I91" t="n">
        <v>118.913507</v>
      </c>
      <c r="J91" t="n">
        <v>136.139541</v>
      </c>
      <c r="K91" t="n">
        <v>127.362312</v>
      </c>
      <c r="L91" t="n">
        <v>358.406583</v>
      </c>
      <c r="M91" t="n">
        <v>358.406583</v>
      </c>
      <c r="N91" t="n">
        <v>358.406583</v>
      </c>
      <c r="O91" t="n">
        <v>341.418803</v>
      </c>
      <c r="P91" t="n">
        <v>140.125818</v>
      </c>
      <c r="Q91" t="n">
        <v>358.406583</v>
      </c>
      <c r="R91" t="n">
        <v>5989.509989</v>
      </c>
      <c r="S91" t="n">
        <v>341.418803</v>
      </c>
      <c r="T91" t="n">
        <v>178554.604556</v>
      </c>
      <c r="U91" t="n">
        <v>140.125818</v>
      </c>
      <c r="V91" t="n">
        <v>-299079.478285</v>
      </c>
      <c r="W91" t="n">
        <v>574.027146</v>
      </c>
      <c r="X91" t="n">
        <v>502.728082</v>
      </c>
      <c r="Y91" t="n">
        <v>42.955466</v>
      </c>
      <c r="Z91" t="n">
        <v>65.044787</v>
      </c>
    </row>
    <row r="92" ht="21" customHeight="1">
      <c r="A92" t="inlineStr">
        <is>
          <t>Pampus</t>
        </is>
      </c>
      <c r="B92" t="n">
        <v>3.41</v>
      </c>
      <c r="C92" t="n">
        <v>257.039578</v>
      </c>
      <c r="D92" s="10" t="inlineStr">
        <is>
          <t>2 SM inv | 3 SM inv</t>
        </is>
      </c>
      <c r="E92" t="n">
        <v>276.665746</v>
      </c>
      <c r="F92" t="n">
        <v>195.237034</v>
      </c>
      <c r="G92" t="n">
        <v>132.430212</v>
      </c>
      <c r="H92" t="n">
        <v>264.469084</v>
      </c>
      <c r="I92" t="n">
        <v>118.913507</v>
      </c>
      <c r="J92" t="n">
        <v>136.139541</v>
      </c>
      <c r="K92" t="n">
        <v>127.362312</v>
      </c>
      <c r="L92" t="n">
        <v>358.406583</v>
      </c>
      <c r="M92" t="n">
        <v>358.406583</v>
      </c>
      <c r="N92" t="n">
        <v>358.406583</v>
      </c>
      <c r="O92" t="n">
        <v>341.418803</v>
      </c>
      <c r="P92" t="n">
        <v>140.125818</v>
      </c>
      <c r="Q92" t="n">
        <v>358.406583</v>
      </c>
      <c r="R92" t="n">
        <v>5989.509989</v>
      </c>
      <c r="S92" t="n">
        <v>341.418803</v>
      </c>
      <c r="T92" t="n">
        <v>178554.604556</v>
      </c>
      <c r="U92" t="n">
        <v>140.125818</v>
      </c>
      <c r="V92" t="n">
        <v>-299079.478285</v>
      </c>
      <c r="W92" t="n">
        <v>574.027146</v>
      </c>
      <c r="X92" t="n">
        <v>502.728082</v>
      </c>
      <c r="Y92" t="n">
        <v>42.955466</v>
      </c>
      <c r="Z92" t="n">
        <v>65.044787</v>
      </c>
    </row>
    <row r="93" ht="21" customHeight="1">
      <c r="A93" t="inlineStr">
        <is>
          <t>Thunnus tonggol</t>
        </is>
      </c>
      <c r="B93" t="n">
        <v>4.5</v>
      </c>
      <c r="C93" t="n">
        <v>3162.27766</v>
      </c>
      <c r="D93" s="10" t="inlineStr">
        <is>
          <t>Coastal scombrids</t>
        </is>
      </c>
      <c r="E93" t="n">
        <v>276.665746</v>
      </c>
      <c r="F93" t="n">
        <v>2151.411916</v>
      </c>
      <c r="G93" t="n">
        <v>1228.563684</v>
      </c>
      <c r="H93" t="n">
        <v>5449.628126</v>
      </c>
      <c r="I93" t="n">
        <v>1746.481623</v>
      </c>
      <c r="J93" t="n">
        <v>2058.735989</v>
      </c>
      <c r="K93" t="n">
        <v>1231.124121</v>
      </c>
      <c r="L93" t="n">
        <v>5799.192784</v>
      </c>
      <c r="M93" t="n">
        <v>5799.192784</v>
      </c>
      <c r="N93" t="n">
        <v>5799.192784</v>
      </c>
      <c r="O93" t="n">
        <v>2889.445671</v>
      </c>
      <c r="P93" t="n">
        <v>773.655572</v>
      </c>
      <c r="Q93" t="n">
        <v>5799.192784</v>
      </c>
      <c r="R93" t="n">
        <v>16496946.005748</v>
      </c>
      <c r="S93" t="n">
        <v>2889.445671</v>
      </c>
      <c r="T93" t="n">
        <v>-17915259.4837</v>
      </c>
      <c r="U93" t="n">
        <v>773.655572</v>
      </c>
      <c r="V93" t="n">
        <v>-5915900048852866</v>
      </c>
      <c r="W93" t="n">
        <v>4649.46224</v>
      </c>
      <c r="X93" t="n">
        <v>7908.520493</v>
      </c>
      <c r="Y93" t="n">
        <v>241.012964</v>
      </c>
      <c r="Z93" t="n">
        <v>536.974768</v>
      </c>
    </row>
    <row r="94" ht="21" customHeight="1">
      <c r="A94" t="inlineStr">
        <is>
          <t>Pomadasys</t>
        </is>
      </c>
      <c r="B94" t="n">
        <v>3.59</v>
      </c>
      <c r="C94" t="n">
        <v>389.045145</v>
      </c>
      <c r="D94" s="10" t="inlineStr">
        <is>
          <t>2 SM pisc | 3 SM pisc</t>
        </is>
      </c>
      <c r="E94" t="n">
        <v>276.665746</v>
      </c>
      <c r="F94" t="n">
        <v>735.917019</v>
      </c>
      <c r="G94" t="n">
        <v>452.492682</v>
      </c>
      <c r="H94" t="n">
        <v>682.505571</v>
      </c>
      <c r="I94" t="n">
        <v>235.544874</v>
      </c>
      <c r="J94" t="n">
        <v>314.328392</v>
      </c>
      <c r="K94" t="n">
        <v>298.611973</v>
      </c>
      <c r="L94" t="n">
        <v>954.92823</v>
      </c>
      <c r="M94" t="n">
        <v>954.92823</v>
      </c>
      <c r="N94" t="n">
        <v>954.92823</v>
      </c>
      <c r="O94" t="n">
        <v>843.700548</v>
      </c>
      <c r="P94" t="n">
        <v>294.126635</v>
      </c>
      <c r="Q94" t="n">
        <v>954.92823</v>
      </c>
      <c r="R94" t="n">
        <v>10111.529968</v>
      </c>
      <c r="S94" t="n">
        <v>843.700548</v>
      </c>
      <c r="T94" t="n">
        <v>668478.0116420001</v>
      </c>
      <c r="U94" t="n">
        <v>294.126635</v>
      </c>
      <c r="V94" t="n">
        <v>-16893452.951404</v>
      </c>
      <c r="W94" t="n">
        <v>1324.45367</v>
      </c>
      <c r="X94" t="n">
        <v>1272.235398</v>
      </c>
      <c r="Y94" t="n">
        <v>110.428635</v>
      </c>
      <c r="Z94" t="n">
        <v>131.805708</v>
      </c>
    </row>
    <row r="95" ht="21" customHeight="1">
      <c r="A95" t="inlineStr">
        <is>
          <t>Lepturacanthus savala</t>
        </is>
      </c>
      <c r="B95" t="n">
        <v>4.31</v>
      </c>
      <c r="C95" t="n">
        <v>2041.737945</v>
      </c>
      <c r="D95" s="10" t="inlineStr">
        <is>
          <t>2 L pisc | 3 L pisc</t>
        </is>
      </c>
      <c r="E95" t="n">
        <v>276.665746</v>
      </c>
      <c r="F95" t="n">
        <v>1671.644897</v>
      </c>
      <c r="G95" t="n">
        <v>968.768055</v>
      </c>
      <c r="H95" t="n">
        <v>4321.103431</v>
      </c>
      <c r="I95" t="n">
        <v>1003.861945</v>
      </c>
      <c r="J95" t="n">
        <v>1190.295649</v>
      </c>
      <c r="K95" t="n">
        <v>1071.266084</v>
      </c>
      <c r="L95" t="n">
        <v>3542.246528</v>
      </c>
      <c r="M95" t="n">
        <v>3542.246528</v>
      </c>
      <c r="N95" t="n">
        <v>3542.246528</v>
      </c>
      <c r="O95" t="n">
        <v>2538.689141</v>
      </c>
      <c r="P95" t="n">
        <v>681.946673</v>
      </c>
      <c r="Q95" t="n">
        <v>3542.246528</v>
      </c>
      <c r="R95" t="n">
        <v>60332.209612</v>
      </c>
      <c r="S95" t="n">
        <v>2538.689141</v>
      </c>
      <c r="T95" t="n">
        <v>4692815.596611</v>
      </c>
      <c r="U95" t="n">
        <v>681.946673</v>
      </c>
      <c r="V95" t="n">
        <v>8778895377.827705</v>
      </c>
      <c r="W95" t="n">
        <v>4084.723039</v>
      </c>
      <c r="X95" t="n">
        <v>4708.979406</v>
      </c>
      <c r="Y95" t="n">
        <v>198.988407</v>
      </c>
      <c r="Z95" t="n">
        <v>443.769811</v>
      </c>
    </row>
    <row r="96" ht="21" customHeight="1">
      <c r="A96" t="inlineStr">
        <is>
          <t>Upeneus</t>
        </is>
      </c>
      <c r="B96" t="n">
        <v>3.54</v>
      </c>
      <c r="C96" t="n">
        <v>346.73685</v>
      </c>
      <c r="D96" s="10" t="inlineStr">
        <is>
          <t>2 SM inv | 3 SM inv</t>
        </is>
      </c>
      <c r="E96" t="n">
        <v>276.665746</v>
      </c>
      <c r="F96" t="n">
        <v>195.237034</v>
      </c>
      <c r="G96" t="n">
        <v>132.430212</v>
      </c>
      <c r="H96" t="n">
        <v>264.469084</v>
      </c>
      <c r="I96" t="n">
        <v>118.913507</v>
      </c>
      <c r="J96" t="n">
        <v>136.139541</v>
      </c>
      <c r="K96" t="n">
        <v>127.362312</v>
      </c>
      <c r="L96" t="n">
        <v>358.406583</v>
      </c>
      <c r="M96" t="n">
        <v>358.406583</v>
      </c>
      <c r="N96" t="n">
        <v>358.406583</v>
      </c>
      <c r="O96" t="n">
        <v>341.418803</v>
      </c>
      <c r="P96" t="n">
        <v>140.125818</v>
      </c>
      <c r="Q96" t="n">
        <v>358.406583</v>
      </c>
      <c r="R96" t="n">
        <v>5989.509989</v>
      </c>
      <c r="S96" t="n">
        <v>341.418803</v>
      </c>
      <c r="T96" t="n">
        <v>178554.604556</v>
      </c>
      <c r="U96" t="n">
        <v>140.125818</v>
      </c>
      <c r="V96" t="n">
        <v>-299079.478285</v>
      </c>
      <c r="W96" t="n">
        <v>574.027146</v>
      </c>
      <c r="X96" t="n">
        <v>502.728082</v>
      </c>
      <c r="Y96" t="n">
        <v>42.955466</v>
      </c>
      <c r="Z96" t="n">
        <v>65.044787</v>
      </c>
    </row>
    <row r="97" ht="21" customHeight="1">
      <c r="A97" t="inlineStr">
        <is>
          <t>Sardinella lemuru</t>
        </is>
      </c>
      <c r="B97" t="n">
        <v>2.48</v>
      </c>
      <c r="C97" t="n">
        <v>30.199517</v>
      </c>
      <c r="D97" s="10" t="inlineStr">
        <is>
          <t>2 S pelagics | 3 S pelagics</t>
        </is>
      </c>
      <c r="E97" t="n">
        <v>276.665746</v>
      </c>
      <c r="F97" t="n">
        <v>140.109476</v>
      </c>
      <c r="G97" t="n">
        <v>97.63290000000001</v>
      </c>
      <c r="H97" t="n">
        <v>192.742209</v>
      </c>
      <c r="I97" t="n">
        <v>80.89349199999999</v>
      </c>
      <c r="J97" t="n">
        <v>105.806754</v>
      </c>
      <c r="K97" t="n">
        <v>98.775728</v>
      </c>
      <c r="L97" t="n">
        <v>234.092906</v>
      </c>
      <c r="M97" t="n">
        <v>234.092906</v>
      </c>
      <c r="N97" t="n">
        <v>234.092906</v>
      </c>
      <c r="O97" t="n">
        <v>202.855848</v>
      </c>
      <c r="P97" t="n">
        <v>80.16221299999999</v>
      </c>
      <c r="Q97" t="n">
        <v>234.092906</v>
      </c>
      <c r="R97" t="n">
        <v>-33950.413664</v>
      </c>
      <c r="S97" t="n">
        <v>202.855848</v>
      </c>
      <c r="T97" t="n">
        <v>227501.375555</v>
      </c>
      <c r="U97" t="n">
        <v>80.16221299999999</v>
      </c>
      <c r="V97" t="n">
        <v>-5091897.075108</v>
      </c>
      <c r="W97" t="n">
        <v>296.389113</v>
      </c>
      <c r="X97" t="n">
        <v>299.235812</v>
      </c>
      <c r="Y97" t="n">
        <v>34.1744</v>
      </c>
      <c r="Z97" t="n">
        <v>48.437594</v>
      </c>
    </row>
    <row r="98" ht="21" customHeight="1">
      <c r="A98" t="inlineStr">
        <is>
          <t>Epinephelus</t>
        </is>
      </c>
      <c r="B98" t="n">
        <v>3.84</v>
      </c>
      <c r="C98" t="n">
        <v>691.830971</v>
      </c>
      <c r="D98" s="10" t="inlineStr">
        <is>
          <t>2 L pisc comm | 3 L pisc comm</t>
        </is>
      </c>
      <c r="E98" t="n">
        <v>276.665746</v>
      </c>
      <c r="F98" t="n">
        <v>942.008432</v>
      </c>
      <c r="G98" t="n">
        <v>569.455705</v>
      </c>
      <c r="H98" t="n">
        <v>2134.327853</v>
      </c>
      <c r="I98" t="n">
        <v>640.479051</v>
      </c>
      <c r="J98" t="n">
        <v>809.758325</v>
      </c>
      <c r="K98" t="n">
        <v>735.799922</v>
      </c>
      <c r="L98" t="n">
        <v>2161.826618</v>
      </c>
      <c r="M98" t="n">
        <v>2161.826618</v>
      </c>
      <c r="N98" t="n">
        <v>2161.826618</v>
      </c>
      <c r="O98" t="n">
        <v>1597.141175</v>
      </c>
      <c r="P98" t="n">
        <v>484.321234</v>
      </c>
      <c r="Q98" t="n">
        <v>2161.826618</v>
      </c>
      <c r="R98" t="n">
        <v>-1582279.837302</v>
      </c>
      <c r="S98" t="n">
        <v>1597.141175</v>
      </c>
      <c r="T98" t="n">
        <v>18597729.236262</v>
      </c>
      <c r="U98" t="n">
        <v>484.321234</v>
      </c>
      <c r="V98" t="n">
        <v>-731199951.6958441</v>
      </c>
      <c r="W98" t="n">
        <v>2522.004884</v>
      </c>
      <c r="X98" t="n">
        <v>2847.344437</v>
      </c>
      <c r="Y98" t="n">
        <v>132.205276</v>
      </c>
      <c r="Z98" t="n">
        <v>267.681374</v>
      </c>
    </row>
    <row r="99" ht="21" customHeight="1">
      <c r="A99" t="inlineStr">
        <is>
          <t>Sphyraenidae</t>
        </is>
      </c>
      <c r="B99" t="n">
        <v>4.4</v>
      </c>
      <c r="C99" t="n">
        <v>2511.886432</v>
      </c>
      <c r="D99" s="10" t="inlineStr">
        <is>
          <t>2 L pisc | 3 L pisc</t>
        </is>
      </c>
      <c r="E99" t="n">
        <v>276.665746</v>
      </c>
      <c r="F99" t="n">
        <v>1671.644897</v>
      </c>
      <c r="G99" t="n">
        <v>968.768055</v>
      </c>
      <c r="H99" t="n">
        <v>4321.103431</v>
      </c>
      <c r="I99" t="n">
        <v>1003.861945</v>
      </c>
      <c r="J99" t="n">
        <v>1190.295649</v>
      </c>
      <c r="K99" t="n">
        <v>1071.266084</v>
      </c>
      <c r="L99" t="n">
        <v>3542.246528</v>
      </c>
      <c r="M99" t="n">
        <v>3542.246528</v>
      </c>
      <c r="N99" t="n">
        <v>3542.246528</v>
      </c>
      <c r="O99" t="n">
        <v>2538.689141</v>
      </c>
      <c r="P99" t="n">
        <v>681.946673</v>
      </c>
      <c r="Q99" t="n">
        <v>3542.246528</v>
      </c>
      <c r="R99" t="n">
        <v>60332.209612</v>
      </c>
      <c r="S99" t="n">
        <v>2538.689141</v>
      </c>
      <c r="T99" t="n">
        <v>4692815.596611</v>
      </c>
      <c r="U99" t="n">
        <v>681.946673</v>
      </c>
      <c r="V99" t="n">
        <v>8778895377.827705</v>
      </c>
      <c r="W99" t="n">
        <v>4084.723039</v>
      </c>
      <c r="X99" t="n">
        <v>4708.979406</v>
      </c>
      <c r="Y99" t="n">
        <v>198.988407</v>
      </c>
      <c r="Z99" t="n">
        <v>443.769811</v>
      </c>
    </row>
    <row r="100" ht="21" customHeight="1">
      <c r="A100" t="inlineStr">
        <is>
          <t>Coilia dussumieri</t>
        </is>
      </c>
      <c r="B100" t="n">
        <v>3.3</v>
      </c>
      <c r="C100" t="n">
        <v>199.526231</v>
      </c>
      <c r="D100" s="10" t="inlineStr">
        <is>
          <t>2 S pelagics | 3 S pelagics</t>
        </is>
      </c>
      <c r="E100" t="n">
        <v>276.665746</v>
      </c>
      <c r="F100" t="n">
        <v>140.109476</v>
      </c>
      <c r="G100" t="n">
        <v>97.63290000000001</v>
      </c>
      <c r="H100" t="n">
        <v>192.742209</v>
      </c>
      <c r="I100" t="n">
        <v>80.89349199999999</v>
      </c>
      <c r="J100" t="n">
        <v>105.806754</v>
      </c>
      <c r="K100" t="n">
        <v>98.775728</v>
      </c>
      <c r="L100" t="n">
        <v>234.092906</v>
      </c>
      <c r="M100" t="n">
        <v>234.092906</v>
      </c>
      <c r="N100" t="n">
        <v>234.092906</v>
      </c>
      <c r="O100" t="n">
        <v>202.855848</v>
      </c>
      <c r="P100" t="n">
        <v>80.16221299999999</v>
      </c>
      <c r="Q100" t="n">
        <v>234.092906</v>
      </c>
      <c r="R100" t="n">
        <v>-33950.413664</v>
      </c>
      <c r="S100" t="n">
        <v>202.855848</v>
      </c>
      <c r="T100" t="n">
        <v>227501.375555</v>
      </c>
      <c r="U100" t="n">
        <v>80.16221299999999</v>
      </c>
      <c r="V100" t="n">
        <v>-5091897.075108</v>
      </c>
      <c r="W100" t="n">
        <v>296.389113</v>
      </c>
      <c r="X100" t="n">
        <v>299.235812</v>
      </c>
      <c r="Y100" t="n">
        <v>34.1744</v>
      </c>
      <c r="Z100" t="n">
        <v>48.437594</v>
      </c>
    </row>
    <row r="101" ht="21" customHeight="1">
      <c r="A101" t="inlineStr">
        <is>
          <t>Cynoglossus</t>
        </is>
      </c>
      <c r="B101" t="n">
        <v>3.36</v>
      </c>
      <c r="C101" t="n">
        <v>229.086765</v>
      </c>
      <c r="D101" s="10" t="inlineStr">
        <is>
          <t>2 SM inv | 3 SM inv</t>
        </is>
      </c>
      <c r="E101" t="n">
        <v>276.665746</v>
      </c>
      <c r="F101" t="n">
        <v>195.237034</v>
      </c>
      <c r="G101" t="n">
        <v>132.430212</v>
      </c>
      <c r="H101" t="n">
        <v>264.469084</v>
      </c>
      <c r="I101" t="n">
        <v>118.913507</v>
      </c>
      <c r="J101" t="n">
        <v>136.139541</v>
      </c>
      <c r="K101" t="n">
        <v>127.362312</v>
      </c>
      <c r="L101" t="n">
        <v>358.406583</v>
      </c>
      <c r="M101" t="n">
        <v>358.406583</v>
      </c>
      <c r="N101" t="n">
        <v>358.406583</v>
      </c>
      <c r="O101" t="n">
        <v>341.418803</v>
      </c>
      <c r="P101" t="n">
        <v>140.125818</v>
      </c>
      <c r="Q101" t="n">
        <v>358.406583</v>
      </c>
      <c r="R101" t="n">
        <v>5989.509989</v>
      </c>
      <c r="S101" t="n">
        <v>341.418803</v>
      </c>
      <c r="T101" t="n">
        <v>178554.604556</v>
      </c>
      <c r="U101" t="n">
        <v>140.125818</v>
      </c>
      <c r="V101" t="n">
        <v>-299079.478285</v>
      </c>
      <c r="W101" t="n">
        <v>574.027146</v>
      </c>
      <c r="X101" t="n">
        <v>502.728082</v>
      </c>
      <c r="Y101" t="n">
        <v>42.955466</v>
      </c>
      <c r="Z101" t="n">
        <v>65.044787</v>
      </c>
    </row>
    <row r="102" ht="21" customHeight="1">
      <c r="A102" t="inlineStr">
        <is>
          <t>Chirocentrus dorab</t>
        </is>
      </c>
      <c r="B102" t="n">
        <v>4.2</v>
      </c>
      <c r="C102" t="n">
        <v>1584.893192</v>
      </c>
      <c r="D102" s="10" t="inlineStr">
        <is>
          <t>2 L pisc | 3 L pisc</t>
        </is>
      </c>
      <c r="E102" t="n">
        <v>276.665746</v>
      </c>
      <c r="F102" t="n">
        <v>1671.644897</v>
      </c>
      <c r="G102" t="n">
        <v>968.768055</v>
      </c>
      <c r="H102" t="n">
        <v>4321.103431</v>
      </c>
      <c r="I102" t="n">
        <v>1003.861945</v>
      </c>
      <c r="J102" t="n">
        <v>1190.295649</v>
      </c>
      <c r="K102" t="n">
        <v>1071.266084</v>
      </c>
      <c r="L102" t="n">
        <v>3542.246528</v>
      </c>
      <c r="M102" t="n">
        <v>3542.246528</v>
      </c>
      <c r="N102" t="n">
        <v>3542.246528</v>
      </c>
      <c r="O102" t="n">
        <v>2538.689141</v>
      </c>
      <c r="P102" t="n">
        <v>681.946673</v>
      </c>
      <c r="Q102" t="n">
        <v>3542.246528</v>
      </c>
      <c r="R102" t="n">
        <v>60332.209612</v>
      </c>
      <c r="S102" t="n">
        <v>2538.689141</v>
      </c>
      <c r="T102" t="n">
        <v>4692815.596611</v>
      </c>
      <c r="U102" t="n">
        <v>681.946673</v>
      </c>
      <c r="V102" t="n">
        <v>8778895377.827705</v>
      </c>
      <c r="W102" t="n">
        <v>4084.723039</v>
      </c>
      <c r="X102" t="n">
        <v>4708.979406</v>
      </c>
      <c r="Y102" t="n">
        <v>198.988407</v>
      </c>
      <c r="Z102" t="n">
        <v>443.769811</v>
      </c>
    </row>
    <row r="103" ht="21" customHeight="1">
      <c r="A103" t="inlineStr">
        <is>
          <t>Amblygaster sirm</t>
        </is>
      </c>
      <c r="B103" t="n">
        <v>3.2</v>
      </c>
      <c r="C103" t="n">
        <v>158.489319</v>
      </c>
      <c r="D103" s="10" t="inlineStr">
        <is>
          <t>2 S pelagics | 3 S pelagics</t>
        </is>
      </c>
      <c r="E103" t="n">
        <v>276.665746</v>
      </c>
      <c r="F103" t="n">
        <v>140.109476</v>
      </c>
      <c r="G103" t="n">
        <v>97.63290000000001</v>
      </c>
      <c r="H103" t="n">
        <v>192.742209</v>
      </c>
      <c r="I103" t="n">
        <v>80.89349199999999</v>
      </c>
      <c r="J103" t="n">
        <v>105.806754</v>
      </c>
      <c r="K103" t="n">
        <v>98.775728</v>
      </c>
      <c r="L103" t="n">
        <v>234.092906</v>
      </c>
      <c r="M103" t="n">
        <v>234.092906</v>
      </c>
      <c r="N103" t="n">
        <v>234.092906</v>
      </c>
      <c r="O103" t="n">
        <v>202.855848</v>
      </c>
      <c r="P103" t="n">
        <v>80.16221299999999</v>
      </c>
      <c r="Q103" t="n">
        <v>234.092906</v>
      </c>
      <c r="R103" t="n">
        <v>-33950.413664</v>
      </c>
      <c r="S103" t="n">
        <v>202.855848</v>
      </c>
      <c r="T103" t="n">
        <v>227501.375555</v>
      </c>
      <c r="U103" t="n">
        <v>80.16221299999999</v>
      </c>
      <c r="V103" t="n">
        <v>-5091897.075108</v>
      </c>
      <c r="W103" t="n">
        <v>296.389113</v>
      </c>
      <c r="X103" t="n">
        <v>299.235812</v>
      </c>
      <c r="Y103" t="n">
        <v>34.1744</v>
      </c>
      <c r="Z103" t="n">
        <v>48.437594</v>
      </c>
    </row>
    <row r="104" ht="21" customHeight="1">
      <c r="A104" t="inlineStr">
        <is>
          <t>Sardinella gibbosa</t>
        </is>
      </c>
      <c r="B104" t="n">
        <v>2.85</v>
      </c>
      <c r="C104" t="n">
        <v>70.794578</v>
      </c>
      <c r="D104" s="10" t="inlineStr">
        <is>
          <t>2 S pelagics | 3 S pelagics</t>
        </is>
      </c>
      <c r="E104" t="n">
        <v>276.665746</v>
      </c>
      <c r="F104" t="n">
        <v>140.109476</v>
      </c>
      <c r="G104" t="n">
        <v>97.63290000000001</v>
      </c>
      <c r="H104" t="n">
        <v>192.742209</v>
      </c>
      <c r="I104" t="n">
        <v>80.89349199999999</v>
      </c>
      <c r="J104" t="n">
        <v>105.806754</v>
      </c>
      <c r="K104" t="n">
        <v>98.775728</v>
      </c>
      <c r="L104" t="n">
        <v>234.092906</v>
      </c>
      <c r="M104" t="n">
        <v>234.092906</v>
      </c>
      <c r="N104" t="n">
        <v>234.092906</v>
      </c>
      <c r="O104" t="n">
        <v>202.855848</v>
      </c>
      <c r="P104" t="n">
        <v>80.16221299999999</v>
      </c>
      <c r="Q104" t="n">
        <v>234.092906</v>
      </c>
      <c r="R104" t="n">
        <v>-33950.413664</v>
      </c>
      <c r="S104" t="n">
        <v>202.855848</v>
      </c>
      <c r="T104" t="n">
        <v>227501.375555</v>
      </c>
      <c r="U104" t="n">
        <v>80.16221299999999</v>
      </c>
      <c r="V104" t="n">
        <v>-5091897.075108</v>
      </c>
      <c r="W104" t="n">
        <v>296.389113</v>
      </c>
      <c r="X104" t="n">
        <v>299.235812</v>
      </c>
      <c r="Y104" t="n">
        <v>34.1744</v>
      </c>
      <c r="Z104" t="n">
        <v>48.437594</v>
      </c>
    </row>
    <row r="105" ht="21" customHeight="1">
      <c r="A105" t="inlineStr">
        <is>
          <t>Netuma thalassina</t>
        </is>
      </c>
      <c r="B105" t="n">
        <v>3.54</v>
      </c>
      <c r="C105" t="n">
        <v>346.73685</v>
      </c>
      <c r="D105" s="10" t="inlineStr">
        <is>
          <t>2 Milkfish plus | 3 Milkfish plus</t>
        </is>
      </c>
      <c r="E105" t="n">
        <v>276.665746</v>
      </c>
      <c r="F105" t="n">
        <v>485.961749</v>
      </c>
      <c r="G105" t="n">
        <v>307.552703</v>
      </c>
      <c r="H105" t="n">
        <v>638.650595</v>
      </c>
      <c r="I105" t="n">
        <v>251.210296</v>
      </c>
      <c r="J105" t="n">
        <v>374.831666</v>
      </c>
      <c r="K105" t="n">
        <v>345.115264</v>
      </c>
      <c r="L105" t="n">
        <v>956.435109</v>
      </c>
      <c r="M105" t="n">
        <v>956.435109</v>
      </c>
      <c r="N105" t="n">
        <v>956.435109</v>
      </c>
      <c r="O105" t="n">
        <v>803.3127500000001</v>
      </c>
      <c r="P105" t="n">
        <v>289.927856</v>
      </c>
      <c r="Q105" t="n">
        <v>956.435109</v>
      </c>
      <c r="R105" t="n">
        <v>159049.064874</v>
      </c>
      <c r="S105" t="n">
        <v>803.3127500000001</v>
      </c>
      <c r="T105" t="n">
        <v>1584668.121412</v>
      </c>
      <c r="U105" t="n">
        <v>289.927856</v>
      </c>
      <c r="V105" t="n">
        <v>-39752686.436935</v>
      </c>
      <c r="W105" t="n">
        <v>1316.384537</v>
      </c>
      <c r="X105" t="n">
        <v>1317.518422</v>
      </c>
      <c r="Y105" t="n">
        <v>81.736492</v>
      </c>
      <c r="Z105" t="n">
        <v>114.212257</v>
      </c>
    </row>
    <row r="106" ht="21" customHeight="1">
      <c r="A106" t="inlineStr">
        <is>
          <t>Lates calcarifer</t>
        </is>
      </c>
      <c r="B106" t="n">
        <v>4.35</v>
      </c>
      <c r="C106" t="n">
        <v>2238.721139</v>
      </c>
      <c r="D106" s="10" t="inlineStr">
        <is>
          <t>2 L pisc | 3 L pisc</t>
        </is>
      </c>
      <c r="E106" t="n">
        <v>276.665746</v>
      </c>
      <c r="F106" t="n">
        <v>1671.644897</v>
      </c>
      <c r="G106" t="n">
        <v>968.768055</v>
      </c>
      <c r="H106" t="n">
        <v>4321.103431</v>
      </c>
      <c r="I106" t="n">
        <v>1003.861945</v>
      </c>
      <c r="J106" t="n">
        <v>1190.295649</v>
      </c>
      <c r="K106" t="n">
        <v>1071.266084</v>
      </c>
      <c r="L106" t="n">
        <v>3542.246528</v>
      </c>
      <c r="M106" t="n">
        <v>3542.246528</v>
      </c>
      <c r="N106" t="n">
        <v>3542.246528</v>
      </c>
      <c r="O106" t="n">
        <v>2538.689141</v>
      </c>
      <c r="P106" t="n">
        <v>681.946673</v>
      </c>
      <c r="Q106" t="n">
        <v>3542.246528</v>
      </c>
      <c r="R106" t="n">
        <v>60332.209612</v>
      </c>
      <c r="S106" t="n">
        <v>2538.689141</v>
      </c>
      <c r="T106" t="n">
        <v>4692815.596611</v>
      </c>
      <c r="U106" t="n">
        <v>681.946673</v>
      </c>
      <c r="V106" t="n">
        <v>8778895377.827705</v>
      </c>
      <c r="W106" t="n">
        <v>4084.723039</v>
      </c>
      <c r="X106" t="n">
        <v>4708.979406</v>
      </c>
      <c r="Y106" t="n">
        <v>198.988407</v>
      </c>
      <c r="Z106" t="n">
        <v>443.769811</v>
      </c>
    </row>
    <row r="107" ht="36" customHeight="1">
      <c r="A107" t="inlineStr">
        <is>
          <t>Carcharhinus</t>
        </is>
      </c>
      <c r="B107" t="n">
        <v>4.26</v>
      </c>
      <c r="C107" t="n">
        <v>1819.700859</v>
      </c>
      <c r="D107" s="10" t="inlineStr">
        <is>
          <t>Oceanic sharks | Coastal elasmobranch</t>
        </is>
      </c>
      <c r="E107" t="n">
        <v>276.665746</v>
      </c>
      <c r="F107" t="n">
        <v>1380.156554</v>
      </c>
      <c r="G107" t="n">
        <v>813.237349</v>
      </c>
      <c r="H107" t="n">
        <v>11696.257871</v>
      </c>
      <c r="I107" t="n">
        <v>3303.980516</v>
      </c>
      <c r="J107" t="n">
        <v>3755.931739</v>
      </c>
      <c r="K107" t="n">
        <v>2869.988061</v>
      </c>
      <c r="L107" t="n">
        <v>18858.336069</v>
      </c>
      <c r="M107" t="n">
        <v>18858.336069</v>
      </c>
      <c r="N107" t="n">
        <v>18858.336069</v>
      </c>
      <c r="O107" t="n">
        <v>9043.074076999999</v>
      </c>
      <c r="P107" t="n">
        <v>1863.271319</v>
      </c>
      <c r="Q107" t="n">
        <v>18858.336069</v>
      </c>
      <c r="R107" t="n">
        <v>107107363.803131</v>
      </c>
      <c r="S107" t="n">
        <v>9043.074076999999</v>
      </c>
      <c r="T107" t="n">
        <v>-5362399.549138</v>
      </c>
      <c r="U107" t="n">
        <v>1863.271319</v>
      </c>
      <c r="V107" t="n">
        <v>1.156849958050017e+19</v>
      </c>
      <c r="W107" t="n">
        <v>14990.009917</v>
      </c>
      <c r="X107" t="n">
        <v>26162.023176</v>
      </c>
      <c r="Y107" t="n">
        <v>174.929003</v>
      </c>
      <c r="Z107" t="n">
        <v>766.601483</v>
      </c>
    </row>
    <row r="108" ht="21" customHeight="1">
      <c r="A108" t="inlineStr">
        <is>
          <t>Haemulidae</t>
        </is>
      </c>
      <c r="B108" t="n">
        <v>3.36</v>
      </c>
      <c r="C108" t="n">
        <v>229.086765</v>
      </c>
      <c r="D108" s="10" t="inlineStr">
        <is>
          <t>2 SM pisc | 3 SM pisc</t>
        </is>
      </c>
      <c r="E108" t="n">
        <v>276.665746</v>
      </c>
      <c r="F108" t="n">
        <v>735.917019</v>
      </c>
      <c r="G108" t="n">
        <v>452.492682</v>
      </c>
      <c r="H108" t="n">
        <v>682.505571</v>
      </c>
      <c r="I108" t="n">
        <v>235.544874</v>
      </c>
      <c r="J108" t="n">
        <v>314.328392</v>
      </c>
      <c r="K108" t="n">
        <v>298.611973</v>
      </c>
      <c r="L108" t="n">
        <v>954.92823</v>
      </c>
      <c r="M108" t="n">
        <v>954.92823</v>
      </c>
      <c r="N108" t="n">
        <v>954.92823</v>
      </c>
      <c r="O108" t="n">
        <v>843.700548</v>
      </c>
      <c r="P108" t="n">
        <v>294.126635</v>
      </c>
      <c r="Q108" t="n">
        <v>954.92823</v>
      </c>
      <c r="R108" t="n">
        <v>10111.529968</v>
      </c>
      <c r="S108" t="n">
        <v>843.700548</v>
      </c>
      <c r="T108" t="n">
        <v>668478.0116420001</v>
      </c>
      <c r="U108" t="n">
        <v>294.126635</v>
      </c>
      <c r="V108" t="n">
        <v>-16893452.951404</v>
      </c>
      <c r="W108" t="n">
        <v>1324.45367</v>
      </c>
      <c r="X108" t="n">
        <v>1272.235398</v>
      </c>
      <c r="Y108" t="n">
        <v>110.428635</v>
      </c>
      <c r="Z108" t="n">
        <v>131.805708</v>
      </c>
    </row>
    <row r="109" ht="21" customHeight="1">
      <c r="A109" t="inlineStr">
        <is>
          <t>Leptomelanosoma indicum</t>
        </is>
      </c>
      <c r="B109" t="n">
        <v>3.86</v>
      </c>
      <c r="C109" t="n">
        <v>724.43596</v>
      </c>
      <c r="D109" s="10" t="inlineStr">
        <is>
          <t>2 L pisc | 3 L pisc</t>
        </is>
      </c>
      <c r="E109" t="n">
        <v>276.665746</v>
      </c>
      <c r="F109" t="n">
        <v>1671.644897</v>
      </c>
      <c r="G109" t="n">
        <v>968.768055</v>
      </c>
      <c r="H109" t="n">
        <v>4321.103431</v>
      </c>
      <c r="I109" t="n">
        <v>1003.861945</v>
      </c>
      <c r="J109" t="n">
        <v>1190.295649</v>
      </c>
      <c r="K109" t="n">
        <v>1071.266084</v>
      </c>
      <c r="L109" t="n">
        <v>3542.246528</v>
      </c>
      <c r="M109" t="n">
        <v>3542.246528</v>
      </c>
      <c r="N109" t="n">
        <v>3542.246528</v>
      </c>
      <c r="O109" t="n">
        <v>2538.689141</v>
      </c>
      <c r="P109" t="n">
        <v>681.946673</v>
      </c>
      <c r="Q109" t="n">
        <v>3542.246528</v>
      </c>
      <c r="R109" t="n">
        <v>60332.209612</v>
      </c>
      <c r="S109" t="n">
        <v>2538.689141</v>
      </c>
      <c r="T109" t="n">
        <v>4692815.596611</v>
      </c>
      <c r="U109" t="n">
        <v>681.946673</v>
      </c>
      <c r="V109" t="n">
        <v>8778895377.827705</v>
      </c>
      <c r="W109" t="n">
        <v>4084.723039</v>
      </c>
      <c r="X109" t="n">
        <v>4708.979406</v>
      </c>
      <c r="Y109" t="n">
        <v>198.988407</v>
      </c>
      <c r="Z109" t="n">
        <v>443.769811</v>
      </c>
    </row>
    <row r="110" ht="21" customHeight="1">
      <c r="A110" t="inlineStr">
        <is>
          <t>Scylla serrata</t>
        </is>
      </c>
      <c r="B110" t="n">
        <v>3.17</v>
      </c>
      <c r="C110" t="n">
        <v>147.910839</v>
      </c>
      <c r="D110" s="10" t="inlineStr">
        <is>
          <t>2 Crustaceans | 3 Crustaceans</t>
        </is>
      </c>
      <c r="E110" t="n">
        <v>276.665746</v>
      </c>
      <c r="F110" t="n">
        <v>87.346446</v>
      </c>
      <c r="G110" t="n">
        <v>62.825827</v>
      </c>
      <c r="H110" t="n">
        <v>62.583797</v>
      </c>
      <c r="I110" t="n">
        <v>49.059783</v>
      </c>
      <c r="J110" t="n">
        <v>49.059783</v>
      </c>
      <c r="K110" t="n">
        <v>45.848307</v>
      </c>
      <c r="L110" t="n">
        <v>88.61683499999999</v>
      </c>
      <c r="M110" t="n">
        <v>88.61683499999999</v>
      </c>
      <c r="N110" t="n">
        <v>88.61683499999999</v>
      </c>
      <c r="O110" t="n">
        <v>112.736869</v>
      </c>
      <c r="P110" t="n">
        <v>69.749027</v>
      </c>
      <c r="Q110" t="n">
        <v>88.61683499999999</v>
      </c>
      <c r="R110" t="n">
        <v>88.61683499999999</v>
      </c>
      <c r="S110" t="n">
        <v>112.736869</v>
      </c>
      <c r="T110" t="n">
        <v>18.000131</v>
      </c>
      <c r="U110" t="n">
        <v>69.749027</v>
      </c>
      <c r="V110" t="n">
        <v>77.336753</v>
      </c>
      <c r="W110" t="n">
        <v>138.030843</v>
      </c>
      <c r="X110" t="n">
        <v>98.46392899999999</v>
      </c>
      <c r="Y110" t="n">
        <v>24.163479</v>
      </c>
      <c r="Z110" t="n">
        <v>23.495104</v>
      </c>
    </row>
    <row r="111" ht="21" customHeight="1">
      <c r="A111" t="inlineStr">
        <is>
          <t>Thunnus obesus</t>
        </is>
      </c>
      <c r="B111" t="n">
        <v>4.49</v>
      </c>
      <c r="C111" t="n">
        <v>3090.295433</v>
      </c>
      <c r="D111" s="10" t="inlineStr">
        <is>
          <t>Bigeye tuna</t>
        </is>
      </c>
      <c r="E111" t="n">
        <v>276.665746</v>
      </c>
      <c r="F111" t="n">
        <v>2885.425513</v>
      </c>
      <c r="G111" t="n">
        <v>1612.783432</v>
      </c>
      <c r="H111" t="n">
        <v>11857.378023</v>
      </c>
      <c r="I111" t="n">
        <v>2419.641373</v>
      </c>
      <c r="J111" t="n">
        <v>2792.120635</v>
      </c>
      <c r="K111" t="n">
        <v>2512.908571</v>
      </c>
      <c r="L111" t="n">
        <v>7863.897223</v>
      </c>
      <c r="M111" t="n">
        <v>7863.897223</v>
      </c>
      <c r="N111" t="n">
        <v>7863.897223</v>
      </c>
      <c r="O111" t="n">
        <v>4618.211723</v>
      </c>
      <c r="P111" t="n">
        <v>1061.7494</v>
      </c>
      <c r="Q111" t="n">
        <v>7863.897223</v>
      </c>
      <c r="R111" t="n">
        <v>13753230.962334</v>
      </c>
      <c r="S111" t="n">
        <v>4618.211723</v>
      </c>
      <c r="T111" t="n">
        <v>-6197760.078043</v>
      </c>
      <c r="U111" t="n">
        <v>1061.7494</v>
      </c>
      <c r="V111" t="n">
        <v>1.452950433601317e+18</v>
      </c>
      <c r="W111" t="n">
        <v>7726.508917</v>
      </c>
      <c r="X111" t="n">
        <v>10228.515843</v>
      </c>
      <c r="Y111" t="n">
        <v>297.276327</v>
      </c>
      <c r="Z111" t="n">
        <v>850.931756</v>
      </c>
    </row>
    <row r="112" ht="21" customHeight="1">
      <c r="A112" t="inlineStr">
        <is>
          <t>Octopodidae</t>
        </is>
      </c>
      <c r="B112" t="n">
        <v>3.59</v>
      </c>
      <c r="C112" t="n">
        <v>389.045145</v>
      </c>
      <c r="D112" s="10" t="inlineStr">
        <is>
          <t>Cephalopods</t>
        </is>
      </c>
      <c r="E112" t="n">
        <v>276.665746</v>
      </c>
      <c r="F112" t="n">
        <v>990.119511</v>
      </c>
      <c r="G112" t="n">
        <v>598.369015</v>
      </c>
      <c r="H112" t="n">
        <v>1346.888416</v>
      </c>
      <c r="I112" t="n">
        <v>377.016205</v>
      </c>
      <c r="J112" t="n">
        <v>457.659002</v>
      </c>
      <c r="K112" t="n">
        <v>411.893102</v>
      </c>
      <c r="L112" t="n">
        <v>1154.963068</v>
      </c>
      <c r="M112" t="n">
        <v>1154.963068</v>
      </c>
      <c r="N112" t="n">
        <v>1154.963068</v>
      </c>
      <c r="O112" t="n">
        <v>883.48756</v>
      </c>
      <c r="P112" t="n">
        <v>288.738455</v>
      </c>
      <c r="Q112" t="n">
        <v>1154.963068</v>
      </c>
      <c r="R112" t="n">
        <v>-30007.429063</v>
      </c>
      <c r="S112" t="n">
        <v>883.48756</v>
      </c>
      <c r="T112" t="n">
        <v>-4635.736133</v>
      </c>
      <c r="U112" t="n">
        <v>288.738455</v>
      </c>
      <c r="V112" t="n">
        <v>-68084.421791</v>
      </c>
      <c r="W112" t="n">
        <v>1393.890949</v>
      </c>
      <c r="X112" t="n">
        <v>1512.449191</v>
      </c>
      <c r="Y112" t="n">
        <v>138.403273</v>
      </c>
      <c r="Z112" t="n">
        <v>209.479831</v>
      </c>
    </row>
    <row r="113" ht="21" customHeight="1">
      <c r="A113" t="inlineStr">
        <is>
          <t>Lutjanus</t>
        </is>
      </c>
      <c r="B113" t="n">
        <v>4.02</v>
      </c>
      <c r="C113" t="n">
        <v>1047.128548</v>
      </c>
      <c r="D113" s="10" t="inlineStr">
        <is>
          <t>2 L pisc comm | 3 L pisc comm</t>
        </is>
      </c>
      <c r="E113" t="n">
        <v>276.665746</v>
      </c>
      <c r="F113" t="n">
        <v>942.008432</v>
      </c>
      <c r="G113" t="n">
        <v>569.455705</v>
      </c>
      <c r="H113" t="n">
        <v>2134.327853</v>
      </c>
      <c r="I113" t="n">
        <v>640.479051</v>
      </c>
      <c r="J113" t="n">
        <v>809.758325</v>
      </c>
      <c r="K113" t="n">
        <v>735.799922</v>
      </c>
      <c r="L113" t="n">
        <v>2161.826618</v>
      </c>
      <c r="M113" t="n">
        <v>2161.826618</v>
      </c>
      <c r="N113" t="n">
        <v>2161.826618</v>
      </c>
      <c r="O113" t="n">
        <v>1597.141175</v>
      </c>
      <c r="P113" t="n">
        <v>484.321234</v>
      </c>
      <c r="Q113" t="n">
        <v>2161.826618</v>
      </c>
      <c r="R113" t="n">
        <v>-1582279.837302</v>
      </c>
      <c r="S113" t="n">
        <v>1597.141175</v>
      </c>
      <c r="T113" t="n">
        <v>18597729.236262</v>
      </c>
      <c r="U113" t="n">
        <v>484.321234</v>
      </c>
      <c r="V113" t="n">
        <v>-731199951.6958441</v>
      </c>
      <c r="W113" t="n">
        <v>2522.004884</v>
      </c>
      <c r="X113" t="n">
        <v>2847.344437</v>
      </c>
      <c r="Y113" t="n">
        <v>132.205276</v>
      </c>
      <c r="Z113" t="n">
        <v>267.681374</v>
      </c>
    </row>
    <row r="114" ht="21" customHeight="1">
      <c r="A114" t="inlineStr">
        <is>
          <t>Monacanthidae</t>
        </is>
      </c>
      <c r="B114" t="n">
        <v>3</v>
      </c>
      <c r="C114" t="n">
        <v>100</v>
      </c>
      <c r="D114" s="10" t="inlineStr">
        <is>
          <t>2 SM inv | 3 SM inv</t>
        </is>
      </c>
      <c r="E114" t="n">
        <v>276.665746</v>
      </c>
      <c r="F114" t="n">
        <v>195.237034</v>
      </c>
      <c r="G114" t="n">
        <v>132.430212</v>
      </c>
      <c r="H114" t="n">
        <v>264.469084</v>
      </c>
      <c r="I114" t="n">
        <v>118.913507</v>
      </c>
      <c r="J114" t="n">
        <v>136.139541</v>
      </c>
      <c r="K114" t="n">
        <v>127.362312</v>
      </c>
      <c r="L114" t="n">
        <v>358.406583</v>
      </c>
      <c r="M114" t="n">
        <v>358.406583</v>
      </c>
      <c r="N114" t="n">
        <v>358.406583</v>
      </c>
      <c r="O114" t="n">
        <v>341.418803</v>
      </c>
      <c r="P114" t="n">
        <v>140.125818</v>
      </c>
      <c r="Q114" t="n">
        <v>358.406583</v>
      </c>
      <c r="R114" t="n">
        <v>5989.509989</v>
      </c>
      <c r="S114" t="n">
        <v>341.418803</v>
      </c>
      <c r="T114" t="n">
        <v>178554.604556</v>
      </c>
      <c r="U114" t="n">
        <v>140.125818</v>
      </c>
      <c r="V114" t="n">
        <v>-299079.478285</v>
      </c>
      <c r="W114" t="n">
        <v>574.027146</v>
      </c>
      <c r="X114" t="n">
        <v>502.728082</v>
      </c>
      <c r="Y114" t="n">
        <v>42.955466</v>
      </c>
      <c r="Z114" t="n">
        <v>65.044787</v>
      </c>
    </row>
    <row r="115" ht="21" customHeight="1">
      <c r="A115" t="inlineStr">
        <is>
          <t>Mugil</t>
        </is>
      </c>
      <c r="B115" t="n">
        <v>2.26</v>
      </c>
      <c r="C115" t="n">
        <v>18.197009</v>
      </c>
      <c r="D115" s="10" t="inlineStr">
        <is>
          <t>2 SM inv | 3 SM inv</t>
        </is>
      </c>
      <c r="E115" t="n">
        <v>276.665746</v>
      </c>
      <c r="F115" t="n">
        <v>195.237034</v>
      </c>
      <c r="G115" t="n">
        <v>132.430212</v>
      </c>
      <c r="H115" t="n">
        <v>264.469084</v>
      </c>
      <c r="I115" t="n">
        <v>118.913507</v>
      </c>
      <c r="J115" t="n">
        <v>136.139541</v>
      </c>
      <c r="K115" t="n">
        <v>127.362312</v>
      </c>
      <c r="L115" t="n">
        <v>358.406583</v>
      </c>
      <c r="M115" t="n">
        <v>358.406583</v>
      </c>
      <c r="N115" t="n">
        <v>358.406583</v>
      </c>
      <c r="O115" t="n">
        <v>341.418803</v>
      </c>
      <c r="P115" t="n">
        <v>140.125818</v>
      </c>
      <c r="Q115" t="n">
        <v>358.406583</v>
      </c>
      <c r="R115" t="n">
        <v>5989.509989</v>
      </c>
      <c r="S115" t="n">
        <v>341.418803</v>
      </c>
      <c r="T115" t="n">
        <v>178554.604556</v>
      </c>
      <c r="U115" t="n">
        <v>140.125818</v>
      </c>
      <c r="V115" t="n">
        <v>-299079.478285</v>
      </c>
      <c r="W115" t="n">
        <v>574.027146</v>
      </c>
      <c r="X115" t="n">
        <v>502.728082</v>
      </c>
      <c r="Y115" t="n">
        <v>42.955466</v>
      </c>
      <c r="Z115" t="n">
        <v>65.044787</v>
      </c>
    </row>
    <row r="116" ht="21" customHeight="1">
      <c r="A116" t="inlineStr">
        <is>
          <t>Escualosa thoracata</t>
        </is>
      </c>
      <c r="B116" t="n">
        <v>3.16</v>
      </c>
      <c r="C116" t="n">
        <v>144.543977</v>
      </c>
      <c r="D116" s="10" t="inlineStr">
        <is>
          <t>2 S pelagics | 3 S pelagics</t>
        </is>
      </c>
      <c r="E116" t="n">
        <v>276.665746</v>
      </c>
      <c r="F116" t="n">
        <v>140.109476</v>
      </c>
      <c r="G116" t="n">
        <v>97.63290000000001</v>
      </c>
      <c r="H116" t="n">
        <v>192.742209</v>
      </c>
      <c r="I116" t="n">
        <v>80.89349199999999</v>
      </c>
      <c r="J116" t="n">
        <v>105.806754</v>
      </c>
      <c r="K116" t="n">
        <v>98.775728</v>
      </c>
      <c r="L116" t="n">
        <v>234.092906</v>
      </c>
      <c r="M116" t="n">
        <v>234.092906</v>
      </c>
      <c r="N116" t="n">
        <v>234.092906</v>
      </c>
      <c r="O116" t="n">
        <v>202.855848</v>
      </c>
      <c r="P116" t="n">
        <v>80.16221299999999</v>
      </c>
      <c r="Q116" t="n">
        <v>234.092906</v>
      </c>
      <c r="R116" t="n">
        <v>-33950.413664</v>
      </c>
      <c r="S116" t="n">
        <v>202.855848</v>
      </c>
      <c r="T116" t="n">
        <v>227501.375555</v>
      </c>
      <c r="U116" t="n">
        <v>80.16221299999999</v>
      </c>
      <c r="V116" t="n">
        <v>-5091897.075108</v>
      </c>
      <c r="W116" t="n">
        <v>296.389113</v>
      </c>
      <c r="X116" t="n">
        <v>299.235812</v>
      </c>
      <c r="Y116" t="n">
        <v>34.1744</v>
      </c>
      <c r="Z116" t="n">
        <v>48.437594</v>
      </c>
    </row>
    <row r="117" ht="21" customHeight="1">
      <c r="A117" t="inlineStr">
        <is>
          <t>Terapon</t>
        </is>
      </c>
      <c r="B117" t="n">
        <v>3.5</v>
      </c>
      <c r="C117" t="n">
        <v>316.227766</v>
      </c>
      <c r="D117" s="10" t="inlineStr">
        <is>
          <t>2 SM pisc | 3 SM pisc</t>
        </is>
      </c>
      <c r="E117" t="n">
        <v>276.665746</v>
      </c>
      <c r="F117" t="n">
        <v>735.917019</v>
      </c>
      <c r="G117" t="n">
        <v>452.492682</v>
      </c>
      <c r="H117" t="n">
        <v>682.505571</v>
      </c>
      <c r="I117" t="n">
        <v>235.544874</v>
      </c>
      <c r="J117" t="n">
        <v>314.328392</v>
      </c>
      <c r="K117" t="n">
        <v>298.611973</v>
      </c>
      <c r="L117" t="n">
        <v>954.92823</v>
      </c>
      <c r="M117" t="n">
        <v>954.92823</v>
      </c>
      <c r="N117" t="n">
        <v>954.92823</v>
      </c>
      <c r="O117" t="n">
        <v>843.700548</v>
      </c>
      <c r="P117" t="n">
        <v>294.126635</v>
      </c>
      <c r="Q117" t="n">
        <v>954.92823</v>
      </c>
      <c r="R117" t="n">
        <v>10111.529968</v>
      </c>
      <c r="S117" t="n">
        <v>843.700548</v>
      </c>
      <c r="T117" t="n">
        <v>668478.0116420001</v>
      </c>
      <c r="U117" t="n">
        <v>294.126635</v>
      </c>
      <c r="V117" t="n">
        <v>-16893452.951404</v>
      </c>
      <c r="W117" t="n">
        <v>1324.45367</v>
      </c>
      <c r="X117" t="n">
        <v>1272.235398</v>
      </c>
      <c r="Y117" t="n">
        <v>110.428635</v>
      </c>
      <c r="Z117" t="n">
        <v>131.805708</v>
      </c>
    </row>
    <row r="118" ht="21" customHeight="1">
      <c r="A118" t="inlineStr">
        <is>
          <t>Parapenaeopsis stylifera</t>
        </is>
      </c>
      <c r="B118" t="n">
        <v>2.66</v>
      </c>
      <c r="C118" t="n">
        <v>45.708819</v>
      </c>
      <c r="D118" s="10" t="inlineStr">
        <is>
          <t>2 Crustaceans | 3 Crustaceans</t>
        </is>
      </c>
      <c r="E118" t="n">
        <v>276.665746</v>
      </c>
      <c r="F118" t="n">
        <v>87.346446</v>
      </c>
      <c r="G118" t="n">
        <v>62.825827</v>
      </c>
      <c r="H118" t="n">
        <v>62.583797</v>
      </c>
      <c r="I118" t="n">
        <v>49.059783</v>
      </c>
      <c r="J118" t="n">
        <v>49.059783</v>
      </c>
      <c r="K118" t="n">
        <v>45.848307</v>
      </c>
      <c r="L118" t="n">
        <v>88.61683499999999</v>
      </c>
      <c r="M118" t="n">
        <v>88.61683499999999</v>
      </c>
      <c r="N118" t="n">
        <v>88.61683499999999</v>
      </c>
      <c r="O118" t="n">
        <v>112.736869</v>
      </c>
      <c r="P118" t="n">
        <v>69.749027</v>
      </c>
      <c r="Q118" t="n">
        <v>88.61683499999999</v>
      </c>
      <c r="R118" t="n">
        <v>88.61683499999999</v>
      </c>
      <c r="S118" t="n">
        <v>112.736869</v>
      </c>
      <c r="T118" t="n">
        <v>18.000131</v>
      </c>
      <c r="U118" t="n">
        <v>69.749027</v>
      </c>
      <c r="V118" t="n">
        <v>77.336753</v>
      </c>
      <c r="W118" t="n">
        <v>138.030843</v>
      </c>
      <c r="X118" t="n">
        <v>98.46392899999999</v>
      </c>
      <c r="Y118" t="n">
        <v>24.163479</v>
      </c>
      <c r="Z118" t="n">
        <v>23.495104</v>
      </c>
    </row>
    <row r="119" ht="21" customHeight="1">
      <c r="A119" t="inlineStr">
        <is>
          <t>Metapenaeus tenuipes</t>
        </is>
      </c>
      <c r="B119" t="n">
        <v>3.39</v>
      </c>
      <c r="C119" t="n">
        <v>245.470892</v>
      </c>
      <c r="D119" s="10" t="inlineStr">
        <is>
          <t>2 Crustaceans | 3 Crustaceans</t>
        </is>
      </c>
      <c r="E119" t="n">
        <v>276.665746</v>
      </c>
      <c r="F119" t="n">
        <v>87.346446</v>
      </c>
      <c r="G119" t="n">
        <v>62.825827</v>
      </c>
      <c r="H119" t="n">
        <v>62.583797</v>
      </c>
      <c r="I119" t="n">
        <v>49.059783</v>
      </c>
      <c r="J119" t="n">
        <v>49.059783</v>
      </c>
      <c r="K119" t="n">
        <v>45.848307</v>
      </c>
      <c r="L119" t="n">
        <v>88.61683499999999</v>
      </c>
      <c r="M119" t="n">
        <v>88.61683499999999</v>
      </c>
      <c r="N119" t="n">
        <v>88.61683499999999</v>
      </c>
      <c r="O119" t="n">
        <v>112.736869</v>
      </c>
      <c r="P119" t="n">
        <v>69.749027</v>
      </c>
      <c r="Q119" t="n">
        <v>88.61683499999999</v>
      </c>
      <c r="R119" t="n">
        <v>88.61683499999999</v>
      </c>
      <c r="S119" t="n">
        <v>112.736869</v>
      </c>
      <c r="T119" t="n">
        <v>18.000131</v>
      </c>
      <c r="U119" t="n">
        <v>69.749027</v>
      </c>
      <c r="V119" t="n">
        <v>77.336753</v>
      </c>
      <c r="W119" t="n">
        <v>138.030843</v>
      </c>
      <c r="X119" t="n">
        <v>98.46392899999999</v>
      </c>
      <c r="Y119" t="n">
        <v>24.163479</v>
      </c>
      <c r="Z119" t="n">
        <v>23.495104</v>
      </c>
    </row>
    <row r="120" ht="21" customHeight="1">
      <c r="A120" t="inlineStr">
        <is>
          <t>Penaeus monodon</t>
        </is>
      </c>
      <c r="B120" t="n">
        <v>2.6</v>
      </c>
      <c r="C120" t="n">
        <v>39.810717</v>
      </c>
      <c r="D120" s="10" t="inlineStr">
        <is>
          <t>2 Crustaceans | 3 Crustaceans</t>
        </is>
      </c>
      <c r="E120" t="n">
        <v>276.665746</v>
      </c>
      <c r="F120" t="n">
        <v>87.346446</v>
      </c>
      <c r="G120" t="n">
        <v>62.825827</v>
      </c>
      <c r="H120" t="n">
        <v>62.583797</v>
      </c>
      <c r="I120" t="n">
        <v>49.059783</v>
      </c>
      <c r="J120" t="n">
        <v>49.059783</v>
      </c>
      <c r="K120" t="n">
        <v>45.848307</v>
      </c>
      <c r="L120" t="n">
        <v>88.61683499999999</v>
      </c>
      <c r="M120" t="n">
        <v>88.61683499999999</v>
      </c>
      <c r="N120" t="n">
        <v>88.61683499999999</v>
      </c>
      <c r="O120" t="n">
        <v>112.736869</v>
      </c>
      <c r="P120" t="n">
        <v>69.749027</v>
      </c>
      <c r="Q120" t="n">
        <v>88.61683499999999</v>
      </c>
      <c r="R120" t="n">
        <v>88.61683499999999</v>
      </c>
      <c r="S120" t="n">
        <v>112.736869</v>
      </c>
      <c r="T120" t="n">
        <v>18.000131</v>
      </c>
      <c r="U120" t="n">
        <v>69.749027</v>
      </c>
      <c r="V120" t="n">
        <v>77.336753</v>
      </c>
      <c r="W120" t="n">
        <v>138.030843</v>
      </c>
      <c r="X120" t="n">
        <v>98.46392899999999</v>
      </c>
      <c r="Y120" t="n">
        <v>24.163479</v>
      </c>
      <c r="Z120" t="n">
        <v>23.495104</v>
      </c>
    </row>
    <row r="121" ht="21" customHeight="1">
      <c r="A121" t="inlineStr">
        <is>
          <t>Lutjanus malabaricus</t>
        </is>
      </c>
      <c r="D121" s="10" t="inlineStr">
        <is>
          <t>2 L pisc comm | 3 L pisc comm</t>
        </is>
      </c>
      <c r="E121" t="n">
        <v>276.665746</v>
      </c>
      <c r="F121" t="n">
        <v>942.008432</v>
      </c>
      <c r="G121" t="n">
        <v>569.455705</v>
      </c>
      <c r="H121" t="n">
        <v>2134.327853</v>
      </c>
      <c r="I121" t="n">
        <v>640.479051</v>
      </c>
      <c r="J121" t="n">
        <v>809.758325</v>
      </c>
      <c r="K121" t="n">
        <v>735.799922</v>
      </c>
      <c r="L121" t="n">
        <v>2161.826618</v>
      </c>
      <c r="M121" t="n">
        <v>2161.826618</v>
      </c>
      <c r="N121" t="n">
        <v>2161.826618</v>
      </c>
      <c r="O121" t="n">
        <v>1597.141175</v>
      </c>
      <c r="P121" t="n">
        <v>484.321234</v>
      </c>
      <c r="Q121" t="n">
        <v>2161.826618</v>
      </c>
      <c r="R121" t="n">
        <v>-1582279.837302</v>
      </c>
      <c r="S121" t="n">
        <v>1597.141175</v>
      </c>
      <c r="T121" t="n">
        <v>18597729.236262</v>
      </c>
      <c r="U121" t="n">
        <v>484.321234</v>
      </c>
      <c r="V121" t="n">
        <v>-731199951.6958441</v>
      </c>
      <c r="W121" t="n">
        <v>2522.004884</v>
      </c>
      <c r="X121" t="n">
        <v>2847.344437</v>
      </c>
      <c r="Y121" t="n">
        <v>132.205276</v>
      </c>
      <c r="Z121" t="n">
        <v>267.681374</v>
      </c>
    </row>
    <row r="122" ht="21" customHeight="1">
      <c r="A122" t="inlineStr">
        <is>
          <t>Anodontostoma chacunda</t>
        </is>
      </c>
      <c r="B122" t="n">
        <v>2.84</v>
      </c>
      <c r="C122" t="n">
        <v>69.183097</v>
      </c>
      <c r="D122" s="10" t="inlineStr">
        <is>
          <t>2 S pelagics | 3 S pelagics</t>
        </is>
      </c>
      <c r="E122" t="n">
        <v>276.665746</v>
      </c>
      <c r="F122" t="n">
        <v>140.109476</v>
      </c>
      <c r="G122" t="n">
        <v>97.63290000000001</v>
      </c>
      <c r="H122" t="n">
        <v>192.742209</v>
      </c>
      <c r="I122" t="n">
        <v>80.89349199999999</v>
      </c>
      <c r="J122" t="n">
        <v>105.806754</v>
      </c>
      <c r="K122" t="n">
        <v>98.775728</v>
      </c>
      <c r="L122" t="n">
        <v>234.092906</v>
      </c>
      <c r="M122" t="n">
        <v>234.092906</v>
      </c>
      <c r="N122" t="n">
        <v>234.092906</v>
      </c>
      <c r="O122" t="n">
        <v>202.855848</v>
      </c>
      <c r="P122" t="n">
        <v>80.16221299999999</v>
      </c>
      <c r="Q122" t="n">
        <v>234.092906</v>
      </c>
      <c r="R122" t="n">
        <v>-33950.413664</v>
      </c>
      <c r="S122" t="n">
        <v>202.855848</v>
      </c>
      <c r="T122" t="n">
        <v>227501.375555</v>
      </c>
      <c r="U122" t="n">
        <v>80.16221299999999</v>
      </c>
      <c r="V122" t="n">
        <v>-5091897.075108</v>
      </c>
      <c r="W122" t="n">
        <v>296.389113</v>
      </c>
      <c r="X122" t="n">
        <v>299.235812</v>
      </c>
      <c r="Y122" t="n">
        <v>34.1744</v>
      </c>
      <c r="Z122" t="n">
        <v>48.437594</v>
      </c>
    </row>
    <row r="123" ht="21" customHeight="1">
      <c r="A123" t="inlineStr">
        <is>
          <t>Prionace glauca</t>
        </is>
      </c>
      <c r="B123" t="n">
        <v>4.35</v>
      </c>
      <c r="C123" t="n">
        <v>2238.721139</v>
      </c>
      <c r="D123" s="10" t="inlineStr">
        <is>
          <t>Oceanic sharks</t>
        </is>
      </c>
      <c r="E123" t="n">
        <v>276.665746</v>
      </c>
      <c r="F123" t="n">
        <v>1757.235698</v>
      </c>
      <c r="G123" t="n">
        <v>1018.406889</v>
      </c>
      <c r="H123" t="n">
        <v>15272.448234</v>
      </c>
      <c r="I123" t="n">
        <v>5138.664287</v>
      </c>
      <c r="J123" t="n">
        <v>6104.491483</v>
      </c>
      <c r="K123" t="n">
        <v>3552.814043</v>
      </c>
      <c r="L123" t="n">
        <v>23073.269039</v>
      </c>
      <c r="M123" t="n">
        <v>23073.269039</v>
      </c>
      <c r="N123" t="n">
        <v>23073.269039</v>
      </c>
      <c r="O123" t="n">
        <v>8719.781079</v>
      </c>
      <c r="P123" t="n">
        <v>1862.135636</v>
      </c>
      <c r="Q123" t="n">
        <v>23073.269039</v>
      </c>
      <c r="R123" t="n">
        <v>96997077.044404</v>
      </c>
      <c r="S123" t="n">
        <v>8719.781079</v>
      </c>
      <c r="T123" t="n">
        <v>-2827644.466329</v>
      </c>
      <c r="U123" t="n">
        <v>1862.135636</v>
      </c>
      <c r="V123" t="n">
        <v>8.326891708518671e+18</v>
      </c>
      <c r="W123" t="n">
        <v>14383.018786</v>
      </c>
      <c r="X123" t="n">
        <v>31688.009682</v>
      </c>
      <c r="Y123" t="n">
        <v>208.554284</v>
      </c>
      <c r="Z123" t="n">
        <v>1011.467389</v>
      </c>
    </row>
    <row r="124" ht="21" customHeight="1">
      <c r="A124" t="inlineStr">
        <is>
          <t>Nemipterus hexodon</t>
        </is>
      </c>
      <c r="B124" t="n">
        <v>3.93</v>
      </c>
      <c r="C124" t="n">
        <v>851.1380380000001</v>
      </c>
      <c r="D124" s="10" t="inlineStr">
        <is>
          <t>2 SM pisc | 3 SM pisc</t>
        </is>
      </c>
      <c r="E124" t="n">
        <v>276.665746</v>
      </c>
      <c r="F124" t="n">
        <v>735.917019</v>
      </c>
      <c r="G124" t="n">
        <v>452.492682</v>
      </c>
      <c r="H124" t="n">
        <v>682.505571</v>
      </c>
      <c r="I124" t="n">
        <v>235.544874</v>
      </c>
      <c r="J124" t="n">
        <v>314.328392</v>
      </c>
      <c r="K124" t="n">
        <v>298.611973</v>
      </c>
      <c r="L124" t="n">
        <v>954.92823</v>
      </c>
      <c r="M124" t="n">
        <v>954.92823</v>
      </c>
      <c r="N124" t="n">
        <v>954.92823</v>
      </c>
      <c r="O124" t="n">
        <v>843.700548</v>
      </c>
      <c r="P124" t="n">
        <v>294.126635</v>
      </c>
      <c r="Q124" t="n">
        <v>954.92823</v>
      </c>
      <c r="R124" t="n">
        <v>10111.529968</v>
      </c>
      <c r="S124" t="n">
        <v>843.700548</v>
      </c>
      <c r="T124" t="n">
        <v>668478.0116420001</v>
      </c>
      <c r="U124" t="n">
        <v>294.126635</v>
      </c>
      <c r="V124" t="n">
        <v>-16893452.951404</v>
      </c>
      <c r="W124" t="n">
        <v>1324.45367</v>
      </c>
      <c r="X124" t="n">
        <v>1272.235398</v>
      </c>
      <c r="Y124" t="n">
        <v>110.428635</v>
      </c>
      <c r="Z124" t="n">
        <v>131.805708</v>
      </c>
    </row>
    <row r="125" ht="21" customHeight="1">
      <c r="A125" t="inlineStr">
        <is>
          <t>Sillaginidae</t>
        </is>
      </c>
      <c r="B125" t="n">
        <v>3.25</v>
      </c>
      <c r="C125" t="n">
        <v>177.827941</v>
      </c>
      <c r="D125" s="10" t="inlineStr">
        <is>
          <t>2 SM inv | 3 SM inv</t>
        </is>
      </c>
      <c r="E125" t="n">
        <v>276.665746</v>
      </c>
      <c r="F125" t="n">
        <v>195.237034</v>
      </c>
      <c r="G125" t="n">
        <v>132.430212</v>
      </c>
      <c r="H125" t="n">
        <v>264.469084</v>
      </c>
      <c r="I125" t="n">
        <v>118.913507</v>
      </c>
      <c r="J125" t="n">
        <v>136.139541</v>
      </c>
      <c r="K125" t="n">
        <v>127.362312</v>
      </c>
      <c r="L125" t="n">
        <v>358.406583</v>
      </c>
      <c r="M125" t="n">
        <v>358.406583</v>
      </c>
      <c r="N125" t="n">
        <v>358.406583</v>
      </c>
      <c r="O125" t="n">
        <v>341.418803</v>
      </c>
      <c r="P125" t="n">
        <v>140.125818</v>
      </c>
      <c r="Q125" t="n">
        <v>358.406583</v>
      </c>
      <c r="R125" t="n">
        <v>5989.509989</v>
      </c>
      <c r="S125" t="n">
        <v>341.418803</v>
      </c>
      <c r="T125" t="n">
        <v>178554.604556</v>
      </c>
      <c r="U125" t="n">
        <v>140.125818</v>
      </c>
      <c r="V125" t="n">
        <v>-299079.478285</v>
      </c>
      <c r="W125" t="n">
        <v>574.027146</v>
      </c>
      <c r="X125" t="n">
        <v>502.728082</v>
      </c>
      <c r="Y125" t="n">
        <v>42.955466</v>
      </c>
      <c r="Z125" t="n">
        <v>65.044787</v>
      </c>
    </row>
    <row r="126" ht="21" customHeight="1">
      <c r="A126" t="inlineStr">
        <is>
          <t>Placuna placenta</t>
        </is>
      </c>
      <c r="B126" t="n">
        <v>2.41</v>
      </c>
      <c r="C126" t="n">
        <v>25.703958</v>
      </c>
      <c r="D126" s="10" t="inlineStr">
        <is>
          <t>2 Macrobenthos | 3 Macrobenthos</t>
        </is>
      </c>
      <c r="E126" t="n">
        <v>276.665746</v>
      </c>
      <c r="F126" t="n">
        <v>43.212782</v>
      </c>
      <c r="G126" t="n">
        <v>32.623281</v>
      </c>
      <c r="H126" t="n">
        <v>41.368719</v>
      </c>
      <c r="I126" t="n">
        <v>34.461512</v>
      </c>
      <c r="J126" t="n">
        <v>34.461512</v>
      </c>
      <c r="K126" t="n">
        <v>31.432014</v>
      </c>
      <c r="L126" t="n">
        <v>106.719149</v>
      </c>
      <c r="M126" t="n">
        <v>106.719149</v>
      </c>
      <c r="N126" t="n">
        <v>106.719149</v>
      </c>
      <c r="O126" t="n">
        <v>113.412456</v>
      </c>
      <c r="P126" t="n">
        <v>57.717594</v>
      </c>
      <c r="Q126" t="n">
        <v>106.719149</v>
      </c>
      <c r="R126" t="n">
        <v>106.719149</v>
      </c>
      <c r="S126" t="n">
        <v>113.412456</v>
      </c>
      <c r="T126" t="n">
        <v>25.029149</v>
      </c>
      <c r="U126" t="n">
        <v>57.717594</v>
      </c>
      <c r="V126" t="n">
        <v>63.584441</v>
      </c>
      <c r="W126" t="n">
        <v>206.884057</v>
      </c>
      <c r="X126" t="n">
        <v>165.070073</v>
      </c>
      <c r="Y126" t="n">
        <v>14.477738</v>
      </c>
      <c r="Z126" t="n">
        <v>16.337529</v>
      </c>
    </row>
    <row r="127" ht="36" customHeight="1">
      <c r="A127" t="inlineStr">
        <is>
          <t>Chondrichthyes</t>
        </is>
      </c>
      <c r="B127" t="n">
        <v>4</v>
      </c>
      <c r="C127" t="n">
        <v>1000</v>
      </c>
      <c r="D127" s="10" t="inlineStr">
        <is>
          <t>Oceanic sharks | Coastal elasmobranch</t>
        </is>
      </c>
      <c r="E127" t="n">
        <v>276.665746</v>
      </c>
      <c r="F127" t="n">
        <v>1380.156554</v>
      </c>
      <c r="G127" t="n">
        <v>813.237349</v>
      </c>
      <c r="H127" t="n">
        <v>11696.257871</v>
      </c>
      <c r="I127" t="n">
        <v>3303.980516</v>
      </c>
      <c r="J127" t="n">
        <v>3755.931739</v>
      </c>
      <c r="K127" t="n">
        <v>2869.988061</v>
      </c>
      <c r="L127" t="n">
        <v>18858.336069</v>
      </c>
      <c r="M127" t="n">
        <v>18858.336069</v>
      </c>
      <c r="N127" t="n">
        <v>18858.336069</v>
      </c>
      <c r="O127" t="n">
        <v>9043.074076999999</v>
      </c>
      <c r="P127" t="n">
        <v>1863.271319</v>
      </c>
      <c r="Q127" t="n">
        <v>18858.336069</v>
      </c>
      <c r="R127" t="n">
        <v>107107363.803131</v>
      </c>
      <c r="S127" t="n">
        <v>9043.074076999999</v>
      </c>
      <c r="T127" t="n">
        <v>-5362399.549138</v>
      </c>
      <c r="U127" t="n">
        <v>1863.271319</v>
      </c>
      <c r="V127" t="n">
        <v>1.156849958050017e+19</v>
      </c>
      <c r="W127" t="n">
        <v>14990.009917</v>
      </c>
      <c r="X127" t="n">
        <v>26162.023176</v>
      </c>
      <c r="Y127" t="n">
        <v>174.929003</v>
      </c>
      <c r="Z127" t="n">
        <v>766.601483</v>
      </c>
    </row>
    <row r="128" ht="21" customHeight="1">
      <c r="A128" t="inlineStr">
        <is>
          <t>Terapon jarbua</t>
        </is>
      </c>
      <c r="B128" t="n">
        <v>3.93</v>
      </c>
      <c r="C128" t="n">
        <v>851.1380380000001</v>
      </c>
      <c r="D128" s="10" t="inlineStr">
        <is>
          <t>2 SM pisc | 3 SM pisc</t>
        </is>
      </c>
      <c r="E128" t="n">
        <v>276.665746</v>
      </c>
      <c r="F128" t="n">
        <v>735.917019</v>
      </c>
      <c r="G128" t="n">
        <v>452.492682</v>
      </c>
      <c r="H128" t="n">
        <v>682.505571</v>
      </c>
      <c r="I128" t="n">
        <v>235.544874</v>
      </c>
      <c r="J128" t="n">
        <v>314.328392</v>
      </c>
      <c r="K128" t="n">
        <v>298.611973</v>
      </c>
      <c r="L128" t="n">
        <v>954.92823</v>
      </c>
      <c r="M128" t="n">
        <v>954.92823</v>
      </c>
      <c r="N128" t="n">
        <v>954.92823</v>
      </c>
      <c r="O128" t="n">
        <v>843.700548</v>
      </c>
      <c r="P128" t="n">
        <v>294.126635</v>
      </c>
      <c r="Q128" t="n">
        <v>954.92823</v>
      </c>
      <c r="R128" t="n">
        <v>10111.529968</v>
      </c>
      <c r="S128" t="n">
        <v>843.700548</v>
      </c>
      <c r="T128" t="n">
        <v>668478.0116420001</v>
      </c>
      <c r="U128" t="n">
        <v>294.126635</v>
      </c>
      <c r="V128" t="n">
        <v>-16893452.951404</v>
      </c>
      <c r="W128" t="n">
        <v>1324.45367</v>
      </c>
      <c r="X128" t="n">
        <v>1272.235398</v>
      </c>
      <c r="Y128" t="n">
        <v>110.428635</v>
      </c>
      <c r="Z128" t="n">
        <v>131.805708</v>
      </c>
    </row>
    <row r="129" ht="21" customHeight="1">
      <c r="A129" t="inlineStr">
        <is>
          <t>Upeneus vittatus</t>
        </is>
      </c>
      <c r="B129" t="n">
        <v>3.62</v>
      </c>
      <c r="C129" t="n">
        <v>416.869383</v>
      </c>
      <c r="D129" s="10" t="inlineStr">
        <is>
          <t>2 SM inv | 3 SM inv</t>
        </is>
      </c>
      <c r="E129" t="n">
        <v>276.665746</v>
      </c>
      <c r="F129" t="n">
        <v>195.237034</v>
      </c>
      <c r="G129" t="n">
        <v>132.430212</v>
      </c>
      <c r="H129" t="n">
        <v>264.469084</v>
      </c>
      <c r="I129" t="n">
        <v>118.913507</v>
      </c>
      <c r="J129" t="n">
        <v>136.139541</v>
      </c>
      <c r="K129" t="n">
        <v>127.362312</v>
      </c>
      <c r="L129" t="n">
        <v>358.406583</v>
      </c>
      <c r="M129" t="n">
        <v>358.406583</v>
      </c>
      <c r="N129" t="n">
        <v>358.406583</v>
      </c>
      <c r="O129" t="n">
        <v>341.418803</v>
      </c>
      <c r="P129" t="n">
        <v>140.125818</v>
      </c>
      <c r="Q129" t="n">
        <v>358.406583</v>
      </c>
      <c r="R129" t="n">
        <v>5989.509989</v>
      </c>
      <c r="S129" t="n">
        <v>341.418803</v>
      </c>
      <c r="T129" t="n">
        <v>178554.604556</v>
      </c>
      <c r="U129" t="n">
        <v>140.125818</v>
      </c>
      <c r="V129" t="n">
        <v>-299079.478285</v>
      </c>
      <c r="W129" t="n">
        <v>574.027146</v>
      </c>
      <c r="X129" t="n">
        <v>502.728082</v>
      </c>
      <c r="Y129" t="n">
        <v>42.955466</v>
      </c>
      <c r="Z129" t="n">
        <v>65.044787</v>
      </c>
    </row>
    <row r="130" ht="21" customHeight="1">
      <c r="A130" t="inlineStr">
        <is>
          <t>Teuthida</t>
        </is>
      </c>
      <c r="B130" t="n">
        <v>4.13</v>
      </c>
      <c r="C130" t="n">
        <v>1348.962883</v>
      </c>
      <c r="D130" s="10" t="inlineStr">
        <is>
          <t>Cephalopods</t>
        </is>
      </c>
      <c r="E130" t="n">
        <v>276.665746</v>
      </c>
      <c r="F130" t="n">
        <v>990.119511</v>
      </c>
      <c r="G130" t="n">
        <v>598.369015</v>
      </c>
      <c r="H130" t="n">
        <v>1346.888416</v>
      </c>
      <c r="I130" t="n">
        <v>377.016205</v>
      </c>
      <c r="J130" t="n">
        <v>457.659002</v>
      </c>
      <c r="K130" t="n">
        <v>411.893102</v>
      </c>
      <c r="L130" t="n">
        <v>1154.963068</v>
      </c>
      <c r="M130" t="n">
        <v>1154.963068</v>
      </c>
      <c r="N130" t="n">
        <v>1154.963068</v>
      </c>
      <c r="O130" t="n">
        <v>883.48756</v>
      </c>
      <c r="P130" t="n">
        <v>288.738455</v>
      </c>
      <c r="Q130" t="n">
        <v>1154.963068</v>
      </c>
      <c r="R130" t="n">
        <v>-30007.429063</v>
      </c>
      <c r="S130" t="n">
        <v>883.48756</v>
      </c>
      <c r="T130" t="n">
        <v>-4635.736133</v>
      </c>
      <c r="U130" t="n">
        <v>288.738455</v>
      </c>
      <c r="V130" t="n">
        <v>-68084.421791</v>
      </c>
      <c r="W130" t="n">
        <v>1393.890949</v>
      </c>
      <c r="X130" t="n">
        <v>1512.449191</v>
      </c>
      <c r="Y130" t="n">
        <v>138.403273</v>
      </c>
      <c r="Z130" t="n">
        <v>209.479831</v>
      </c>
    </row>
    <row r="131" ht="21" customHeight="1">
      <c r="A131" t="inlineStr">
        <is>
          <t>Psettodidae</t>
        </is>
      </c>
      <c r="B131" t="n">
        <v>3.83</v>
      </c>
      <c r="C131" t="n">
        <v>676.082975</v>
      </c>
      <c r="D131" s="10" t="inlineStr">
        <is>
          <t>2 SM pisc | 3 SM pisc</t>
        </is>
      </c>
      <c r="E131" t="n">
        <v>276.665746</v>
      </c>
      <c r="F131" t="n">
        <v>735.917019</v>
      </c>
      <c r="G131" t="n">
        <v>452.492682</v>
      </c>
      <c r="H131" t="n">
        <v>682.505571</v>
      </c>
      <c r="I131" t="n">
        <v>235.544874</v>
      </c>
      <c r="J131" t="n">
        <v>314.328392</v>
      </c>
      <c r="K131" t="n">
        <v>298.611973</v>
      </c>
      <c r="L131" t="n">
        <v>954.92823</v>
      </c>
      <c r="M131" t="n">
        <v>954.92823</v>
      </c>
      <c r="N131" t="n">
        <v>954.92823</v>
      </c>
      <c r="O131" t="n">
        <v>843.700548</v>
      </c>
      <c r="P131" t="n">
        <v>294.126635</v>
      </c>
      <c r="Q131" t="n">
        <v>954.92823</v>
      </c>
      <c r="R131" t="n">
        <v>10111.529968</v>
      </c>
      <c r="S131" t="n">
        <v>843.700548</v>
      </c>
      <c r="T131" t="n">
        <v>668478.0116420001</v>
      </c>
      <c r="U131" t="n">
        <v>294.126635</v>
      </c>
      <c r="V131" t="n">
        <v>-16893452.951404</v>
      </c>
      <c r="W131" t="n">
        <v>1324.45367</v>
      </c>
      <c r="X131" t="n">
        <v>1272.235398</v>
      </c>
      <c r="Y131" t="n">
        <v>110.428635</v>
      </c>
      <c r="Z131" t="n">
        <v>131.805708</v>
      </c>
    </row>
    <row r="132" ht="36" customHeight="1">
      <c r="A132" t="inlineStr">
        <is>
          <t>Tetraodontidae</t>
        </is>
      </c>
      <c r="B132" t="n">
        <v>3.5</v>
      </c>
      <c r="C132" t="n">
        <v>316.227766</v>
      </c>
      <c r="D132" s="10" t="inlineStr">
        <is>
          <t>2 Milkfish plus | 3 Milkfish plus | 2 SM inv | 3 SM inv</t>
        </is>
      </c>
      <c r="E132" t="n">
        <v>276.665746</v>
      </c>
      <c r="F132" t="n">
        <v>252.303891</v>
      </c>
      <c r="G132" t="n">
        <v>166.805309</v>
      </c>
      <c r="H132" t="n">
        <v>337.917821</v>
      </c>
      <c r="I132" t="n">
        <v>144.882272</v>
      </c>
      <c r="J132" t="n">
        <v>182.992831</v>
      </c>
      <c r="K132" t="n">
        <v>170.105416</v>
      </c>
      <c r="L132" t="n">
        <v>475.794638</v>
      </c>
      <c r="M132" t="n">
        <v>475.794638</v>
      </c>
      <c r="N132" t="n">
        <v>475.794638</v>
      </c>
      <c r="O132" t="n">
        <v>432.084766</v>
      </c>
      <c r="P132" t="n">
        <v>169.530719</v>
      </c>
      <c r="Q132" t="n">
        <v>475.794638</v>
      </c>
      <c r="R132" t="n">
        <v>36033.835058</v>
      </c>
      <c r="S132" t="n">
        <v>432.084766</v>
      </c>
      <c r="T132" t="n">
        <v>454563.06163</v>
      </c>
      <c r="U132" t="n">
        <v>169.530719</v>
      </c>
      <c r="V132" t="n">
        <v>-8043496.306742</v>
      </c>
      <c r="W132" t="n">
        <v>719.745763</v>
      </c>
      <c r="X132" t="n">
        <v>662.664688</v>
      </c>
      <c r="Y132" t="n">
        <v>50.567861</v>
      </c>
      <c r="Z132" t="n">
        <v>74.695955</v>
      </c>
    </row>
    <row r="133" ht="21" customHeight="1">
      <c r="A133" t="inlineStr">
        <is>
          <t>Cephalopholis boenak</t>
        </is>
      </c>
      <c r="B133" t="n">
        <v>4.07</v>
      </c>
      <c r="C133" t="n">
        <v>1174.897555</v>
      </c>
      <c r="D133" s="10" t="inlineStr">
        <is>
          <t>2 L pisc comm | 3 L pisc comm</t>
        </is>
      </c>
      <c r="E133" t="n">
        <v>276.665746</v>
      </c>
      <c r="F133" t="n">
        <v>942.008432</v>
      </c>
      <c r="G133" t="n">
        <v>569.455705</v>
      </c>
      <c r="H133" t="n">
        <v>2134.327853</v>
      </c>
      <c r="I133" t="n">
        <v>640.479051</v>
      </c>
      <c r="J133" t="n">
        <v>809.758325</v>
      </c>
      <c r="K133" t="n">
        <v>735.799922</v>
      </c>
      <c r="L133" t="n">
        <v>2161.826618</v>
      </c>
      <c r="M133" t="n">
        <v>2161.826618</v>
      </c>
      <c r="N133" t="n">
        <v>2161.826618</v>
      </c>
      <c r="O133" t="n">
        <v>1597.141175</v>
      </c>
      <c r="P133" t="n">
        <v>484.321234</v>
      </c>
      <c r="Q133" t="n">
        <v>2161.826618</v>
      </c>
      <c r="R133" t="n">
        <v>-1582279.837302</v>
      </c>
      <c r="S133" t="n">
        <v>1597.141175</v>
      </c>
      <c r="T133" t="n">
        <v>18597729.236262</v>
      </c>
      <c r="U133" t="n">
        <v>484.321234</v>
      </c>
      <c r="V133" t="n">
        <v>-731199951.6958441</v>
      </c>
      <c r="W133" t="n">
        <v>2522.004884</v>
      </c>
      <c r="X133" t="n">
        <v>2847.344437</v>
      </c>
      <c r="Y133" t="n">
        <v>132.205276</v>
      </c>
      <c r="Z133" t="n">
        <v>267.681374</v>
      </c>
    </row>
    <row r="134" ht="21" customHeight="1">
      <c r="A134" t="inlineStr">
        <is>
          <t>Muraenesox</t>
        </is>
      </c>
      <c r="B134" t="n">
        <v>3.99</v>
      </c>
      <c r="C134" t="n">
        <v>977.237221</v>
      </c>
      <c r="D134" s="10" t="inlineStr">
        <is>
          <t>2 L pisc | 3 L pisc</t>
        </is>
      </c>
      <c r="E134" t="n">
        <v>276.665746</v>
      </c>
      <c r="F134" t="n">
        <v>1671.644897</v>
      </c>
      <c r="G134" t="n">
        <v>968.768055</v>
      </c>
      <c r="H134" t="n">
        <v>4321.103431</v>
      </c>
      <c r="I134" t="n">
        <v>1003.861945</v>
      </c>
      <c r="J134" t="n">
        <v>1190.295649</v>
      </c>
      <c r="K134" t="n">
        <v>1071.266084</v>
      </c>
      <c r="L134" t="n">
        <v>3542.246528</v>
      </c>
      <c r="M134" t="n">
        <v>3542.246528</v>
      </c>
      <c r="N134" t="n">
        <v>3542.246528</v>
      </c>
      <c r="O134" t="n">
        <v>2538.689141</v>
      </c>
      <c r="P134" t="n">
        <v>681.946673</v>
      </c>
      <c r="Q134" t="n">
        <v>3542.246528</v>
      </c>
      <c r="R134" t="n">
        <v>60332.209612</v>
      </c>
      <c r="S134" t="n">
        <v>2538.689141</v>
      </c>
      <c r="T134" t="n">
        <v>4692815.596611</v>
      </c>
      <c r="U134" t="n">
        <v>681.946673</v>
      </c>
      <c r="V134" t="n">
        <v>8778895377.827705</v>
      </c>
      <c r="W134" t="n">
        <v>4084.723039</v>
      </c>
      <c r="X134" t="n">
        <v>4708.979406</v>
      </c>
      <c r="Y134" t="n">
        <v>198.988407</v>
      </c>
      <c r="Z134" t="n">
        <v>443.769811</v>
      </c>
    </row>
    <row r="135" ht="21" customHeight="1">
      <c r="A135" t="inlineStr">
        <is>
          <t>Selar crumenophthalmus</t>
        </is>
      </c>
      <c r="B135" t="n">
        <v>3.81</v>
      </c>
      <c r="C135" t="n">
        <v>645.654229</v>
      </c>
      <c r="D135" s="10" t="inlineStr">
        <is>
          <t>2 Carangids | 3 Carangids</t>
        </is>
      </c>
      <c r="E135" t="n">
        <v>276.665746</v>
      </c>
      <c r="F135" t="n">
        <v>1047.559324</v>
      </c>
      <c r="G135" t="n">
        <v>629.821299</v>
      </c>
      <c r="H135" t="n">
        <v>2238.50504</v>
      </c>
      <c r="I135" t="n">
        <v>641.128381</v>
      </c>
      <c r="J135" t="n">
        <v>754.920494</v>
      </c>
      <c r="K135" t="n">
        <v>726.746267</v>
      </c>
      <c r="L135" t="n">
        <v>2160.61505</v>
      </c>
      <c r="M135" t="n">
        <v>2160.61505</v>
      </c>
      <c r="N135" t="n">
        <v>2160.61505</v>
      </c>
      <c r="O135" t="n">
        <v>1714.802766</v>
      </c>
      <c r="P135" t="n">
        <v>507.968664</v>
      </c>
      <c r="Q135" t="n">
        <v>2160.61505</v>
      </c>
      <c r="R135" t="n">
        <v>1782592.482977</v>
      </c>
      <c r="S135" t="n">
        <v>1714.802766</v>
      </c>
      <c r="T135" t="n">
        <v>15448395.144238</v>
      </c>
      <c r="U135" t="n">
        <v>507.968664</v>
      </c>
      <c r="V135" t="n">
        <v>363121069.828352</v>
      </c>
      <c r="W135" t="n">
        <v>2799.375544</v>
      </c>
      <c r="X135" t="n">
        <v>2890.556852</v>
      </c>
      <c r="Y135" t="n">
        <v>143.6356</v>
      </c>
      <c r="Z135" t="n">
        <v>294.157869</v>
      </c>
    </row>
    <row r="136" ht="36" customHeight="1">
      <c r="A136" t="inlineStr">
        <is>
          <t>Soleidae</t>
        </is>
      </c>
      <c r="B136" t="n">
        <v>3.15</v>
      </c>
      <c r="C136" t="n">
        <v>141.253754</v>
      </c>
      <c r="D136" s="10" t="inlineStr">
        <is>
          <t>2 SM inv | 3 SM inv | 2 SM pisc | 3 SM pisc</t>
        </is>
      </c>
      <c r="E136" t="n">
        <v>276.665746</v>
      </c>
      <c r="F136" t="n">
        <v>427.369702</v>
      </c>
      <c r="G136" t="n">
        <v>269.84413</v>
      </c>
      <c r="H136" t="n">
        <v>443.946645</v>
      </c>
      <c r="I136" t="n">
        <v>168.987397</v>
      </c>
      <c r="J136" t="n">
        <v>212.642194</v>
      </c>
      <c r="K136" t="n">
        <v>200.88573</v>
      </c>
      <c r="L136" t="n">
        <v>614.514013</v>
      </c>
      <c r="M136" t="n">
        <v>614.514013</v>
      </c>
      <c r="N136" t="n">
        <v>614.514013</v>
      </c>
      <c r="O136" t="n">
        <v>557.065775</v>
      </c>
      <c r="P136" t="n">
        <v>206.243709</v>
      </c>
      <c r="Q136" t="n">
        <v>614.514013</v>
      </c>
      <c r="R136" t="n">
        <v>7759.236114</v>
      </c>
      <c r="S136" t="n">
        <v>557.065775</v>
      </c>
      <c r="T136" t="n">
        <v>388895.713364</v>
      </c>
      <c r="U136" t="n">
        <v>206.243709</v>
      </c>
      <c r="V136" t="n">
        <v>-7423619.489708</v>
      </c>
      <c r="W136" t="n">
        <v>896.211277</v>
      </c>
      <c r="X136" t="n">
        <v>833.104258</v>
      </c>
      <c r="Y136" t="n">
        <v>71.924037</v>
      </c>
      <c r="Z136" t="n">
        <v>93.707566</v>
      </c>
    </row>
    <row r="137" ht="21" customHeight="1">
      <c r="A137" t="inlineStr">
        <is>
          <t>Sillago</t>
        </is>
      </c>
      <c r="B137" t="n">
        <v>3.33</v>
      </c>
      <c r="C137" t="n">
        <v>213.796209</v>
      </c>
      <c r="D137" s="10" t="inlineStr">
        <is>
          <t>2 SM inv | 3 SM inv</t>
        </is>
      </c>
      <c r="E137" t="n">
        <v>276.665746</v>
      </c>
      <c r="F137" t="n">
        <v>195.237034</v>
      </c>
      <c r="G137" t="n">
        <v>132.430212</v>
      </c>
      <c r="H137" t="n">
        <v>264.469084</v>
      </c>
      <c r="I137" t="n">
        <v>118.913507</v>
      </c>
      <c r="J137" t="n">
        <v>136.139541</v>
      </c>
      <c r="K137" t="n">
        <v>127.362312</v>
      </c>
      <c r="L137" t="n">
        <v>358.406583</v>
      </c>
      <c r="M137" t="n">
        <v>358.406583</v>
      </c>
      <c r="N137" t="n">
        <v>358.406583</v>
      </c>
      <c r="O137" t="n">
        <v>341.418803</v>
      </c>
      <c r="P137" t="n">
        <v>140.125818</v>
      </c>
      <c r="Q137" t="n">
        <v>358.406583</v>
      </c>
      <c r="R137" t="n">
        <v>5989.509989</v>
      </c>
      <c r="S137" t="n">
        <v>341.418803</v>
      </c>
      <c r="T137" t="n">
        <v>178554.604556</v>
      </c>
      <c r="U137" t="n">
        <v>140.125818</v>
      </c>
      <c r="V137" t="n">
        <v>-299079.478285</v>
      </c>
      <c r="W137" t="n">
        <v>574.027146</v>
      </c>
      <c r="X137" t="n">
        <v>502.728082</v>
      </c>
      <c r="Y137" t="n">
        <v>42.955466</v>
      </c>
      <c r="Z137" t="n">
        <v>65.044787</v>
      </c>
    </row>
    <row r="138" ht="21" customHeight="1">
      <c r="A138" t="inlineStr">
        <is>
          <t>Veneridae</t>
        </is>
      </c>
      <c r="B138" t="n">
        <v>2</v>
      </c>
      <c r="C138" t="n">
        <v>10</v>
      </c>
      <c r="D138" s="10" t="inlineStr">
        <is>
          <t>2 Macrobenthos | 3 Macrobenthos</t>
        </is>
      </c>
      <c r="E138" t="n">
        <v>276.665746</v>
      </c>
      <c r="F138" t="n">
        <v>43.212782</v>
      </c>
      <c r="G138" t="n">
        <v>32.623281</v>
      </c>
      <c r="H138" t="n">
        <v>41.368719</v>
      </c>
      <c r="I138" t="n">
        <v>34.461512</v>
      </c>
      <c r="J138" t="n">
        <v>34.461512</v>
      </c>
      <c r="K138" t="n">
        <v>31.432014</v>
      </c>
      <c r="L138" t="n">
        <v>106.719149</v>
      </c>
      <c r="M138" t="n">
        <v>106.719149</v>
      </c>
      <c r="N138" t="n">
        <v>106.719149</v>
      </c>
      <c r="O138" t="n">
        <v>113.412456</v>
      </c>
      <c r="P138" t="n">
        <v>57.717594</v>
      </c>
      <c r="Q138" t="n">
        <v>106.719149</v>
      </c>
      <c r="R138" t="n">
        <v>106.719149</v>
      </c>
      <c r="S138" t="n">
        <v>113.412456</v>
      </c>
      <c r="T138" t="n">
        <v>25.029149</v>
      </c>
      <c r="U138" t="n">
        <v>57.717594</v>
      </c>
      <c r="V138" t="n">
        <v>63.584441</v>
      </c>
      <c r="W138" t="n">
        <v>206.884057</v>
      </c>
      <c r="X138" t="n">
        <v>165.070073</v>
      </c>
      <c r="Y138" t="n">
        <v>14.477738</v>
      </c>
      <c r="Z138" t="n">
        <v>16.337529</v>
      </c>
    </row>
    <row r="139" ht="21" customHeight="1">
      <c r="A139" t="inlineStr">
        <is>
          <t>Pampus chinensis</t>
        </is>
      </c>
      <c r="B139" t="n">
        <v>3.6</v>
      </c>
      <c r="C139" t="n">
        <v>398.107171</v>
      </c>
      <c r="D139" s="10" t="inlineStr">
        <is>
          <t>2 SM inv | 3 SM inv</t>
        </is>
      </c>
      <c r="E139" t="n">
        <v>276.665746</v>
      </c>
      <c r="F139" t="n">
        <v>195.237034</v>
      </c>
      <c r="G139" t="n">
        <v>132.430212</v>
      </c>
      <c r="H139" t="n">
        <v>264.469084</v>
      </c>
      <c r="I139" t="n">
        <v>118.913507</v>
      </c>
      <c r="J139" t="n">
        <v>136.139541</v>
      </c>
      <c r="K139" t="n">
        <v>127.362312</v>
      </c>
      <c r="L139" t="n">
        <v>358.406583</v>
      </c>
      <c r="M139" t="n">
        <v>358.406583</v>
      </c>
      <c r="N139" t="n">
        <v>358.406583</v>
      </c>
      <c r="O139" t="n">
        <v>341.418803</v>
      </c>
      <c r="P139" t="n">
        <v>140.125818</v>
      </c>
      <c r="Q139" t="n">
        <v>358.406583</v>
      </c>
      <c r="R139" t="n">
        <v>5989.509989</v>
      </c>
      <c r="S139" t="n">
        <v>341.418803</v>
      </c>
      <c r="T139" t="n">
        <v>178554.604556</v>
      </c>
      <c r="U139" t="n">
        <v>140.125818</v>
      </c>
      <c r="V139" t="n">
        <v>-299079.478285</v>
      </c>
      <c r="W139" t="n">
        <v>574.027146</v>
      </c>
      <c r="X139" t="n">
        <v>502.728082</v>
      </c>
      <c r="Y139" t="n">
        <v>42.955466</v>
      </c>
      <c r="Z139" t="n">
        <v>65.044787</v>
      </c>
    </row>
    <row r="140" ht="21" customHeight="1">
      <c r="A140" t="inlineStr">
        <is>
          <t>Hemiramphus</t>
        </is>
      </c>
      <c r="B140" t="n">
        <v>3.05</v>
      </c>
      <c r="C140" t="n">
        <v>112.201845</v>
      </c>
      <c r="D140" s="10" t="inlineStr">
        <is>
          <t>2 S pelagics | 3 S pelagics</t>
        </is>
      </c>
      <c r="E140" t="n">
        <v>276.665746</v>
      </c>
      <c r="F140" t="n">
        <v>140.109476</v>
      </c>
      <c r="G140" t="n">
        <v>97.63290000000001</v>
      </c>
      <c r="H140" t="n">
        <v>192.742209</v>
      </c>
      <c r="I140" t="n">
        <v>80.89349199999999</v>
      </c>
      <c r="J140" t="n">
        <v>105.806754</v>
      </c>
      <c r="K140" t="n">
        <v>98.775728</v>
      </c>
      <c r="L140" t="n">
        <v>234.092906</v>
      </c>
      <c r="M140" t="n">
        <v>234.092906</v>
      </c>
      <c r="N140" t="n">
        <v>234.092906</v>
      </c>
      <c r="O140" t="n">
        <v>202.855848</v>
      </c>
      <c r="P140" t="n">
        <v>80.16221299999999</v>
      </c>
      <c r="Q140" t="n">
        <v>234.092906</v>
      </c>
      <c r="R140" t="n">
        <v>-33950.413664</v>
      </c>
      <c r="S140" t="n">
        <v>202.855848</v>
      </c>
      <c r="T140" t="n">
        <v>227501.375555</v>
      </c>
      <c r="U140" t="n">
        <v>80.16221299999999</v>
      </c>
      <c r="V140" t="n">
        <v>-5091897.075108</v>
      </c>
      <c r="W140" t="n">
        <v>296.389113</v>
      </c>
      <c r="X140" t="n">
        <v>299.235812</v>
      </c>
      <c r="Y140" t="n">
        <v>34.1744</v>
      </c>
      <c r="Z140" t="n">
        <v>48.437594</v>
      </c>
    </row>
    <row r="141" ht="21" customHeight="1">
      <c r="A141" t="inlineStr">
        <is>
          <t>Carcharhinus falciformis</t>
        </is>
      </c>
      <c r="B141" t="n">
        <v>4.51</v>
      </c>
      <c r="C141" t="n">
        <v>3235.936569</v>
      </c>
      <c r="D141" s="10" t="inlineStr">
        <is>
          <t>Oceanic sharks</t>
        </is>
      </c>
      <c r="E141" t="n">
        <v>276.665746</v>
      </c>
      <c r="F141" t="n">
        <v>1757.235698</v>
      </c>
      <c r="G141" t="n">
        <v>1018.406889</v>
      </c>
      <c r="H141" t="n">
        <v>15272.448234</v>
      </c>
      <c r="I141" t="n">
        <v>5138.664287</v>
      </c>
      <c r="J141" t="n">
        <v>6104.491483</v>
      </c>
      <c r="K141" t="n">
        <v>3552.814043</v>
      </c>
      <c r="L141" t="n">
        <v>23073.269039</v>
      </c>
      <c r="M141" t="n">
        <v>23073.269039</v>
      </c>
      <c r="N141" t="n">
        <v>23073.269039</v>
      </c>
      <c r="O141" t="n">
        <v>8719.781079</v>
      </c>
      <c r="P141" t="n">
        <v>1862.135636</v>
      </c>
      <c r="Q141" t="n">
        <v>23073.269039</v>
      </c>
      <c r="R141" t="n">
        <v>96997077.044404</v>
      </c>
      <c r="S141" t="n">
        <v>8719.781079</v>
      </c>
      <c r="T141" t="n">
        <v>-2827644.466329</v>
      </c>
      <c r="U141" t="n">
        <v>1862.135636</v>
      </c>
      <c r="V141" t="n">
        <v>8.326891708518671e+18</v>
      </c>
      <c r="W141" t="n">
        <v>14383.018786</v>
      </c>
      <c r="X141" t="n">
        <v>31688.009682</v>
      </c>
      <c r="Y141" t="n">
        <v>208.554284</v>
      </c>
      <c r="Z141" t="n">
        <v>1011.467389</v>
      </c>
    </row>
    <row r="142" ht="21" customHeight="1">
      <c r="A142" t="inlineStr">
        <is>
          <t>Metapenaeus brevicornis</t>
        </is>
      </c>
      <c r="B142" t="n">
        <v>3.39</v>
      </c>
      <c r="C142" t="n">
        <v>245.470892</v>
      </c>
      <c r="D142" s="10" t="inlineStr">
        <is>
          <t>2 Crustaceans | 3 Crustaceans</t>
        </is>
      </c>
      <c r="E142" t="n">
        <v>276.665746</v>
      </c>
      <c r="F142" t="n">
        <v>87.346446</v>
      </c>
      <c r="G142" t="n">
        <v>62.825827</v>
      </c>
      <c r="H142" t="n">
        <v>62.583797</v>
      </c>
      <c r="I142" t="n">
        <v>49.059783</v>
      </c>
      <c r="J142" t="n">
        <v>49.059783</v>
      </c>
      <c r="K142" t="n">
        <v>45.848307</v>
      </c>
      <c r="L142" t="n">
        <v>88.61683499999999</v>
      </c>
      <c r="M142" t="n">
        <v>88.61683499999999</v>
      </c>
      <c r="N142" t="n">
        <v>88.61683499999999</v>
      </c>
      <c r="O142" t="n">
        <v>112.736869</v>
      </c>
      <c r="P142" t="n">
        <v>69.749027</v>
      </c>
      <c r="Q142" t="n">
        <v>88.61683499999999</v>
      </c>
      <c r="R142" t="n">
        <v>88.61683499999999</v>
      </c>
      <c r="S142" t="n">
        <v>112.736869</v>
      </c>
      <c r="T142" t="n">
        <v>18.000131</v>
      </c>
      <c r="U142" t="n">
        <v>69.749027</v>
      </c>
      <c r="V142" t="n">
        <v>77.336753</v>
      </c>
      <c r="W142" t="n">
        <v>138.030843</v>
      </c>
      <c r="X142" t="n">
        <v>98.46392899999999</v>
      </c>
      <c r="Y142" t="n">
        <v>24.163479</v>
      </c>
      <c r="Z142" t="n">
        <v>23.495104</v>
      </c>
    </row>
    <row r="143" ht="21" customHeight="1">
      <c r="A143" t="inlineStr">
        <is>
          <t>Psettodes erumei</t>
        </is>
      </c>
      <c r="B143" t="n">
        <v>4.39</v>
      </c>
      <c r="C143" t="n">
        <v>2454.708916</v>
      </c>
      <c r="D143" s="10" t="inlineStr">
        <is>
          <t>2 SM pisc | 3 SM pisc</t>
        </is>
      </c>
      <c r="E143" t="n">
        <v>276.665746</v>
      </c>
      <c r="F143" t="n">
        <v>735.917019</v>
      </c>
      <c r="G143" t="n">
        <v>452.492682</v>
      </c>
      <c r="H143" t="n">
        <v>682.505571</v>
      </c>
      <c r="I143" t="n">
        <v>235.544874</v>
      </c>
      <c r="J143" t="n">
        <v>314.328392</v>
      </c>
      <c r="K143" t="n">
        <v>298.611973</v>
      </c>
      <c r="L143" t="n">
        <v>954.92823</v>
      </c>
      <c r="M143" t="n">
        <v>954.92823</v>
      </c>
      <c r="N143" t="n">
        <v>954.92823</v>
      </c>
      <c r="O143" t="n">
        <v>843.700548</v>
      </c>
      <c r="P143" t="n">
        <v>294.126635</v>
      </c>
      <c r="Q143" t="n">
        <v>954.92823</v>
      </c>
      <c r="R143" t="n">
        <v>10111.529968</v>
      </c>
      <c r="S143" t="n">
        <v>843.700548</v>
      </c>
      <c r="T143" t="n">
        <v>668478.0116420001</v>
      </c>
      <c r="U143" t="n">
        <v>294.126635</v>
      </c>
      <c r="V143" t="n">
        <v>-16893452.951404</v>
      </c>
      <c r="W143" t="n">
        <v>1324.45367</v>
      </c>
      <c r="X143" t="n">
        <v>1272.235398</v>
      </c>
      <c r="Y143" t="n">
        <v>110.428635</v>
      </c>
      <c r="Z143" t="n">
        <v>131.805708</v>
      </c>
    </row>
    <row r="144" ht="21" customHeight="1">
      <c r="A144" t="inlineStr">
        <is>
          <t>Myliobatidae</t>
        </is>
      </c>
      <c r="B144" t="n">
        <v>3.36</v>
      </c>
      <c r="C144" t="n">
        <v>229.086765</v>
      </c>
      <c r="D144" s="10" t="inlineStr">
        <is>
          <t>Coastal elasmobranch</t>
        </is>
      </c>
      <c r="E144" t="n">
        <v>276.665746</v>
      </c>
      <c r="F144" t="n">
        <v>1214.104792</v>
      </c>
      <c r="G144" t="n">
        <v>722.888243</v>
      </c>
      <c r="H144" t="n">
        <v>10121.435398</v>
      </c>
      <c r="I144" t="n">
        <v>2496.053382</v>
      </c>
      <c r="J144" t="n">
        <v>2721.71256</v>
      </c>
      <c r="K144" t="n">
        <v>2569.296656</v>
      </c>
      <c r="L144" t="n">
        <v>17002.234886</v>
      </c>
      <c r="M144" t="n">
        <v>17002.234886</v>
      </c>
      <c r="N144" t="n">
        <v>17002.234886</v>
      </c>
      <c r="O144" t="n">
        <v>9185.440402</v>
      </c>
      <c r="P144" t="n">
        <v>1863.771432</v>
      </c>
      <c r="Q144" t="n">
        <v>17002.234886</v>
      </c>
      <c r="R144" t="n">
        <v>111559561.583727</v>
      </c>
      <c r="S144" t="n">
        <v>9185.440402</v>
      </c>
      <c r="T144" t="n">
        <v>-6478612.295953</v>
      </c>
      <c r="U144" t="n">
        <v>1863.771432</v>
      </c>
      <c r="V144" t="n">
        <v>1.299598425206395e+19</v>
      </c>
      <c r="W144" t="n">
        <v>15257.306447</v>
      </c>
      <c r="X144" t="n">
        <v>23728.582321</v>
      </c>
      <c r="Y144" t="n">
        <v>160.121668</v>
      </c>
      <c r="Z144" t="n">
        <v>658.77156</v>
      </c>
    </row>
    <row r="145" ht="21" customHeight="1">
      <c r="A145" t="inlineStr">
        <is>
          <t>Acanthuridae</t>
        </is>
      </c>
      <c r="B145" t="n">
        <v>2.28</v>
      </c>
      <c r="C145" t="n">
        <v>19.054607</v>
      </c>
      <c r="D145" s="10" t="inlineStr">
        <is>
          <t>2 SM inv | 3 SM inv</t>
        </is>
      </c>
      <c r="E145" t="n">
        <v>276.665746</v>
      </c>
      <c r="F145" t="n">
        <v>195.237034</v>
      </c>
      <c r="G145" t="n">
        <v>132.430212</v>
      </c>
      <c r="H145" t="n">
        <v>264.469084</v>
      </c>
      <c r="I145" t="n">
        <v>118.913507</v>
      </c>
      <c r="J145" t="n">
        <v>136.139541</v>
      </c>
      <c r="K145" t="n">
        <v>127.362312</v>
      </c>
      <c r="L145" t="n">
        <v>358.406583</v>
      </c>
      <c r="M145" t="n">
        <v>358.406583</v>
      </c>
      <c r="N145" t="n">
        <v>358.406583</v>
      </c>
      <c r="O145" t="n">
        <v>341.418803</v>
      </c>
      <c r="P145" t="n">
        <v>140.125818</v>
      </c>
      <c r="Q145" t="n">
        <v>358.406583</v>
      </c>
      <c r="R145" t="n">
        <v>5989.509989</v>
      </c>
      <c r="S145" t="n">
        <v>341.418803</v>
      </c>
      <c r="T145" t="n">
        <v>178554.604556</v>
      </c>
      <c r="U145" t="n">
        <v>140.125818</v>
      </c>
      <c r="V145" t="n">
        <v>-299079.478285</v>
      </c>
      <c r="W145" t="n">
        <v>574.027146</v>
      </c>
      <c r="X145" t="n">
        <v>502.728082</v>
      </c>
      <c r="Y145" t="n">
        <v>42.955466</v>
      </c>
      <c r="Z145" t="n">
        <v>65.044787</v>
      </c>
    </row>
    <row r="146" ht="21" customHeight="1">
      <c r="A146" t="inlineStr">
        <is>
          <t>Caranx sexfasciatus</t>
        </is>
      </c>
      <c r="B146" t="n">
        <v>4.5</v>
      </c>
      <c r="C146" t="n">
        <v>3162.27766</v>
      </c>
      <c r="D146" s="10" t="inlineStr">
        <is>
          <t>2 Carangids | 3 Carangids</t>
        </is>
      </c>
      <c r="E146" t="n">
        <v>276.665746</v>
      </c>
      <c r="F146" t="n">
        <v>1047.559324</v>
      </c>
      <c r="G146" t="n">
        <v>629.821299</v>
      </c>
      <c r="H146" t="n">
        <v>2238.50504</v>
      </c>
      <c r="I146" t="n">
        <v>641.128381</v>
      </c>
      <c r="J146" t="n">
        <v>754.920494</v>
      </c>
      <c r="K146" t="n">
        <v>726.746267</v>
      </c>
      <c r="L146" t="n">
        <v>2160.61505</v>
      </c>
      <c r="M146" t="n">
        <v>2160.61505</v>
      </c>
      <c r="N146" t="n">
        <v>2160.61505</v>
      </c>
      <c r="O146" t="n">
        <v>1714.802766</v>
      </c>
      <c r="P146" t="n">
        <v>507.968664</v>
      </c>
      <c r="Q146" t="n">
        <v>2160.61505</v>
      </c>
      <c r="R146" t="n">
        <v>1782592.482977</v>
      </c>
      <c r="S146" t="n">
        <v>1714.802766</v>
      </c>
      <c r="T146" t="n">
        <v>15448395.144238</v>
      </c>
      <c r="U146" t="n">
        <v>507.968664</v>
      </c>
      <c r="V146" t="n">
        <v>363121069.828352</v>
      </c>
      <c r="W146" t="n">
        <v>2799.375544</v>
      </c>
      <c r="X146" t="n">
        <v>2890.556852</v>
      </c>
      <c r="Y146" t="n">
        <v>143.6356</v>
      </c>
      <c r="Z146" t="n">
        <v>294.157869</v>
      </c>
    </row>
    <row r="147" ht="21" customHeight="1">
      <c r="A147" t="inlineStr">
        <is>
          <t>Polynemus paradiseus</t>
        </is>
      </c>
      <c r="B147" t="n">
        <v>3.86</v>
      </c>
      <c r="C147" t="n">
        <v>724.43596</v>
      </c>
      <c r="D147" s="10" t="inlineStr">
        <is>
          <t>2 SM pisc | 3 SM pisc</t>
        </is>
      </c>
      <c r="E147" t="n">
        <v>276.665746</v>
      </c>
      <c r="F147" t="n">
        <v>735.917019</v>
      </c>
      <c r="G147" t="n">
        <v>452.492682</v>
      </c>
      <c r="H147" t="n">
        <v>682.505571</v>
      </c>
      <c r="I147" t="n">
        <v>235.544874</v>
      </c>
      <c r="J147" t="n">
        <v>314.328392</v>
      </c>
      <c r="K147" t="n">
        <v>298.611973</v>
      </c>
      <c r="L147" t="n">
        <v>954.92823</v>
      </c>
      <c r="M147" t="n">
        <v>954.92823</v>
      </c>
      <c r="N147" t="n">
        <v>954.92823</v>
      </c>
      <c r="O147" t="n">
        <v>843.700548</v>
      </c>
      <c r="P147" t="n">
        <v>294.126635</v>
      </c>
      <c r="Q147" t="n">
        <v>954.92823</v>
      </c>
      <c r="R147" t="n">
        <v>10111.529968</v>
      </c>
      <c r="S147" t="n">
        <v>843.700548</v>
      </c>
      <c r="T147" t="n">
        <v>668478.0116420001</v>
      </c>
      <c r="U147" t="n">
        <v>294.126635</v>
      </c>
      <c r="V147" t="n">
        <v>-16893452.951404</v>
      </c>
      <c r="W147" t="n">
        <v>1324.45367</v>
      </c>
      <c r="X147" t="n">
        <v>1272.235398</v>
      </c>
      <c r="Y147" t="n">
        <v>110.428635</v>
      </c>
      <c r="Z147" t="n">
        <v>131.805708</v>
      </c>
    </row>
    <row r="148" ht="21" customHeight="1">
      <c r="A148" t="inlineStr">
        <is>
          <t>Bramidae</t>
        </is>
      </c>
      <c r="D148" s="10" t="inlineStr">
        <is>
          <t>2 SM pisc | 3 SM pisc</t>
        </is>
      </c>
      <c r="E148" t="n">
        <v>276.665746</v>
      </c>
      <c r="F148" t="n">
        <v>735.917019</v>
      </c>
      <c r="G148" t="n">
        <v>452.492682</v>
      </c>
      <c r="H148" t="n">
        <v>682.505571</v>
      </c>
      <c r="I148" t="n">
        <v>235.544874</v>
      </c>
      <c r="J148" t="n">
        <v>314.328392</v>
      </c>
      <c r="K148" t="n">
        <v>298.611973</v>
      </c>
      <c r="L148" t="n">
        <v>954.92823</v>
      </c>
      <c r="M148" t="n">
        <v>954.92823</v>
      </c>
      <c r="N148" t="n">
        <v>954.92823</v>
      </c>
      <c r="O148" t="n">
        <v>843.700548</v>
      </c>
      <c r="P148" t="n">
        <v>294.126635</v>
      </c>
      <c r="Q148" t="n">
        <v>954.92823</v>
      </c>
      <c r="R148" t="n">
        <v>10111.529968</v>
      </c>
      <c r="S148" t="n">
        <v>843.700548</v>
      </c>
      <c r="T148" t="n">
        <v>668478.0116420001</v>
      </c>
      <c r="U148" t="n">
        <v>294.126635</v>
      </c>
      <c r="V148" t="n">
        <v>-16893452.951404</v>
      </c>
      <c r="W148" t="n">
        <v>1324.45367</v>
      </c>
      <c r="X148" t="n">
        <v>1272.235398</v>
      </c>
      <c r="Y148" t="n">
        <v>110.428635</v>
      </c>
      <c r="Z148" t="n">
        <v>131.805708</v>
      </c>
    </row>
    <row r="149" ht="21" customHeight="1">
      <c r="A149" t="inlineStr">
        <is>
          <t>Lethrinus nebulosus</t>
        </is>
      </c>
      <c r="B149" t="n">
        <v>3.76</v>
      </c>
      <c r="C149" t="n">
        <v>575.439937</v>
      </c>
      <c r="D149" s="10" t="inlineStr">
        <is>
          <t>2 L pisc comm | 3 L pisc comm</t>
        </is>
      </c>
      <c r="E149" t="n">
        <v>276.665746</v>
      </c>
      <c r="F149" t="n">
        <v>942.008432</v>
      </c>
      <c r="G149" t="n">
        <v>569.455705</v>
      </c>
      <c r="H149" t="n">
        <v>2134.327853</v>
      </c>
      <c r="I149" t="n">
        <v>640.479051</v>
      </c>
      <c r="J149" t="n">
        <v>809.758325</v>
      </c>
      <c r="K149" t="n">
        <v>735.799922</v>
      </c>
      <c r="L149" t="n">
        <v>2161.826618</v>
      </c>
      <c r="M149" t="n">
        <v>2161.826618</v>
      </c>
      <c r="N149" t="n">
        <v>2161.826618</v>
      </c>
      <c r="O149" t="n">
        <v>1597.141175</v>
      </c>
      <c r="P149" t="n">
        <v>484.321234</v>
      </c>
      <c r="Q149" t="n">
        <v>2161.826618</v>
      </c>
      <c r="R149" t="n">
        <v>-1582279.837302</v>
      </c>
      <c r="S149" t="n">
        <v>1597.141175</v>
      </c>
      <c r="T149" t="n">
        <v>18597729.236262</v>
      </c>
      <c r="U149" t="n">
        <v>484.321234</v>
      </c>
      <c r="V149" t="n">
        <v>-731199951.6958441</v>
      </c>
      <c r="W149" t="n">
        <v>2522.004884</v>
      </c>
      <c r="X149" t="n">
        <v>2847.344437</v>
      </c>
      <c r="Y149" t="n">
        <v>132.205276</v>
      </c>
      <c r="Z149" t="n">
        <v>267.681374</v>
      </c>
    </row>
    <row r="150" ht="21" customHeight="1">
      <c r="A150" t="inlineStr">
        <is>
          <t>Caranx ignobilis</t>
        </is>
      </c>
      <c r="B150" t="n">
        <v>4.22</v>
      </c>
      <c r="C150" t="n">
        <v>1659.586907</v>
      </c>
      <c r="D150" s="10" t="inlineStr">
        <is>
          <t>2 Carangids | 3 Carangids</t>
        </is>
      </c>
      <c r="E150" t="n">
        <v>276.665746</v>
      </c>
      <c r="F150" t="n">
        <v>1047.559324</v>
      </c>
      <c r="G150" t="n">
        <v>629.821299</v>
      </c>
      <c r="H150" t="n">
        <v>2238.50504</v>
      </c>
      <c r="I150" t="n">
        <v>641.128381</v>
      </c>
      <c r="J150" t="n">
        <v>754.920494</v>
      </c>
      <c r="K150" t="n">
        <v>726.746267</v>
      </c>
      <c r="L150" t="n">
        <v>2160.61505</v>
      </c>
      <c r="M150" t="n">
        <v>2160.61505</v>
      </c>
      <c r="N150" t="n">
        <v>2160.61505</v>
      </c>
      <c r="O150" t="n">
        <v>1714.802766</v>
      </c>
      <c r="P150" t="n">
        <v>507.968664</v>
      </c>
      <c r="Q150" t="n">
        <v>2160.61505</v>
      </c>
      <c r="R150" t="n">
        <v>1782592.482977</v>
      </c>
      <c r="S150" t="n">
        <v>1714.802766</v>
      </c>
      <c r="T150" t="n">
        <v>15448395.144238</v>
      </c>
      <c r="U150" t="n">
        <v>507.968664</v>
      </c>
      <c r="V150" t="n">
        <v>363121069.828352</v>
      </c>
      <c r="W150" t="n">
        <v>2799.375544</v>
      </c>
      <c r="X150" t="n">
        <v>2890.556852</v>
      </c>
      <c r="Y150" t="n">
        <v>143.6356</v>
      </c>
      <c r="Z150" t="n">
        <v>294.157869</v>
      </c>
    </row>
    <row r="151" ht="21" customHeight="1">
      <c r="A151" t="inlineStr">
        <is>
          <t>Caranx melampygus</t>
        </is>
      </c>
      <c r="B151" t="n">
        <v>4.49</v>
      </c>
      <c r="C151" t="n">
        <v>3090.295433</v>
      </c>
      <c r="D151" s="10" t="inlineStr">
        <is>
          <t>2 Carangids | 3 Carangids</t>
        </is>
      </c>
      <c r="E151" t="n">
        <v>276.665746</v>
      </c>
      <c r="F151" t="n">
        <v>1047.559324</v>
      </c>
      <c r="G151" t="n">
        <v>629.821299</v>
      </c>
      <c r="H151" t="n">
        <v>2238.50504</v>
      </c>
      <c r="I151" t="n">
        <v>641.128381</v>
      </c>
      <c r="J151" t="n">
        <v>754.920494</v>
      </c>
      <c r="K151" t="n">
        <v>726.746267</v>
      </c>
      <c r="L151" t="n">
        <v>2160.61505</v>
      </c>
      <c r="M151" t="n">
        <v>2160.61505</v>
      </c>
      <c r="N151" t="n">
        <v>2160.61505</v>
      </c>
      <c r="O151" t="n">
        <v>1714.802766</v>
      </c>
      <c r="P151" t="n">
        <v>507.968664</v>
      </c>
      <c r="Q151" t="n">
        <v>2160.61505</v>
      </c>
      <c r="R151" t="n">
        <v>1782592.482977</v>
      </c>
      <c r="S151" t="n">
        <v>1714.802766</v>
      </c>
      <c r="T151" t="n">
        <v>15448395.144238</v>
      </c>
      <c r="U151" t="n">
        <v>507.968664</v>
      </c>
      <c r="V151" t="n">
        <v>363121069.828352</v>
      </c>
      <c r="W151" t="n">
        <v>2799.375544</v>
      </c>
      <c r="X151" t="n">
        <v>2890.556852</v>
      </c>
      <c r="Y151" t="n">
        <v>143.6356</v>
      </c>
      <c r="Z151" t="n">
        <v>294.157869</v>
      </c>
    </row>
    <row r="152" ht="21" customHeight="1">
      <c r="A152" t="inlineStr">
        <is>
          <t>Penaeus semisulcatus</t>
        </is>
      </c>
      <c r="B152" t="n">
        <v>2</v>
      </c>
      <c r="C152" t="n">
        <v>10</v>
      </c>
      <c r="D152" s="10" t="inlineStr">
        <is>
          <t>2 Crustaceans | 3 Crustaceans</t>
        </is>
      </c>
      <c r="E152" t="n">
        <v>276.665746</v>
      </c>
      <c r="F152" t="n">
        <v>87.346446</v>
      </c>
      <c r="G152" t="n">
        <v>62.825827</v>
      </c>
      <c r="H152" t="n">
        <v>62.583797</v>
      </c>
      <c r="I152" t="n">
        <v>49.059783</v>
      </c>
      <c r="J152" t="n">
        <v>49.059783</v>
      </c>
      <c r="K152" t="n">
        <v>45.848307</v>
      </c>
      <c r="L152" t="n">
        <v>88.61683499999999</v>
      </c>
      <c r="M152" t="n">
        <v>88.61683499999999</v>
      </c>
      <c r="N152" t="n">
        <v>88.61683499999999</v>
      </c>
      <c r="O152" t="n">
        <v>112.736869</v>
      </c>
      <c r="P152" t="n">
        <v>69.749027</v>
      </c>
      <c r="Q152" t="n">
        <v>88.61683499999999</v>
      </c>
      <c r="R152" t="n">
        <v>88.61683499999999</v>
      </c>
      <c r="S152" t="n">
        <v>112.736869</v>
      </c>
      <c r="T152" t="n">
        <v>18.000131</v>
      </c>
      <c r="U152" t="n">
        <v>69.749027</v>
      </c>
      <c r="V152" t="n">
        <v>77.336753</v>
      </c>
      <c r="W152" t="n">
        <v>138.030843</v>
      </c>
      <c r="X152" t="n">
        <v>98.46392899999999</v>
      </c>
      <c r="Y152" t="n">
        <v>24.163479</v>
      </c>
      <c r="Z152" t="n">
        <v>23.495104</v>
      </c>
    </row>
    <row r="153" ht="21" customHeight="1">
      <c r="A153" t="inlineStr">
        <is>
          <t>Isurus</t>
        </is>
      </c>
      <c r="B153" t="n">
        <v>4.5</v>
      </c>
      <c r="C153" t="n">
        <v>3162.27766</v>
      </c>
      <c r="D153" s="10" t="inlineStr">
        <is>
          <t>Oceanic sharks</t>
        </is>
      </c>
      <c r="E153" t="n">
        <v>276.665746</v>
      </c>
      <c r="F153" t="n">
        <v>1757.235698</v>
      </c>
      <c r="G153" t="n">
        <v>1018.406889</v>
      </c>
      <c r="H153" t="n">
        <v>15272.448234</v>
      </c>
      <c r="I153" t="n">
        <v>5138.664287</v>
      </c>
      <c r="J153" t="n">
        <v>6104.491483</v>
      </c>
      <c r="K153" t="n">
        <v>3552.814043</v>
      </c>
      <c r="L153" t="n">
        <v>23073.269039</v>
      </c>
      <c r="M153" t="n">
        <v>23073.269039</v>
      </c>
      <c r="N153" t="n">
        <v>23073.269039</v>
      </c>
      <c r="O153" t="n">
        <v>8719.781079</v>
      </c>
      <c r="P153" t="n">
        <v>1862.135636</v>
      </c>
      <c r="Q153" t="n">
        <v>23073.269039</v>
      </c>
      <c r="R153" t="n">
        <v>96997077.044404</v>
      </c>
      <c r="S153" t="n">
        <v>8719.781079</v>
      </c>
      <c r="T153" t="n">
        <v>-2827644.466329</v>
      </c>
      <c r="U153" t="n">
        <v>1862.135636</v>
      </c>
      <c r="V153" t="n">
        <v>8.326891708518671e+18</v>
      </c>
      <c r="W153" t="n">
        <v>14383.018786</v>
      </c>
      <c r="X153" t="n">
        <v>31688.009682</v>
      </c>
      <c r="Y153" t="n">
        <v>208.554284</v>
      </c>
      <c r="Z153" t="n">
        <v>1011.467389</v>
      </c>
    </row>
    <row r="154" ht="21" customHeight="1">
      <c r="A154" t="inlineStr">
        <is>
          <t>Nemipterus japonicus</t>
        </is>
      </c>
      <c r="B154" t="n">
        <v>3.77</v>
      </c>
      <c r="C154" t="n">
        <v>588.843655</v>
      </c>
      <c r="D154" s="10" t="inlineStr">
        <is>
          <t>2 SM pisc | 3 SM pisc</t>
        </is>
      </c>
      <c r="E154" t="n">
        <v>276.665746</v>
      </c>
      <c r="F154" t="n">
        <v>735.917019</v>
      </c>
      <c r="G154" t="n">
        <v>452.492682</v>
      </c>
      <c r="H154" t="n">
        <v>682.505571</v>
      </c>
      <c r="I154" t="n">
        <v>235.544874</v>
      </c>
      <c r="J154" t="n">
        <v>314.328392</v>
      </c>
      <c r="K154" t="n">
        <v>298.611973</v>
      </c>
      <c r="L154" t="n">
        <v>954.92823</v>
      </c>
      <c r="M154" t="n">
        <v>954.92823</v>
      </c>
      <c r="N154" t="n">
        <v>954.92823</v>
      </c>
      <c r="O154" t="n">
        <v>843.700548</v>
      </c>
      <c r="P154" t="n">
        <v>294.126635</v>
      </c>
      <c r="Q154" t="n">
        <v>954.92823</v>
      </c>
      <c r="R154" t="n">
        <v>10111.529968</v>
      </c>
      <c r="S154" t="n">
        <v>843.700548</v>
      </c>
      <c r="T154" t="n">
        <v>668478.0116420001</v>
      </c>
      <c r="U154" t="n">
        <v>294.126635</v>
      </c>
      <c r="V154" t="n">
        <v>-16893452.951404</v>
      </c>
      <c r="W154" t="n">
        <v>1324.45367</v>
      </c>
      <c r="X154" t="n">
        <v>1272.235398</v>
      </c>
      <c r="Y154" t="n">
        <v>110.428635</v>
      </c>
      <c r="Z154" t="n">
        <v>131.805708</v>
      </c>
    </row>
    <row r="155" ht="21" customHeight="1">
      <c r="A155" t="inlineStr">
        <is>
          <t>Penaeus latisulcatus</t>
        </is>
      </c>
      <c r="B155" t="n">
        <v>2.7</v>
      </c>
      <c r="C155" t="n">
        <v>50.118723</v>
      </c>
      <c r="D155" s="10" t="inlineStr">
        <is>
          <t>2 Crustaceans | 3 Crustaceans</t>
        </is>
      </c>
      <c r="E155" t="n">
        <v>276.665746</v>
      </c>
      <c r="F155" t="n">
        <v>87.346446</v>
      </c>
      <c r="G155" t="n">
        <v>62.825827</v>
      </c>
      <c r="H155" t="n">
        <v>62.583797</v>
      </c>
      <c r="I155" t="n">
        <v>49.059783</v>
      </c>
      <c r="J155" t="n">
        <v>49.059783</v>
      </c>
      <c r="K155" t="n">
        <v>45.848307</v>
      </c>
      <c r="L155" t="n">
        <v>88.61683499999999</v>
      </c>
      <c r="M155" t="n">
        <v>88.61683499999999</v>
      </c>
      <c r="N155" t="n">
        <v>88.61683499999999</v>
      </c>
      <c r="O155" t="n">
        <v>112.736869</v>
      </c>
      <c r="P155" t="n">
        <v>69.749027</v>
      </c>
      <c r="Q155" t="n">
        <v>88.61683499999999</v>
      </c>
      <c r="R155" t="n">
        <v>88.61683499999999</v>
      </c>
      <c r="S155" t="n">
        <v>112.736869</v>
      </c>
      <c r="T155" t="n">
        <v>18.000131</v>
      </c>
      <c r="U155" t="n">
        <v>69.749027</v>
      </c>
      <c r="V155" t="n">
        <v>77.336753</v>
      </c>
      <c r="W155" t="n">
        <v>138.030843</v>
      </c>
      <c r="X155" t="n">
        <v>98.46392899999999</v>
      </c>
      <c r="Y155" t="n">
        <v>24.163479</v>
      </c>
      <c r="Z155" t="n">
        <v>23.495104</v>
      </c>
    </row>
    <row r="156" ht="21" customHeight="1">
      <c r="A156" t="inlineStr">
        <is>
          <t>Caesio cuning</t>
        </is>
      </c>
      <c r="B156" t="n">
        <v>3.4</v>
      </c>
      <c r="C156" t="n">
        <v>251.188643</v>
      </c>
      <c r="D156" s="10" t="inlineStr">
        <is>
          <t>2 SM inv | 3 SM inv</t>
        </is>
      </c>
      <c r="E156" t="n">
        <v>276.665746</v>
      </c>
      <c r="F156" t="n">
        <v>195.237034</v>
      </c>
      <c r="G156" t="n">
        <v>132.430212</v>
      </c>
      <c r="H156" t="n">
        <v>264.469084</v>
      </c>
      <c r="I156" t="n">
        <v>118.913507</v>
      </c>
      <c r="J156" t="n">
        <v>136.139541</v>
      </c>
      <c r="K156" t="n">
        <v>127.362312</v>
      </c>
      <c r="L156" t="n">
        <v>358.406583</v>
      </c>
      <c r="M156" t="n">
        <v>358.406583</v>
      </c>
      <c r="N156" t="n">
        <v>358.406583</v>
      </c>
      <c r="O156" t="n">
        <v>341.418803</v>
      </c>
      <c r="P156" t="n">
        <v>140.125818</v>
      </c>
      <c r="Q156" t="n">
        <v>358.406583</v>
      </c>
      <c r="R156" t="n">
        <v>5989.509989</v>
      </c>
      <c r="S156" t="n">
        <v>341.418803</v>
      </c>
      <c r="T156" t="n">
        <v>178554.604556</v>
      </c>
      <c r="U156" t="n">
        <v>140.125818</v>
      </c>
      <c r="V156" t="n">
        <v>-299079.478285</v>
      </c>
      <c r="W156" t="n">
        <v>574.027146</v>
      </c>
      <c r="X156" t="n">
        <v>502.728082</v>
      </c>
      <c r="Y156" t="n">
        <v>42.955466</v>
      </c>
      <c r="Z156" t="n">
        <v>65.044787</v>
      </c>
    </row>
    <row r="157" ht="21" customHeight="1">
      <c r="A157" t="inlineStr">
        <is>
          <t>Stromateidae</t>
        </is>
      </c>
      <c r="B157" t="n">
        <v>3.62</v>
      </c>
      <c r="C157" t="n">
        <v>416.869383</v>
      </c>
      <c r="D157" s="10" t="inlineStr">
        <is>
          <t>2 SM inv | 3 SM inv</t>
        </is>
      </c>
      <c r="E157" t="n">
        <v>276.665746</v>
      </c>
      <c r="F157" t="n">
        <v>195.237034</v>
      </c>
      <c r="G157" t="n">
        <v>132.430212</v>
      </c>
      <c r="H157" t="n">
        <v>264.469084</v>
      </c>
      <c r="I157" t="n">
        <v>118.913507</v>
      </c>
      <c r="J157" t="n">
        <v>136.139541</v>
      </c>
      <c r="K157" t="n">
        <v>127.362312</v>
      </c>
      <c r="L157" t="n">
        <v>358.406583</v>
      </c>
      <c r="M157" t="n">
        <v>358.406583</v>
      </c>
      <c r="N157" t="n">
        <v>358.406583</v>
      </c>
      <c r="O157" t="n">
        <v>341.418803</v>
      </c>
      <c r="P157" t="n">
        <v>140.125818</v>
      </c>
      <c r="Q157" t="n">
        <v>358.406583</v>
      </c>
      <c r="R157" t="n">
        <v>5989.509989</v>
      </c>
      <c r="S157" t="n">
        <v>341.418803</v>
      </c>
      <c r="T157" t="n">
        <v>178554.604556</v>
      </c>
      <c r="U157" t="n">
        <v>140.125818</v>
      </c>
      <c r="V157" t="n">
        <v>-299079.478285</v>
      </c>
      <c r="W157" t="n">
        <v>574.027146</v>
      </c>
      <c r="X157" t="n">
        <v>502.728082</v>
      </c>
      <c r="Y157" t="n">
        <v>42.955466</v>
      </c>
      <c r="Z157" t="n">
        <v>65.044787</v>
      </c>
    </row>
    <row r="158" ht="36" customHeight="1">
      <c r="A158" t="inlineStr">
        <is>
          <t>Gobiidae</t>
        </is>
      </c>
      <c r="B158" t="n">
        <v>3.11</v>
      </c>
      <c r="C158" t="n">
        <v>128.824955</v>
      </c>
      <c r="D158" s="10" t="inlineStr">
        <is>
          <t>2 SM inv | 3 SM inv | 2 SM pisc | 3 SM pisc</t>
        </is>
      </c>
      <c r="E158" t="n">
        <v>276.665746</v>
      </c>
      <c r="F158" t="n">
        <v>427.369702</v>
      </c>
      <c r="G158" t="n">
        <v>269.84413</v>
      </c>
      <c r="H158" t="n">
        <v>443.946645</v>
      </c>
      <c r="I158" t="n">
        <v>168.987397</v>
      </c>
      <c r="J158" t="n">
        <v>212.642194</v>
      </c>
      <c r="K158" t="n">
        <v>200.88573</v>
      </c>
      <c r="L158" t="n">
        <v>614.514013</v>
      </c>
      <c r="M158" t="n">
        <v>614.514013</v>
      </c>
      <c r="N158" t="n">
        <v>614.514013</v>
      </c>
      <c r="O158" t="n">
        <v>557.065775</v>
      </c>
      <c r="P158" t="n">
        <v>206.243709</v>
      </c>
      <c r="Q158" t="n">
        <v>614.514013</v>
      </c>
      <c r="R158" t="n">
        <v>7759.236114</v>
      </c>
      <c r="S158" t="n">
        <v>557.065775</v>
      </c>
      <c r="T158" t="n">
        <v>388895.713364</v>
      </c>
      <c r="U158" t="n">
        <v>206.243709</v>
      </c>
      <c r="V158" t="n">
        <v>-7423619.489708</v>
      </c>
      <c r="W158" t="n">
        <v>896.211277</v>
      </c>
      <c r="X158" t="n">
        <v>833.104258</v>
      </c>
      <c r="Y158" t="n">
        <v>71.924037</v>
      </c>
      <c r="Z158" t="n">
        <v>93.707566</v>
      </c>
    </row>
    <row r="159" ht="21" customHeight="1">
      <c r="A159" t="inlineStr">
        <is>
          <t>Deveximentum insidiator</t>
        </is>
      </c>
      <c r="B159" t="n">
        <v>2.86</v>
      </c>
      <c r="C159" t="n">
        <v>72.443596</v>
      </c>
      <c r="D159" s="10" t="inlineStr">
        <is>
          <t>2 SM inv | 3 SM inv</t>
        </is>
      </c>
      <c r="E159" t="n">
        <v>276.665746</v>
      </c>
      <c r="F159" t="n">
        <v>195.237034</v>
      </c>
      <c r="G159" t="n">
        <v>132.430212</v>
      </c>
      <c r="H159" t="n">
        <v>264.469084</v>
      </c>
      <c r="I159" t="n">
        <v>118.913507</v>
      </c>
      <c r="J159" t="n">
        <v>136.139541</v>
      </c>
      <c r="K159" t="n">
        <v>127.362312</v>
      </c>
      <c r="L159" t="n">
        <v>358.406583</v>
      </c>
      <c r="M159" t="n">
        <v>358.406583</v>
      </c>
      <c r="N159" t="n">
        <v>358.406583</v>
      </c>
      <c r="O159" t="n">
        <v>341.418803</v>
      </c>
      <c r="P159" t="n">
        <v>140.125818</v>
      </c>
      <c r="Q159" t="n">
        <v>358.406583</v>
      </c>
      <c r="R159" t="n">
        <v>5989.509989</v>
      </c>
      <c r="S159" t="n">
        <v>341.418803</v>
      </c>
      <c r="T159" t="n">
        <v>178554.604556</v>
      </c>
      <c r="U159" t="n">
        <v>140.125818</v>
      </c>
      <c r="V159" t="n">
        <v>-299079.478285</v>
      </c>
      <c r="W159" t="n">
        <v>574.027146</v>
      </c>
      <c r="X159" t="n">
        <v>502.728082</v>
      </c>
      <c r="Y159" t="n">
        <v>42.955466</v>
      </c>
      <c r="Z159" t="n">
        <v>65.044787</v>
      </c>
    </row>
    <row r="160" ht="21" customHeight="1">
      <c r="A160" t="inlineStr">
        <is>
          <t>Plotosidae</t>
        </is>
      </c>
      <c r="B160" t="n">
        <v>3.49</v>
      </c>
      <c r="C160" t="n">
        <v>309.029543</v>
      </c>
      <c r="D160" s="10" t="inlineStr">
        <is>
          <t>2 L pisc | 3 L pisc</t>
        </is>
      </c>
      <c r="E160" t="n">
        <v>276.665746</v>
      </c>
      <c r="F160" t="n">
        <v>1671.644897</v>
      </c>
      <c r="G160" t="n">
        <v>968.768055</v>
      </c>
      <c r="H160" t="n">
        <v>4321.103431</v>
      </c>
      <c r="I160" t="n">
        <v>1003.861945</v>
      </c>
      <c r="J160" t="n">
        <v>1190.295649</v>
      </c>
      <c r="K160" t="n">
        <v>1071.266084</v>
      </c>
      <c r="L160" t="n">
        <v>3542.246528</v>
      </c>
      <c r="M160" t="n">
        <v>3542.246528</v>
      </c>
      <c r="N160" t="n">
        <v>3542.246528</v>
      </c>
      <c r="O160" t="n">
        <v>2538.689141</v>
      </c>
      <c r="P160" t="n">
        <v>681.946673</v>
      </c>
      <c r="Q160" t="n">
        <v>3542.246528</v>
      </c>
      <c r="R160" t="n">
        <v>60332.209612</v>
      </c>
      <c r="S160" t="n">
        <v>2538.689141</v>
      </c>
      <c r="T160" t="n">
        <v>4692815.596611</v>
      </c>
      <c r="U160" t="n">
        <v>681.946673</v>
      </c>
      <c r="V160" t="n">
        <v>8778895377.827705</v>
      </c>
      <c r="W160" t="n">
        <v>4084.723039</v>
      </c>
      <c r="X160" t="n">
        <v>4708.979406</v>
      </c>
      <c r="Y160" t="n">
        <v>198.988407</v>
      </c>
      <c r="Z160" t="n">
        <v>443.769811</v>
      </c>
    </row>
    <row r="161" ht="21" customHeight="1">
      <c r="A161" t="inlineStr">
        <is>
          <t>Xiphias gladius</t>
        </is>
      </c>
      <c r="B161" t="n">
        <v>4.53</v>
      </c>
      <c r="C161" t="n">
        <v>3388.441561</v>
      </c>
      <c r="D161" s="10" t="inlineStr">
        <is>
          <t>Tuna-like</t>
        </is>
      </c>
      <c r="E161" t="n">
        <v>276.665746</v>
      </c>
      <c r="F161" t="n">
        <v>3650.332839</v>
      </c>
      <c r="G161" t="n">
        <v>2005.591894</v>
      </c>
      <c r="H161" t="n">
        <v>10202.43919</v>
      </c>
      <c r="I161" t="n">
        <v>2103.316703</v>
      </c>
      <c r="J161" t="n">
        <v>2473.629877</v>
      </c>
      <c r="K161" t="n">
        <v>2211.42511</v>
      </c>
      <c r="L161" t="n">
        <v>8474.746773000001</v>
      </c>
      <c r="M161" t="n">
        <v>8474.746773000001</v>
      </c>
      <c r="N161" t="n">
        <v>8474.746773000001</v>
      </c>
      <c r="O161" t="n">
        <v>5374.550638</v>
      </c>
      <c r="P161" t="n">
        <v>1271.625707</v>
      </c>
      <c r="Q161" t="n">
        <v>8474.746773000001</v>
      </c>
      <c r="R161" t="n">
        <v>11745249.699026</v>
      </c>
      <c r="S161" t="n">
        <v>5374.550638</v>
      </c>
      <c r="T161" t="n">
        <v>-414959.643064</v>
      </c>
      <c r="U161" t="n">
        <v>1271.625707</v>
      </c>
      <c r="V161" t="n">
        <v>-2163898509.296668</v>
      </c>
      <c r="W161" t="n">
        <v>8903.01534</v>
      </c>
      <c r="X161" t="n">
        <v>11378.963772</v>
      </c>
      <c r="Y161" t="n">
        <v>351.683283</v>
      </c>
      <c r="Z161" t="n">
        <v>849.64013</v>
      </c>
    </row>
    <row r="162" ht="21" customHeight="1">
      <c r="A162" t="inlineStr">
        <is>
          <t>Malacostraca</t>
        </is>
      </c>
      <c r="B162" t="n">
        <v>3</v>
      </c>
      <c r="C162" t="n">
        <v>100</v>
      </c>
      <c r="D162" s="10" t="inlineStr">
        <is>
          <t>2 Crustaceans | 3 Crustaceans</t>
        </is>
      </c>
      <c r="E162" t="n">
        <v>276.665746</v>
      </c>
      <c r="F162" t="n">
        <v>87.346446</v>
      </c>
      <c r="G162" t="n">
        <v>62.825827</v>
      </c>
      <c r="H162" t="n">
        <v>62.583797</v>
      </c>
      <c r="I162" t="n">
        <v>49.059783</v>
      </c>
      <c r="J162" t="n">
        <v>49.059783</v>
      </c>
      <c r="K162" t="n">
        <v>45.848307</v>
      </c>
      <c r="L162" t="n">
        <v>88.61683499999999</v>
      </c>
      <c r="M162" t="n">
        <v>88.61683499999999</v>
      </c>
      <c r="N162" t="n">
        <v>88.61683499999999</v>
      </c>
      <c r="O162" t="n">
        <v>112.736869</v>
      </c>
      <c r="P162" t="n">
        <v>69.749027</v>
      </c>
      <c r="Q162" t="n">
        <v>88.61683499999999</v>
      </c>
      <c r="R162" t="n">
        <v>88.61683499999999</v>
      </c>
      <c r="S162" t="n">
        <v>112.736869</v>
      </c>
      <c r="T162" t="n">
        <v>18.000131</v>
      </c>
      <c r="U162" t="n">
        <v>69.749027</v>
      </c>
      <c r="V162" t="n">
        <v>77.336753</v>
      </c>
      <c r="W162" t="n">
        <v>138.030843</v>
      </c>
      <c r="X162" t="n">
        <v>98.46392899999999</v>
      </c>
      <c r="Y162" t="n">
        <v>24.163479</v>
      </c>
      <c r="Z162" t="n">
        <v>23.495104</v>
      </c>
    </row>
    <row r="163" ht="21" customHeight="1">
      <c r="A163" t="inlineStr">
        <is>
          <t>Sparidae</t>
        </is>
      </c>
      <c r="B163" t="n">
        <v>3.31</v>
      </c>
      <c r="C163" t="n">
        <v>204.173794</v>
      </c>
      <c r="D163" s="10" t="inlineStr">
        <is>
          <t>2 SM inv | 3 SM inv</t>
        </is>
      </c>
      <c r="E163" t="n">
        <v>276.665746</v>
      </c>
      <c r="F163" t="n">
        <v>195.237034</v>
      </c>
      <c r="G163" t="n">
        <v>132.430212</v>
      </c>
      <c r="H163" t="n">
        <v>264.469084</v>
      </c>
      <c r="I163" t="n">
        <v>118.913507</v>
      </c>
      <c r="J163" t="n">
        <v>136.139541</v>
      </c>
      <c r="K163" t="n">
        <v>127.362312</v>
      </c>
      <c r="L163" t="n">
        <v>358.406583</v>
      </c>
      <c r="M163" t="n">
        <v>358.406583</v>
      </c>
      <c r="N163" t="n">
        <v>358.406583</v>
      </c>
      <c r="O163" t="n">
        <v>341.418803</v>
      </c>
      <c r="P163" t="n">
        <v>140.125818</v>
      </c>
      <c r="Q163" t="n">
        <v>358.406583</v>
      </c>
      <c r="R163" t="n">
        <v>5989.509989</v>
      </c>
      <c r="S163" t="n">
        <v>341.418803</v>
      </c>
      <c r="T163" t="n">
        <v>178554.604556</v>
      </c>
      <c r="U163" t="n">
        <v>140.125818</v>
      </c>
      <c r="V163" t="n">
        <v>-299079.478285</v>
      </c>
      <c r="W163" t="n">
        <v>574.027146</v>
      </c>
      <c r="X163" t="n">
        <v>502.728082</v>
      </c>
      <c r="Y163" t="n">
        <v>42.955466</v>
      </c>
      <c r="Z163" t="n">
        <v>65.044787</v>
      </c>
    </row>
    <row r="164" ht="21" customHeight="1">
      <c r="A164" t="inlineStr">
        <is>
          <t>Bothidae</t>
        </is>
      </c>
      <c r="B164" t="n">
        <v>3.77</v>
      </c>
      <c r="C164" t="n">
        <v>588.843655</v>
      </c>
      <c r="D164" s="10" t="inlineStr">
        <is>
          <t>2 SM inv | 3 SM inv</t>
        </is>
      </c>
      <c r="E164" t="n">
        <v>276.665746</v>
      </c>
      <c r="F164" t="n">
        <v>195.237034</v>
      </c>
      <c r="G164" t="n">
        <v>132.430212</v>
      </c>
      <c r="H164" t="n">
        <v>264.469084</v>
      </c>
      <c r="I164" t="n">
        <v>118.913507</v>
      </c>
      <c r="J164" t="n">
        <v>136.139541</v>
      </c>
      <c r="K164" t="n">
        <v>127.362312</v>
      </c>
      <c r="L164" t="n">
        <v>358.406583</v>
      </c>
      <c r="M164" t="n">
        <v>358.406583</v>
      </c>
      <c r="N164" t="n">
        <v>358.406583</v>
      </c>
      <c r="O164" t="n">
        <v>341.418803</v>
      </c>
      <c r="P164" t="n">
        <v>140.125818</v>
      </c>
      <c r="Q164" t="n">
        <v>358.406583</v>
      </c>
      <c r="R164" t="n">
        <v>5989.509989</v>
      </c>
      <c r="S164" t="n">
        <v>341.418803</v>
      </c>
      <c r="T164" t="n">
        <v>178554.604556</v>
      </c>
      <c r="U164" t="n">
        <v>140.125818</v>
      </c>
      <c r="V164" t="n">
        <v>-299079.478285</v>
      </c>
      <c r="W164" t="n">
        <v>574.027146</v>
      </c>
      <c r="X164" t="n">
        <v>502.728082</v>
      </c>
      <c r="Y164" t="n">
        <v>42.955466</v>
      </c>
      <c r="Z164" t="n">
        <v>65.044787</v>
      </c>
    </row>
    <row r="165" ht="21" customHeight="1">
      <c r="A165" t="inlineStr">
        <is>
          <t>Ganjampenaeopsis uncta</t>
        </is>
      </c>
      <c r="B165" t="n">
        <v>3.01</v>
      </c>
      <c r="C165" t="n">
        <v>102.329299</v>
      </c>
      <c r="D165" s="10" t="inlineStr">
        <is>
          <t>2 Crustaceans | 3 Crustaceans</t>
        </is>
      </c>
      <c r="E165" t="n">
        <v>276.665746</v>
      </c>
      <c r="F165" t="n">
        <v>87.346446</v>
      </c>
      <c r="G165" t="n">
        <v>62.825827</v>
      </c>
      <c r="H165" t="n">
        <v>62.583797</v>
      </c>
      <c r="I165" t="n">
        <v>49.059783</v>
      </c>
      <c r="J165" t="n">
        <v>49.059783</v>
      </c>
      <c r="K165" t="n">
        <v>45.848307</v>
      </c>
      <c r="L165" t="n">
        <v>88.61683499999999</v>
      </c>
      <c r="M165" t="n">
        <v>88.61683499999999</v>
      </c>
      <c r="N165" t="n">
        <v>88.61683499999999</v>
      </c>
      <c r="O165" t="n">
        <v>112.736869</v>
      </c>
      <c r="P165" t="n">
        <v>69.749027</v>
      </c>
      <c r="Q165" t="n">
        <v>88.61683499999999</v>
      </c>
      <c r="R165" t="n">
        <v>88.61683499999999</v>
      </c>
      <c r="S165" t="n">
        <v>112.736869</v>
      </c>
      <c r="T165" t="n">
        <v>18.000131</v>
      </c>
      <c r="U165" t="n">
        <v>69.749027</v>
      </c>
      <c r="V165" t="n">
        <v>77.336753</v>
      </c>
      <c r="W165" t="n">
        <v>138.030843</v>
      </c>
      <c r="X165" t="n">
        <v>98.46392899999999</v>
      </c>
      <c r="Y165" t="n">
        <v>24.163479</v>
      </c>
      <c r="Z165" t="n">
        <v>23.495104</v>
      </c>
    </row>
    <row r="166" ht="21" customHeight="1">
      <c r="A166" t="inlineStr">
        <is>
          <t>Mierspenaeopsis hardwickii</t>
        </is>
      </c>
      <c r="B166" t="n">
        <v>2.71</v>
      </c>
      <c r="C166" t="n">
        <v>51.286138</v>
      </c>
      <c r="D166" s="10" t="inlineStr">
        <is>
          <t>2 Crustaceans | 3 Crustaceans</t>
        </is>
      </c>
      <c r="E166" t="n">
        <v>276.665746</v>
      </c>
      <c r="F166" t="n">
        <v>87.346446</v>
      </c>
      <c r="G166" t="n">
        <v>62.825827</v>
      </c>
      <c r="H166" t="n">
        <v>62.583797</v>
      </c>
      <c r="I166" t="n">
        <v>49.059783</v>
      </c>
      <c r="J166" t="n">
        <v>49.059783</v>
      </c>
      <c r="K166" t="n">
        <v>45.848307</v>
      </c>
      <c r="L166" t="n">
        <v>88.61683499999999</v>
      </c>
      <c r="M166" t="n">
        <v>88.61683499999999</v>
      </c>
      <c r="N166" t="n">
        <v>88.61683499999999</v>
      </c>
      <c r="O166" t="n">
        <v>112.736869</v>
      </c>
      <c r="P166" t="n">
        <v>69.749027</v>
      </c>
      <c r="Q166" t="n">
        <v>88.61683499999999</v>
      </c>
      <c r="R166" t="n">
        <v>88.61683499999999</v>
      </c>
      <c r="S166" t="n">
        <v>112.736869</v>
      </c>
      <c r="T166" t="n">
        <v>18.000131</v>
      </c>
      <c r="U166" t="n">
        <v>69.749027</v>
      </c>
      <c r="V166" t="n">
        <v>77.336753</v>
      </c>
      <c r="W166" t="n">
        <v>138.030843</v>
      </c>
      <c r="X166" t="n">
        <v>98.46392899999999</v>
      </c>
      <c r="Y166" t="n">
        <v>24.163479</v>
      </c>
      <c r="Z166" t="n">
        <v>23.495104</v>
      </c>
    </row>
    <row r="167" ht="21" customHeight="1">
      <c r="A167" t="inlineStr">
        <is>
          <t>Lutjanus johnii</t>
        </is>
      </c>
      <c r="B167" t="n">
        <v>4.2</v>
      </c>
      <c r="C167" t="n">
        <v>1584.893192</v>
      </c>
      <c r="D167" s="10" t="inlineStr">
        <is>
          <t>2 L pisc comm | 3 L pisc comm</t>
        </is>
      </c>
      <c r="E167" t="n">
        <v>276.665746</v>
      </c>
      <c r="F167" t="n">
        <v>942.008432</v>
      </c>
      <c r="G167" t="n">
        <v>569.455705</v>
      </c>
      <c r="H167" t="n">
        <v>2134.327853</v>
      </c>
      <c r="I167" t="n">
        <v>640.479051</v>
      </c>
      <c r="J167" t="n">
        <v>809.758325</v>
      </c>
      <c r="K167" t="n">
        <v>735.799922</v>
      </c>
      <c r="L167" t="n">
        <v>2161.826618</v>
      </c>
      <c r="M167" t="n">
        <v>2161.826618</v>
      </c>
      <c r="N167" t="n">
        <v>2161.826618</v>
      </c>
      <c r="O167" t="n">
        <v>1597.141175</v>
      </c>
      <c r="P167" t="n">
        <v>484.321234</v>
      </c>
      <c r="Q167" t="n">
        <v>2161.826618</v>
      </c>
      <c r="R167" t="n">
        <v>-1582279.837302</v>
      </c>
      <c r="S167" t="n">
        <v>1597.141175</v>
      </c>
      <c r="T167" t="n">
        <v>18597729.236262</v>
      </c>
      <c r="U167" t="n">
        <v>484.321234</v>
      </c>
      <c r="V167" t="n">
        <v>-731199951.6958441</v>
      </c>
      <c r="W167" t="n">
        <v>2522.004884</v>
      </c>
      <c r="X167" t="n">
        <v>2847.344437</v>
      </c>
      <c r="Y167" t="n">
        <v>132.205276</v>
      </c>
      <c r="Z167" t="n">
        <v>267.681374</v>
      </c>
    </row>
    <row r="168" ht="21" customHeight="1">
      <c r="A168" t="inlineStr">
        <is>
          <t>Istiophoridae</t>
        </is>
      </c>
      <c r="B168" t="n">
        <v>4.48</v>
      </c>
      <c r="C168" t="n">
        <v>3019.95172</v>
      </c>
      <c r="D168" s="10" t="inlineStr">
        <is>
          <t>Tuna-like</t>
        </is>
      </c>
      <c r="E168" t="n">
        <v>276.665746</v>
      </c>
      <c r="F168" t="n">
        <v>3650.332839</v>
      </c>
      <c r="G168" t="n">
        <v>2005.591894</v>
      </c>
      <c r="H168" t="n">
        <v>10202.43919</v>
      </c>
      <c r="I168" t="n">
        <v>2103.316703</v>
      </c>
      <c r="J168" t="n">
        <v>2473.629877</v>
      </c>
      <c r="K168" t="n">
        <v>2211.42511</v>
      </c>
      <c r="L168" t="n">
        <v>8474.746773000001</v>
      </c>
      <c r="M168" t="n">
        <v>8474.746773000001</v>
      </c>
      <c r="N168" t="n">
        <v>8474.746773000001</v>
      </c>
      <c r="O168" t="n">
        <v>5374.550638</v>
      </c>
      <c r="P168" t="n">
        <v>1271.625707</v>
      </c>
      <c r="Q168" t="n">
        <v>8474.746773000001</v>
      </c>
      <c r="R168" t="n">
        <v>11745249.699026</v>
      </c>
      <c r="S168" t="n">
        <v>5374.550638</v>
      </c>
      <c r="T168" t="n">
        <v>-414959.643064</v>
      </c>
      <c r="U168" t="n">
        <v>1271.625707</v>
      </c>
      <c r="V168" t="n">
        <v>-2163898509.296668</v>
      </c>
      <c r="W168" t="n">
        <v>8903.01534</v>
      </c>
      <c r="X168" t="n">
        <v>11378.963772</v>
      </c>
      <c r="Y168" t="n">
        <v>351.683283</v>
      </c>
      <c r="Z168" t="n">
        <v>849.64013</v>
      </c>
    </row>
    <row r="169" ht="21" customHeight="1">
      <c r="A169" t="inlineStr">
        <is>
          <t>Thunnus</t>
        </is>
      </c>
      <c r="B169" t="n">
        <v>4.34</v>
      </c>
      <c r="C169" t="n">
        <v>2187.761624</v>
      </c>
      <c r="D169" s="10" t="inlineStr">
        <is>
          <t>Tuna-like</t>
        </is>
      </c>
      <c r="E169" t="n">
        <v>276.665746</v>
      </c>
      <c r="F169" t="n">
        <v>3650.332839</v>
      </c>
      <c r="G169" t="n">
        <v>2005.591894</v>
      </c>
      <c r="H169" t="n">
        <v>10202.43919</v>
      </c>
      <c r="I169" t="n">
        <v>2103.316703</v>
      </c>
      <c r="J169" t="n">
        <v>2473.629877</v>
      </c>
      <c r="K169" t="n">
        <v>2211.42511</v>
      </c>
      <c r="L169" t="n">
        <v>8474.746773000001</v>
      </c>
      <c r="M169" t="n">
        <v>8474.746773000001</v>
      </c>
      <c r="N169" t="n">
        <v>8474.746773000001</v>
      </c>
      <c r="O169" t="n">
        <v>5374.550638</v>
      </c>
      <c r="P169" t="n">
        <v>1271.625707</v>
      </c>
      <c r="Q169" t="n">
        <v>8474.746773000001</v>
      </c>
      <c r="R169" t="n">
        <v>11745249.699026</v>
      </c>
      <c r="S169" t="n">
        <v>5374.550638</v>
      </c>
      <c r="T169" t="n">
        <v>-414959.643064</v>
      </c>
      <c r="U169" t="n">
        <v>1271.625707</v>
      </c>
      <c r="V169" t="n">
        <v>-2163898509.296668</v>
      </c>
      <c r="W169" t="n">
        <v>8903.01534</v>
      </c>
      <c r="X169" t="n">
        <v>11378.963772</v>
      </c>
      <c r="Y169" t="n">
        <v>351.683283</v>
      </c>
      <c r="Z169" t="n">
        <v>849.64013</v>
      </c>
    </row>
    <row r="170" ht="21" customHeight="1">
      <c r="A170" t="inlineStr">
        <is>
          <t>Sergestidae</t>
        </is>
      </c>
      <c r="B170" t="n">
        <v>2.93</v>
      </c>
      <c r="C170" t="n">
        <v>85.113804</v>
      </c>
      <c r="D170" s="10" t="inlineStr">
        <is>
          <t>2 Crustaceans | 3 Crustaceans</t>
        </is>
      </c>
      <c r="E170" t="n">
        <v>276.665746</v>
      </c>
      <c r="F170" t="n">
        <v>87.346446</v>
      </c>
      <c r="G170" t="n">
        <v>62.825827</v>
      </c>
      <c r="H170" t="n">
        <v>62.583797</v>
      </c>
      <c r="I170" t="n">
        <v>49.059783</v>
      </c>
      <c r="J170" t="n">
        <v>49.059783</v>
      </c>
      <c r="K170" t="n">
        <v>45.848307</v>
      </c>
      <c r="L170" t="n">
        <v>88.61683499999999</v>
      </c>
      <c r="M170" t="n">
        <v>88.61683499999999</v>
      </c>
      <c r="N170" t="n">
        <v>88.61683499999999</v>
      </c>
      <c r="O170" t="n">
        <v>112.736869</v>
      </c>
      <c r="P170" t="n">
        <v>69.749027</v>
      </c>
      <c r="Q170" t="n">
        <v>88.61683499999999</v>
      </c>
      <c r="R170" t="n">
        <v>88.61683499999999</v>
      </c>
      <c r="S170" t="n">
        <v>112.736869</v>
      </c>
      <c r="T170" t="n">
        <v>18.000131</v>
      </c>
      <c r="U170" t="n">
        <v>69.749027</v>
      </c>
      <c r="V170" t="n">
        <v>77.336753</v>
      </c>
      <c r="W170" t="n">
        <v>138.030843</v>
      </c>
      <c r="X170" t="n">
        <v>98.46392899999999</v>
      </c>
      <c r="Y170" t="n">
        <v>24.163479</v>
      </c>
      <c r="Z170" t="n">
        <v>23.495104</v>
      </c>
    </row>
    <row r="171" ht="21" customHeight="1">
      <c r="A171" t="inlineStr">
        <is>
          <t>Siganus</t>
        </is>
      </c>
      <c r="B171" t="n">
        <v>2.11</v>
      </c>
      <c r="C171" t="n">
        <v>12.882496</v>
      </c>
      <c r="D171" s="10" t="inlineStr">
        <is>
          <t>2 SM inv | 3 SM inv</t>
        </is>
      </c>
      <c r="E171" t="n">
        <v>276.665746</v>
      </c>
      <c r="F171" t="n">
        <v>195.237034</v>
      </c>
      <c r="G171" t="n">
        <v>132.430212</v>
      </c>
      <c r="H171" t="n">
        <v>264.469084</v>
      </c>
      <c r="I171" t="n">
        <v>118.913507</v>
      </c>
      <c r="J171" t="n">
        <v>136.139541</v>
      </c>
      <c r="K171" t="n">
        <v>127.362312</v>
      </c>
      <c r="L171" t="n">
        <v>358.406583</v>
      </c>
      <c r="M171" t="n">
        <v>358.406583</v>
      </c>
      <c r="N171" t="n">
        <v>358.406583</v>
      </c>
      <c r="O171" t="n">
        <v>341.418803</v>
      </c>
      <c r="P171" t="n">
        <v>140.125818</v>
      </c>
      <c r="Q171" t="n">
        <v>358.406583</v>
      </c>
      <c r="R171" t="n">
        <v>5989.509989</v>
      </c>
      <c r="S171" t="n">
        <v>341.418803</v>
      </c>
      <c r="T171" t="n">
        <v>178554.604556</v>
      </c>
      <c r="U171" t="n">
        <v>140.125818</v>
      </c>
      <c r="V171" t="n">
        <v>-299079.478285</v>
      </c>
      <c r="W171" t="n">
        <v>574.027146</v>
      </c>
      <c r="X171" t="n">
        <v>502.728082</v>
      </c>
      <c r="Y171" t="n">
        <v>42.955466</v>
      </c>
      <c r="Z171" t="n">
        <v>65.044787</v>
      </c>
    </row>
    <row r="172" ht="21" customHeight="1">
      <c r="A172" t="inlineStr">
        <is>
          <t>Ilisha elongata</t>
        </is>
      </c>
      <c r="B172" t="n">
        <v>3.79</v>
      </c>
      <c r="C172" t="n">
        <v>616.595002</v>
      </c>
      <c r="D172" s="10" t="inlineStr">
        <is>
          <t>2-3 Hilsa</t>
        </is>
      </c>
      <c r="E172" t="n">
        <v>276.665746</v>
      </c>
      <c r="F172" t="n">
        <v>19.832171</v>
      </c>
      <c r="G172" t="n">
        <v>15.945855</v>
      </c>
      <c r="H172" t="n">
        <v>27.184936</v>
      </c>
      <c r="I172" t="n">
        <v>23.959577</v>
      </c>
      <c r="J172" t="n">
        <v>23.959577</v>
      </c>
      <c r="K172" t="n">
        <v>22.402205</v>
      </c>
      <c r="L172" t="n">
        <v>23.5341</v>
      </c>
      <c r="M172" t="n">
        <v>23.5341</v>
      </c>
      <c r="N172" t="n">
        <v>23.5341</v>
      </c>
      <c r="O172" t="n">
        <v>8.732358</v>
      </c>
      <c r="P172" t="n">
        <v>6.162297</v>
      </c>
      <c r="Q172" t="n">
        <v>23.5341</v>
      </c>
      <c r="R172" t="n">
        <v>27.800673</v>
      </c>
      <c r="S172" t="n">
        <v>8.732358</v>
      </c>
      <c r="T172" t="n">
        <v>8.694547999999999</v>
      </c>
      <c r="U172" t="n">
        <v>6.162297</v>
      </c>
      <c r="V172" t="n">
        <v>6.925038</v>
      </c>
      <c r="W172" t="n">
        <v>9.202946000000001</v>
      </c>
      <c r="X172" t="n">
        <v>23.246832</v>
      </c>
      <c r="Y172" t="n">
        <v>8.458360000000001</v>
      </c>
      <c r="Z172" t="n">
        <v>11.637438</v>
      </c>
    </row>
    <row r="173" ht="21" customHeight="1">
      <c r="A173" t="inlineStr">
        <is>
          <t>Plotosus</t>
        </is>
      </c>
      <c r="B173" t="n">
        <v>3.49</v>
      </c>
      <c r="C173" t="n">
        <v>309.029543</v>
      </c>
      <c r="D173" s="10" t="inlineStr">
        <is>
          <t>2 L pisc | 3 L pisc</t>
        </is>
      </c>
      <c r="E173" t="n">
        <v>276.665746</v>
      </c>
      <c r="F173" t="n">
        <v>1671.644897</v>
      </c>
      <c r="G173" t="n">
        <v>968.768055</v>
      </c>
      <c r="H173" t="n">
        <v>4321.103431</v>
      </c>
      <c r="I173" t="n">
        <v>1003.861945</v>
      </c>
      <c r="J173" t="n">
        <v>1190.295649</v>
      </c>
      <c r="K173" t="n">
        <v>1071.266084</v>
      </c>
      <c r="L173" t="n">
        <v>3542.246528</v>
      </c>
      <c r="M173" t="n">
        <v>3542.246528</v>
      </c>
      <c r="N173" t="n">
        <v>3542.246528</v>
      </c>
      <c r="O173" t="n">
        <v>2538.689141</v>
      </c>
      <c r="P173" t="n">
        <v>681.946673</v>
      </c>
      <c r="Q173" t="n">
        <v>3542.246528</v>
      </c>
      <c r="R173" t="n">
        <v>60332.209612</v>
      </c>
      <c r="S173" t="n">
        <v>2538.689141</v>
      </c>
      <c r="T173" t="n">
        <v>4692815.596611</v>
      </c>
      <c r="U173" t="n">
        <v>681.946673</v>
      </c>
      <c r="V173" t="n">
        <v>8778895377.827705</v>
      </c>
      <c r="W173" t="n">
        <v>4084.723039</v>
      </c>
      <c r="X173" t="n">
        <v>4708.979406</v>
      </c>
      <c r="Y173" t="n">
        <v>198.988407</v>
      </c>
      <c r="Z173" t="n">
        <v>443.769811</v>
      </c>
    </row>
    <row r="174" ht="21" customHeight="1">
      <c r="A174" t="inlineStr">
        <is>
          <t>Caranx</t>
        </is>
      </c>
      <c r="B174" t="n">
        <v>4.12</v>
      </c>
      <c r="C174" t="n">
        <v>1318.256739</v>
      </c>
      <c r="D174" s="10" t="inlineStr">
        <is>
          <t>2 Carangids | 3 Carangids</t>
        </is>
      </c>
      <c r="E174" t="n">
        <v>276.665746</v>
      </c>
      <c r="F174" t="n">
        <v>1047.559324</v>
      </c>
      <c r="G174" t="n">
        <v>629.821299</v>
      </c>
      <c r="H174" t="n">
        <v>2238.50504</v>
      </c>
      <c r="I174" t="n">
        <v>641.128381</v>
      </c>
      <c r="J174" t="n">
        <v>754.920494</v>
      </c>
      <c r="K174" t="n">
        <v>726.746267</v>
      </c>
      <c r="L174" t="n">
        <v>2160.61505</v>
      </c>
      <c r="M174" t="n">
        <v>2160.61505</v>
      </c>
      <c r="N174" t="n">
        <v>2160.61505</v>
      </c>
      <c r="O174" t="n">
        <v>1714.802766</v>
      </c>
      <c r="P174" t="n">
        <v>507.968664</v>
      </c>
      <c r="Q174" t="n">
        <v>2160.61505</v>
      </c>
      <c r="R174" t="n">
        <v>1782592.482977</v>
      </c>
      <c r="S174" t="n">
        <v>1714.802766</v>
      </c>
      <c r="T174" t="n">
        <v>15448395.144238</v>
      </c>
      <c r="U174" t="n">
        <v>507.968664</v>
      </c>
      <c r="V174" t="n">
        <v>363121069.828352</v>
      </c>
      <c r="W174" t="n">
        <v>2799.375544</v>
      </c>
      <c r="X174" t="n">
        <v>2890.556852</v>
      </c>
      <c r="Y174" t="n">
        <v>143.6356</v>
      </c>
      <c r="Z174" t="n">
        <v>294.157869</v>
      </c>
    </row>
    <row r="175" ht="21" customHeight="1">
      <c r="A175" t="inlineStr">
        <is>
          <t>Carangoides</t>
        </is>
      </c>
      <c r="B175" t="n">
        <v>4.34</v>
      </c>
      <c r="C175" t="n">
        <v>2187.761624</v>
      </c>
      <c r="D175" s="10" t="inlineStr">
        <is>
          <t>2 Carangids | 3 Carangids</t>
        </is>
      </c>
      <c r="E175" t="n">
        <v>276.665746</v>
      </c>
      <c r="F175" t="n">
        <v>1047.559324</v>
      </c>
      <c r="G175" t="n">
        <v>629.821299</v>
      </c>
      <c r="H175" t="n">
        <v>2238.50504</v>
      </c>
      <c r="I175" t="n">
        <v>641.128381</v>
      </c>
      <c r="J175" t="n">
        <v>754.920494</v>
      </c>
      <c r="K175" t="n">
        <v>726.746267</v>
      </c>
      <c r="L175" t="n">
        <v>2160.61505</v>
      </c>
      <c r="M175" t="n">
        <v>2160.61505</v>
      </c>
      <c r="N175" t="n">
        <v>2160.61505</v>
      </c>
      <c r="O175" t="n">
        <v>1714.802766</v>
      </c>
      <c r="P175" t="n">
        <v>507.968664</v>
      </c>
      <c r="Q175" t="n">
        <v>2160.61505</v>
      </c>
      <c r="R175" t="n">
        <v>1782592.482977</v>
      </c>
      <c r="S175" t="n">
        <v>1714.802766</v>
      </c>
      <c r="T175" t="n">
        <v>15448395.144238</v>
      </c>
      <c r="U175" t="n">
        <v>507.968664</v>
      </c>
      <c r="V175" t="n">
        <v>363121069.828352</v>
      </c>
      <c r="W175" t="n">
        <v>2799.375544</v>
      </c>
      <c r="X175" t="n">
        <v>2890.556852</v>
      </c>
      <c r="Y175" t="n">
        <v>143.6356</v>
      </c>
      <c r="Z175" t="n">
        <v>294.157869</v>
      </c>
    </row>
    <row r="176" ht="21" customHeight="1">
      <c r="A176" t="inlineStr">
        <is>
          <t>Penaeus indicus</t>
        </is>
      </c>
      <c r="B176" t="n">
        <v>2.7</v>
      </c>
      <c r="C176" t="n">
        <v>50.118723</v>
      </c>
      <c r="D176" s="10" t="inlineStr">
        <is>
          <t>2 Crustaceans | 3 Crustaceans</t>
        </is>
      </c>
      <c r="E176" t="n">
        <v>276.665746</v>
      </c>
      <c r="F176" t="n">
        <v>87.346446</v>
      </c>
      <c r="G176" t="n">
        <v>62.825827</v>
      </c>
      <c r="H176" t="n">
        <v>62.583797</v>
      </c>
      <c r="I176" t="n">
        <v>49.059783</v>
      </c>
      <c r="J176" t="n">
        <v>49.059783</v>
      </c>
      <c r="K176" t="n">
        <v>45.848307</v>
      </c>
      <c r="L176" t="n">
        <v>88.61683499999999</v>
      </c>
      <c r="M176" t="n">
        <v>88.61683499999999</v>
      </c>
      <c r="N176" t="n">
        <v>88.61683499999999</v>
      </c>
      <c r="O176" t="n">
        <v>112.736869</v>
      </c>
      <c r="P176" t="n">
        <v>69.749027</v>
      </c>
      <c r="Q176" t="n">
        <v>88.61683499999999</v>
      </c>
      <c r="R176" t="n">
        <v>88.61683499999999</v>
      </c>
      <c r="S176" t="n">
        <v>112.736869</v>
      </c>
      <c r="T176" t="n">
        <v>18.000131</v>
      </c>
      <c r="U176" t="n">
        <v>69.749027</v>
      </c>
      <c r="V176" t="n">
        <v>77.336753</v>
      </c>
      <c r="W176" t="n">
        <v>138.030843</v>
      </c>
      <c r="X176" t="n">
        <v>98.46392899999999</v>
      </c>
      <c r="Y176" t="n">
        <v>24.163479</v>
      </c>
      <c r="Z176" t="n">
        <v>23.495104</v>
      </c>
    </row>
    <row r="177" ht="21" customHeight="1">
      <c r="A177" t="inlineStr">
        <is>
          <t>Gudusia chapra</t>
        </is>
      </c>
      <c r="B177" t="n">
        <v>2.31</v>
      </c>
      <c r="C177" t="n">
        <v>20.417379</v>
      </c>
      <c r="D177" s="10" t="inlineStr">
        <is>
          <t>2-3 Hilsa</t>
        </is>
      </c>
      <c r="E177" t="n">
        <v>276.665746</v>
      </c>
      <c r="F177" t="n">
        <v>19.832171</v>
      </c>
      <c r="G177" t="n">
        <v>15.945855</v>
      </c>
      <c r="H177" t="n">
        <v>27.184936</v>
      </c>
      <c r="I177" t="n">
        <v>23.959577</v>
      </c>
      <c r="J177" t="n">
        <v>23.959577</v>
      </c>
      <c r="K177" t="n">
        <v>22.402205</v>
      </c>
      <c r="L177" t="n">
        <v>23.5341</v>
      </c>
      <c r="M177" t="n">
        <v>23.5341</v>
      </c>
      <c r="N177" t="n">
        <v>23.5341</v>
      </c>
      <c r="O177" t="n">
        <v>8.732358</v>
      </c>
      <c r="P177" t="n">
        <v>6.162297</v>
      </c>
      <c r="Q177" t="n">
        <v>23.5341</v>
      </c>
      <c r="R177" t="n">
        <v>27.800673</v>
      </c>
      <c r="S177" t="n">
        <v>8.732358</v>
      </c>
      <c r="T177" t="n">
        <v>8.694547999999999</v>
      </c>
      <c r="U177" t="n">
        <v>6.162297</v>
      </c>
      <c r="V177" t="n">
        <v>6.925038</v>
      </c>
      <c r="W177" t="n">
        <v>9.202946000000001</v>
      </c>
      <c r="X177" t="n">
        <v>23.246832</v>
      </c>
      <c r="Y177" t="n">
        <v>8.458360000000001</v>
      </c>
      <c r="Z177" t="n">
        <v>11.637438</v>
      </c>
    </row>
    <row r="178" ht="21" customHeight="1">
      <c r="A178" t="inlineStr">
        <is>
          <t>Portunus</t>
        </is>
      </c>
      <c r="B178" t="n">
        <v>3.26</v>
      </c>
      <c r="C178" t="n">
        <v>181.970086</v>
      </c>
      <c r="D178" s="10" t="inlineStr">
        <is>
          <t>2 Crustaceans | 3 Crustaceans</t>
        </is>
      </c>
      <c r="E178" t="n">
        <v>276.665746</v>
      </c>
      <c r="F178" t="n">
        <v>87.346446</v>
      </c>
      <c r="G178" t="n">
        <v>62.825827</v>
      </c>
      <c r="H178" t="n">
        <v>62.583797</v>
      </c>
      <c r="I178" t="n">
        <v>49.059783</v>
      </c>
      <c r="J178" t="n">
        <v>49.059783</v>
      </c>
      <c r="K178" t="n">
        <v>45.848307</v>
      </c>
      <c r="L178" t="n">
        <v>88.61683499999999</v>
      </c>
      <c r="M178" t="n">
        <v>88.61683499999999</v>
      </c>
      <c r="N178" t="n">
        <v>88.61683499999999</v>
      </c>
      <c r="O178" t="n">
        <v>112.736869</v>
      </c>
      <c r="P178" t="n">
        <v>69.749027</v>
      </c>
      <c r="Q178" t="n">
        <v>88.61683499999999</v>
      </c>
      <c r="R178" t="n">
        <v>88.61683499999999</v>
      </c>
      <c r="S178" t="n">
        <v>112.736869</v>
      </c>
      <c r="T178" t="n">
        <v>18.000131</v>
      </c>
      <c r="U178" t="n">
        <v>69.749027</v>
      </c>
      <c r="V178" t="n">
        <v>77.336753</v>
      </c>
      <c r="W178" t="n">
        <v>138.030843</v>
      </c>
      <c r="X178" t="n">
        <v>98.46392899999999</v>
      </c>
      <c r="Y178" t="n">
        <v>24.163479</v>
      </c>
      <c r="Z178" t="n">
        <v>23.495104</v>
      </c>
    </row>
    <row r="179" ht="21" customHeight="1">
      <c r="A179" t="inlineStr">
        <is>
          <t>Metapenaeus monoceros</t>
        </is>
      </c>
      <c r="B179" t="n">
        <v>2.7</v>
      </c>
      <c r="C179" t="n">
        <v>50.118723</v>
      </c>
      <c r="D179" s="10" t="inlineStr">
        <is>
          <t>2 Crustaceans | 3 Crustaceans</t>
        </is>
      </c>
      <c r="E179" t="n">
        <v>276.665746</v>
      </c>
      <c r="F179" t="n">
        <v>87.346446</v>
      </c>
      <c r="G179" t="n">
        <v>62.825827</v>
      </c>
      <c r="H179" t="n">
        <v>62.583797</v>
      </c>
      <c r="I179" t="n">
        <v>49.059783</v>
      </c>
      <c r="J179" t="n">
        <v>49.059783</v>
      </c>
      <c r="K179" t="n">
        <v>45.848307</v>
      </c>
      <c r="L179" t="n">
        <v>88.61683499999999</v>
      </c>
      <c r="M179" t="n">
        <v>88.61683499999999</v>
      </c>
      <c r="N179" t="n">
        <v>88.61683499999999</v>
      </c>
      <c r="O179" t="n">
        <v>112.736869</v>
      </c>
      <c r="P179" t="n">
        <v>69.749027</v>
      </c>
      <c r="Q179" t="n">
        <v>88.61683499999999</v>
      </c>
      <c r="R179" t="n">
        <v>88.61683499999999</v>
      </c>
      <c r="S179" t="n">
        <v>112.736869</v>
      </c>
      <c r="T179" t="n">
        <v>18.000131</v>
      </c>
      <c r="U179" t="n">
        <v>69.749027</v>
      </c>
      <c r="V179" t="n">
        <v>77.336753</v>
      </c>
      <c r="W179" t="n">
        <v>138.030843</v>
      </c>
      <c r="X179" t="n">
        <v>98.46392899999999</v>
      </c>
      <c r="Y179" t="n">
        <v>24.163479</v>
      </c>
      <c r="Z179" t="n">
        <v>23.495104</v>
      </c>
    </row>
    <row r="180" ht="21" customHeight="1">
      <c r="A180" t="inlineStr">
        <is>
          <t>Palinuridae</t>
        </is>
      </c>
      <c r="B180" t="n">
        <v>3.14</v>
      </c>
      <c r="C180" t="n">
        <v>138.038426</v>
      </c>
      <c r="D180" s="10" t="inlineStr">
        <is>
          <t>2 Crustaceans | 3 Crustaceans</t>
        </is>
      </c>
      <c r="E180" t="n">
        <v>276.665746</v>
      </c>
      <c r="F180" t="n">
        <v>87.346446</v>
      </c>
      <c r="G180" t="n">
        <v>62.825827</v>
      </c>
      <c r="H180" t="n">
        <v>62.583797</v>
      </c>
      <c r="I180" t="n">
        <v>49.059783</v>
      </c>
      <c r="J180" t="n">
        <v>49.059783</v>
      </c>
      <c r="K180" t="n">
        <v>45.848307</v>
      </c>
      <c r="L180" t="n">
        <v>88.61683499999999</v>
      </c>
      <c r="M180" t="n">
        <v>88.61683499999999</v>
      </c>
      <c r="N180" t="n">
        <v>88.61683499999999</v>
      </c>
      <c r="O180" t="n">
        <v>112.736869</v>
      </c>
      <c r="P180" t="n">
        <v>69.749027</v>
      </c>
      <c r="Q180" t="n">
        <v>88.61683499999999</v>
      </c>
      <c r="R180" t="n">
        <v>88.61683499999999</v>
      </c>
      <c r="S180" t="n">
        <v>112.736869</v>
      </c>
      <c r="T180" t="n">
        <v>18.000131</v>
      </c>
      <c r="U180" t="n">
        <v>69.749027</v>
      </c>
      <c r="V180" t="n">
        <v>77.336753</v>
      </c>
      <c r="W180" t="n">
        <v>138.030843</v>
      </c>
      <c r="X180" t="n">
        <v>98.46392899999999</v>
      </c>
      <c r="Y180" t="n">
        <v>24.163479</v>
      </c>
      <c r="Z180" t="n">
        <v>23.495104</v>
      </c>
    </row>
    <row r="181" ht="21" customHeight="1">
      <c r="A181" t="inlineStr">
        <is>
          <t>Dussumieria</t>
        </is>
      </c>
      <c r="B181" t="n">
        <v>3.4</v>
      </c>
      <c r="C181" t="n">
        <v>251.188643</v>
      </c>
      <c r="D181" s="10" t="inlineStr">
        <is>
          <t>2 S pelagics | 3 S pelagics</t>
        </is>
      </c>
      <c r="E181" t="n">
        <v>276.665746</v>
      </c>
      <c r="F181" t="n">
        <v>140.109476</v>
      </c>
      <c r="G181" t="n">
        <v>97.63290000000001</v>
      </c>
      <c r="H181" t="n">
        <v>192.742209</v>
      </c>
      <c r="I181" t="n">
        <v>80.89349199999999</v>
      </c>
      <c r="J181" t="n">
        <v>105.806754</v>
      </c>
      <c r="K181" t="n">
        <v>98.775728</v>
      </c>
      <c r="L181" t="n">
        <v>234.092906</v>
      </c>
      <c r="M181" t="n">
        <v>234.092906</v>
      </c>
      <c r="N181" t="n">
        <v>234.092906</v>
      </c>
      <c r="O181" t="n">
        <v>202.855848</v>
      </c>
      <c r="P181" t="n">
        <v>80.16221299999999</v>
      </c>
      <c r="Q181" t="n">
        <v>234.092906</v>
      </c>
      <c r="R181" t="n">
        <v>-33950.413664</v>
      </c>
      <c r="S181" t="n">
        <v>202.855848</v>
      </c>
      <c r="T181" t="n">
        <v>227501.375555</v>
      </c>
      <c r="U181" t="n">
        <v>80.16221299999999</v>
      </c>
      <c r="V181" t="n">
        <v>-5091897.075108</v>
      </c>
      <c r="W181" t="n">
        <v>296.389113</v>
      </c>
      <c r="X181" t="n">
        <v>299.235812</v>
      </c>
      <c r="Y181" t="n">
        <v>34.1744</v>
      </c>
      <c r="Z181" t="n">
        <v>48.437594</v>
      </c>
    </row>
    <row r="182" ht="21" customHeight="1">
      <c r="A182" t="inlineStr">
        <is>
          <t>Sepioteuthis lessoniana</t>
        </is>
      </c>
      <c r="B182" t="n">
        <v>3.98</v>
      </c>
      <c r="C182" t="n">
        <v>954.992586</v>
      </c>
      <c r="D182" s="10" t="inlineStr">
        <is>
          <t>Cephalopods</t>
        </is>
      </c>
      <c r="E182" t="n">
        <v>276.665746</v>
      </c>
      <c r="F182" t="n">
        <v>990.119511</v>
      </c>
      <c r="G182" t="n">
        <v>598.369015</v>
      </c>
      <c r="H182" t="n">
        <v>1346.888416</v>
      </c>
      <c r="I182" t="n">
        <v>377.016205</v>
      </c>
      <c r="J182" t="n">
        <v>457.659002</v>
      </c>
      <c r="K182" t="n">
        <v>411.893102</v>
      </c>
      <c r="L182" t="n">
        <v>1154.963068</v>
      </c>
      <c r="M182" t="n">
        <v>1154.963068</v>
      </c>
      <c r="N182" t="n">
        <v>1154.963068</v>
      </c>
      <c r="O182" t="n">
        <v>883.48756</v>
      </c>
      <c r="P182" t="n">
        <v>288.738455</v>
      </c>
      <c r="Q182" t="n">
        <v>1154.963068</v>
      </c>
      <c r="R182" t="n">
        <v>-30007.429063</v>
      </c>
      <c r="S182" t="n">
        <v>883.48756</v>
      </c>
      <c r="T182" t="n">
        <v>-4635.736133</v>
      </c>
      <c r="U182" t="n">
        <v>288.738455</v>
      </c>
      <c r="V182" t="n">
        <v>-68084.421791</v>
      </c>
      <c r="W182" t="n">
        <v>1393.890949</v>
      </c>
      <c r="X182" t="n">
        <v>1512.449191</v>
      </c>
      <c r="Y182" t="n">
        <v>138.403273</v>
      </c>
      <c r="Z182" t="n">
        <v>209.479831</v>
      </c>
    </row>
    <row r="183" ht="21" customHeight="1">
      <c r="A183" t="inlineStr">
        <is>
          <t>Seriolina nigrofasciata</t>
        </is>
      </c>
      <c r="B183" t="n">
        <v>4.17</v>
      </c>
      <c r="C183" t="n">
        <v>1479.108388</v>
      </c>
      <c r="D183" s="10" t="inlineStr">
        <is>
          <t>2 Carangids | 3 Carangids</t>
        </is>
      </c>
      <c r="E183" t="n">
        <v>276.665746</v>
      </c>
      <c r="F183" t="n">
        <v>1047.559324</v>
      </c>
      <c r="G183" t="n">
        <v>629.821299</v>
      </c>
      <c r="H183" t="n">
        <v>2238.50504</v>
      </c>
      <c r="I183" t="n">
        <v>641.128381</v>
      </c>
      <c r="J183" t="n">
        <v>754.920494</v>
      </c>
      <c r="K183" t="n">
        <v>726.746267</v>
      </c>
      <c r="L183" t="n">
        <v>2160.61505</v>
      </c>
      <c r="M183" t="n">
        <v>2160.61505</v>
      </c>
      <c r="N183" t="n">
        <v>2160.61505</v>
      </c>
      <c r="O183" t="n">
        <v>1714.802766</v>
      </c>
      <c r="P183" t="n">
        <v>507.968664</v>
      </c>
      <c r="Q183" t="n">
        <v>2160.61505</v>
      </c>
      <c r="R183" t="n">
        <v>1782592.482977</v>
      </c>
      <c r="S183" t="n">
        <v>1714.802766</v>
      </c>
      <c r="T183" t="n">
        <v>15448395.144238</v>
      </c>
      <c r="U183" t="n">
        <v>507.968664</v>
      </c>
      <c r="V183" t="n">
        <v>363121069.828352</v>
      </c>
      <c r="W183" t="n">
        <v>2799.375544</v>
      </c>
      <c r="X183" t="n">
        <v>2890.556852</v>
      </c>
      <c r="Y183" t="n">
        <v>143.6356</v>
      </c>
      <c r="Z183" t="n">
        <v>294.157869</v>
      </c>
    </row>
    <row r="184" ht="21" customHeight="1">
      <c r="A184" t="inlineStr">
        <is>
          <t>Scorpaenidae</t>
        </is>
      </c>
      <c r="B184" t="n">
        <v>3.92</v>
      </c>
      <c r="C184" t="n">
        <v>831.763771</v>
      </c>
      <c r="D184" s="10" t="inlineStr">
        <is>
          <t>2 SM pisc | 3 SM pisc</t>
        </is>
      </c>
      <c r="E184" t="n">
        <v>276.665746</v>
      </c>
      <c r="F184" t="n">
        <v>735.917019</v>
      </c>
      <c r="G184" t="n">
        <v>452.492682</v>
      </c>
      <c r="H184" t="n">
        <v>682.505571</v>
      </c>
      <c r="I184" t="n">
        <v>235.544874</v>
      </c>
      <c r="J184" t="n">
        <v>314.328392</v>
      </c>
      <c r="K184" t="n">
        <v>298.611973</v>
      </c>
      <c r="L184" t="n">
        <v>954.92823</v>
      </c>
      <c r="M184" t="n">
        <v>954.92823</v>
      </c>
      <c r="N184" t="n">
        <v>954.92823</v>
      </c>
      <c r="O184" t="n">
        <v>843.700548</v>
      </c>
      <c r="P184" t="n">
        <v>294.126635</v>
      </c>
      <c r="Q184" t="n">
        <v>954.92823</v>
      </c>
      <c r="R184" t="n">
        <v>10111.529968</v>
      </c>
      <c r="S184" t="n">
        <v>843.700548</v>
      </c>
      <c r="T184" t="n">
        <v>668478.0116420001</v>
      </c>
      <c r="U184" t="n">
        <v>294.126635</v>
      </c>
      <c r="V184" t="n">
        <v>-16893452.951404</v>
      </c>
      <c r="W184" t="n">
        <v>1324.45367</v>
      </c>
      <c r="X184" t="n">
        <v>1272.235398</v>
      </c>
      <c r="Y184" t="n">
        <v>110.428635</v>
      </c>
      <c r="Z184" t="n">
        <v>131.805708</v>
      </c>
    </row>
    <row r="185" ht="21" customHeight="1">
      <c r="A185" t="inlineStr">
        <is>
          <t>Muraenesox cinereus</t>
        </is>
      </c>
      <c r="B185" t="n">
        <v>4.38</v>
      </c>
      <c r="C185" t="n">
        <v>2398.832919</v>
      </c>
      <c r="D185" s="10" t="inlineStr">
        <is>
          <t>2 L pisc | 3 L pisc</t>
        </is>
      </c>
      <c r="E185" t="n">
        <v>276.665746</v>
      </c>
      <c r="F185" t="n">
        <v>1671.644897</v>
      </c>
      <c r="G185" t="n">
        <v>968.768055</v>
      </c>
      <c r="H185" t="n">
        <v>4321.103431</v>
      </c>
      <c r="I185" t="n">
        <v>1003.861945</v>
      </c>
      <c r="J185" t="n">
        <v>1190.295649</v>
      </c>
      <c r="K185" t="n">
        <v>1071.266084</v>
      </c>
      <c r="L185" t="n">
        <v>3542.246528</v>
      </c>
      <c r="M185" t="n">
        <v>3542.246528</v>
      </c>
      <c r="N185" t="n">
        <v>3542.246528</v>
      </c>
      <c r="O185" t="n">
        <v>2538.689141</v>
      </c>
      <c r="P185" t="n">
        <v>681.946673</v>
      </c>
      <c r="Q185" t="n">
        <v>3542.246528</v>
      </c>
      <c r="R185" t="n">
        <v>60332.209612</v>
      </c>
      <c r="S185" t="n">
        <v>2538.689141</v>
      </c>
      <c r="T185" t="n">
        <v>4692815.596611</v>
      </c>
      <c r="U185" t="n">
        <v>681.946673</v>
      </c>
      <c r="V185" t="n">
        <v>8778895377.827705</v>
      </c>
      <c r="W185" t="n">
        <v>4084.723039</v>
      </c>
      <c r="X185" t="n">
        <v>4708.979406</v>
      </c>
      <c r="Y185" t="n">
        <v>198.988407</v>
      </c>
      <c r="Z185" t="n">
        <v>443.769811</v>
      </c>
    </row>
    <row r="186" ht="21" customHeight="1">
      <c r="A186" t="inlineStr">
        <is>
          <t>Balistidae</t>
        </is>
      </c>
      <c r="B186" t="n">
        <v>3.25</v>
      </c>
      <c r="C186" t="n">
        <v>177.827941</v>
      </c>
      <c r="D186" s="10" t="inlineStr">
        <is>
          <t>2 SM pisc | 3 SM pisc</t>
        </is>
      </c>
      <c r="E186" t="n">
        <v>276.665746</v>
      </c>
      <c r="F186" t="n">
        <v>735.917019</v>
      </c>
      <c r="G186" t="n">
        <v>452.492682</v>
      </c>
      <c r="H186" t="n">
        <v>682.505571</v>
      </c>
      <c r="I186" t="n">
        <v>235.544874</v>
      </c>
      <c r="J186" t="n">
        <v>314.328392</v>
      </c>
      <c r="K186" t="n">
        <v>298.611973</v>
      </c>
      <c r="L186" t="n">
        <v>954.92823</v>
      </c>
      <c r="M186" t="n">
        <v>954.92823</v>
      </c>
      <c r="N186" t="n">
        <v>954.92823</v>
      </c>
      <c r="O186" t="n">
        <v>843.700548</v>
      </c>
      <c r="P186" t="n">
        <v>294.126635</v>
      </c>
      <c r="Q186" t="n">
        <v>954.92823</v>
      </c>
      <c r="R186" t="n">
        <v>10111.529968</v>
      </c>
      <c r="S186" t="n">
        <v>843.700548</v>
      </c>
      <c r="T186" t="n">
        <v>668478.0116420001</v>
      </c>
      <c r="U186" t="n">
        <v>294.126635</v>
      </c>
      <c r="V186" t="n">
        <v>-16893452.951404</v>
      </c>
      <c r="W186" t="n">
        <v>1324.45367</v>
      </c>
      <c r="X186" t="n">
        <v>1272.235398</v>
      </c>
      <c r="Y186" t="n">
        <v>110.428635</v>
      </c>
      <c r="Z186" t="n">
        <v>131.805708</v>
      </c>
    </row>
    <row r="187" ht="21" customHeight="1">
      <c r="A187" t="inlineStr">
        <is>
          <t>Coryphaena</t>
        </is>
      </c>
      <c r="B187" t="n">
        <v>4.49</v>
      </c>
      <c r="C187" t="n">
        <v>3090.295433</v>
      </c>
      <c r="D187" s="10" t="inlineStr">
        <is>
          <t>2 L pisc | 3 L pisc</t>
        </is>
      </c>
      <c r="E187" t="n">
        <v>276.665746</v>
      </c>
      <c r="F187" t="n">
        <v>1671.644897</v>
      </c>
      <c r="G187" t="n">
        <v>968.768055</v>
      </c>
      <c r="H187" t="n">
        <v>4321.103431</v>
      </c>
      <c r="I187" t="n">
        <v>1003.861945</v>
      </c>
      <c r="J187" t="n">
        <v>1190.295649</v>
      </c>
      <c r="K187" t="n">
        <v>1071.266084</v>
      </c>
      <c r="L187" t="n">
        <v>3542.246528</v>
      </c>
      <c r="M187" t="n">
        <v>3542.246528</v>
      </c>
      <c r="N187" t="n">
        <v>3542.246528</v>
      </c>
      <c r="O187" t="n">
        <v>2538.689141</v>
      </c>
      <c r="P187" t="n">
        <v>681.946673</v>
      </c>
      <c r="Q187" t="n">
        <v>3542.246528</v>
      </c>
      <c r="R187" t="n">
        <v>60332.209612</v>
      </c>
      <c r="S187" t="n">
        <v>2538.689141</v>
      </c>
      <c r="T187" t="n">
        <v>4692815.596611</v>
      </c>
      <c r="U187" t="n">
        <v>681.946673</v>
      </c>
      <c r="V187" t="n">
        <v>8778895377.827705</v>
      </c>
      <c r="W187" t="n">
        <v>4084.723039</v>
      </c>
      <c r="X187" t="n">
        <v>4708.979406</v>
      </c>
      <c r="Y187" t="n">
        <v>198.988407</v>
      </c>
      <c r="Z187" t="n">
        <v>443.769811</v>
      </c>
    </row>
    <row r="188" ht="21" customHeight="1">
      <c r="A188" t="inlineStr">
        <is>
          <t>Gerreidae</t>
        </is>
      </c>
      <c r="B188" t="n">
        <v>3.03</v>
      </c>
      <c r="C188" t="n">
        <v>107.151931</v>
      </c>
      <c r="D188" s="10" t="inlineStr">
        <is>
          <t>2 SM inv | 3 SM inv</t>
        </is>
      </c>
      <c r="E188" t="n">
        <v>276.665746</v>
      </c>
      <c r="F188" t="n">
        <v>195.237034</v>
      </c>
      <c r="G188" t="n">
        <v>132.430212</v>
      </c>
      <c r="H188" t="n">
        <v>264.469084</v>
      </c>
      <c r="I188" t="n">
        <v>118.913507</v>
      </c>
      <c r="J188" t="n">
        <v>136.139541</v>
      </c>
      <c r="K188" t="n">
        <v>127.362312</v>
      </c>
      <c r="L188" t="n">
        <v>358.406583</v>
      </c>
      <c r="M188" t="n">
        <v>358.406583</v>
      </c>
      <c r="N188" t="n">
        <v>358.406583</v>
      </c>
      <c r="O188" t="n">
        <v>341.418803</v>
      </c>
      <c r="P188" t="n">
        <v>140.125818</v>
      </c>
      <c r="Q188" t="n">
        <v>358.406583</v>
      </c>
      <c r="R188" t="n">
        <v>5989.509989</v>
      </c>
      <c r="S188" t="n">
        <v>341.418803</v>
      </c>
      <c r="T188" t="n">
        <v>178554.604556</v>
      </c>
      <c r="U188" t="n">
        <v>140.125818</v>
      </c>
      <c r="V188" t="n">
        <v>-299079.478285</v>
      </c>
      <c r="W188" t="n">
        <v>574.027146</v>
      </c>
      <c r="X188" t="n">
        <v>502.728082</v>
      </c>
      <c r="Y188" t="n">
        <v>42.955466</v>
      </c>
      <c r="Z188" t="n">
        <v>65.044787</v>
      </c>
    </row>
    <row r="189" ht="21" customHeight="1">
      <c r="A189" t="inlineStr">
        <is>
          <t>Alopias</t>
        </is>
      </c>
      <c r="B189" t="n">
        <v>4.5</v>
      </c>
      <c r="C189" t="n">
        <v>3162.27766</v>
      </c>
      <c r="D189" s="10" t="inlineStr">
        <is>
          <t>Oceanic sharks</t>
        </is>
      </c>
      <c r="E189" t="n">
        <v>276.665746</v>
      </c>
      <c r="F189" t="n">
        <v>1757.235698</v>
      </c>
      <c r="G189" t="n">
        <v>1018.406889</v>
      </c>
      <c r="H189" t="n">
        <v>15272.448234</v>
      </c>
      <c r="I189" t="n">
        <v>5138.664287</v>
      </c>
      <c r="J189" t="n">
        <v>6104.491483</v>
      </c>
      <c r="K189" t="n">
        <v>3552.814043</v>
      </c>
      <c r="L189" t="n">
        <v>23073.269039</v>
      </c>
      <c r="M189" t="n">
        <v>23073.269039</v>
      </c>
      <c r="N189" t="n">
        <v>23073.269039</v>
      </c>
      <c r="O189" t="n">
        <v>8719.781079</v>
      </c>
      <c r="P189" t="n">
        <v>1862.135636</v>
      </c>
      <c r="Q189" t="n">
        <v>23073.269039</v>
      </c>
      <c r="R189" t="n">
        <v>96997077.044404</v>
      </c>
      <c r="S189" t="n">
        <v>8719.781079</v>
      </c>
      <c r="T189" t="n">
        <v>-2827644.466329</v>
      </c>
      <c r="U189" t="n">
        <v>1862.135636</v>
      </c>
      <c r="V189" t="n">
        <v>8.326891708518671e+18</v>
      </c>
      <c r="W189" t="n">
        <v>14383.018786</v>
      </c>
      <c r="X189" t="n">
        <v>31688.009682</v>
      </c>
      <c r="Y189" t="n">
        <v>208.554284</v>
      </c>
      <c r="Z189" t="n">
        <v>1011.467389</v>
      </c>
    </row>
    <row r="190" ht="21" customHeight="1">
      <c r="A190" t="inlineStr">
        <is>
          <t>Pristipomoides</t>
        </is>
      </c>
      <c r="B190" t="n">
        <v>3.91</v>
      </c>
      <c r="C190" t="n">
        <v>812.830516</v>
      </c>
      <c r="D190" s="10" t="inlineStr">
        <is>
          <t>2 L pisc comm | 3 L pisc comm</t>
        </is>
      </c>
      <c r="E190" t="n">
        <v>276.665746</v>
      </c>
      <c r="F190" t="n">
        <v>942.008432</v>
      </c>
      <c r="G190" t="n">
        <v>569.455705</v>
      </c>
      <c r="H190" t="n">
        <v>2134.327853</v>
      </c>
      <c r="I190" t="n">
        <v>640.479051</v>
      </c>
      <c r="J190" t="n">
        <v>809.758325</v>
      </c>
      <c r="K190" t="n">
        <v>735.799922</v>
      </c>
      <c r="L190" t="n">
        <v>2161.826618</v>
      </c>
      <c r="M190" t="n">
        <v>2161.826618</v>
      </c>
      <c r="N190" t="n">
        <v>2161.826618</v>
      </c>
      <c r="O190" t="n">
        <v>1597.141175</v>
      </c>
      <c r="P190" t="n">
        <v>484.321234</v>
      </c>
      <c r="Q190" t="n">
        <v>2161.826618</v>
      </c>
      <c r="R190" t="n">
        <v>-1582279.837302</v>
      </c>
      <c r="S190" t="n">
        <v>1597.141175</v>
      </c>
      <c r="T190" t="n">
        <v>18597729.236262</v>
      </c>
      <c r="U190" t="n">
        <v>484.321234</v>
      </c>
      <c r="V190" t="n">
        <v>-731199951.6958441</v>
      </c>
      <c r="W190" t="n">
        <v>2522.004884</v>
      </c>
      <c r="X190" t="n">
        <v>2847.344437</v>
      </c>
      <c r="Y190" t="n">
        <v>132.205276</v>
      </c>
      <c r="Z190" t="n">
        <v>267.681374</v>
      </c>
    </row>
    <row r="191" ht="21" customHeight="1">
      <c r="A191" t="inlineStr">
        <is>
          <t>Kajikia audax</t>
        </is>
      </c>
      <c r="B191" t="n">
        <v>4.58</v>
      </c>
      <c r="C191" t="n">
        <v>3801.893963</v>
      </c>
      <c r="D191" s="10" t="inlineStr">
        <is>
          <t>Marlins</t>
        </is>
      </c>
      <c r="E191" t="n">
        <v>276.665746</v>
      </c>
      <c r="F191" t="n">
        <v>4151.453096</v>
      </c>
      <c r="G191" t="n">
        <v>2259.598482</v>
      </c>
      <c r="H191" t="n">
        <v>15252.832876</v>
      </c>
      <c r="I191" t="n">
        <v>2733.073309</v>
      </c>
      <c r="J191" t="n">
        <v>3165.476841</v>
      </c>
      <c r="K191" t="n">
        <v>2848.929157</v>
      </c>
      <c r="L191" t="n">
        <v>9570.959304</v>
      </c>
      <c r="M191" t="n">
        <v>9570.959304</v>
      </c>
      <c r="N191" t="n">
        <v>9570.959304</v>
      </c>
      <c r="O191" t="n">
        <v>5875.284723</v>
      </c>
      <c r="P191" t="n">
        <v>1362.121727</v>
      </c>
      <c r="Q191" t="n">
        <v>9570.959304</v>
      </c>
      <c r="R191" t="n">
        <v>24584098.779442</v>
      </c>
      <c r="S191" t="n">
        <v>5875.284723</v>
      </c>
      <c r="T191" t="n">
        <v>-14374601.068116</v>
      </c>
      <c r="U191" t="n">
        <v>1362.121727</v>
      </c>
      <c r="V191" t="n">
        <v>1.690219893847465e+18</v>
      </c>
      <c r="W191" t="n">
        <v>9479.149813</v>
      </c>
      <c r="X191" t="n">
        <v>12974.666138</v>
      </c>
      <c r="Y191" t="n">
        <v>385.551808</v>
      </c>
      <c r="Z191" t="n">
        <v>1105.841938</v>
      </c>
    </row>
    <row r="192" ht="21" customHeight="1">
      <c r="A192" t="inlineStr">
        <is>
          <t>Modiolus</t>
        </is>
      </c>
      <c r="D192" s="10" t="inlineStr">
        <is>
          <t>2 Macrobenthos | 3 Macrobenthos</t>
        </is>
      </c>
      <c r="E192" t="n">
        <v>276.665746</v>
      </c>
      <c r="F192" t="n">
        <v>43.212782</v>
      </c>
      <c r="G192" t="n">
        <v>32.623281</v>
      </c>
      <c r="H192" t="n">
        <v>41.368719</v>
      </c>
      <c r="I192" t="n">
        <v>34.461512</v>
      </c>
      <c r="J192" t="n">
        <v>34.461512</v>
      </c>
      <c r="K192" t="n">
        <v>31.432014</v>
      </c>
      <c r="L192" t="n">
        <v>106.719149</v>
      </c>
      <c r="M192" t="n">
        <v>106.719149</v>
      </c>
      <c r="N192" t="n">
        <v>106.719149</v>
      </c>
      <c r="O192" t="n">
        <v>113.412456</v>
      </c>
      <c r="P192" t="n">
        <v>57.717594</v>
      </c>
      <c r="Q192" t="n">
        <v>106.719149</v>
      </c>
      <c r="R192" t="n">
        <v>106.719149</v>
      </c>
      <c r="S192" t="n">
        <v>113.412456</v>
      </c>
      <c r="T192" t="n">
        <v>25.029149</v>
      </c>
      <c r="U192" t="n">
        <v>57.717594</v>
      </c>
      <c r="V192" t="n">
        <v>63.584441</v>
      </c>
      <c r="W192" t="n">
        <v>206.884057</v>
      </c>
      <c r="X192" t="n">
        <v>165.070073</v>
      </c>
      <c r="Y192" t="n">
        <v>14.477738</v>
      </c>
      <c r="Z192" t="n">
        <v>16.337529</v>
      </c>
    </row>
    <row r="193" ht="21" customHeight="1">
      <c r="A193" t="inlineStr">
        <is>
          <t>Scomberoides</t>
        </is>
      </c>
      <c r="B193" t="n">
        <v>4.47</v>
      </c>
      <c r="C193" t="n">
        <v>2951.209227</v>
      </c>
      <c r="D193" s="10" t="inlineStr">
        <is>
          <t>2 Carangids | 3 Carangids</t>
        </is>
      </c>
      <c r="E193" t="n">
        <v>276.665746</v>
      </c>
      <c r="F193" t="n">
        <v>1047.559324</v>
      </c>
      <c r="G193" t="n">
        <v>629.821299</v>
      </c>
      <c r="H193" t="n">
        <v>2238.50504</v>
      </c>
      <c r="I193" t="n">
        <v>641.128381</v>
      </c>
      <c r="J193" t="n">
        <v>754.920494</v>
      </c>
      <c r="K193" t="n">
        <v>726.746267</v>
      </c>
      <c r="L193" t="n">
        <v>2160.61505</v>
      </c>
      <c r="M193" t="n">
        <v>2160.61505</v>
      </c>
      <c r="N193" t="n">
        <v>2160.61505</v>
      </c>
      <c r="O193" t="n">
        <v>1714.802766</v>
      </c>
      <c r="P193" t="n">
        <v>507.968664</v>
      </c>
      <c r="Q193" t="n">
        <v>2160.61505</v>
      </c>
      <c r="R193" t="n">
        <v>1782592.482977</v>
      </c>
      <c r="S193" t="n">
        <v>1714.802766</v>
      </c>
      <c r="T193" t="n">
        <v>15448395.144238</v>
      </c>
      <c r="U193" t="n">
        <v>507.968664</v>
      </c>
      <c r="V193" t="n">
        <v>363121069.828352</v>
      </c>
      <c r="W193" t="n">
        <v>2799.375544</v>
      </c>
      <c r="X193" t="n">
        <v>2890.556852</v>
      </c>
      <c r="Y193" t="n">
        <v>143.6356</v>
      </c>
      <c r="Z193" t="n">
        <v>294.157869</v>
      </c>
    </row>
    <row r="194" ht="21" customHeight="1">
      <c r="A194" t="inlineStr">
        <is>
          <t>Octopus</t>
        </is>
      </c>
      <c r="B194" t="n">
        <v>3.8</v>
      </c>
      <c r="C194" t="n">
        <v>630.957344</v>
      </c>
      <c r="D194" s="10" t="inlineStr">
        <is>
          <t>Cephalopods</t>
        </is>
      </c>
      <c r="E194" t="n">
        <v>276.665746</v>
      </c>
      <c r="F194" t="n">
        <v>990.119511</v>
      </c>
      <c r="G194" t="n">
        <v>598.369015</v>
      </c>
      <c r="H194" t="n">
        <v>1346.888416</v>
      </c>
      <c r="I194" t="n">
        <v>377.016205</v>
      </c>
      <c r="J194" t="n">
        <v>457.659002</v>
      </c>
      <c r="K194" t="n">
        <v>411.893102</v>
      </c>
      <c r="L194" t="n">
        <v>1154.963068</v>
      </c>
      <c r="M194" t="n">
        <v>1154.963068</v>
      </c>
      <c r="N194" t="n">
        <v>1154.963068</v>
      </c>
      <c r="O194" t="n">
        <v>883.48756</v>
      </c>
      <c r="P194" t="n">
        <v>288.738455</v>
      </c>
      <c r="Q194" t="n">
        <v>1154.963068</v>
      </c>
      <c r="R194" t="n">
        <v>-30007.429063</v>
      </c>
      <c r="S194" t="n">
        <v>883.48756</v>
      </c>
      <c r="T194" t="n">
        <v>-4635.736133</v>
      </c>
      <c r="U194" t="n">
        <v>288.738455</v>
      </c>
      <c r="V194" t="n">
        <v>-68084.421791</v>
      </c>
      <c r="W194" t="n">
        <v>1393.890949</v>
      </c>
      <c r="X194" t="n">
        <v>1512.449191</v>
      </c>
      <c r="Y194" t="n">
        <v>138.403273</v>
      </c>
      <c r="Z194" t="n">
        <v>209.479831</v>
      </c>
    </row>
    <row r="195" ht="21" customHeight="1">
      <c r="A195" t="inlineStr">
        <is>
          <t>Penaeus japonicus</t>
        </is>
      </c>
      <c r="B195" t="n">
        <v>2.7</v>
      </c>
      <c r="C195" t="n">
        <v>50.118723</v>
      </c>
      <c r="D195" s="10" t="inlineStr">
        <is>
          <t>2 Crustaceans | 3 Crustaceans</t>
        </is>
      </c>
      <c r="E195" t="n">
        <v>276.665746</v>
      </c>
      <c r="F195" t="n">
        <v>87.346446</v>
      </c>
      <c r="G195" t="n">
        <v>62.825827</v>
      </c>
      <c r="H195" t="n">
        <v>62.583797</v>
      </c>
      <c r="I195" t="n">
        <v>49.059783</v>
      </c>
      <c r="J195" t="n">
        <v>49.059783</v>
      </c>
      <c r="K195" t="n">
        <v>45.848307</v>
      </c>
      <c r="L195" t="n">
        <v>88.61683499999999</v>
      </c>
      <c r="M195" t="n">
        <v>88.61683499999999</v>
      </c>
      <c r="N195" t="n">
        <v>88.61683499999999</v>
      </c>
      <c r="O195" t="n">
        <v>112.736869</v>
      </c>
      <c r="P195" t="n">
        <v>69.749027</v>
      </c>
      <c r="Q195" t="n">
        <v>88.61683499999999</v>
      </c>
      <c r="R195" t="n">
        <v>88.61683499999999</v>
      </c>
      <c r="S195" t="n">
        <v>112.736869</v>
      </c>
      <c r="T195" t="n">
        <v>18.000131</v>
      </c>
      <c r="U195" t="n">
        <v>69.749027</v>
      </c>
      <c r="V195" t="n">
        <v>77.336753</v>
      </c>
      <c r="W195" t="n">
        <v>138.030843</v>
      </c>
      <c r="X195" t="n">
        <v>98.46392899999999</v>
      </c>
      <c r="Y195" t="n">
        <v>24.163479</v>
      </c>
      <c r="Z195" t="n">
        <v>23.495104</v>
      </c>
    </row>
    <row r="196" ht="21" customHeight="1">
      <c r="A196" t="inlineStr">
        <is>
          <t>Anchoviella</t>
        </is>
      </c>
      <c r="B196" t="n">
        <v>3.18</v>
      </c>
      <c r="C196" t="n">
        <v>151.356125</v>
      </c>
      <c r="D196" s="10" t="inlineStr">
        <is>
          <t>2 S pelagics | 3 S pelagics</t>
        </is>
      </c>
      <c r="E196" t="n">
        <v>276.665746</v>
      </c>
      <c r="F196" t="n">
        <v>140.109476</v>
      </c>
      <c r="G196" t="n">
        <v>97.63290000000001</v>
      </c>
      <c r="H196" t="n">
        <v>192.742209</v>
      </c>
      <c r="I196" t="n">
        <v>80.89349199999999</v>
      </c>
      <c r="J196" t="n">
        <v>105.806754</v>
      </c>
      <c r="K196" t="n">
        <v>98.775728</v>
      </c>
      <c r="L196" t="n">
        <v>234.092906</v>
      </c>
      <c r="M196" t="n">
        <v>234.092906</v>
      </c>
      <c r="N196" t="n">
        <v>234.092906</v>
      </c>
      <c r="O196" t="n">
        <v>202.855848</v>
      </c>
      <c r="P196" t="n">
        <v>80.16221299999999</v>
      </c>
      <c r="Q196" t="n">
        <v>234.092906</v>
      </c>
      <c r="R196" t="n">
        <v>-33950.413664</v>
      </c>
      <c r="S196" t="n">
        <v>202.855848</v>
      </c>
      <c r="T196" t="n">
        <v>227501.375555</v>
      </c>
      <c r="U196" t="n">
        <v>80.16221299999999</v>
      </c>
      <c r="V196" t="n">
        <v>-5091897.075108</v>
      </c>
      <c r="W196" t="n">
        <v>296.389113</v>
      </c>
      <c r="X196" t="n">
        <v>299.235812</v>
      </c>
      <c r="Y196" t="n">
        <v>34.1744</v>
      </c>
      <c r="Z196" t="n">
        <v>48.437594</v>
      </c>
    </row>
    <row r="197" ht="21" customHeight="1">
      <c r="A197" t="inlineStr">
        <is>
          <t>Mierspenaeopsis sculptilis</t>
        </is>
      </c>
      <c r="B197" t="n">
        <v>2.71</v>
      </c>
      <c r="C197" t="n">
        <v>51.286138</v>
      </c>
      <c r="D197" s="10" t="inlineStr">
        <is>
          <t>2 Crustaceans | 3 Crustaceans</t>
        </is>
      </c>
      <c r="E197" t="n">
        <v>276.665746</v>
      </c>
      <c r="F197" t="n">
        <v>87.346446</v>
      </c>
      <c r="G197" t="n">
        <v>62.825827</v>
      </c>
      <c r="H197" t="n">
        <v>62.583797</v>
      </c>
      <c r="I197" t="n">
        <v>49.059783</v>
      </c>
      <c r="J197" t="n">
        <v>49.059783</v>
      </c>
      <c r="K197" t="n">
        <v>45.848307</v>
      </c>
      <c r="L197" t="n">
        <v>88.61683499999999</v>
      </c>
      <c r="M197" t="n">
        <v>88.61683499999999</v>
      </c>
      <c r="N197" t="n">
        <v>88.61683499999999</v>
      </c>
      <c r="O197" t="n">
        <v>112.736869</v>
      </c>
      <c r="P197" t="n">
        <v>69.749027</v>
      </c>
      <c r="Q197" t="n">
        <v>88.61683499999999</v>
      </c>
      <c r="R197" t="n">
        <v>88.61683499999999</v>
      </c>
      <c r="S197" t="n">
        <v>112.736869</v>
      </c>
      <c r="T197" t="n">
        <v>18.000131</v>
      </c>
      <c r="U197" t="n">
        <v>69.749027</v>
      </c>
      <c r="V197" t="n">
        <v>77.336753</v>
      </c>
      <c r="W197" t="n">
        <v>138.030843</v>
      </c>
      <c r="X197" t="n">
        <v>98.46392899999999</v>
      </c>
      <c r="Y197" t="n">
        <v>24.163479</v>
      </c>
      <c r="Z197" t="n">
        <v>23.495104</v>
      </c>
    </row>
    <row r="198" ht="21" customHeight="1">
      <c r="A198" t="inlineStr">
        <is>
          <t>Holothuroidea</t>
        </is>
      </c>
      <c r="B198" t="n">
        <v>2</v>
      </c>
      <c r="C198" t="n">
        <v>10</v>
      </c>
      <c r="D198" s="10" t="inlineStr">
        <is>
          <t>2 Macrobenthos | 3 Macrobenthos</t>
        </is>
      </c>
      <c r="E198" t="n">
        <v>276.665746</v>
      </c>
      <c r="F198" t="n">
        <v>43.212782</v>
      </c>
      <c r="G198" t="n">
        <v>32.623281</v>
      </c>
      <c r="H198" t="n">
        <v>41.368719</v>
      </c>
      <c r="I198" t="n">
        <v>34.461512</v>
      </c>
      <c r="J198" t="n">
        <v>34.461512</v>
      </c>
      <c r="K198" t="n">
        <v>31.432014</v>
      </c>
      <c r="L198" t="n">
        <v>106.719149</v>
      </c>
      <c r="M198" t="n">
        <v>106.719149</v>
      </c>
      <c r="N198" t="n">
        <v>106.719149</v>
      </c>
      <c r="O198" t="n">
        <v>113.412456</v>
      </c>
      <c r="P198" t="n">
        <v>57.717594</v>
      </c>
      <c r="Q198" t="n">
        <v>106.719149</v>
      </c>
      <c r="R198" t="n">
        <v>106.719149</v>
      </c>
      <c r="S198" t="n">
        <v>113.412456</v>
      </c>
      <c r="T198" t="n">
        <v>25.029149</v>
      </c>
      <c r="U198" t="n">
        <v>57.717594</v>
      </c>
      <c r="V198" t="n">
        <v>63.584441</v>
      </c>
      <c r="W198" t="n">
        <v>206.884057</v>
      </c>
      <c r="X198" t="n">
        <v>165.070073</v>
      </c>
      <c r="Y198" t="n">
        <v>14.477738</v>
      </c>
      <c r="Z198" t="n">
        <v>16.337529</v>
      </c>
    </row>
    <row r="199" ht="21" customHeight="1">
      <c r="A199" t="inlineStr">
        <is>
          <t>Octopoda</t>
        </is>
      </c>
      <c r="B199" t="n">
        <v>3.58</v>
      </c>
      <c r="C199" t="n">
        <v>380.189396</v>
      </c>
      <c r="D199" s="10" t="inlineStr">
        <is>
          <t>Cephalopods</t>
        </is>
      </c>
      <c r="E199" t="n">
        <v>276.665746</v>
      </c>
      <c r="F199" t="n">
        <v>990.119511</v>
      </c>
      <c r="G199" t="n">
        <v>598.369015</v>
      </c>
      <c r="H199" t="n">
        <v>1346.888416</v>
      </c>
      <c r="I199" t="n">
        <v>377.016205</v>
      </c>
      <c r="J199" t="n">
        <v>457.659002</v>
      </c>
      <c r="K199" t="n">
        <v>411.893102</v>
      </c>
      <c r="L199" t="n">
        <v>1154.963068</v>
      </c>
      <c r="M199" t="n">
        <v>1154.963068</v>
      </c>
      <c r="N199" t="n">
        <v>1154.963068</v>
      </c>
      <c r="O199" t="n">
        <v>883.48756</v>
      </c>
      <c r="P199" t="n">
        <v>288.738455</v>
      </c>
      <c r="Q199" t="n">
        <v>1154.963068</v>
      </c>
      <c r="R199" t="n">
        <v>-30007.429063</v>
      </c>
      <c r="S199" t="n">
        <v>883.48756</v>
      </c>
      <c r="T199" t="n">
        <v>-4635.736133</v>
      </c>
      <c r="U199" t="n">
        <v>288.738455</v>
      </c>
      <c r="V199" t="n">
        <v>-68084.421791</v>
      </c>
      <c r="W199" t="n">
        <v>1393.890949</v>
      </c>
      <c r="X199" t="n">
        <v>1512.449191</v>
      </c>
      <c r="Y199" t="n">
        <v>138.403273</v>
      </c>
      <c r="Z199" t="n">
        <v>209.479831</v>
      </c>
    </row>
    <row r="200" ht="21" customHeight="1">
      <c r="A200" t="inlineStr">
        <is>
          <t>Scyphozoa</t>
        </is>
      </c>
      <c r="D200" s="10" t="inlineStr">
        <is>
          <t>Jellyfish</t>
        </is>
      </c>
      <c r="E200" t="n">
        <v>276.665746</v>
      </c>
      <c r="F200" t="n">
        <v>100</v>
      </c>
      <c r="G200" t="n">
        <v>71.445972</v>
      </c>
      <c r="H200" t="n">
        <v>71.445972</v>
      </c>
      <c r="I200" t="n">
        <v>392.817059</v>
      </c>
      <c r="J200" t="n">
        <v>392.817059</v>
      </c>
      <c r="K200" t="n">
        <v>25.925926</v>
      </c>
      <c r="L200" t="n">
        <v>392.817059</v>
      </c>
      <c r="M200" t="n">
        <v>392.817059</v>
      </c>
      <c r="N200" t="n">
        <v>392.817059</v>
      </c>
      <c r="O200" t="n">
        <v>15.555556</v>
      </c>
      <c r="P200" t="n">
        <v>9.955556</v>
      </c>
      <c r="Q200" t="n">
        <v>392.817059</v>
      </c>
      <c r="R200" t="n">
        <v>392.817059</v>
      </c>
      <c r="S200" t="n">
        <v>15.555556</v>
      </c>
      <c r="T200" t="n">
        <v>15.555556</v>
      </c>
      <c r="U200" t="n">
        <v>9.955556</v>
      </c>
      <c r="V200" t="n">
        <v>9.955556</v>
      </c>
      <c r="W200" t="n">
        <v>15.908519</v>
      </c>
      <c r="X200" t="n">
        <v>405.819791</v>
      </c>
      <c r="Y200" t="n">
        <v>26.883496</v>
      </c>
      <c r="Z200" t="n">
        <v>26.883496</v>
      </c>
    </row>
    <row r="201" ht="21" customHeight="1">
      <c r="A201" t="inlineStr">
        <is>
          <t>Siganus canaliculatus</t>
        </is>
      </c>
      <c r="B201" t="n">
        <v>2.76</v>
      </c>
      <c r="C201" t="n">
        <v>57.543994</v>
      </c>
      <c r="D201" s="10" t="inlineStr">
        <is>
          <t>2 SM inv | 3 SM inv</t>
        </is>
      </c>
      <c r="E201" t="n">
        <v>276.665746</v>
      </c>
      <c r="F201" t="n">
        <v>195.237034</v>
      </c>
      <c r="G201" t="n">
        <v>132.430212</v>
      </c>
      <c r="H201" t="n">
        <v>264.469084</v>
      </c>
      <c r="I201" t="n">
        <v>118.913507</v>
      </c>
      <c r="J201" t="n">
        <v>136.139541</v>
      </c>
      <c r="K201" t="n">
        <v>127.362312</v>
      </c>
      <c r="L201" t="n">
        <v>358.406583</v>
      </c>
      <c r="M201" t="n">
        <v>358.406583</v>
      </c>
      <c r="N201" t="n">
        <v>358.406583</v>
      </c>
      <c r="O201" t="n">
        <v>341.418803</v>
      </c>
      <c r="P201" t="n">
        <v>140.125818</v>
      </c>
      <c r="Q201" t="n">
        <v>358.406583</v>
      </c>
      <c r="R201" t="n">
        <v>5989.509989</v>
      </c>
      <c r="S201" t="n">
        <v>341.418803</v>
      </c>
      <c r="T201" t="n">
        <v>178554.604556</v>
      </c>
      <c r="U201" t="n">
        <v>140.125818</v>
      </c>
      <c r="V201" t="n">
        <v>-299079.478285</v>
      </c>
      <c r="W201" t="n">
        <v>574.027146</v>
      </c>
      <c r="X201" t="n">
        <v>502.728082</v>
      </c>
      <c r="Y201" t="n">
        <v>42.955466</v>
      </c>
      <c r="Z201" t="n">
        <v>65.044787</v>
      </c>
    </row>
    <row r="202" ht="21" customHeight="1">
      <c r="A202" t="inlineStr">
        <is>
          <t>Chirocentrus nudus</t>
        </is>
      </c>
      <c r="B202" t="n">
        <v>4.19</v>
      </c>
      <c r="C202" t="n">
        <v>1548.816619</v>
      </c>
      <c r="D202" s="10" t="inlineStr">
        <is>
          <t>2 L pisc | 3 L pisc</t>
        </is>
      </c>
      <c r="E202" t="n">
        <v>276.665746</v>
      </c>
      <c r="F202" t="n">
        <v>1671.644897</v>
      </c>
      <c r="G202" t="n">
        <v>968.768055</v>
      </c>
      <c r="H202" t="n">
        <v>4321.103431</v>
      </c>
      <c r="I202" t="n">
        <v>1003.861945</v>
      </c>
      <c r="J202" t="n">
        <v>1190.295649</v>
      </c>
      <c r="K202" t="n">
        <v>1071.266084</v>
      </c>
      <c r="L202" t="n">
        <v>3542.246528</v>
      </c>
      <c r="M202" t="n">
        <v>3542.246528</v>
      </c>
      <c r="N202" t="n">
        <v>3542.246528</v>
      </c>
      <c r="O202" t="n">
        <v>2538.689141</v>
      </c>
      <c r="P202" t="n">
        <v>681.946673</v>
      </c>
      <c r="Q202" t="n">
        <v>3542.246528</v>
      </c>
      <c r="R202" t="n">
        <v>60332.209612</v>
      </c>
      <c r="S202" t="n">
        <v>2538.689141</v>
      </c>
      <c r="T202" t="n">
        <v>4692815.596611</v>
      </c>
      <c r="U202" t="n">
        <v>681.946673</v>
      </c>
      <c r="V202" t="n">
        <v>8778895377.827705</v>
      </c>
      <c r="W202" t="n">
        <v>4084.723039</v>
      </c>
      <c r="X202" t="n">
        <v>4708.979406</v>
      </c>
      <c r="Y202" t="n">
        <v>198.988407</v>
      </c>
      <c r="Z202" t="n">
        <v>443.769811</v>
      </c>
    </row>
    <row r="203" ht="36" customHeight="1">
      <c r="A203" t="inlineStr">
        <is>
          <t>Pleuronectiformes</t>
        </is>
      </c>
      <c r="B203" t="n">
        <v>3.57</v>
      </c>
      <c r="C203" t="n">
        <v>371.535229</v>
      </c>
      <c r="D203" s="10" t="inlineStr">
        <is>
          <t>2 SM inv | 3 SM inv | 2 SM pisc | 3 SM pisc</t>
        </is>
      </c>
      <c r="E203" t="n">
        <v>276.665746</v>
      </c>
      <c r="F203" t="n">
        <v>427.369702</v>
      </c>
      <c r="G203" t="n">
        <v>269.84413</v>
      </c>
      <c r="H203" t="n">
        <v>443.946645</v>
      </c>
      <c r="I203" t="n">
        <v>168.987397</v>
      </c>
      <c r="J203" t="n">
        <v>212.642194</v>
      </c>
      <c r="K203" t="n">
        <v>200.88573</v>
      </c>
      <c r="L203" t="n">
        <v>614.514013</v>
      </c>
      <c r="M203" t="n">
        <v>614.514013</v>
      </c>
      <c r="N203" t="n">
        <v>614.514013</v>
      </c>
      <c r="O203" t="n">
        <v>557.065775</v>
      </c>
      <c r="P203" t="n">
        <v>206.243709</v>
      </c>
      <c r="Q203" t="n">
        <v>614.514013</v>
      </c>
      <c r="R203" t="n">
        <v>7759.236114</v>
      </c>
      <c r="S203" t="n">
        <v>557.065775</v>
      </c>
      <c r="T203" t="n">
        <v>388895.713364</v>
      </c>
      <c r="U203" t="n">
        <v>206.243709</v>
      </c>
      <c r="V203" t="n">
        <v>-7423619.489708</v>
      </c>
      <c r="W203" t="n">
        <v>896.211277</v>
      </c>
      <c r="X203" t="n">
        <v>833.104258</v>
      </c>
      <c r="Y203" t="n">
        <v>71.924037</v>
      </c>
      <c r="Z203" t="n">
        <v>93.707566</v>
      </c>
    </row>
    <row r="204" ht="21" customHeight="1">
      <c r="A204" t="inlineStr">
        <is>
          <t>Elagatis bipinnulata</t>
        </is>
      </c>
      <c r="B204" t="n">
        <v>4.27</v>
      </c>
      <c r="C204" t="n">
        <v>1862.087137</v>
      </c>
      <c r="D204" s="10" t="inlineStr">
        <is>
          <t>2 Carangids | 3 Carangids</t>
        </is>
      </c>
      <c r="E204" t="n">
        <v>276.665746</v>
      </c>
      <c r="F204" t="n">
        <v>1047.559324</v>
      </c>
      <c r="G204" t="n">
        <v>629.821299</v>
      </c>
      <c r="H204" t="n">
        <v>2238.50504</v>
      </c>
      <c r="I204" t="n">
        <v>641.128381</v>
      </c>
      <c r="J204" t="n">
        <v>754.920494</v>
      </c>
      <c r="K204" t="n">
        <v>726.746267</v>
      </c>
      <c r="L204" t="n">
        <v>2160.61505</v>
      </c>
      <c r="M204" t="n">
        <v>2160.61505</v>
      </c>
      <c r="N204" t="n">
        <v>2160.61505</v>
      </c>
      <c r="O204" t="n">
        <v>1714.802766</v>
      </c>
      <c r="P204" t="n">
        <v>507.968664</v>
      </c>
      <c r="Q204" t="n">
        <v>2160.61505</v>
      </c>
      <c r="R204" t="n">
        <v>1782592.482977</v>
      </c>
      <c r="S204" t="n">
        <v>1714.802766</v>
      </c>
      <c r="T204" t="n">
        <v>15448395.144238</v>
      </c>
      <c r="U204" t="n">
        <v>507.968664</v>
      </c>
      <c r="V204" t="n">
        <v>363121069.828352</v>
      </c>
      <c r="W204" t="n">
        <v>2799.375544</v>
      </c>
      <c r="X204" t="n">
        <v>2890.556852</v>
      </c>
      <c r="Y204" t="n">
        <v>143.6356</v>
      </c>
      <c r="Z204" t="n">
        <v>294.157869</v>
      </c>
    </row>
    <row r="205" ht="21" customHeight="1">
      <c r="A205" t="inlineStr">
        <is>
          <t>Gerres</t>
        </is>
      </c>
      <c r="B205" t="n">
        <v>3.27</v>
      </c>
      <c r="C205" t="n">
        <v>186.208714</v>
      </c>
      <c r="D205" s="10" t="inlineStr">
        <is>
          <t>2 SM inv | 3 SM inv</t>
        </is>
      </c>
      <c r="E205" t="n">
        <v>276.665746</v>
      </c>
      <c r="F205" t="n">
        <v>195.237034</v>
      </c>
      <c r="G205" t="n">
        <v>132.430212</v>
      </c>
      <c r="H205" t="n">
        <v>264.469084</v>
      </c>
      <c r="I205" t="n">
        <v>118.913507</v>
      </c>
      <c r="J205" t="n">
        <v>136.139541</v>
      </c>
      <c r="K205" t="n">
        <v>127.362312</v>
      </c>
      <c r="L205" t="n">
        <v>358.406583</v>
      </c>
      <c r="M205" t="n">
        <v>358.406583</v>
      </c>
      <c r="N205" t="n">
        <v>358.406583</v>
      </c>
      <c r="O205" t="n">
        <v>341.418803</v>
      </c>
      <c r="P205" t="n">
        <v>140.125818</v>
      </c>
      <c r="Q205" t="n">
        <v>358.406583</v>
      </c>
      <c r="R205" t="n">
        <v>5989.509989</v>
      </c>
      <c r="S205" t="n">
        <v>341.418803</v>
      </c>
      <c r="T205" t="n">
        <v>178554.604556</v>
      </c>
      <c r="U205" t="n">
        <v>140.125818</v>
      </c>
      <c r="V205" t="n">
        <v>-299079.478285</v>
      </c>
      <c r="W205" t="n">
        <v>574.027146</v>
      </c>
      <c r="X205" t="n">
        <v>502.728082</v>
      </c>
      <c r="Y205" t="n">
        <v>42.955466</v>
      </c>
      <c r="Z205" t="n">
        <v>65.044787</v>
      </c>
    </row>
    <row r="206" ht="21" customHeight="1">
      <c r="A206" t="inlineStr">
        <is>
          <t>Perna viridis</t>
        </is>
      </c>
      <c r="B206" t="n">
        <v>2</v>
      </c>
      <c r="C206" t="n">
        <v>10</v>
      </c>
      <c r="D206" s="10" t="inlineStr">
        <is>
          <t>2 Macrobenthos | 3 Macrobenthos</t>
        </is>
      </c>
      <c r="E206" t="n">
        <v>276.665746</v>
      </c>
      <c r="F206" t="n">
        <v>43.212782</v>
      </c>
      <c r="G206" t="n">
        <v>32.623281</v>
      </c>
      <c r="H206" t="n">
        <v>41.368719</v>
      </c>
      <c r="I206" t="n">
        <v>34.461512</v>
      </c>
      <c r="J206" t="n">
        <v>34.461512</v>
      </c>
      <c r="K206" t="n">
        <v>31.432014</v>
      </c>
      <c r="L206" t="n">
        <v>106.719149</v>
      </c>
      <c r="M206" t="n">
        <v>106.719149</v>
      </c>
      <c r="N206" t="n">
        <v>106.719149</v>
      </c>
      <c r="O206" t="n">
        <v>113.412456</v>
      </c>
      <c r="P206" t="n">
        <v>57.717594</v>
      </c>
      <c r="Q206" t="n">
        <v>106.719149</v>
      </c>
      <c r="R206" t="n">
        <v>106.719149</v>
      </c>
      <c r="S206" t="n">
        <v>113.412456</v>
      </c>
      <c r="T206" t="n">
        <v>25.029149</v>
      </c>
      <c r="U206" t="n">
        <v>57.717594</v>
      </c>
      <c r="V206" t="n">
        <v>63.584441</v>
      </c>
      <c r="W206" t="n">
        <v>206.884057</v>
      </c>
      <c r="X206" t="n">
        <v>165.070073</v>
      </c>
      <c r="Y206" t="n">
        <v>14.477738</v>
      </c>
      <c r="Z206" t="n">
        <v>16.337529</v>
      </c>
    </row>
    <row r="207" ht="21" customHeight="1">
      <c r="A207" t="inlineStr">
        <is>
          <t>Solenocera crassicornis</t>
        </is>
      </c>
      <c r="B207" t="n">
        <v>2.2</v>
      </c>
      <c r="C207" t="n">
        <v>15.848932</v>
      </c>
      <c r="D207" s="10" t="inlineStr">
        <is>
          <t>2 Crustaceans | 3 Crustaceans</t>
        </is>
      </c>
      <c r="E207" t="n">
        <v>276.665746</v>
      </c>
      <c r="F207" t="n">
        <v>87.346446</v>
      </c>
      <c r="G207" t="n">
        <v>62.825827</v>
      </c>
      <c r="H207" t="n">
        <v>62.583797</v>
      </c>
      <c r="I207" t="n">
        <v>49.059783</v>
      </c>
      <c r="J207" t="n">
        <v>49.059783</v>
      </c>
      <c r="K207" t="n">
        <v>45.848307</v>
      </c>
      <c r="L207" t="n">
        <v>88.61683499999999</v>
      </c>
      <c r="M207" t="n">
        <v>88.61683499999999</v>
      </c>
      <c r="N207" t="n">
        <v>88.61683499999999</v>
      </c>
      <c r="O207" t="n">
        <v>112.736869</v>
      </c>
      <c r="P207" t="n">
        <v>69.749027</v>
      </c>
      <c r="Q207" t="n">
        <v>88.61683499999999</v>
      </c>
      <c r="R207" t="n">
        <v>88.61683499999999</v>
      </c>
      <c r="S207" t="n">
        <v>112.736869</v>
      </c>
      <c r="T207" t="n">
        <v>18.000131</v>
      </c>
      <c r="U207" t="n">
        <v>69.749027</v>
      </c>
      <c r="V207" t="n">
        <v>77.336753</v>
      </c>
      <c r="W207" t="n">
        <v>138.030843</v>
      </c>
      <c r="X207" t="n">
        <v>98.46392899999999</v>
      </c>
      <c r="Y207" t="n">
        <v>24.163479</v>
      </c>
      <c r="Z207" t="n">
        <v>23.495104</v>
      </c>
    </row>
    <row r="208" ht="21" customHeight="1">
      <c r="A208" t="inlineStr">
        <is>
          <t>Platycephalus indicus</t>
        </is>
      </c>
      <c r="B208" t="n">
        <v>3.6</v>
      </c>
      <c r="C208" t="n">
        <v>398.107171</v>
      </c>
      <c r="D208" s="10" t="inlineStr">
        <is>
          <t>2 L pisc | 3 L pisc</t>
        </is>
      </c>
      <c r="E208" t="n">
        <v>276.665746</v>
      </c>
      <c r="F208" t="n">
        <v>1671.644897</v>
      </c>
      <c r="G208" t="n">
        <v>968.768055</v>
      </c>
      <c r="H208" t="n">
        <v>4321.103431</v>
      </c>
      <c r="I208" t="n">
        <v>1003.861945</v>
      </c>
      <c r="J208" t="n">
        <v>1190.295649</v>
      </c>
      <c r="K208" t="n">
        <v>1071.266084</v>
      </c>
      <c r="L208" t="n">
        <v>3542.246528</v>
      </c>
      <c r="M208" t="n">
        <v>3542.246528</v>
      </c>
      <c r="N208" t="n">
        <v>3542.246528</v>
      </c>
      <c r="O208" t="n">
        <v>2538.689141</v>
      </c>
      <c r="P208" t="n">
        <v>681.946673</v>
      </c>
      <c r="Q208" t="n">
        <v>3542.246528</v>
      </c>
      <c r="R208" t="n">
        <v>60332.209612</v>
      </c>
      <c r="S208" t="n">
        <v>2538.689141</v>
      </c>
      <c r="T208" t="n">
        <v>4692815.596611</v>
      </c>
      <c r="U208" t="n">
        <v>681.946673</v>
      </c>
      <c r="V208" t="n">
        <v>8778895377.827705</v>
      </c>
      <c r="W208" t="n">
        <v>4084.723039</v>
      </c>
      <c r="X208" t="n">
        <v>4708.979406</v>
      </c>
      <c r="Y208" t="n">
        <v>198.988407</v>
      </c>
      <c r="Z208" t="n">
        <v>443.769811</v>
      </c>
    </row>
    <row r="209" ht="21" customHeight="1">
      <c r="A209" t="inlineStr">
        <is>
          <t>Scombroidei</t>
        </is>
      </c>
      <c r="B209" t="n">
        <v>4.2</v>
      </c>
      <c r="C209" t="n">
        <v>1584.893192</v>
      </c>
      <c r="D209" s="10" t="inlineStr">
        <is>
          <t>Tuna-like | Coastal scombrids</t>
        </is>
      </c>
      <c r="E209" t="n">
        <v>276.665746</v>
      </c>
      <c r="F209" t="n">
        <v>2361.691329</v>
      </c>
      <c r="G209" t="n">
        <v>1337.570793</v>
      </c>
      <c r="H209" t="n">
        <v>6116.38666</v>
      </c>
      <c r="I209" t="n">
        <v>1796.541016</v>
      </c>
      <c r="J209" t="n">
        <v>2116.940289</v>
      </c>
      <c r="K209" t="n">
        <v>1368.647798</v>
      </c>
      <c r="L209" t="n">
        <v>6174.538749</v>
      </c>
      <c r="M209" t="n">
        <v>6174.538749</v>
      </c>
      <c r="N209" t="n">
        <v>6174.538749</v>
      </c>
      <c r="O209" t="n">
        <v>3238.074077</v>
      </c>
      <c r="P209" t="n">
        <v>843.514406</v>
      </c>
      <c r="Q209" t="n">
        <v>6174.538749</v>
      </c>
      <c r="R209" t="n">
        <v>15830343.857371</v>
      </c>
      <c r="S209" t="n">
        <v>3238.074077</v>
      </c>
      <c r="T209" t="n">
        <v>-15460191.499976</v>
      </c>
      <c r="U209" t="n">
        <v>843.514406</v>
      </c>
      <c r="V209" t="n">
        <v>-5085975326157030</v>
      </c>
      <c r="W209" t="n">
        <v>5246.181275</v>
      </c>
      <c r="X209" t="n">
        <v>8395.379247999999</v>
      </c>
      <c r="Y209" t="n">
        <v>256.538593</v>
      </c>
      <c r="Z209" t="n">
        <v>580.837714</v>
      </c>
    </row>
    <row r="210" ht="21" customHeight="1">
      <c r="A210" t="inlineStr">
        <is>
          <t>Dasyatidae</t>
        </is>
      </c>
      <c r="B210" t="n">
        <v>3.38</v>
      </c>
      <c r="C210" t="n">
        <v>239.883292</v>
      </c>
      <c r="D210" s="10" t="inlineStr">
        <is>
          <t>Coastal elasmobranch</t>
        </is>
      </c>
      <c r="E210" t="n">
        <v>276.665746</v>
      </c>
      <c r="F210" t="n">
        <v>1214.104792</v>
      </c>
      <c r="G210" t="n">
        <v>722.888243</v>
      </c>
      <c r="H210" t="n">
        <v>10121.435398</v>
      </c>
      <c r="I210" t="n">
        <v>2496.053382</v>
      </c>
      <c r="J210" t="n">
        <v>2721.71256</v>
      </c>
      <c r="K210" t="n">
        <v>2569.296656</v>
      </c>
      <c r="L210" t="n">
        <v>17002.234886</v>
      </c>
      <c r="M210" t="n">
        <v>17002.234886</v>
      </c>
      <c r="N210" t="n">
        <v>17002.234886</v>
      </c>
      <c r="O210" t="n">
        <v>9185.440402</v>
      </c>
      <c r="P210" t="n">
        <v>1863.771432</v>
      </c>
      <c r="Q210" t="n">
        <v>17002.234886</v>
      </c>
      <c r="R210" t="n">
        <v>111559561.583727</v>
      </c>
      <c r="S210" t="n">
        <v>9185.440402</v>
      </c>
      <c r="T210" t="n">
        <v>-6478612.295953</v>
      </c>
      <c r="U210" t="n">
        <v>1863.771432</v>
      </c>
      <c r="V210" t="n">
        <v>1.299598425206395e+19</v>
      </c>
      <c r="W210" t="n">
        <v>15257.306447</v>
      </c>
      <c r="X210" t="n">
        <v>23728.582321</v>
      </c>
      <c r="Y210" t="n">
        <v>160.121668</v>
      </c>
      <c r="Z210" t="n">
        <v>658.77156</v>
      </c>
    </row>
    <row r="211" ht="36" customHeight="1">
      <c r="A211" t="inlineStr">
        <is>
          <t>Carcharhinidae</t>
        </is>
      </c>
      <c r="B211" t="n">
        <v>4.24</v>
      </c>
      <c r="C211" t="n">
        <v>1737.800829</v>
      </c>
      <c r="D211" s="10" t="inlineStr">
        <is>
          <t>Oceanic sharks | Coastal elasmobranch</t>
        </is>
      </c>
      <c r="E211" t="n">
        <v>276.665746</v>
      </c>
      <c r="F211" t="n">
        <v>1380.156554</v>
      </c>
      <c r="G211" t="n">
        <v>813.237349</v>
      </c>
      <c r="H211" t="n">
        <v>11696.257871</v>
      </c>
      <c r="I211" t="n">
        <v>3303.980516</v>
      </c>
      <c r="J211" t="n">
        <v>3755.931739</v>
      </c>
      <c r="K211" t="n">
        <v>2869.988061</v>
      </c>
      <c r="L211" t="n">
        <v>18858.336069</v>
      </c>
      <c r="M211" t="n">
        <v>18858.336069</v>
      </c>
      <c r="N211" t="n">
        <v>18858.336069</v>
      </c>
      <c r="O211" t="n">
        <v>9043.074076999999</v>
      </c>
      <c r="P211" t="n">
        <v>1863.271319</v>
      </c>
      <c r="Q211" t="n">
        <v>18858.336069</v>
      </c>
      <c r="R211" t="n">
        <v>107107363.803131</v>
      </c>
      <c r="S211" t="n">
        <v>9043.074076999999</v>
      </c>
      <c r="T211" t="n">
        <v>-5362399.549138</v>
      </c>
      <c r="U211" t="n">
        <v>1863.271319</v>
      </c>
      <c r="V211" t="n">
        <v>1.156849958050017e+19</v>
      </c>
      <c r="W211" t="n">
        <v>14990.009917</v>
      </c>
      <c r="X211" t="n">
        <v>26162.023176</v>
      </c>
      <c r="Y211" t="n">
        <v>174.929003</v>
      </c>
      <c r="Z211" t="n">
        <v>766.601483</v>
      </c>
    </row>
    <row r="212" ht="36" customHeight="1">
      <c r="A212" t="inlineStr">
        <is>
          <t>Holocentridae</t>
        </is>
      </c>
      <c r="B212" t="n">
        <v>3.49</v>
      </c>
      <c r="C212" t="n">
        <v>309.029543</v>
      </c>
      <c r="D212" s="10" t="inlineStr">
        <is>
          <t>2 SM inv | 3 SM inv | 2 SM pisc | 3 SM pisc</t>
        </is>
      </c>
      <c r="E212" t="n">
        <v>276.665746</v>
      </c>
      <c r="F212" t="n">
        <v>427.369702</v>
      </c>
      <c r="G212" t="n">
        <v>269.84413</v>
      </c>
      <c r="H212" t="n">
        <v>443.946645</v>
      </c>
      <c r="I212" t="n">
        <v>168.987397</v>
      </c>
      <c r="J212" t="n">
        <v>212.642194</v>
      </c>
      <c r="K212" t="n">
        <v>200.88573</v>
      </c>
      <c r="L212" t="n">
        <v>614.514013</v>
      </c>
      <c r="M212" t="n">
        <v>614.514013</v>
      </c>
      <c r="N212" t="n">
        <v>614.514013</v>
      </c>
      <c r="O212" t="n">
        <v>557.065775</v>
      </c>
      <c r="P212" t="n">
        <v>206.243709</v>
      </c>
      <c r="Q212" t="n">
        <v>614.514013</v>
      </c>
      <c r="R212" t="n">
        <v>7759.236114</v>
      </c>
      <c r="S212" t="n">
        <v>557.065775</v>
      </c>
      <c r="T212" t="n">
        <v>388895.713364</v>
      </c>
      <c r="U212" t="n">
        <v>206.243709</v>
      </c>
      <c r="V212" t="n">
        <v>-7423619.489708</v>
      </c>
      <c r="W212" t="n">
        <v>896.211277</v>
      </c>
      <c r="X212" t="n">
        <v>833.104258</v>
      </c>
      <c r="Y212" t="n">
        <v>71.924037</v>
      </c>
      <c r="Z212" t="n">
        <v>93.707566</v>
      </c>
    </row>
    <row r="213" ht="21" customHeight="1">
      <c r="A213" t="inlineStr">
        <is>
          <t>Scolopsis</t>
        </is>
      </c>
      <c r="B213" t="n">
        <v>3.3</v>
      </c>
      <c r="C213" t="n">
        <v>199.526231</v>
      </c>
      <c r="D213" s="10" t="inlineStr">
        <is>
          <t>2 SM pisc | 3 SM pisc</t>
        </is>
      </c>
      <c r="E213" t="n">
        <v>276.665746</v>
      </c>
      <c r="F213" t="n">
        <v>735.917019</v>
      </c>
      <c r="G213" t="n">
        <v>452.492682</v>
      </c>
      <c r="H213" t="n">
        <v>682.505571</v>
      </c>
      <c r="I213" t="n">
        <v>235.544874</v>
      </c>
      <c r="J213" t="n">
        <v>314.328392</v>
      </c>
      <c r="K213" t="n">
        <v>298.611973</v>
      </c>
      <c r="L213" t="n">
        <v>954.92823</v>
      </c>
      <c r="M213" t="n">
        <v>954.92823</v>
      </c>
      <c r="N213" t="n">
        <v>954.92823</v>
      </c>
      <c r="O213" t="n">
        <v>843.700548</v>
      </c>
      <c r="P213" t="n">
        <v>294.126635</v>
      </c>
      <c r="Q213" t="n">
        <v>954.92823</v>
      </c>
      <c r="R213" t="n">
        <v>10111.529968</v>
      </c>
      <c r="S213" t="n">
        <v>843.700548</v>
      </c>
      <c r="T213" t="n">
        <v>668478.0116420001</v>
      </c>
      <c r="U213" t="n">
        <v>294.126635</v>
      </c>
      <c r="V213" t="n">
        <v>-16893452.951404</v>
      </c>
      <c r="W213" t="n">
        <v>1324.45367</v>
      </c>
      <c r="X213" t="n">
        <v>1272.235398</v>
      </c>
      <c r="Y213" t="n">
        <v>110.428635</v>
      </c>
      <c r="Z213" t="n">
        <v>131.805708</v>
      </c>
    </row>
    <row r="214" ht="21" customHeight="1">
      <c r="A214" t="inlineStr">
        <is>
          <t>Paphia</t>
        </is>
      </c>
      <c r="B214" t="n">
        <v>2</v>
      </c>
      <c r="C214" t="n">
        <v>10</v>
      </c>
      <c r="D214" s="10" t="inlineStr">
        <is>
          <t>2 Macrobenthos | 3 Macrobenthos</t>
        </is>
      </c>
      <c r="E214" t="n">
        <v>276.665746</v>
      </c>
      <c r="F214" t="n">
        <v>43.212782</v>
      </c>
      <c r="G214" t="n">
        <v>32.623281</v>
      </c>
      <c r="H214" t="n">
        <v>41.368719</v>
      </c>
      <c r="I214" t="n">
        <v>34.461512</v>
      </c>
      <c r="J214" t="n">
        <v>34.461512</v>
      </c>
      <c r="K214" t="n">
        <v>31.432014</v>
      </c>
      <c r="L214" t="n">
        <v>106.719149</v>
      </c>
      <c r="M214" t="n">
        <v>106.719149</v>
      </c>
      <c r="N214" t="n">
        <v>106.719149</v>
      </c>
      <c r="O214" t="n">
        <v>113.412456</v>
      </c>
      <c r="P214" t="n">
        <v>57.717594</v>
      </c>
      <c r="Q214" t="n">
        <v>106.719149</v>
      </c>
      <c r="R214" t="n">
        <v>106.719149</v>
      </c>
      <c r="S214" t="n">
        <v>113.412456</v>
      </c>
      <c r="T214" t="n">
        <v>25.029149</v>
      </c>
      <c r="U214" t="n">
        <v>57.717594</v>
      </c>
      <c r="V214" t="n">
        <v>63.584441</v>
      </c>
      <c r="W214" t="n">
        <v>206.884057</v>
      </c>
      <c r="X214" t="n">
        <v>165.070073</v>
      </c>
      <c r="Y214" t="n">
        <v>14.477738</v>
      </c>
      <c r="Z214" t="n">
        <v>16.337529</v>
      </c>
    </row>
    <row r="215" ht="21" customHeight="1">
      <c r="A215" t="inlineStr">
        <is>
          <t>Mytilidae</t>
        </is>
      </c>
      <c r="B215" t="n">
        <v>2</v>
      </c>
      <c r="C215" t="n">
        <v>10</v>
      </c>
      <c r="D215" s="10" t="inlineStr">
        <is>
          <t>2 Macrobenthos | 3 Macrobenthos</t>
        </is>
      </c>
      <c r="E215" t="n">
        <v>276.665746</v>
      </c>
      <c r="F215" t="n">
        <v>43.212782</v>
      </c>
      <c r="G215" t="n">
        <v>32.623281</v>
      </c>
      <c r="H215" t="n">
        <v>41.368719</v>
      </c>
      <c r="I215" t="n">
        <v>34.461512</v>
      </c>
      <c r="J215" t="n">
        <v>34.461512</v>
      </c>
      <c r="K215" t="n">
        <v>31.432014</v>
      </c>
      <c r="L215" t="n">
        <v>106.719149</v>
      </c>
      <c r="M215" t="n">
        <v>106.719149</v>
      </c>
      <c r="N215" t="n">
        <v>106.719149</v>
      </c>
      <c r="O215" t="n">
        <v>113.412456</v>
      </c>
      <c r="P215" t="n">
        <v>57.717594</v>
      </c>
      <c r="Q215" t="n">
        <v>106.719149</v>
      </c>
      <c r="R215" t="n">
        <v>106.719149</v>
      </c>
      <c r="S215" t="n">
        <v>113.412456</v>
      </c>
      <c r="T215" t="n">
        <v>25.029149</v>
      </c>
      <c r="U215" t="n">
        <v>57.717594</v>
      </c>
      <c r="V215" t="n">
        <v>63.584441</v>
      </c>
      <c r="W215" t="n">
        <v>206.884057</v>
      </c>
      <c r="X215" t="n">
        <v>165.070073</v>
      </c>
      <c r="Y215" t="n">
        <v>14.477738</v>
      </c>
      <c r="Z215" t="n">
        <v>16.337529</v>
      </c>
    </row>
    <row r="216" ht="21" customHeight="1">
      <c r="A216" t="inlineStr">
        <is>
          <t>Gastropoda</t>
        </is>
      </c>
      <c r="B216" t="n">
        <v>3.06</v>
      </c>
      <c r="C216" t="n">
        <v>114.815362</v>
      </c>
      <c r="D216" s="10" t="inlineStr">
        <is>
          <t>2 Macrobenthos | 3 Macrobenthos</t>
        </is>
      </c>
      <c r="E216" t="n">
        <v>276.665746</v>
      </c>
      <c r="F216" t="n">
        <v>43.212782</v>
      </c>
      <c r="G216" t="n">
        <v>32.623281</v>
      </c>
      <c r="H216" t="n">
        <v>41.368719</v>
      </c>
      <c r="I216" t="n">
        <v>34.461512</v>
      </c>
      <c r="J216" t="n">
        <v>34.461512</v>
      </c>
      <c r="K216" t="n">
        <v>31.432014</v>
      </c>
      <c r="L216" t="n">
        <v>106.719149</v>
      </c>
      <c r="M216" t="n">
        <v>106.719149</v>
      </c>
      <c r="N216" t="n">
        <v>106.719149</v>
      </c>
      <c r="O216" t="n">
        <v>113.412456</v>
      </c>
      <c r="P216" t="n">
        <v>57.717594</v>
      </c>
      <c r="Q216" t="n">
        <v>106.719149</v>
      </c>
      <c r="R216" t="n">
        <v>106.719149</v>
      </c>
      <c r="S216" t="n">
        <v>113.412456</v>
      </c>
      <c r="T216" t="n">
        <v>25.029149</v>
      </c>
      <c r="U216" t="n">
        <v>57.717594</v>
      </c>
      <c r="V216" t="n">
        <v>63.584441</v>
      </c>
      <c r="W216" t="n">
        <v>206.884057</v>
      </c>
      <c r="X216" t="n">
        <v>165.070073</v>
      </c>
      <c r="Y216" t="n">
        <v>14.477738</v>
      </c>
      <c r="Z216" t="n">
        <v>16.337529</v>
      </c>
    </row>
    <row r="217" ht="21" customHeight="1">
      <c r="A217" t="inlineStr">
        <is>
          <t>Eleutheronema tetradactylum</t>
        </is>
      </c>
      <c r="B217" t="n">
        <v>4.06</v>
      </c>
      <c r="C217" t="n">
        <v>1148.153621</v>
      </c>
      <c r="D217" s="10" t="inlineStr">
        <is>
          <t>2 L pisc | 3 L pisc</t>
        </is>
      </c>
      <c r="E217" t="n">
        <v>276.665746</v>
      </c>
      <c r="F217" t="n">
        <v>1671.644897</v>
      </c>
      <c r="G217" t="n">
        <v>968.768055</v>
      </c>
      <c r="H217" t="n">
        <v>4321.103431</v>
      </c>
      <c r="I217" t="n">
        <v>1003.861945</v>
      </c>
      <c r="J217" t="n">
        <v>1190.295649</v>
      </c>
      <c r="K217" t="n">
        <v>1071.266084</v>
      </c>
      <c r="L217" t="n">
        <v>3542.246528</v>
      </c>
      <c r="M217" t="n">
        <v>3542.246528</v>
      </c>
      <c r="N217" t="n">
        <v>3542.246528</v>
      </c>
      <c r="O217" t="n">
        <v>2538.689141</v>
      </c>
      <c r="P217" t="n">
        <v>681.946673</v>
      </c>
      <c r="Q217" t="n">
        <v>3542.246528</v>
      </c>
      <c r="R217" t="n">
        <v>60332.209612</v>
      </c>
      <c r="S217" t="n">
        <v>2538.689141</v>
      </c>
      <c r="T217" t="n">
        <v>4692815.596611</v>
      </c>
      <c r="U217" t="n">
        <v>681.946673</v>
      </c>
      <c r="V217" t="n">
        <v>8778895377.827705</v>
      </c>
      <c r="W217" t="n">
        <v>4084.723039</v>
      </c>
      <c r="X217" t="n">
        <v>4708.979406</v>
      </c>
      <c r="Y217" t="n">
        <v>198.988407</v>
      </c>
      <c r="Z217" t="n">
        <v>443.769811</v>
      </c>
    </row>
    <row r="218" ht="21" customHeight="1">
      <c r="A218" t="inlineStr">
        <is>
          <t>Sphyrna</t>
        </is>
      </c>
      <c r="B218" t="n">
        <v>4.2</v>
      </c>
      <c r="C218" t="n">
        <v>1584.893192</v>
      </c>
      <c r="D218" s="10" t="inlineStr">
        <is>
          <t>Oceanic sharks</t>
        </is>
      </c>
      <c r="E218" t="n">
        <v>276.665746</v>
      </c>
      <c r="F218" t="n">
        <v>1757.235698</v>
      </c>
      <c r="G218" t="n">
        <v>1018.406889</v>
      </c>
      <c r="H218" t="n">
        <v>15272.448234</v>
      </c>
      <c r="I218" t="n">
        <v>5138.664287</v>
      </c>
      <c r="J218" t="n">
        <v>6104.491483</v>
      </c>
      <c r="K218" t="n">
        <v>3552.814043</v>
      </c>
      <c r="L218" t="n">
        <v>23073.269039</v>
      </c>
      <c r="M218" t="n">
        <v>23073.269039</v>
      </c>
      <c r="N218" t="n">
        <v>23073.269039</v>
      </c>
      <c r="O218" t="n">
        <v>8719.781079</v>
      </c>
      <c r="P218" t="n">
        <v>1862.135636</v>
      </c>
      <c r="Q218" t="n">
        <v>23073.269039</v>
      </c>
      <c r="R218" t="n">
        <v>96997077.044404</v>
      </c>
      <c r="S218" t="n">
        <v>8719.781079</v>
      </c>
      <c r="T218" t="n">
        <v>-2827644.466329</v>
      </c>
      <c r="U218" t="n">
        <v>1862.135636</v>
      </c>
      <c r="V218" t="n">
        <v>8.326891708518671e+18</v>
      </c>
      <c r="W218" t="n">
        <v>14383.018786</v>
      </c>
      <c r="X218" t="n">
        <v>31688.009682</v>
      </c>
      <c r="Y218" t="n">
        <v>208.554284</v>
      </c>
      <c r="Z218" t="n">
        <v>1011.467389</v>
      </c>
    </row>
    <row r="219" ht="21" customHeight="1">
      <c r="A219" t="inlineStr">
        <is>
          <t>Thunnus alalunga</t>
        </is>
      </c>
      <c r="B219" t="n">
        <v>4.3</v>
      </c>
      <c r="C219" t="n">
        <v>1995.262315</v>
      </c>
      <c r="D219" s="10" t="inlineStr">
        <is>
          <t>Tuna-like</t>
        </is>
      </c>
      <c r="E219" t="n">
        <v>276.665746</v>
      </c>
      <c r="F219" t="n">
        <v>3650.332839</v>
      </c>
      <c r="G219" t="n">
        <v>2005.591894</v>
      </c>
      <c r="H219" t="n">
        <v>10202.43919</v>
      </c>
      <c r="I219" t="n">
        <v>2103.316703</v>
      </c>
      <c r="J219" t="n">
        <v>2473.629877</v>
      </c>
      <c r="K219" t="n">
        <v>2211.42511</v>
      </c>
      <c r="L219" t="n">
        <v>8474.746773000001</v>
      </c>
      <c r="M219" t="n">
        <v>8474.746773000001</v>
      </c>
      <c r="N219" t="n">
        <v>8474.746773000001</v>
      </c>
      <c r="O219" t="n">
        <v>5374.550638</v>
      </c>
      <c r="P219" t="n">
        <v>1271.625707</v>
      </c>
      <c r="Q219" t="n">
        <v>8474.746773000001</v>
      </c>
      <c r="R219" t="n">
        <v>11745249.699026</v>
      </c>
      <c r="S219" t="n">
        <v>5374.550638</v>
      </c>
      <c r="T219" t="n">
        <v>-414959.643064</v>
      </c>
      <c r="U219" t="n">
        <v>1271.625707</v>
      </c>
      <c r="V219" t="n">
        <v>-2163898509.296668</v>
      </c>
      <c r="W219" t="n">
        <v>8903.01534</v>
      </c>
      <c r="X219" t="n">
        <v>11378.963772</v>
      </c>
      <c r="Y219" t="n">
        <v>351.683283</v>
      </c>
      <c r="Z219" t="n">
        <v>849.64013</v>
      </c>
    </row>
    <row r="220" ht="21" customHeight="1">
      <c r="A220" t="inlineStr">
        <is>
          <t>Caesio</t>
        </is>
      </c>
      <c r="B220" t="n">
        <v>3.4</v>
      </c>
      <c r="C220" t="n">
        <v>251.188643</v>
      </c>
      <c r="D220" s="10" t="inlineStr">
        <is>
          <t>2 SM inv | 3 SM inv</t>
        </is>
      </c>
      <c r="E220" t="n">
        <v>276.665746</v>
      </c>
      <c r="F220" t="n">
        <v>195.237034</v>
      </c>
      <c r="G220" t="n">
        <v>132.430212</v>
      </c>
      <c r="H220" t="n">
        <v>264.469084</v>
      </c>
      <c r="I220" t="n">
        <v>118.913507</v>
      </c>
      <c r="J220" t="n">
        <v>136.139541</v>
      </c>
      <c r="K220" t="n">
        <v>127.362312</v>
      </c>
      <c r="L220" t="n">
        <v>358.406583</v>
      </c>
      <c r="M220" t="n">
        <v>358.406583</v>
      </c>
      <c r="N220" t="n">
        <v>358.406583</v>
      </c>
      <c r="O220" t="n">
        <v>341.418803</v>
      </c>
      <c r="P220" t="n">
        <v>140.125818</v>
      </c>
      <c r="Q220" t="n">
        <v>358.406583</v>
      </c>
      <c r="R220" t="n">
        <v>5989.509989</v>
      </c>
      <c r="S220" t="n">
        <v>341.418803</v>
      </c>
      <c r="T220" t="n">
        <v>178554.604556</v>
      </c>
      <c r="U220" t="n">
        <v>140.125818</v>
      </c>
      <c r="V220" t="n">
        <v>-299079.478285</v>
      </c>
      <c r="W220" t="n">
        <v>574.027146</v>
      </c>
      <c r="X220" t="n">
        <v>502.728082</v>
      </c>
      <c r="Y220" t="n">
        <v>42.955466</v>
      </c>
      <c r="Z220" t="n">
        <v>65.044787</v>
      </c>
    </row>
    <row r="221" ht="21" customHeight="1">
      <c r="A221" t="inlineStr">
        <is>
          <t>Plectorhinchus</t>
        </is>
      </c>
      <c r="B221" t="n">
        <v>3.43</v>
      </c>
      <c r="C221" t="n">
        <v>269.15348</v>
      </c>
      <c r="D221" s="10" t="inlineStr">
        <is>
          <t>2 SM pisc | 3 SM pisc</t>
        </is>
      </c>
      <c r="E221" t="n">
        <v>276.665746</v>
      </c>
      <c r="F221" t="n">
        <v>735.917019</v>
      </c>
      <c r="G221" t="n">
        <v>452.492682</v>
      </c>
      <c r="H221" t="n">
        <v>682.505571</v>
      </c>
      <c r="I221" t="n">
        <v>235.544874</v>
      </c>
      <c r="J221" t="n">
        <v>314.328392</v>
      </c>
      <c r="K221" t="n">
        <v>298.611973</v>
      </c>
      <c r="L221" t="n">
        <v>954.92823</v>
      </c>
      <c r="M221" t="n">
        <v>954.92823</v>
      </c>
      <c r="N221" t="n">
        <v>954.92823</v>
      </c>
      <c r="O221" t="n">
        <v>843.700548</v>
      </c>
      <c r="P221" t="n">
        <v>294.126635</v>
      </c>
      <c r="Q221" t="n">
        <v>954.92823</v>
      </c>
      <c r="R221" t="n">
        <v>10111.529968</v>
      </c>
      <c r="S221" t="n">
        <v>843.700548</v>
      </c>
      <c r="T221" t="n">
        <v>668478.0116420001</v>
      </c>
      <c r="U221" t="n">
        <v>294.126635</v>
      </c>
      <c r="V221" t="n">
        <v>-16893452.951404</v>
      </c>
      <c r="W221" t="n">
        <v>1324.45367</v>
      </c>
      <c r="X221" t="n">
        <v>1272.235398</v>
      </c>
      <c r="Y221" t="n">
        <v>110.428635</v>
      </c>
      <c r="Z221" t="n">
        <v>131.805708</v>
      </c>
    </row>
    <row r="222" ht="21" customHeight="1">
      <c r="A222" t="inlineStr">
        <is>
          <t>Dussumieria elopsoides</t>
        </is>
      </c>
      <c r="B222" t="n">
        <v>3.4</v>
      </c>
      <c r="C222" t="n">
        <v>251.188643</v>
      </c>
      <c r="D222" s="10" t="inlineStr">
        <is>
          <t>2 S pelagics | 3 S pelagics</t>
        </is>
      </c>
      <c r="E222" t="n">
        <v>276.665746</v>
      </c>
      <c r="F222" t="n">
        <v>140.109476</v>
      </c>
      <c r="G222" t="n">
        <v>97.63290000000001</v>
      </c>
      <c r="H222" t="n">
        <v>192.742209</v>
      </c>
      <c r="I222" t="n">
        <v>80.89349199999999</v>
      </c>
      <c r="J222" t="n">
        <v>105.806754</v>
      </c>
      <c r="K222" t="n">
        <v>98.775728</v>
      </c>
      <c r="L222" t="n">
        <v>234.092906</v>
      </c>
      <c r="M222" t="n">
        <v>234.092906</v>
      </c>
      <c r="N222" t="n">
        <v>234.092906</v>
      </c>
      <c r="O222" t="n">
        <v>202.855848</v>
      </c>
      <c r="P222" t="n">
        <v>80.16221299999999</v>
      </c>
      <c r="Q222" t="n">
        <v>234.092906</v>
      </c>
      <c r="R222" t="n">
        <v>-33950.413664</v>
      </c>
      <c r="S222" t="n">
        <v>202.855848</v>
      </c>
      <c r="T222" t="n">
        <v>227501.375555</v>
      </c>
      <c r="U222" t="n">
        <v>80.16221299999999</v>
      </c>
      <c r="V222" t="n">
        <v>-5091897.075108</v>
      </c>
      <c r="W222" t="n">
        <v>296.389113</v>
      </c>
      <c r="X222" t="n">
        <v>299.235812</v>
      </c>
      <c r="Y222" t="n">
        <v>34.1744</v>
      </c>
      <c r="Z222" t="n">
        <v>48.437594</v>
      </c>
    </row>
    <row r="223" ht="21" customHeight="1">
      <c r="A223" t="inlineStr">
        <is>
          <t>Panulirus longipes</t>
        </is>
      </c>
      <c r="B223" t="n">
        <v>2.6</v>
      </c>
      <c r="C223" t="n">
        <v>39.810717</v>
      </c>
      <c r="D223" s="10" t="inlineStr">
        <is>
          <t>2 Crustaceans | 3 Crustaceans</t>
        </is>
      </c>
      <c r="E223" t="n">
        <v>276.665746</v>
      </c>
      <c r="F223" t="n">
        <v>87.346446</v>
      </c>
      <c r="G223" t="n">
        <v>62.825827</v>
      </c>
      <c r="H223" t="n">
        <v>62.583797</v>
      </c>
      <c r="I223" t="n">
        <v>49.059783</v>
      </c>
      <c r="J223" t="n">
        <v>49.059783</v>
      </c>
      <c r="K223" t="n">
        <v>45.848307</v>
      </c>
      <c r="L223" t="n">
        <v>88.61683499999999</v>
      </c>
      <c r="M223" t="n">
        <v>88.61683499999999</v>
      </c>
      <c r="N223" t="n">
        <v>88.61683499999999</v>
      </c>
      <c r="O223" t="n">
        <v>112.736869</v>
      </c>
      <c r="P223" t="n">
        <v>69.749027</v>
      </c>
      <c r="Q223" t="n">
        <v>88.61683499999999</v>
      </c>
      <c r="R223" t="n">
        <v>88.61683499999999</v>
      </c>
      <c r="S223" t="n">
        <v>112.736869</v>
      </c>
      <c r="T223" t="n">
        <v>18.000131</v>
      </c>
      <c r="U223" t="n">
        <v>69.749027</v>
      </c>
      <c r="V223" t="n">
        <v>77.336753</v>
      </c>
      <c r="W223" t="n">
        <v>138.030843</v>
      </c>
      <c r="X223" t="n">
        <v>98.46392899999999</v>
      </c>
      <c r="Y223" t="n">
        <v>24.163479</v>
      </c>
      <c r="Z223" t="n">
        <v>23.495104</v>
      </c>
    </row>
    <row r="224" ht="21" customHeight="1">
      <c r="A224" t="inlineStr">
        <is>
          <t>Pteriomorphia</t>
        </is>
      </c>
      <c r="B224" t="n">
        <v>2.27</v>
      </c>
      <c r="C224" t="n">
        <v>18.620871</v>
      </c>
      <c r="D224" s="10" t="inlineStr">
        <is>
          <t>2 Macrobenthos | 3 Macrobenthos</t>
        </is>
      </c>
      <c r="E224" t="n">
        <v>276.665746</v>
      </c>
      <c r="F224" t="n">
        <v>43.212782</v>
      </c>
      <c r="G224" t="n">
        <v>32.623281</v>
      </c>
      <c r="H224" t="n">
        <v>41.368719</v>
      </c>
      <c r="I224" t="n">
        <v>34.461512</v>
      </c>
      <c r="J224" t="n">
        <v>34.461512</v>
      </c>
      <c r="K224" t="n">
        <v>31.432014</v>
      </c>
      <c r="L224" t="n">
        <v>106.719149</v>
      </c>
      <c r="M224" t="n">
        <v>106.719149</v>
      </c>
      <c r="N224" t="n">
        <v>106.719149</v>
      </c>
      <c r="O224" t="n">
        <v>113.412456</v>
      </c>
      <c r="P224" t="n">
        <v>57.717594</v>
      </c>
      <c r="Q224" t="n">
        <v>106.719149</v>
      </c>
      <c r="R224" t="n">
        <v>106.719149</v>
      </c>
      <c r="S224" t="n">
        <v>113.412456</v>
      </c>
      <c r="T224" t="n">
        <v>25.029149</v>
      </c>
      <c r="U224" t="n">
        <v>57.717594</v>
      </c>
      <c r="V224" t="n">
        <v>63.584441</v>
      </c>
      <c r="W224" t="n">
        <v>206.884057</v>
      </c>
      <c r="X224" t="n">
        <v>165.070073</v>
      </c>
      <c r="Y224" t="n">
        <v>14.477738</v>
      </c>
      <c r="Z224" t="n">
        <v>16.337529</v>
      </c>
    </row>
    <row r="225" ht="21" customHeight="1">
      <c r="A225" t="inlineStr">
        <is>
          <t>Lutjanus quinquelineatus</t>
        </is>
      </c>
      <c r="B225" t="n">
        <v>3.68</v>
      </c>
      <c r="C225" t="n">
        <v>478.630092</v>
      </c>
      <c r="D225" s="10" t="inlineStr">
        <is>
          <t>2 L pisc comm | 3 L pisc comm</t>
        </is>
      </c>
      <c r="E225" t="n">
        <v>276.665746</v>
      </c>
      <c r="F225" t="n">
        <v>942.008432</v>
      </c>
      <c r="G225" t="n">
        <v>569.455705</v>
      </c>
      <c r="H225" t="n">
        <v>2134.327853</v>
      </c>
      <c r="I225" t="n">
        <v>640.479051</v>
      </c>
      <c r="J225" t="n">
        <v>809.758325</v>
      </c>
      <c r="K225" t="n">
        <v>735.799922</v>
      </c>
      <c r="L225" t="n">
        <v>2161.826618</v>
      </c>
      <c r="M225" t="n">
        <v>2161.826618</v>
      </c>
      <c r="N225" t="n">
        <v>2161.826618</v>
      </c>
      <c r="O225" t="n">
        <v>1597.141175</v>
      </c>
      <c r="P225" t="n">
        <v>484.321234</v>
      </c>
      <c r="Q225" t="n">
        <v>2161.826618</v>
      </c>
      <c r="R225" t="n">
        <v>-1582279.837302</v>
      </c>
      <c r="S225" t="n">
        <v>1597.141175</v>
      </c>
      <c r="T225" t="n">
        <v>18597729.236262</v>
      </c>
      <c r="U225" t="n">
        <v>484.321234</v>
      </c>
      <c r="V225" t="n">
        <v>-731199951.6958441</v>
      </c>
      <c r="W225" t="n">
        <v>2522.004884</v>
      </c>
      <c r="X225" t="n">
        <v>2847.344437</v>
      </c>
      <c r="Y225" t="n">
        <v>132.205276</v>
      </c>
      <c r="Z225" t="n">
        <v>267.681374</v>
      </c>
    </row>
    <row r="226" ht="21" customHeight="1">
      <c r="A226" t="inlineStr">
        <is>
          <t>Arcidae</t>
        </is>
      </c>
      <c r="B226" t="n">
        <v>2</v>
      </c>
      <c r="C226" t="n">
        <v>10</v>
      </c>
      <c r="D226" s="10" t="inlineStr">
        <is>
          <t>2 Macrobenthos | 3 Macrobenthos</t>
        </is>
      </c>
      <c r="E226" t="n">
        <v>276.665746</v>
      </c>
      <c r="F226" t="n">
        <v>43.212782</v>
      </c>
      <c r="G226" t="n">
        <v>32.623281</v>
      </c>
      <c r="H226" t="n">
        <v>41.368719</v>
      </c>
      <c r="I226" t="n">
        <v>34.461512</v>
      </c>
      <c r="J226" t="n">
        <v>34.461512</v>
      </c>
      <c r="K226" t="n">
        <v>31.432014</v>
      </c>
      <c r="L226" t="n">
        <v>106.719149</v>
      </c>
      <c r="M226" t="n">
        <v>106.719149</v>
      </c>
      <c r="N226" t="n">
        <v>106.719149</v>
      </c>
      <c r="O226" t="n">
        <v>113.412456</v>
      </c>
      <c r="P226" t="n">
        <v>57.717594</v>
      </c>
      <c r="Q226" t="n">
        <v>106.719149</v>
      </c>
      <c r="R226" t="n">
        <v>106.719149</v>
      </c>
      <c r="S226" t="n">
        <v>113.412456</v>
      </c>
      <c r="T226" t="n">
        <v>25.029149</v>
      </c>
      <c r="U226" t="n">
        <v>57.717594</v>
      </c>
      <c r="V226" t="n">
        <v>63.584441</v>
      </c>
      <c r="W226" t="n">
        <v>206.884057</v>
      </c>
      <c r="X226" t="n">
        <v>165.070073</v>
      </c>
      <c r="Y226" t="n">
        <v>14.477738</v>
      </c>
      <c r="Z226" t="n">
        <v>16.337529</v>
      </c>
    </row>
    <row r="227" ht="21" customHeight="1">
      <c r="A227" t="inlineStr">
        <is>
          <t>Rachycentron canadum</t>
        </is>
      </c>
      <c r="B227" t="n">
        <v>3.96</v>
      </c>
      <c r="C227" t="n">
        <v>912.010839</v>
      </c>
      <c r="D227" s="10" t="inlineStr">
        <is>
          <t>2 L pisc | 3 L pisc</t>
        </is>
      </c>
      <c r="E227" t="n">
        <v>276.665746</v>
      </c>
      <c r="F227" t="n">
        <v>1671.644897</v>
      </c>
      <c r="G227" t="n">
        <v>968.768055</v>
      </c>
      <c r="H227" t="n">
        <v>4321.103431</v>
      </c>
      <c r="I227" t="n">
        <v>1003.861945</v>
      </c>
      <c r="J227" t="n">
        <v>1190.295649</v>
      </c>
      <c r="K227" t="n">
        <v>1071.266084</v>
      </c>
      <c r="L227" t="n">
        <v>3542.246528</v>
      </c>
      <c r="M227" t="n">
        <v>3542.246528</v>
      </c>
      <c r="N227" t="n">
        <v>3542.246528</v>
      </c>
      <c r="O227" t="n">
        <v>2538.689141</v>
      </c>
      <c r="P227" t="n">
        <v>681.946673</v>
      </c>
      <c r="Q227" t="n">
        <v>3542.246528</v>
      </c>
      <c r="R227" t="n">
        <v>60332.209612</v>
      </c>
      <c r="S227" t="n">
        <v>2538.689141</v>
      </c>
      <c r="T227" t="n">
        <v>4692815.596611</v>
      </c>
      <c r="U227" t="n">
        <v>681.946673</v>
      </c>
      <c r="V227" t="n">
        <v>8778895377.827705</v>
      </c>
      <c r="W227" t="n">
        <v>4084.723039</v>
      </c>
      <c r="X227" t="n">
        <v>4708.979406</v>
      </c>
      <c r="Y227" t="n">
        <v>198.988407</v>
      </c>
      <c r="Z227" t="n">
        <v>443.769811</v>
      </c>
    </row>
    <row r="228" ht="21" customHeight="1">
      <c r="A228" t="inlineStr">
        <is>
          <t>Istiompax indica</t>
        </is>
      </c>
      <c r="B228" t="n">
        <v>4.5</v>
      </c>
      <c r="C228" t="n">
        <v>3162.27766</v>
      </c>
      <c r="D228" s="10" t="inlineStr">
        <is>
          <t>Tuna-like</t>
        </is>
      </c>
      <c r="E228" t="n">
        <v>276.665746</v>
      </c>
      <c r="F228" t="n">
        <v>3650.332839</v>
      </c>
      <c r="G228" t="n">
        <v>2005.591894</v>
      </c>
      <c r="H228" t="n">
        <v>10202.43919</v>
      </c>
      <c r="I228" t="n">
        <v>2103.316703</v>
      </c>
      <c r="J228" t="n">
        <v>2473.629877</v>
      </c>
      <c r="K228" t="n">
        <v>2211.42511</v>
      </c>
      <c r="L228" t="n">
        <v>8474.746773000001</v>
      </c>
      <c r="M228" t="n">
        <v>8474.746773000001</v>
      </c>
      <c r="N228" t="n">
        <v>8474.746773000001</v>
      </c>
      <c r="O228" t="n">
        <v>5374.550638</v>
      </c>
      <c r="P228" t="n">
        <v>1271.625707</v>
      </c>
      <c r="Q228" t="n">
        <v>8474.746773000001</v>
      </c>
      <c r="R228" t="n">
        <v>11745249.699026</v>
      </c>
      <c r="S228" t="n">
        <v>5374.550638</v>
      </c>
      <c r="T228" t="n">
        <v>-414959.643064</v>
      </c>
      <c r="U228" t="n">
        <v>1271.625707</v>
      </c>
      <c r="V228" t="n">
        <v>-2163898509.296668</v>
      </c>
      <c r="W228" t="n">
        <v>8903.01534</v>
      </c>
      <c r="X228" t="n">
        <v>11378.963772</v>
      </c>
      <c r="Y228" t="n">
        <v>351.683283</v>
      </c>
      <c r="Z228" t="n">
        <v>849.64013</v>
      </c>
    </row>
    <row r="229" ht="21" customHeight="1">
      <c r="A229" t="inlineStr">
        <is>
          <t>Auxis rochei</t>
        </is>
      </c>
      <c r="B229" t="n">
        <v>4.13</v>
      </c>
      <c r="C229" t="n">
        <v>1348.962883</v>
      </c>
      <c r="D229" s="10" t="inlineStr">
        <is>
          <t>Coastal scombrids</t>
        </is>
      </c>
      <c r="E229" t="n">
        <v>276.665746</v>
      </c>
      <c r="F229" t="n">
        <v>2151.411916</v>
      </c>
      <c r="G229" t="n">
        <v>1228.563684</v>
      </c>
      <c r="H229" t="n">
        <v>5449.628126</v>
      </c>
      <c r="I229" t="n">
        <v>1746.481623</v>
      </c>
      <c r="J229" t="n">
        <v>2058.735989</v>
      </c>
      <c r="K229" t="n">
        <v>1231.124121</v>
      </c>
      <c r="L229" t="n">
        <v>5799.192784</v>
      </c>
      <c r="M229" t="n">
        <v>5799.192784</v>
      </c>
      <c r="N229" t="n">
        <v>5799.192784</v>
      </c>
      <c r="O229" t="n">
        <v>2889.445671</v>
      </c>
      <c r="P229" t="n">
        <v>773.655572</v>
      </c>
      <c r="Q229" t="n">
        <v>5799.192784</v>
      </c>
      <c r="R229" t="n">
        <v>16496946.005748</v>
      </c>
      <c r="S229" t="n">
        <v>2889.445671</v>
      </c>
      <c r="T229" t="n">
        <v>-17915259.4837</v>
      </c>
      <c r="U229" t="n">
        <v>773.655572</v>
      </c>
      <c r="V229" t="n">
        <v>-5915900048852866</v>
      </c>
      <c r="W229" t="n">
        <v>4649.46224</v>
      </c>
      <c r="X229" t="n">
        <v>7908.520493</v>
      </c>
      <c r="Y229" t="n">
        <v>241.012964</v>
      </c>
      <c r="Z229" t="n">
        <v>536.974768</v>
      </c>
    </row>
    <row r="230" ht="21" customHeight="1">
      <c r="A230" t="inlineStr">
        <is>
          <t>Acanthocybium solandri</t>
        </is>
      </c>
      <c r="B230" t="n">
        <v>4.26</v>
      </c>
      <c r="C230" t="n">
        <v>1819.700859</v>
      </c>
      <c r="D230" s="10" t="inlineStr">
        <is>
          <t>Tuna-like</t>
        </is>
      </c>
      <c r="E230" t="n">
        <v>276.665746</v>
      </c>
      <c r="F230" t="n">
        <v>3650.332839</v>
      </c>
      <c r="G230" t="n">
        <v>2005.591894</v>
      </c>
      <c r="H230" t="n">
        <v>10202.43919</v>
      </c>
      <c r="I230" t="n">
        <v>2103.316703</v>
      </c>
      <c r="J230" t="n">
        <v>2473.629877</v>
      </c>
      <c r="K230" t="n">
        <v>2211.42511</v>
      </c>
      <c r="L230" t="n">
        <v>8474.746773000001</v>
      </c>
      <c r="M230" t="n">
        <v>8474.746773000001</v>
      </c>
      <c r="N230" t="n">
        <v>8474.746773000001</v>
      </c>
      <c r="O230" t="n">
        <v>5374.550638</v>
      </c>
      <c r="P230" t="n">
        <v>1271.625707</v>
      </c>
      <c r="Q230" t="n">
        <v>8474.746773000001</v>
      </c>
      <c r="R230" t="n">
        <v>11745249.699026</v>
      </c>
      <c r="S230" t="n">
        <v>5374.550638</v>
      </c>
      <c r="T230" t="n">
        <v>-414959.643064</v>
      </c>
      <c r="U230" t="n">
        <v>1271.625707</v>
      </c>
      <c r="V230" t="n">
        <v>-2163898509.296668</v>
      </c>
      <c r="W230" t="n">
        <v>8903.01534</v>
      </c>
      <c r="X230" t="n">
        <v>11378.963772</v>
      </c>
      <c r="Y230" t="n">
        <v>351.683283</v>
      </c>
      <c r="Z230" t="n">
        <v>849.64013</v>
      </c>
    </row>
    <row r="231" ht="21" customHeight="1">
      <c r="A231" t="inlineStr">
        <is>
          <t>Sarda orientalis</t>
        </is>
      </c>
      <c r="B231" t="n">
        <v>4.21</v>
      </c>
      <c r="C231" t="n">
        <v>1621.810097</v>
      </c>
      <c r="D231" s="10" t="inlineStr">
        <is>
          <t>Coastal scombrids</t>
        </is>
      </c>
      <c r="E231" t="n">
        <v>276.665746</v>
      </c>
      <c r="F231" t="n">
        <v>2151.411916</v>
      </c>
      <c r="G231" t="n">
        <v>1228.563684</v>
      </c>
      <c r="H231" t="n">
        <v>5449.628126</v>
      </c>
      <c r="I231" t="n">
        <v>1746.481623</v>
      </c>
      <c r="J231" t="n">
        <v>2058.735989</v>
      </c>
      <c r="K231" t="n">
        <v>1231.124121</v>
      </c>
      <c r="L231" t="n">
        <v>5799.192784</v>
      </c>
      <c r="M231" t="n">
        <v>5799.192784</v>
      </c>
      <c r="N231" t="n">
        <v>5799.192784</v>
      </c>
      <c r="O231" t="n">
        <v>2889.445671</v>
      </c>
      <c r="P231" t="n">
        <v>773.655572</v>
      </c>
      <c r="Q231" t="n">
        <v>5799.192784</v>
      </c>
      <c r="R231" t="n">
        <v>16496946.005748</v>
      </c>
      <c r="S231" t="n">
        <v>2889.445671</v>
      </c>
      <c r="T231" t="n">
        <v>-17915259.4837</v>
      </c>
      <c r="U231" t="n">
        <v>773.655572</v>
      </c>
      <c r="V231" t="n">
        <v>-5915900048852866</v>
      </c>
      <c r="W231" t="n">
        <v>4649.46224</v>
      </c>
      <c r="X231" t="n">
        <v>7908.520493</v>
      </c>
      <c r="Y231" t="n">
        <v>241.012964</v>
      </c>
      <c r="Z231" t="n">
        <v>536.974768</v>
      </c>
    </row>
    <row r="232" ht="21" customHeight="1">
      <c r="A232" t="inlineStr">
        <is>
          <t>Sardinella fimbriata</t>
        </is>
      </c>
      <c r="B232" t="n">
        <v>2.7</v>
      </c>
      <c r="C232" t="n">
        <v>50.118723</v>
      </c>
      <c r="D232" s="10" t="inlineStr">
        <is>
          <t>2 S pelagics | 3 S pelagics</t>
        </is>
      </c>
      <c r="E232" t="n">
        <v>276.665746</v>
      </c>
      <c r="F232" t="n">
        <v>140.109476</v>
      </c>
      <c r="G232" t="n">
        <v>97.63290000000001</v>
      </c>
      <c r="H232" t="n">
        <v>192.742209</v>
      </c>
      <c r="I232" t="n">
        <v>80.89349199999999</v>
      </c>
      <c r="J232" t="n">
        <v>105.806754</v>
      </c>
      <c r="K232" t="n">
        <v>98.775728</v>
      </c>
      <c r="L232" t="n">
        <v>234.092906</v>
      </c>
      <c r="M232" t="n">
        <v>234.092906</v>
      </c>
      <c r="N232" t="n">
        <v>234.092906</v>
      </c>
      <c r="O232" t="n">
        <v>202.855848</v>
      </c>
      <c r="P232" t="n">
        <v>80.16221299999999</v>
      </c>
      <c r="Q232" t="n">
        <v>234.092906</v>
      </c>
      <c r="R232" t="n">
        <v>-33950.413664</v>
      </c>
      <c r="S232" t="n">
        <v>202.855848</v>
      </c>
      <c r="T232" t="n">
        <v>227501.375555</v>
      </c>
      <c r="U232" t="n">
        <v>80.16221299999999</v>
      </c>
      <c r="V232" t="n">
        <v>-5091897.075108</v>
      </c>
      <c r="W232" t="n">
        <v>296.389113</v>
      </c>
      <c r="X232" t="n">
        <v>299.235812</v>
      </c>
      <c r="Y232" t="n">
        <v>34.1744</v>
      </c>
      <c r="Z232" t="n">
        <v>48.437594</v>
      </c>
    </row>
    <row r="233" ht="21" customHeight="1">
      <c r="A233" t="inlineStr">
        <is>
          <t>Gazza minuta</t>
        </is>
      </c>
      <c r="B233" t="n">
        <v>4.19</v>
      </c>
      <c r="C233" t="n">
        <v>1548.816619</v>
      </c>
      <c r="D233" s="10" t="inlineStr">
        <is>
          <t>2 SM inv | 3 SM inv</t>
        </is>
      </c>
      <c r="E233" t="n">
        <v>276.665746</v>
      </c>
      <c r="F233" t="n">
        <v>195.237034</v>
      </c>
      <c r="G233" t="n">
        <v>132.430212</v>
      </c>
      <c r="H233" t="n">
        <v>264.469084</v>
      </c>
      <c r="I233" t="n">
        <v>118.913507</v>
      </c>
      <c r="J233" t="n">
        <v>136.139541</v>
      </c>
      <c r="K233" t="n">
        <v>127.362312</v>
      </c>
      <c r="L233" t="n">
        <v>358.406583</v>
      </c>
      <c r="M233" t="n">
        <v>358.406583</v>
      </c>
      <c r="N233" t="n">
        <v>358.406583</v>
      </c>
      <c r="O233" t="n">
        <v>341.418803</v>
      </c>
      <c r="P233" t="n">
        <v>140.125818</v>
      </c>
      <c r="Q233" t="n">
        <v>358.406583</v>
      </c>
      <c r="R233" t="n">
        <v>5989.509989</v>
      </c>
      <c r="S233" t="n">
        <v>341.418803</v>
      </c>
      <c r="T233" t="n">
        <v>178554.604556</v>
      </c>
      <c r="U233" t="n">
        <v>140.125818</v>
      </c>
      <c r="V233" t="n">
        <v>-299079.478285</v>
      </c>
      <c r="W233" t="n">
        <v>574.027146</v>
      </c>
      <c r="X233" t="n">
        <v>502.728082</v>
      </c>
      <c r="Y233" t="n">
        <v>42.955466</v>
      </c>
      <c r="Z233" t="n">
        <v>65.044787</v>
      </c>
    </row>
    <row r="234" ht="21" customHeight="1">
      <c r="A234" t="inlineStr">
        <is>
          <t>Panulirus homarus</t>
        </is>
      </c>
      <c r="B234" t="n">
        <v>3.33</v>
      </c>
      <c r="C234" t="n">
        <v>213.796209</v>
      </c>
      <c r="D234" s="10" t="inlineStr">
        <is>
          <t>2 Crustaceans | 3 Crustaceans</t>
        </is>
      </c>
      <c r="E234" t="n">
        <v>276.665746</v>
      </c>
      <c r="F234" t="n">
        <v>87.346446</v>
      </c>
      <c r="G234" t="n">
        <v>62.825827</v>
      </c>
      <c r="H234" t="n">
        <v>62.583797</v>
      </c>
      <c r="I234" t="n">
        <v>49.059783</v>
      </c>
      <c r="J234" t="n">
        <v>49.059783</v>
      </c>
      <c r="K234" t="n">
        <v>45.848307</v>
      </c>
      <c r="L234" t="n">
        <v>88.61683499999999</v>
      </c>
      <c r="M234" t="n">
        <v>88.61683499999999</v>
      </c>
      <c r="N234" t="n">
        <v>88.61683499999999</v>
      </c>
      <c r="O234" t="n">
        <v>112.736869</v>
      </c>
      <c r="P234" t="n">
        <v>69.749027</v>
      </c>
      <c r="Q234" t="n">
        <v>88.61683499999999</v>
      </c>
      <c r="R234" t="n">
        <v>88.61683499999999</v>
      </c>
      <c r="S234" t="n">
        <v>112.736869</v>
      </c>
      <c r="T234" t="n">
        <v>18.000131</v>
      </c>
      <c r="U234" t="n">
        <v>69.749027</v>
      </c>
      <c r="V234" t="n">
        <v>77.336753</v>
      </c>
      <c r="W234" t="n">
        <v>138.030843</v>
      </c>
      <c r="X234" t="n">
        <v>98.46392899999999</v>
      </c>
      <c r="Y234" t="n">
        <v>24.163479</v>
      </c>
      <c r="Z234" t="n">
        <v>23.495104</v>
      </c>
    </row>
    <row r="235" ht="21" customHeight="1">
      <c r="A235" t="inlineStr">
        <is>
          <t>Crassostrea</t>
        </is>
      </c>
      <c r="D235" s="10" t="inlineStr">
        <is>
          <t>2 Macrobenthos | 3 Macrobenthos</t>
        </is>
      </c>
      <c r="E235" t="n">
        <v>276.665746</v>
      </c>
      <c r="F235" t="n">
        <v>43.212782</v>
      </c>
      <c r="G235" t="n">
        <v>32.623281</v>
      </c>
      <c r="H235" t="n">
        <v>41.368719</v>
      </c>
      <c r="I235" t="n">
        <v>34.461512</v>
      </c>
      <c r="J235" t="n">
        <v>34.461512</v>
      </c>
      <c r="K235" t="n">
        <v>31.432014</v>
      </c>
      <c r="L235" t="n">
        <v>106.719149</v>
      </c>
      <c r="M235" t="n">
        <v>106.719149</v>
      </c>
      <c r="N235" t="n">
        <v>106.719149</v>
      </c>
      <c r="O235" t="n">
        <v>113.412456</v>
      </c>
      <c r="P235" t="n">
        <v>57.717594</v>
      </c>
      <c r="Q235" t="n">
        <v>106.719149</v>
      </c>
      <c r="R235" t="n">
        <v>106.719149</v>
      </c>
      <c r="S235" t="n">
        <v>113.412456</v>
      </c>
      <c r="T235" t="n">
        <v>25.029149</v>
      </c>
      <c r="U235" t="n">
        <v>57.717594</v>
      </c>
      <c r="V235" t="n">
        <v>63.584441</v>
      </c>
      <c r="W235" t="n">
        <v>206.884057</v>
      </c>
      <c r="X235" t="n">
        <v>165.070073</v>
      </c>
      <c r="Y235" t="n">
        <v>14.477738</v>
      </c>
      <c r="Z235" t="n">
        <v>16.337529</v>
      </c>
    </row>
    <row r="236" ht="21" customHeight="1">
      <c r="A236" t="inlineStr">
        <is>
          <t>Drepane</t>
        </is>
      </c>
      <c r="B236" t="n">
        <v>3.32</v>
      </c>
      <c r="C236" t="n">
        <v>208.929613</v>
      </c>
      <c r="D236" s="10" t="inlineStr">
        <is>
          <t>2 SM pisc | 3 SM pisc</t>
        </is>
      </c>
      <c r="E236" t="n">
        <v>276.665746</v>
      </c>
      <c r="F236" t="n">
        <v>735.917019</v>
      </c>
      <c r="G236" t="n">
        <v>452.492682</v>
      </c>
      <c r="H236" t="n">
        <v>682.505571</v>
      </c>
      <c r="I236" t="n">
        <v>235.544874</v>
      </c>
      <c r="J236" t="n">
        <v>314.328392</v>
      </c>
      <c r="K236" t="n">
        <v>298.611973</v>
      </c>
      <c r="L236" t="n">
        <v>954.92823</v>
      </c>
      <c r="M236" t="n">
        <v>954.92823</v>
      </c>
      <c r="N236" t="n">
        <v>954.92823</v>
      </c>
      <c r="O236" t="n">
        <v>843.700548</v>
      </c>
      <c r="P236" t="n">
        <v>294.126635</v>
      </c>
      <c r="Q236" t="n">
        <v>954.92823</v>
      </c>
      <c r="R236" t="n">
        <v>10111.529968</v>
      </c>
      <c r="S236" t="n">
        <v>843.700548</v>
      </c>
      <c r="T236" t="n">
        <v>668478.0116420001</v>
      </c>
      <c r="U236" t="n">
        <v>294.126635</v>
      </c>
      <c r="V236" t="n">
        <v>-16893452.951404</v>
      </c>
      <c r="W236" t="n">
        <v>1324.45367</v>
      </c>
      <c r="X236" t="n">
        <v>1272.235398</v>
      </c>
      <c r="Y236" t="n">
        <v>110.428635</v>
      </c>
      <c r="Z236" t="n">
        <v>131.805708</v>
      </c>
    </row>
    <row r="237" ht="21" customHeight="1">
      <c r="A237" t="inlineStr">
        <is>
          <t>Coryphaena hippurus</t>
        </is>
      </c>
      <c r="B237" t="n">
        <v>4.37</v>
      </c>
      <c r="C237" t="n">
        <v>2344.228815</v>
      </c>
      <c r="D237" s="10" t="inlineStr">
        <is>
          <t>2 L pisc | 3 L pisc</t>
        </is>
      </c>
      <c r="E237" t="n">
        <v>276.665746</v>
      </c>
      <c r="F237" t="n">
        <v>1671.644897</v>
      </c>
      <c r="G237" t="n">
        <v>968.768055</v>
      </c>
      <c r="H237" t="n">
        <v>4321.103431</v>
      </c>
      <c r="I237" t="n">
        <v>1003.861945</v>
      </c>
      <c r="J237" t="n">
        <v>1190.295649</v>
      </c>
      <c r="K237" t="n">
        <v>1071.266084</v>
      </c>
      <c r="L237" t="n">
        <v>3542.246528</v>
      </c>
      <c r="M237" t="n">
        <v>3542.246528</v>
      </c>
      <c r="N237" t="n">
        <v>3542.246528</v>
      </c>
      <c r="O237" t="n">
        <v>2538.689141</v>
      </c>
      <c r="P237" t="n">
        <v>681.946673</v>
      </c>
      <c r="Q237" t="n">
        <v>3542.246528</v>
      </c>
      <c r="R237" t="n">
        <v>60332.209612</v>
      </c>
      <c r="S237" t="n">
        <v>2538.689141</v>
      </c>
      <c r="T237" t="n">
        <v>4692815.596611</v>
      </c>
      <c r="U237" t="n">
        <v>681.946673</v>
      </c>
      <c r="V237" t="n">
        <v>8778895377.827705</v>
      </c>
      <c r="W237" t="n">
        <v>4084.723039</v>
      </c>
      <c r="X237" t="n">
        <v>4708.979406</v>
      </c>
      <c r="Y237" t="n">
        <v>198.988407</v>
      </c>
      <c r="Z237" t="n">
        <v>443.769811</v>
      </c>
    </row>
    <row r="238" ht="21" customHeight="1">
      <c r="A238" t="inlineStr">
        <is>
          <t>Latidae</t>
        </is>
      </c>
      <c r="B238" t="n">
        <v>4.35</v>
      </c>
      <c r="C238" t="n">
        <v>2238.721139</v>
      </c>
      <c r="D238" s="10" t="inlineStr">
        <is>
          <t>2 L pisc | 3 L pisc</t>
        </is>
      </c>
      <c r="E238" t="n">
        <v>276.665746</v>
      </c>
      <c r="F238" t="n">
        <v>1671.644897</v>
      </c>
      <c r="G238" t="n">
        <v>968.768055</v>
      </c>
      <c r="H238" t="n">
        <v>4321.103431</v>
      </c>
      <c r="I238" t="n">
        <v>1003.861945</v>
      </c>
      <c r="J238" t="n">
        <v>1190.295649</v>
      </c>
      <c r="K238" t="n">
        <v>1071.266084</v>
      </c>
      <c r="L238" t="n">
        <v>3542.246528</v>
      </c>
      <c r="M238" t="n">
        <v>3542.246528</v>
      </c>
      <c r="N238" t="n">
        <v>3542.246528</v>
      </c>
      <c r="O238" t="n">
        <v>2538.689141</v>
      </c>
      <c r="P238" t="n">
        <v>681.946673</v>
      </c>
      <c r="Q238" t="n">
        <v>3542.246528</v>
      </c>
      <c r="R238" t="n">
        <v>60332.209612</v>
      </c>
      <c r="S238" t="n">
        <v>2538.689141</v>
      </c>
      <c r="T238" t="n">
        <v>4692815.596611</v>
      </c>
      <c r="U238" t="n">
        <v>681.946673</v>
      </c>
      <c r="V238" t="n">
        <v>8778895377.827705</v>
      </c>
      <c r="W238" t="n">
        <v>4084.723039</v>
      </c>
      <c r="X238" t="n">
        <v>4708.979406</v>
      </c>
      <c r="Y238" t="n">
        <v>198.988407</v>
      </c>
      <c r="Z238" t="n">
        <v>443.769811</v>
      </c>
    </row>
    <row r="239" ht="21" customHeight="1">
      <c r="A239" t="inlineStr">
        <is>
          <t>Carcharhinus longimanus</t>
        </is>
      </c>
      <c r="B239" t="n">
        <v>4.16</v>
      </c>
      <c r="C239" t="n">
        <v>1445.439771</v>
      </c>
      <c r="D239" s="10" t="inlineStr">
        <is>
          <t>Oceanic sharks</t>
        </is>
      </c>
      <c r="E239" t="n">
        <v>276.665746</v>
      </c>
      <c r="F239" t="n">
        <v>1757.235698</v>
      </c>
      <c r="G239" t="n">
        <v>1018.406889</v>
      </c>
      <c r="H239" t="n">
        <v>15272.448234</v>
      </c>
      <c r="I239" t="n">
        <v>5138.664287</v>
      </c>
      <c r="J239" t="n">
        <v>6104.491483</v>
      </c>
      <c r="K239" t="n">
        <v>3552.814043</v>
      </c>
      <c r="L239" t="n">
        <v>23073.269039</v>
      </c>
      <c r="M239" t="n">
        <v>23073.269039</v>
      </c>
      <c r="N239" t="n">
        <v>23073.269039</v>
      </c>
      <c r="O239" t="n">
        <v>8719.781079</v>
      </c>
      <c r="P239" t="n">
        <v>1862.135636</v>
      </c>
      <c r="Q239" t="n">
        <v>23073.269039</v>
      </c>
      <c r="R239" t="n">
        <v>96997077.044404</v>
      </c>
      <c r="S239" t="n">
        <v>8719.781079</v>
      </c>
      <c r="T239" t="n">
        <v>-2827644.466329</v>
      </c>
      <c r="U239" t="n">
        <v>1862.135636</v>
      </c>
      <c r="V239" t="n">
        <v>8.326891708518671e+18</v>
      </c>
      <c r="W239" t="n">
        <v>14383.018786</v>
      </c>
      <c r="X239" t="n">
        <v>31688.009682</v>
      </c>
      <c r="Y239" t="n">
        <v>208.554284</v>
      </c>
      <c r="Z239" t="n">
        <v>1011.467389</v>
      </c>
    </row>
    <row r="240" ht="21" customHeight="1">
      <c r="A240" t="inlineStr">
        <is>
          <t>Thenus orientalis</t>
        </is>
      </c>
      <c r="B240" t="n">
        <v>2.5</v>
      </c>
      <c r="C240" t="n">
        <v>31.622777</v>
      </c>
      <c r="D240" s="10" t="inlineStr">
        <is>
          <t>2 Crustaceans | 3 Crustaceans</t>
        </is>
      </c>
      <c r="E240" t="n">
        <v>276.665746</v>
      </c>
      <c r="F240" t="n">
        <v>87.346446</v>
      </c>
      <c r="G240" t="n">
        <v>62.825827</v>
      </c>
      <c r="H240" t="n">
        <v>62.583797</v>
      </c>
      <c r="I240" t="n">
        <v>49.059783</v>
      </c>
      <c r="J240" t="n">
        <v>49.059783</v>
      </c>
      <c r="K240" t="n">
        <v>45.848307</v>
      </c>
      <c r="L240" t="n">
        <v>88.61683499999999</v>
      </c>
      <c r="M240" t="n">
        <v>88.61683499999999</v>
      </c>
      <c r="N240" t="n">
        <v>88.61683499999999</v>
      </c>
      <c r="O240" t="n">
        <v>112.736869</v>
      </c>
      <c r="P240" t="n">
        <v>69.749027</v>
      </c>
      <c r="Q240" t="n">
        <v>88.61683499999999</v>
      </c>
      <c r="R240" t="n">
        <v>88.61683499999999</v>
      </c>
      <c r="S240" t="n">
        <v>112.736869</v>
      </c>
      <c r="T240" t="n">
        <v>18.000131</v>
      </c>
      <c r="U240" t="n">
        <v>69.749027</v>
      </c>
      <c r="V240" t="n">
        <v>77.336753</v>
      </c>
      <c r="W240" t="n">
        <v>138.030843</v>
      </c>
      <c r="X240" t="n">
        <v>98.46392899999999</v>
      </c>
      <c r="Y240" t="n">
        <v>24.163479</v>
      </c>
      <c r="Z240" t="n">
        <v>23.495104</v>
      </c>
    </row>
    <row r="241" ht="21" customHeight="1">
      <c r="A241" t="inlineStr">
        <is>
          <t>Istiophorus platypterus</t>
        </is>
      </c>
      <c r="B241" t="n">
        <v>4.5</v>
      </c>
      <c r="C241" t="n">
        <v>3162.27766</v>
      </c>
      <c r="D241" s="10" t="inlineStr">
        <is>
          <t>Tuna-like</t>
        </is>
      </c>
      <c r="E241" t="n">
        <v>276.665746</v>
      </c>
      <c r="F241" t="n">
        <v>3650.332839</v>
      </c>
      <c r="G241" t="n">
        <v>2005.591894</v>
      </c>
      <c r="H241" t="n">
        <v>10202.43919</v>
      </c>
      <c r="I241" t="n">
        <v>2103.316703</v>
      </c>
      <c r="J241" t="n">
        <v>2473.629877</v>
      </c>
      <c r="K241" t="n">
        <v>2211.42511</v>
      </c>
      <c r="L241" t="n">
        <v>8474.746773000001</v>
      </c>
      <c r="M241" t="n">
        <v>8474.746773000001</v>
      </c>
      <c r="N241" t="n">
        <v>8474.746773000001</v>
      </c>
      <c r="O241" t="n">
        <v>5374.550638</v>
      </c>
      <c r="P241" t="n">
        <v>1271.625707</v>
      </c>
      <c r="Q241" t="n">
        <v>8474.746773000001</v>
      </c>
      <c r="R241" t="n">
        <v>11745249.699026</v>
      </c>
      <c r="S241" t="n">
        <v>5374.550638</v>
      </c>
      <c r="T241" t="n">
        <v>-414959.643064</v>
      </c>
      <c r="U241" t="n">
        <v>1271.625707</v>
      </c>
      <c r="V241" t="n">
        <v>-2163898509.296668</v>
      </c>
      <c r="W241" t="n">
        <v>8903.01534</v>
      </c>
      <c r="X241" t="n">
        <v>11378.963772</v>
      </c>
      <c r="Y241" t="n">
        <v>351.683283</v>
      </c>
      <c r="Z241" t="n">
        <v>849.64013</v>
      </c>
    </row>
    <row r="242" ht="21" customHeight="1">
      <c r="A242" t="inlineStr">
        <is>
          <t>Trochus niloticus</t>
        </is>
      </c>
      <c r="D242" s="10" t="inlineStr">
        <is>
          <t>2 Macrobenthos | 3 Macrobenthos</t>
        </is>
      </c>
      <c r="E242" t="n">
        <v>276.665746</v>
      </c>
      <c r="F242" t="n">
        <v>43.212782</v>
      </c>
      <c r="G242" t="n">
        <v>32.623281</v>
      </c>
      <c r="H242" t="n">
        <v>41.368719</v>
      </c>
      <c r="I242" t="n">
        <v>34.461512</v>
      </c>
      <c r="J242" t="n">
        <v>34.461512</v>
      </c>
      <c r="K242" t="n">
        <v>31.432014</v>
      </c>
      <c r="L242" t="n">
        <v>106.719149</v>
      </c>
      <c r="M242" t="n">
        <v>106.719149</v>
      </c>
      <c r="N242" t="n">
        <v>106.719149</v>
      </c>
      <c r="O242" t="n">
        <v>113.412456</v>
      </c>
      <c r="P242" t="n">
        <v>57.717594</v>
      </c>
      <c r="Q242" t="n">
        <v>106.719149</v>
      </c>
      <c r="R242" t="n">
        <v>106.719149</v>
      </c>
      <c r="S242" t="n">
        <v>113.412456</v>
      </c>
      <c r="T242" t="n">
        <v>25.029149</v>
      </c>
      <c r="U242" t="n">
        <v>57.717594</v>
      </c>
      <c r="V242" t="n">
        <v>63.584441</v>
      </c>
      <c r="W242" t="n">
        <v>206.884057</v>
      </c>
      <c r="X242" t="n">
        <v>165.070073</v>
      </c>
      <c r="Y242" t="n">
        <v>14.477738</v>
      </c>
      <c r="Z242" t="n">
        <v>16.337529</v>
      </c>
    </row>
    <row r="243" ht="21" customHeight="1">
      <c r="A243" t="inlineStr">
        <is>
          <t>Sillago sihama</t>
        </is>
      </c>
      <c r="B243" t="n">
        <v>3.33</v>
      </c>
      <c r="C243" t="n">
        <v>213.796209</v>
      </c>
      <c r="D243" s="10" t="inlineStr">
        <is>
          <t>2 SM inv | 3 SM inv</t>
        </is>
      </c>
      <c r="E243" t="n">
        <v>276.665746</v>
      </c>
      <c r="F243" t="n">
        <v>195.237034</v>
      </c>
      <c r="G243" t="n">
        <v>132.430212</v>
      </c>
      <c r="H243" t="n">
        <v>264.469084</v>
      </c>
      <c r="I243" t="n">
        <v>118.913507</v>
      </c>
      <c r="J243" t="n">
        <v>136.139541</v>
      </c>
      <c r="K243" t="n">
        <v>127.362312</v>
      </c>
      <c r="L243" t="n">
        <v>358.406583</v>
      </c>
      <c r="M243" t="n">
        <v>358.406583</v>
      </c>
      <c r="N243" t="n">
        <v>358.406583</v>
      </c>
      <c r="O243" t="n">
        <v>341.418803</v>
      </c>
      <c r="P243" t="n">
        <v>140.125818</v>
      </c>
      <c r="Q243" t="n">
        <v>358.406583</v>
      </c>
      <c r="R243" t="n">
        <v>5989.509989</v>
      </c>
      <c r="S243" t="n">
        <v>341.418803</v>
      </c>
      <c r="T243" t="n">
        <v>178554.604556</v>
      </c>
      <c r="U243" t="n">
        <v>140.125818</v>
      </c>
      <c r="V243" t="n">
        <v>-299079.478285</v>
      </c>
      <c r="W243" t="n">
        <v>574.027146</v>
      </c>
      <c r="X243" t="n">
        <v>502.728082</v>
      </c>
      <c r="Y243" t="n">
        <v>42.955466</v>
      </c>
      <c r="Z243" t="n">
        <v>65.044787</v>
      </c>
    </row>
    <row r="244" ht="21" customHeight="1">
      <c r="A244" t="inlineStr">
        <is>
          <t>Isurus oxyrinchus</t>
        </is>
      </c>
      <c r="B244" t="n">
        <v>4.5</v>
      </c>
      <c r="C244" t="n">
        <v>3162.27766</v>
      </c>
      <c r="D244" s="10" t="inlineStr">
        <is>
          <t>Oceanic sharks</t>
        </is>
      </c>
      <c r="E244" t="n">
        <v>276.665746</v>
      </c>
      <c r="F244" t="n">
        <v>1757.235698</v>
      </c>
      <c r="G244" t="n">
        <v>1018.406889</v>
      </c>
      <c r="H244" t="n">
        <v>15272.448234</v>
      </c>
      <c r="I244" t="n">
        <v>5138.664287</v>
      </c>
      <c r="J244" t="n">
        <v>6104.491483</v>
      </c>
      <c r="K244" t="n">
        <v>3552.814043</v>
      </c>
      <c r="L244" t="n">
        <v>23073.269039</v>
      </c>
      <c r="M244" t="n">
        <v>23073.269039</v>
      </c>
      <c r="N244" t="n">
        <v>23073.269039</v>
      </c>
      <c r="O244" t="n">
        <v>8719.781079</v>
      </c>
      <c r="P244" t="n">
        <v>1862.135636</v>
      </c>
      <c r="Q244" t="n">
        <v>23073.269039</v>
      </c>
      <c r="R244" t="n">
        <v>96997077.044404</v>
      </c>
      <c r="S244" t="n">
        <v>8719.781079</v>
      </c>
      <c r="T244" t="n">
        <v>-2827644.466329</v>
      </c>
      <c r="U244" t="n">
        <v>1862.135636</v>
      </c>
      <c r="V244" t="n">
        <v>8.326891708518671e+18</v>
      </c>
      <c r="W244" t="n">
        <v>14383.018786</v>
      </c>
      <c r="X244" t="n">
        <v>31688.009682</v>
      </c>
      <c r="Y244" t="n">
        <v>208.554284</v>
      </c>
      <c r="Z244" t="n">
        <v>1011.467389</v>
      </c>
    </row>
    <row r="245" ht="21" customHeight="1">
      <c r="A245" t="inlineStr">
        <is>
          <t>Scatophagus</t>
        </is>
      </c>
      <c r="B245" t="n">
        <v>2.75</v>
      </c>
      <c r="C245" t="n">
        <v>56.234133</v>
      </c>
      <c r="D245" s="10" t="inlineStr">
        <is>
          <t>2 SM inv | 3 SM inv</t>
        </is>
      </c>
      <c r="E245" t="n">
        <v>276.665746</v>
      </c>
      <c r="F245" t="n">
        <v>195.237034</v>
      </c>
      <c r="G245" t="n">
        <v>132.430212</v>
      </c>
      <c r="H245" t="n">
        <v>264.469084</v>
      </c>
      <c r="I245" t="n">
        <v>118.913507</v>
      </c>
      <c r="J245" t="n">
        <v>136.139541</v>
      </c>
      <c r="K245" t="n">
        <v>127.362312</v>
      </c>
      <c r="L245" t="n">
        <v>358.406583</v>
      </c>
      <c r="M245" t="n">
        <v>358.406583</v>
      </c>
      <c r="N245" t="n">
        <v>358.406583</v>
      </c>
      <c r="O245" t="n">
        <v>341.418803</v>
      </c>
      <c r="P245" t="n">
        <v>140.125818</v>
      </c>
      <c r="Q245" t="n">
        <v>358.406583</v>
      </c>
      <c r="R245" t="n">
        <v>5989.509989</v>
      </c>
      <c r="S245" t="n">
        <v>341.418803</v>
      </c>
      <c r="T245" t="n">
        <v>178554.604556</v>
      </c>
      <c r="U245" t="n">
        <v>140.125818</v>
      </c>
      <c r="V245" t="n">
        <v>-299079.478285</v>
      </c>
      <c r="W245" t="n">
        <v>574.027146</v>
      </c>
      <c r="X245" t="n">
        <v>502.728082</v>
      </c>
      <c r="Y245" t="n">
        <v>42.955466</v>
      </c>
      <c r="Z245" t="n">
        <v>65.044787</v>
      </c>
    </row>
    <row r="246" ht="21" customHeight="1">
      <c r="A246" t="inlineStr">
        <is>
          <t>Scyris indica</t>
        </is>
      </c>
      <c r="B246" t="n">
        <v>4.09</v>
      </c>
      <c r="C246" t="n">
        <v>1230.268771</v>
      </c>
      <c r="D246" s="10" t="inlineStr">
        <is>
          <t>2 Carangids | 3 Carangids</t>
        </is>
      </c>
      <c r="E246" t="n">
        <v>276.665746</v>
      </c>
      <c r="F246" t="n">
        <v>1047.559324</v>
      </c>
      <c r="G246" t="n">
        <v>629.821299</v>
      </c>
      <c r="H246" t="n">
        <v>2238.50504</v>
      </c>
      <c r="I246" t="n">
        <v>641.128381</v>
      </c>
      <c r="J246" t="n">
        <v>754.920494</v>
      </c>
      <c r="K246" t="n">
        <v>726.746267</v>
      </c>
      <c r="L246" t="n">
        <v>2160.61505</v>
      </c>
      <c r="M246" t="n">
        <v>2160.61505</v>
      </c>
      <c r="N246" t="n">
        <v>2160.61505</v>
      </c>
      <c r="O246" t="n">
        <v>1714.802766</v>
      </c>
      <c r="P246" t="n">
        <v>507.968664</v>
      </c>
      <c r="Q246" t="n">
        <v>2160.61505</v>
      </c>
      <c r="R246" t="n">
        <v>1782592.482977</v>
      </c>
      <c r="S246" t="n">
        <v>1714.802766</v>
      </c>
      <c r="T246" t="n">
        <v>15448395.144238</v>
      </c>
      <c r="U246" t="n">
        <v>507.968664</v>
      </c>
      <c r="V246" t="n">
        <v>363121069.828352</v>
      </c>
      <c r="W246" t="n">
        <v>2799.375544</v>
      </c>
      <c r="X246" t="n">
        <v>2890.556852</v>
      </c>
      <c r="Y246" t="n">
        <v>143.6356</v>
      </c>
      <c r="Z246" t="n">
        <v>294.157869</v>
      </c>
    </row>
    <row r="247" ht="21" customHeight="1">
      <c r="A247" t="inlineStr">
        <is>
          <t>Pellona ditchela</t>
        </is>
      </c>
      <c r="B247" t="n">
        <v>3.37</v>
      </c>
      <c r="C247" t="n">
        <v>234.422882</v>
      </c>
      <c r="D247" s="10" t="inlineStr">
        <is>
          <t>2 S pelagics | 3 S pelagics</t>
        </is>
      </c>
      <c r="E247" t="n">
        <v>276.665746</v>
      </c>
      <c r="F247" t="n">
        <v>140.109476</v>
      </c>
      <c r="G247" t="n">
        <v>97.63290000000001</v>
      </c>
      <c r="H247" t="n">
        <v>192.742209</v>
      </c>
      <c r="I247" t="n">
        <v>80.89349199999999</v>
      </c>
      <c r="J247" t="n">
        <v>105.806754</v>
      </c>
      <c r="K247" t="n">
        <v>98.775728</v>
      </c>
      <c r="L247" t="n">
        <v>234.092906</v>
      </c>
      <c r="M247" t="n">
        <v>234.092906</v>
      </c>
      <c r="N247" t="n">
        <v>234.092906</v>
      </c>
      <c r="O247" t="n">
        <v>202.855848</v>
      </c>
      <c r="P247" t="n">
        <v>80.16221299999999</v>
      </c>
      <c r="Q247" t="n">
        <v>234.092906</v>
      </c>
      <c r="R247" t="n">
        <v>-33950.413664</v>
      </c>
      <c r="S247" t="n">
        <v>202.855848</v>
      </c>
      <c r="T247" t="n">
        <v>227501.375555</v>
      </c>
      <c r="U247" t="n">
        <v>80.16221299999999</v>
      </c>
      <c r="V247" t="n">
        <v>-5091897.075108</v>
      </c>
      <c r="W247" t="n">
        <v>296.389113</v>
      </c>
      <c r="X247" t="n">
        <v>299.235812</v>
      </c>
      <c r="Y247" t="n">
        <v>34.1744</v>
      </c>
      <c r="Z247" t="n">
        <v>48.437594</v>
      </c>
    </row>
    <row r="248" ht="21" customHeight="1">
      <c r="A248" t="inlineStr">
        <is>
          <t>Panulirus</t>
        </is>
      </c>
      <c r="B248" t="n">
        <v>2.6</v>
      </c>
      <c r="C248" t="n">
        <v>39.810717</v>
      </c>
      <c r="D248" s="10" t="inlineStr">
        <is>
          <t>2 Crustaceans | 3 Crustaceans</t>
        </is>
      </c>
      <c r="E248" t="n">
        <v>276.665746</v>
      </c>
      <c r="F248" t="n">
        <v>87.346446</v>
      </c>
      <c r="G248" t="n">
        <v>62.825827</v>
      </c>
      <c r="H248" t="n">
        <v>62.583797</v>
      </c>
      <c r="I248" t="n">
        <v>49.059783</v>
      </c>
      <c r="J248" t="n">
        <v>49.059783</v>
      </c>
      <c r="K248" t="n">
        <v>45.848307</v>
      </c>
      <c r="L248" t="n">
        <v>88.61683499999999</v>
      </c>
      <c r="M248" t="n">
        <v>88.61683499999999</v>
      </c>
      <c r="N248" t="n">
        <v>88.61683499999999</v>
      </c>
      <c r="O248" t="n">
        <v>112.736869</v>
      </c>
      <c r="P248" t="n">
        <v>69.749027</v>
      </c>
      <c r="Q248" t="n">
        <v>88.61683499999999</v>
      </c>
      <c r="R248" t="n">
        <v>88.61683499999999</v>
      </c>
      <c r="S248" t="n">
        <v>112.736869</v>
      </c>
      <c r="T248" t="n">
        <v>18.000131</v>
      </c>
      <c r="U248" t="n">
        <v>69.749027</v>
      </c>
      <c r="V248" t="n">
        <v>77.336753</v>
      </c>
      <c r="W248" t="n">
        <v>138.030843</v>
      </c>
      <c r="X248" t="n">
        <v>98.46392899999999</v>
      </c>
      <c r="Y248" t="n">
        <v>24.163479</v>
      </c>
      <c r="Z248" t="n">
        <v>23.495104</v>
      </c>
    </row>
    <row r="249" ht="36" customHeight="1">
      <c r="A249" t="inlineStr">
        <is>
          <t>Lamniformes</t>
        </is>
      </c>
      <c r="D249" s="10" t="inlineStr">
        <is>
          <t>Oceanic sharks | Coastal elasmobranch</t>
        </is>
      </c>
      <c r="E249" t="n">
        <v>276.665746</v>
      </c>
      <c r="F249" t="n">
        <v>1380.156554</v>
      </c>
      <c r="G249" t="n">
        <v>813.237349</v>
      </c>
      <c r="H249" t="n">
        <v>11696.257871</v>
      </c>
      <c r="I249" t="n">
        <v>3303.980516</v>
      </c>
      <c r="J249" t="n">
        <v>3755.931739</v>
      </c>
      <c r="K249" t="n">
        <v>2869.988061</v>
      </c>
      <c r="L249" t="n">
        <v>18858.336069</v>
      </c>
      <c r="M249" t="n">
        <v>18858.336069</v>
      </c>
      <c r="N249" t="n">
        <v>18858.336069</v>
      </c>
      <c r="O249" t="n">
        <v>9043.074076999999</v>
      </c>
      <c r="P249" t="n">
        <v>1863.271319</v>
      </c>
      <c r="Q249" t="n">
        <v>18858.336069</v>
      </c>
      <c r="R249" t="n">
        <v>107107363.803131</v>
      </c>
      <c r="S249" t="n">
        <v>9043.074076999999</v>
      </c>
      <c r="T249" t="n">
        <v>-5362399.549138</v>
      </c>
      <c r="U249" t="n">
        <v>1863.271319</v>
      </c>
      <c r="V249" t="n">
        <v>1.156849958050017e+19</v>
      </c>
      <c r="W249" t="n">
        <v>14990.009917</v>
      </c>
      <c r="X249" t="n">
        <v>26162.023176</v>
      </c>
      <c r="Y249" t="n">
        <v>174.929003</v>
      </c>
      <c r="Z249" t="n">
        <v>766.601483</v>
      </c>
    </row>
    <row r="250" ht="21" customHeight="1">
      <c r="A250" t="inlineStr">
        <is>
          <t>Siganidae</t>
        </is>
      </c>
      <c r="B250" t="n">
        <v>2.11</v>
      </c>
      <c r="C250" t="n">
        <v>12.882496</v>
      </c>
      <c r="D250" s="10" t="inlineStr">
        <is>
          <t>2 SM inv | 3 SM inv</t>
        </is>
      </c>
      <c r="E250" t="n">
        <v>276.665746</v>
      </c>
      <c r="F250" t="n">
        <v>195.237034</v>
      </c>
      <c r="G250" t="n">
        <v>132.430212</v>
      </c>
      <c r="H250" t="n">
        <v>264.469084</v>
      </c>
      <c r="I250" t="n">
        <v>118.913507</v>
      </c>
      <c r="J250" t="n">
        <v>136.139541</v>
      </c>
      <c r="K250" t="n">
        <v>127.362312</v>
      </c>
      <c r="L250" t="n">
        <v>358.406583</v>
      </c>
      <c r="M250" t="n">
        <v>358.406583</v>
      </c>
      <c r="N250" t="n">
        <v>358.406583</v>
      </c>
      <c r="O250" t="n">
        <v>341.418803</v>
      </c>
      <c r="P250" t="n">
        <v>140.125818</v>
      </c>
      <c r="Q250" t="n">
        <v>358.406583</v>
      </c>
      <c r="R250" t="n">
        <v>5989.509989</v>
      </c>
      <c r="S250" t="n">
        <v>341.418803</v>
      </c>
      <c r="T250" t="n">
        <v>178554.604556</v>
      </c>
      <c r="U250" t="n">
        <v>140.125818</v>
      </c>
      <c r="V250" t="n">
        <v>-299079.478285</v>
      </c>
      <c r="W250" t="n">
        <v>574.027146</v>
      </c>
      <c r="X250" t="n">
        <v>502.728082</v>
      </c>
      <c r="Y250" t="n">
        <v>42.955466</v>
      </c>
      <c r="Z250" t="n">
        <v>65.044787</v>
      </c>
    </row>
    <row r="251" ht="21" customHeight="1">
      <c r="A251" t="inlineStr">
        <is>
          <t>Holothuriidae</t>
        </is>
      </c>
      <c r="B251" t="n">
        <v>2</v>
      </c>
      <c r="C251" t="n">
        <v>10</v>
      </c>
      <c r="D251" s="10" t="inlineStr">
        <is>
          <t>2 Macrobenthos | 3 Macrobenthos</t>
        </is>
      </c>
      <c r="E251" t="n">
        <v>276.665746</v>
      </c>
      <c r="F251" t="n">
        <v>43.212782</v>
      </c>
      <c r="G251" t="n">
        <v>32.623281</v>
      </c>
      <c r="H251" t="n">
        <v>41.368719</v>
      </c>
      <c r="I251" t="n">
        <v>34.461512</v>
      </c>
      <c r="J251" t="n">
        <v>34.461512</v>
      </c>
      <c r="K251" t="n">
        <v>31.432014</v>
      </c>
      <c r="L251" t="n">
        <v>106.719149</v>
      </c>
      <c r="M251" t="n">
        <v>106.719149</v>
      </c>
      <c r="N251" t="n">
        <v>106.719149</v>
      </c>
      <c r="O251" t="n">
        <v>113.412456</v>
      </c>
      <c r="P251" t="n">
        <v>57.717594</v>
      </c>
      <c r="Q251" t="n">
        <v>106.719149</v>
      </c>
      <c r="R251" t="n">
        <v>106.719149</v>
      </c>
      <c r="S251" t="n">
        <v>113.412456</v>
      </c>
      <c r="T251" t="n">
        <v>25.029149</v>
      </c>
      <c r="U251" t="n">
        <v>57.717594</v>
      </c>
      <c r="V251" t="n">
        <v>63.584441</v>
      </c>
      <c r="W251" t="n">
        <v>206.884057</v>
      </c>
      <c r="X251" t="n">
        <v>165.070073</v>
      </c>
      <c r="Y251" t="n">
        <v>14.477738</v>
      </c>
      <c r="Z251" t="n">
        <v>16.337529</v>
      </c>
    </row>
    <row r="252" ht="21" customHeight="1">
      <c r="A252" t="inlineStr">
        <is>
          <t>Holothuria leucospilota</t>
        </is>
      </c>
      <c r="B252" t="n">
        <v>2</v>
      </c>
      <c r="C252" t="n">
        <v>10</v>
      </c>
      <c r="D252" s="10" t="inlineStr">
        <is>
          <t>2 Macrobenthos | 3 Macrobenthos</t>
        </is>
      </c>
      <c r="E252" t="n">
        <v>276.665746</v>
      </c>
      <c r="F252" t="n">
        <v>43.212782</v>
      </c>
      <c r="G252" t="n">
        <v>32.623281</v>
      </c>
      <c r="H252" t="n">
        <v>41.368719</v>
      </c>
      <c r="I252" t="n">
        <v>34.461512</v>
      </c>
      <c r="J252" t="n">
        <v>34.461512</v>
      </c>
      <c r="K252" t="n">
        <v>31.432014</v>
      </c>
      <c r="L252" t="n">
        <v>106.719149</v>
      </c>
      <c r="M252" t="n">
        <v>106.719149</v>
      </c>
      <c r="N252" t="n">
        <v>106.719149</v>
      </c>
      <c r="O252" t="n">
        <v>113.412456</v>
      </c>
      <c r="P252" t="n">
        <v>57.717594</v>
      </c>
      <c r="Q252" t="n">
        <v>106.719149</v>
      </c>
      <c r="R252" t="n">
        <v>106.719149</v>
      </c>
      <c r="S252" t="n">
        <v>113.412456</v>
      </c>
      <c r="T252" t="n">
        <v>25.029149</v>
      </c>
      <c r="U252" t="n">
        <v>57.717594</v>
      </c>
      <c r="V252" t="n">
        <v>63.584441</v>
      </c>
      <c r="W252" t="n">
        <v>206.884057</v>
      </c>
      <c r="X252" t="n">
        <v>165.070073</v>
      </c>
      <c r="Y252" t="n">
        <v>14.477738</v>
      </c>
      <c r="Z252" t="n">
        <v>16.337529</v>
      </c>
    </row>
    <row r="253" ht="21" customHeight="1">
      <c r="A253" t="inlineStr">
        <is>
          <t>Caesionidae</t>
        </is>
      </c>
      <c r="B253" t="n">
        <v>3.39</v>
      </c>
      <c r="C253" t="n">
        <v>245.470892</v>
      </c>
      <c r="D253" s="10" t="inlineStr">
        <is>
          <t>2 SM inv | 3 SM inv</t>
        </is>
      </c>
      <c r="E253" t="n">
        <v>276.665746</v>
      </c>
      <c r="F253" t="n">
        <v>195.237034</v>
      </c>
      <c r="G253" t="n">
        <v>132.430212</v>
      </c>
      <c r="H253" t="n">
        <v>264.469084</v>
      </c>
      <c r="I253" t="n">
        <v>118.913507</v>
      </c>
      <c r="J253" t="n">
        <v>136.139541</v>
      </c>
      <c r="K253" t="n">
        <v>127.362312</v>
      </c>
      <c r="L253" t="n">
        <v>358.406583</v>
      </c>
      <c r="M253" t="n">
        <v>358.406583</v>
      </c>
      <c r="N253" t="n">
        <v>358.406583</v>
      </c>
      <c r="O253" t="n">
        <v>341.418803</v>
      </c>
      <c r="P253" t="n">
        <v>140.125818</v>
      </c>
      <c r="Q253" t="n">
        <v>358.406583</v>
      </c>
      <c r="R253" t="n">
        <v>5989.509989</v>
      </c>
      <c r="S253" t="n">
        <v>341.418803</v>
      </c>
      <c r="T253" t="n">
        <v>178554.604556</v>
      </c>
      <c r="U253" t="n">
        <v>140.125818</v>
      </c>
      <c r="V253" t="n">
        <v>-299079.478285</v>
      </c>
      <c r="W253" t="n">
        <v>574.027146</v>
      </c>
      <c r="X253" t="n">
        <v>502.728082</v>
      </c>
      <c r="Y253" t="n">
        <v>42.955466</v>
      </c>
      <c r="Z253" t="n">
        <v>65.044787</v>
      </c>
    </row>
    <row r="254" ht="21" customHeight="1">
      <c r="A254" t="inlineStr">
        <is>
          <t>Scomberomorus lineolatus</t>
        </is>
      </c>
      <c r="B254" t="n">
        <v>4.5</v>
      </c>
      <c r="C254" t="n">
        <v>3162.27766</v>
      </c>
      <c r="D254" s="10" t="inlineStr">
        <is>
          <t>Coastal scombrids</t>
        </is>
      </c>
      <c r="E254" t="n">
        <v>276.665746</v>
      </c>
      <c r="F254" t="n">
        <v>2151.411916</v>
      </c>
      <c r="G254" t="n">
        <v>1228.563684</v>
      </c>
      <c r="H254" t="n">
        <v>5449.628126</v>
      </c>
      <c r="I254" t="n">
        <v>1746.481623</v>
      </c>
      <c r="J254" t="n">
        <v>2058.735989</v>
      </c>
      <c r="K254" t="n">
        <v>1231.124121</v>
      </c>
      <c r="L254" t="n">
        <v>5799.192784</v>
      </c>
      <c r="M254" t="n">
        <v>5799.192784</v>
      </c>
      <c r="N254" t="n">
        <v>5799.192784</v>
      </c>
      <c r="O254" t="n">
        <v>2889.445671</v>
      </c>
      <c r="P254" t="n">
        <v>773.655572</v>
      </c>
      <c r="Q254" t="n">
        <v>5799.192784</v>
      </c>
      <c r="R254" t="n">
        <v>16496946.005748</v>
      </c>
      <c r="S254" t="n">
        <v>2889.445671</v>
      </c>
      <c r="T254" t="n">
        <v>-17915259.4837</v>
      </c>
      <c r="U254" t="n">
        <v>773.655572</v>
      </c>
      <c r="V254" t="n">
        <v>-5915900048852866</v>
      </c>
      <c r="W254" t="n">
        <v>4649.46224</v>
      </c>
      <c r="X254" t="n">
        <v>7908.520493</v>
      </c>
      <c r="Y254" t="n">
        <v>241.012964</v>
      </c>
      <c r="Z254" t="n">
        <v>536.974768</v>
      </c>
    </row>
    <row r="255" ht="21" customHeight="1">
      <c r="A255" t="inlineStr">
        <is>
          <t>Stichopus</t>
        </is>
      </c>
      <c r="B255" t="n">
        <v>2.3</v>
      </c>
      <c r="C255" t="n">
        <v>19.952623</v>
      </c>
      <c r="D255" s="10" t="inlineStr">
        <is>
          <t>2 Macrobenthos | 3 Macrobenthos</t>
        </is>
      </c>
      <c r="E255" t="n">
        <v>276.665746</v>
      </c>
      <c r="F255" t="n">
        <v>43.212782</v>
      </c>
      <c r="G255" t="n">
        <v>32.623281</v>
      </c>
      <c r="H255" t="n">
        <v>41.368719</v>
      </c>
      <c r="I255" t="n">
        <v>34.461512</v>
      </c>
      <c r="J255" t="n">
        <v>34.461512</v>
      </c>
      <c r="K255" t="n">
        <v>31.432014</v>
      </c>
      <c r="L255" t="n">
        <v>106.719149</v>
      </c>
      <c r="M255" t="n">
        <v>106.719149</v>
      </c>
      <c r="N255" t="n">
        <v>106.719149</v>
      </c>
      <c r="O255" t="n">
        <v>113.412456</v>
      </c>
      <c r="P255" t="n">
        <v>57.717594</v>
      </c>
      <c r="Q255" t="n">
        <v>106.719149</v>
      </c>
      <c r="R255" t="n">
        <v>106.719149</v>
      </c>
      <c r="S255" t="n">
        <v>113.412456</v>
      </c>
      <c r="T255" t="n">
        <v>25.029149</v>
      </c>
      <c r="U255" t="n">
        <v>57.717594</v>
      </c>
      <c r="V255" t="n">
        <v>63.584441</v>
      </c>
      <c r="W255" t="n">
        <v>206.884057</v>
      </c>
      <c r="X255" t="n">
        <v>165.070073</v>
      </c>
      <c r="Y255" t="n">
        <v>14.477738</v>
      </c>
      <c r="Z255" t="n">
        <v>16.337529</v>
      </c>
    </row>
    <row r="256" ht="21" customHeight="1">
      <c r="A256" t="inlineStr">
        <is>
          <t>Sphyrnidae</t>
        </is>
      </c>
      <c r="B256" t="n">
        <v>4.19</v>
      </c>
      <c r="C256" t="n">
        <v>1548.816619</v>
      </c>
      <c r="D256" s="10" t="inlineStr">
        <is>
          <t>Oceanic sharks</t>
        </is>
      </c>
      <c r="E256" t="n">
        <v>276.665746</v>
      </c>
      <c r="F256" t="n">
        <v>1757.235698</v>
      </c>
      <c r="G256" t="n">
        <v>1018.406889</v>
      </c>
      <c r="H256" t="n">
        <v>15272.448234</v>
      </c>
      <c r="I256" t="n">
        <v>5138.664287</v>
      </c>
      <c r="J256" t="n">
        <v>6104.491483</v>
      </c>
      <c r="K256" t="n">
        <v>3552.814043</v>
      </c>
      <c r="L256" t="n">
        <v>23073.269039</v>
      </c>
      <c r="M256" t="n">
        <v>23073.269039</v>
      </c>
      <c r="N256" t="n">
        <v>23073.269039</v>
      </c>
      <c r="O256" t="n">
        <v>8719.781079</v>
      </c>
      <c r="P256" t="n">
        <v>1862.135636</v>
      </c>
      <c r="Q256" t="n">
        <v>23073.269039</v>
      </c>
      <c r="R256" t="n">
        <v>96997077.044404</v>
      </c>
      <c r="S256" t="n">
        <v>8719.781079</v>
      </c>
      <c r="T256" t="n">
        <v>-2827644.466329</v>
      </c>
      <c r="U256" t="n">
        <v>1862.135636</v>
      </c>
      <c r="V256" t="n">
        <v>8.326891708518671e+18</v>
      </c>
      <c r="W256" t="n">
        <v>14383.018786</v>
      </c>
      <c r="X256" t="n">
        <v>31688.009682</v>
      </c>
      <c r="Y256" t="n">
        <v>208.554284</v>
      </c>
      <c r="Z256" t="n">
        <v>1011.467389</v>
      </c>
    </row>
    <row r="257" ht="21" customHeight="1">
      <c r="A257" t="inlineStr">
        <is>
          <t>Platycaranx malabaricus</t>
        </is>
      </c>
      <c r="B257" t="n">
        <v>3.88</v>
      </c>
      <c r="C257" t="n">
        <v>758.577575</v>
      </c>
      <c r="D257" s="10" t="inlineStr">
        <is>
          <t>2 Carangids | 3 Carangids</t>
        </is>
      </c>
      <c r="E257" t="n">
        <v>276.665746</v>
      </c>
      <c r="F257" t="n">
        <v>1047.559324</v>
      </c>
      <c r="G257" t="n">
        <v>629.821299</v>
      </c>
      <c r="H257" t="n">
        <v>2238.50504</v>
      </c>
      <c r="I257" t="n">
        <v>641.128381</v>
      </c>
      <c r="J257" t="n">
        <v>754.920494</v>
      </c>
      <c r="K257" t="n">
        <v>726.746267</v>
      </c>
      <c r="L257" t="n">
        <v>2160.61505</v>
      </c>
      <c r="M257" t="n">
        <v>2160.61505</v>
      </c>
      <c r="N257" t="n">
        <v>2160.61505</v>
      </c>
      <c r="O257" t="n">
        <v>1714.802766</v>
      </c>
      <c r="P257" t="n">
        <v>507.968664</v>
      </c>
      <c r="Q257" t="n">
        <v>2160.61505</v>
      </c>
      <c r="R257" t="n">
        <v>1782592.482977</v>
      </c>
      <c r="S257" t="n">
        <v>1714.802766</v>
      </c>
      <c r="T257" t="n">
        <v>15448395.144238</v>
      </c>
      <c r="U257" t="n">
        <v>507.968664</v>
      </c>
      <c r="V257" t="n">
        <v>363121069.828352</v>
      </c>
      <c r="W257" t="n">
        <v>2799.375544</v>
      </c>
      <c r="X257" t="n">
        <v>2890.556852</v>
      </c>
      <c r="Y257" t="n">
        <v>143.6356</v>
      </c>
      <c r="Z257" t="n">
        <v>294.157869</v>
      </c>
    </row>
    <row r="258" ht="21" customHeight="1">
      <c r="A258" t="inlineStr">
        <is>
          <t>Priacanthidae</t>
        </is>
      </c>
      <c r="D258" s="10" t="inlineStr">
        <is>
          <t>2 SM pisc | 3 SM pisc</t>
        </is>
      </c>
      <c r="E258" t="n">
        <v>276.665746</v>
      </c>
      <c r="F258" t="n">
        <v>735.917019</v>
      </c>
      <c r="G258" t="n">
        <v>452.492682</v>
      </c>
      <c r="H258" t="n">
        <v>682.505571</v>
      </c>
      <c r="I258" t="n">
        <v>235.544874</v>
      </c>
      <c r="J258" t="n">
        <v>314.328392</v>
      </c>
      <c r="K258" t="n">
        <v>298.611973</v>
      </c>
      <c r="L258" t="n">
        <v>954.92823</v>
      </c>
      <c r="M258" t="n">
        <v>954.92823</v>
      </c>
      <c r="N258" t="n">
        <v>954.92823</v>
      </c>
      <c r="O258" t="n">
        <v>843.700548</v>
      </c>
      <c r="P258" t="n">
        <v>294.126635</v>
      </c>
      <c r="Q258" t="n">
        <v>954.92823</v>
      </c>
      <c r="R258" t="n">
        <v>10111.529968</v>
      </c>
      <c r="S258" t="n">
        <v>843.700548</v>
      </c>
      <c r="T258" t="n">
        <v>668478.0116420001</v>
      </c>
      <c r="U258" t="n">
        <v>294.126635</v>
      </c>
      <c r="V258" t="n">
        <v>-16893452.951404</v>
      </c>
      <c r="W258" t="n">
        <v>1324.45367</v>
      </c>
      <c r="X258" t="n">
        <v>1272.235398</v>
      </c>
      <c r="Y258" t="n">
        <v>110.428635</v>
      </c>
      <c r="Z258" t="n">
        <v>131.805708</v>
      </c>
    </row>
    <row r="259" ht="21" customHeight="1">
      <c r="A259" t="inlineStr">
        <is>
          <t>Alopias vulpinus</t>
        </is>
      </c>
      <c r="B259" t="n">
        <v>4.5</v>
      </c>
      <c r="C259" t="n">
        <v>3162.27766</v>
      </c>
      <c r="D259" s="10" t="inlineStr">
        <is>
          <t>Oceanic sharks</t>
        </is>
      </c>
      <c r="E259" t="n">
        <v>276.665746</v>
      </c>
      <c r="F259" t="n">
        <v>1757.235698</v>
      </c>
      <c r="G259" t="n">
        <v>1018.406889</v>
      </c>
      <c r="H259" t="n">
        <v>15272.448234</v>
      </c>
      <c r="I259" t="n">
        <v>5138.664287</v>
      </c>
      <c r="J259" t="n">
        <v>6104.491483</v>
      </c>
      <c r="K259" t="n">
        <v>3552.814043</v>
      </c>
      <c r="L259" t="n">
        <v>23073.269039</v>
      </c>
      <c r="M259" t="n">
        <v>23073.269039</v>
      </c>
      <c r="N259" t="n">
        <v>23073.269039</v>
      </c>
      <c r="O259" t="n">
        <v>8719.781079</v>
      </c>
      <c r="P259" t="n">
        <v>1862.135636</v>
      </c>
      <c r="Q259" t="n">
        <v>23073.269039</v>
      </c>
      <c r="R259" t="n">
        <v>96997077.044404</v>
      </c>
      <c r="S259" t="n">
        <v>8719.781079</v>
      </c>
      <c r="T259" t="n">
        <v>-2827644.466329</v>
      </c>
      <c r="U259" t="n">
        <v>1862.135636</v>
      </c>
      <c r="V259" t="n">
        <v>8.326891708518671e+18</v>
      </c>
      <c r="W259" t="n">
        <v>14383.018786</v>
      </c>
      <c r="X259" t="n">
        <v>31688.009682</v>
      </c>
      <c r="Y259" t="n">
        <v>208.554284</v>
      </c>
      <c r="Z259" t="n">
        <v>1011.467389</v>
      </c>
    </row>
    <row r="260" ht="21" customHeight="1">
      <c r="A260" t="inlineStr">
        <is>
          <t>Alopias pelagicus</t>
        </is>
      </c>
      <c r="B260" t="n">
        <v>4.5</v>
      </c>
      <c r="C260" t="n">
        <v>3162.27766</v>
      </c>
      <c r="D260" s="10" t="inlineStr">
        <is>
          <t>Oceanic sharks</t>
        </is>
      </c>
      <c r="E260" t="n">
        <v>276.665746</v>
      </c>
      <c r="F260" t="n">
        <v>1757.235698</v>
      </c>
      <c r="G260" t="n">
        <v>1018.406889</v>
      </c>
      <c r="H260" t="n">
        <v>15272.448234</v>
      </c>
      <c r="I260" t="n">
        <v>5138.664287</v>
      </c>
      <c r="J260" t="n">
        <v>6104.491483</v>
      </c>
      <c r="K260" t="n">
        <v>3552.814043</v>
      </c>
      <c r="L260" t="n">
        <v>23073.269039</v>
      </c>
      <c r="M260" t="n">
        <v>23073.269039</v>
      </c>
      <c r="N260" t="n">
        <v>23073.269039</v>
      </c>
      <c r="O260" t="n">
        <v>8719.781079</v>
      </c>
      <c r="P260" t="n">
        <v>1862.135636</v>
      </c>
      <c r="Q260" t="n">
        <v>23073.269039</v>
      </c>
      <c r="R260" t="n">
        <v>96997077.044404</v>
      </c>
      <c r="S260" t="n">
        <v>8719.781079</v>
      </c>
      <c r="T260" t="n">
        <v>-2827644.466329</v>
      </c>
      <c r="U260" t="n">
        <v>1862.135636</v>
      </c>
      <c r="V260" t="n">
        <v>8.326891708518671e+18</v>
      </c>
      <c r="W260" t="n">
        <v>14383.018786</v>
      </c>
      <c r="X260" t="n">
        <v>31688.009682</v>
      </c>
      <c r="Y260" t="n">
        <v>208.554284</v>
      </c>
      <c r="Z260" t="n">
        <v>1011.467389</v>
      </c>
    </row>
    <row r="261" ht="21" customHeight="1">
      <c r="A261" t="inlineStr">
        <is>
          <t>Alopias superciliosus</t>
        </is>
      </c>
      <c r="B261" t="n">
        <v>4.51</v>
      </c>
      <c r="C261" t="n">
        <v>3235.936569</v>
      </c>
      <c r="D261" s="10" t="inlineStr">
        <is>
          <t>Oceanic sharks</t>
        </is>
      </c>
      <c r="E261" t="n">
        <v>276.665746</v>
      </c>
      <c r="F261" t="n">
        <v>1757.235698</v>
      </c>
      <c r="G261" t="n">
        <v>1018.406889</v>
      </c>
      <c r="H261" t="n">
        <v>15272.448234</v>
      </c>
      <c r="I261" t="n">
        <v>5138.664287</v>
      </c>
      <c r="J261" t="n">
        <v>6104.491483</v>
      </c>
      <c r="K261" t="n">
        <v>3552.814043</v>
      </c>
      <c r="L261" t="n">
        <v>23073.269039</v>
      </c>
      <c r="M261" t="n">
        <v>23073.269039</v>
      </c>
      <c r="N261" t="n">
        <v>23073.269039</v>
      </c>
      <c r="O261" t="n">
        <v>8719.781079</v>
      </c>
      <c r="P261" t="n">
        <v>1862.135636</v>
      </c>
      <c r="Q261" t="n">
        <v>23073.269039</v>
      </c>
      <c r="R261" t="n">
        <v>96997077.044404</v>
      </c>
      <c r="S261" t="n">
        <v>8719.781079</v>
      </c>
      <c r="T261" t="n">
        <v>-2827644.466329</v>
      </c>
      <c r="U261" t="n">
        <v>1862.135636</v>
      </c>
      <c r="V261" t="n">
        <v>8.326891708518671e+18</v>
      </c>
      <c r="W261" t="n">
        <v>14383.018786</v>
      </c>
      <c r="X261" t="n">
        <v>31688.009682</v>
      </c>
      <c r="Y261" t="n">
        <v>208.554284</v>
      </c>
      <c r="Z261" t="n">
        <v>1011.467389</v>
      </c>
    </row>
    <row r="262" ht="21" customHeight="1">
      <c r="A262" t="inlineStr">
        <is>
          <t>Tridacna</t>
        </is>
      </c>
      <c r="B262" t="n">
        <v>2.12</v>
      </c>
      <c r="C262" t="n">
        <v>13.182567</v>
      </c>
      <c r="D262" s="10" t="inlineStr">
        <is>
          <t>2 Macrobenthos | 3 Macrobenthos</t>
        </is>
      </c>
      <c r="E262" t="n">
        <v>276.665746</v>
      </c>
      <c r="F262" t="n">
        <v>43.212782</v>
      </c>
      <c r="G262" t="n">
        <v>32.623281</v>
      </c>
      <c r="H262" t="n">
        <v>41.368719</v>
      </c>
      <c r="I262" t="n">
        <v>34.461512</v>
      </c>
      <c r="J262" t="n">
        <v>34.461512</v>
      </c>
      <c r="K262" t="n">
        <v>31.432014</v>
      </c>
      <c r="L262" t="n">
        <v>106.719149</v>
      </c>
      <c r="M262" t="n">
        <v>106.719149</v>
      </c>
      <c r="N262" t="n">
        <v>106.719149</v>
      </c>
      <c r="O262" t="n">
        <v>113.412456</v>
      </c>
      <c r="P262" t="n">
        <v>57.717594</v>
      </c>
      <c r="Q262" t="n">
        <v>106.719149</v>
      </c>
      <c r="R262" t="n">
        <v>106.719149</v>
      </c>
      <c r="S262" t="n">
        <v>113.412456</v>
      </c>
      <c r="T262" t="n">
        <v>25.029149</v>
      </c>
      <c r="U262" t="n">
        <v>57.717594</v>
      </c>
      <c r="V262" t="n">
        <v>63.584441</v>
      </c>
      <c r="W262" t="n">
        <v>206.884057</v>
      </c>
      <c r="X262" t="n">
        <v>165.070073</v>
      </c>
      <c r="Y262" t="n">
        <v>14.477738</v>
      </c>
      <c r="Z262" t="n">
        <v>16.337529</v>
      </c>
    </row>
    <row r="263" ht="21" customHeight="1">
      <c r="A263" t="inlineStr">
        <is>
          <t>Chanos chanos</t>
        </is>
      </c>
      <c r="B263" t="n">
        <v>2.03</v>
      </c>
      <c r="C263" t="n">
        <v>10.715193</v>
      </c>
      <c r="D263" s="10" t="inlineStr">
        <is>
          <t>2 Milkfish plus | 3 Milkfish plus</t>
        </is>
      </c>
      <c r="E263" t="n">
        <v>276.665746</v>
      </c>
      <c r="F263" t="n">
        <v>485.961749</v>
      </c>
      <c r="G263" t="n">
        <v>307.552703</v>
      </c>
      <c r="H263" t="n">
        <v>638.650595</v>
      </c>
      <c r="I263" t="n">
        <v>251.210296</v>
      </c>
      <c r="J263" t="n">
        <v>374.831666</v>
      </c>
      <c r="K263" t="n">
        <v>345.115264</v>
      </c>
      <c r="L263" t="n">
        <v>956.435109</v>
      </c>
      <c r="M263" t="n">
        <v>956.435109</v>
      </c>
      <c r="N263" t="n">
        <v>956.435109</v>
      </c>
      <c r="O263" t="n">
        <v>803.3127500000001</v>
      </c>
      <c r="P263" t="n">
        <v>289.927856</v>
      </c>
      <c r="Q263" t="n">
        <v>956.435109</v>
      </c>
      <c r="R263" t="n">
        <v>159049.064874</v>
      </c>
      <c r="S263" t="n">
        <v>803.3127500000001</v>
      </c>
      <c r="T263" t="n">
        <v>1584668.121412</v>
      </c>
      <c r="U263" t="n">
        <v>289.927856</v>
      </c>
      <c r="V263" t="n">
        <v>-39752686.436935</v>
      </c>
      <c r="W263" t="n">
        <v>1316.384537</v>
      </c>
      <c r="X263" t="n">
        <v>1317.518422</v>
      </c>
      <c r="Y263" t="n">
        <v>81.736492</v>
      </c>
      <c r="Z263" t="n">
        <v>114.212257</v>
      </c>
    </row>
    <row r="264" ht="21" customHeight="1">
      <c r="A264" t="inlineStr">
        <is>
          <t>Muraenesocidae</t>
        </is>
      </c>
      <c r="B264" t="n">
        <v>3.9</v>
      </c>
      <c r="C264" t="n">
        <v>794.3282349999999</v>
      </c>
      <c r="D264" s="10" t="inlineStr">
        <is>
          <t>2 L pisc | 3 L pisc</t>
        </is>
      </c>
      <c r="E264" t="n">
        <v>276.665746</v>
      </c>
      <c r="F264" t="n">
        <v>1671.644897</v>
      </c>
      <c r="G264" t="n">
        <v>968.768055</v>
      </c>
      <c r="H264" t="n">
        <v>4321.103431</v>
      </c>
      <c r="I264" t="n">
        <v>1003.861945</v>
      </c>
      <c r="J264" t="n">
        <v>1190.295649</v>
      </c>
      <c r="K264" t="n">
        <v>1071.266084</v>
      </c>
      <c r="L264" t="n">
        <v>3542.246528</v>
      </c>
      <c r="M264" t="n">
        <v>3542.246528</v>
      </c>
      <c r="N264" t="n">
        <v>3542.246528</v>
      </c>
      <c r="O264" t="n">
        <v>2538.689141</v>
      </c>
      <c r="P264" t="n">
        <v>681.946673</v>
      </c>
      <c r="Q264" t="n">
        <v>3542.246528</v>
      </c>
      <c r="R264" t="n">
        <v>60332.209612</v>
      </c>
      <c r="S264" t="n">
        <v>2538.689141</v>
      </c>
      <c r="T264" t="n">
        <v>4692815.596611</v>
      </c>
      <c r="U264" t="n">
        <v>681.946673</v>
      </c>
      <c r="V264" t="n">
        <v>8778895377.827705</v>
      </c>
      <c r="W264" t="n">
        <v>4084.723039</v>
      </c>
      <c r="X264" t="n">
        <v>4708.979406</v>
      </c>
      <c r="Y264" t="n">
        <v>198.988407</v>
      </c>
      <c r="Z264" t="n">
        <v>443.769811</v>
      </c>
    </row>
    <row r="265" ht="21" customHeight="1">
      <c r="A265" t="inlineStr">
        <is>
          <t>Aluterus</t>
        </is>
      </c>
      <c r="B265" t="n">
        <v>2.81</v>
      </c>
      <c r="C265" t="n">
        <v>64.565423</v>
      </c>
      <c r="D265" s="10" t="inlineStr">
        <is>
          <t>2 SM inv | 3 SM inv</t>
        </is>
      </c>
      <c r="E265" t="n">
        <v>276.665746</v>
      </c>
      <c r="F265" t="n">
        <v>195.237034</v>
      </c>
      <c r="G265" t="n">
        <v>132.430212</v>
      </c>
      <c r="H265" t="n">
        <v>264.469084</v>
      </c>
      <c r="I265" t="n">
        <v>118.913507</v>
      </c>
      <c r="J265" t="n">
        <v>136.139541</v>
      </c>
      <c r="K265" t="n">
        <v>127.362312</v>
      </c>
      <c r="L265" t="n">
        <v>358.406583</v>
      </c>
      <c r="M265" t="n">
        <v>358.406583</v>
      </c>
      <c r="N265" t="n">
        <v>358.406583</v>
      </c>
      <c r="O265" t="n">
        <v>341.418803</v>
      </c>
      <c r="P265" t="n">
        <v>140.125818</v>
      </c>
      <c r="Q265" t="n">
        <v>358.406583</v>
      </c>
      <c r="R265" t="n">
        <v>5989.509989</v>
      </c>
      <c r="S265" t="n">
        <v>341.418803</v>
      </c>
      <c r="T265" t="n">
        <v>178554.604556</v>
      </c>
      <c r="U265" t="n">
        <v>140.125818</v>
      </c>
      <c r="V265" t="n">
        <v>-299079.478285</v>
      </c>
      <c r="W265" t="n">
        <v>574.027146</v>
      </c>
      <c r="X265" t="n">
        <v>502.728082</v>
      </c>
      <c r="Y265" t="n">
        <v>42.955466</v>
      </c>
      <c r="Z265" t="n">
        <v>65.044787</v>
      </c>
    </row>
    <row r="266" ht="21" customHeight="1">
      <c r="A266" t="inlineStr">
        <is>
          <t>Panulirus penicillatus</t>
        </is>
      </c>
      <c r="B266" t="n">
        <v>3.57</v>
      </c>
      <c r="C266" t="n">
        <v>371.535229</v>
      </c>
      <c r="D266" s="10" t="inlineStr">
        <is>
          <t>2 Crustaceans | 3 Crustaceans</t>
        </is>
      </c>
      <c r="E266" t="n">
        <v>276.665746</v>
      </c>
      <c r="F266" t="n">
        <v>87.346446</v>
      </c>
      <c r="G266" t="n">
        <v>62.825827</v>
      </c>
      <c r="H266" t="n">
        <v>62.583797</v>
      </c>
      <c r="I266" t="n">
        <v>49.059783</v>
      </c>
      <c r="J266" t="n">
        <v>49.059783</v>
      </c>
      <c r="K266" t="n">
        <v>45.848307</v>
      </c>
      <c r="L266" t="n">
        <v>88.61683499999999</v>
      </c>
      <c r="M266" t="n">
        <v>88.61683499999999</v>
      </c>
      <c r="N266" t="n">
        <v>88.61683499999999</v>
      </c>
      <c r="O266" t="n">
        <v>112.736869</v>
      </c>
      <c r="P266" t="n">
        <v>69.749027</v>
      </c>
      <c r="Q266" t="n">
        <v>88.61683499999999</v>
      </c>
      <c r="R266" t="n">
        <v>88.61683499999999</v>
      </c>
      <c r="S266" t="n">
        <v>112.736869</v>
      </c>
      <c r="T266" t="n">
        <v>18.000131</v>
      </c>
      <c r="U266" t="n">
        <v>69.749027</v>
      </c>
      <c r="V266" t="n">
        <v>77.336753</v>
      </c>
      <c r="W266" t="n">
        <v>138.030843</v>
      </c>
      <c r="X266" t="n">
        <v>98.46392899999999</v>
      </c>
      <c r="Y266" t="n">
        <v>24.163479</v>
      </c>
      <c r="Z266" t="n">
        <v>23.495104</v>
      </c>
    </row>
    <row r="267" ht="21" customHeight="1">
      <c r="A267" t="inlineStr">
        <is>
          <t>Panulirus versicolor</t>
        </is>
      </c>
      <c r="B267" t="n">
        <v>3.57</v>
      </c>
      <c r="C267" t="n">
        <v>371.535229</v>
      </c>
      <c r="D267" s="10" t="inlineStr">
        <is>
          <t>2 Crustaceans | 3 Crustaceans</t>
        </is>
      </c>
      <c r="E267" t="n">
        <v>276.665746</v>
      </c>
      <c r="F267" t="n">
        <v>87.346446</v>
      </c>
      <c r="G267" t="n">
        <v>62.825827</v>
      </c>
      <c r="H267" t="n">
        <v>62.583797</v>
      </c>
      <c r="I267" t="n">
        <v>49.059783</v>
      </c>
      <c r="J267" t="n">
        <v>49.059783</v>
      </c>
      <c r="K267" t="n">
        <v>45.848307</v>
      </c>
      <c r="L267" t="n">
        <v>88.61683499999999</v>
      </c>
      <c r="M267" t="n">
        <v>88.61683499999999</v>
      </c>
      <c r="N267" t="n">
        <v>88.61683499999999</v>
      </c>
      <c r="O267" t="n">
        <v>112.736869</v>
      </c>
      <c r="P267" t="n">
        <v>69.749027</v>
      </c>
      <c r="Q267" t="n">
        <v>88.61683499999999</v>
      </c>
      <c r="R267" t="n">
        <v>88.61683499999999</v>
      </c>
      <c r="S267" t="n">
        <v>112.736869</v>
      </c>
      <c r="T267" t="n">
        <v>18.000131</v>
      </c>
      <c r="U267" t="n">
        <v>69.749027</v>
      </c>
      <c r="V267" t="n">
        <v>77.336753</v>
      </c>
      <c r="W267" t="n">
        <v>138.030843</v>
      </c>
      <c r="X267" t="n">
        <v>98.46392899999999</v>
      </c>
      <c r="Y267" t="n">
        <v>24.163479</v>
      </c>
      <c r="Z267" t="n">
        <v>23.495104</v>
      </c>
    </row>
    <row r="268" ht="21" customHeight="1">
      <c r="A268" t="inlineStr">
        <is>
          <t>Carcharhinus sorrah</t>
        </is>
      </c>
      <c r="B268" t="n">
        <v>4.15</v>
      </c>
      <c r="C268" t="n">
        <v>1412.537545</v>
      </c>
      <c r="D268" s="10" t="inlineStr">
        <is>
          <t>Coastal elasmobranch</t>
        </is>
      </c>
      <c r="E268" t="n">
        <v>276.665746</v>
      </c>
      <c r="F268" t="n">
        <v>1214.104792</v>
      </c>
      <c r="G268" t="n">
        <v>722.888243</v>
      </c>
      <c r="H268" t="n">
        <v>10121.435398</v>
      </c>
      <c r="I268" t="n">
        <v>2496.053382</v>
      </c>
      <c r="J268" t="n">
        <v>2721.71256</v>
      </c>
      <c r="K268" t="n">
        <v>2569.296656</v>
      </c>
      <c r="L268" t="n">
        <v>17002.234886</v>
      </c>
      <c r="M268" t="n">
        <v>17002.234886</v>
      </c>
      <c r="N268" t="n">
        <v>17002.234886</v>
      </c>
      <c r="O268" t="n">
        <v>9185.440402</v>
      </c>
      <c r="P268" t="n">
        <v>1863.771432</v>
      </c>
      <c r="Q268" t="n">
        <v>17002.234886</v>
      </c>
      <c r="R268" t="n">
        <v>111559561.583727</v>
      </c>
      <c r="S268" t="n">
        <v>9185.440402</v>
      </c>
      <c r="T268" t="n">
        <v>-6478612.295953</v>
      </c>
      <c r="U268" t="n">
        <v>1863.771432</v>
      </c>
      <c r="V268" t="n">
        <v>1.299598425206395e+19</v>
      </c>
      <c r="W268" t="n">
        <v>15257.306447</v>
      </c>
      <c r="X268" t="n">
        <v>23728.582321</v>
      </c>
      <c r="Y268" t="n">
        <v>160.121668</v>
      </c>
      <c r="Z268" t="n">
        <v>658.77156</v>
      </c>
    </row>
    <row r="269" ht="21" customHeight="1">
      <c r="A269" t="inlineStr">
        <is>
          <t>Carcharhinus limbatus</t>
        </is>
      </c>
      <c r="B269" t="n">
        <v>4.37</v>
      </c>
      <c r="C269" t="n">
        <v>2344.228815</v>
      </c>
      <c r="D269" s="10" t="inlineStr">
        <is>
          <t>Coastal elasmobranch</t>
        </is>
      </c>
      <c r="E269" t="n">
        <v>276.665746</v>
      </c>
      <c r="F269" t="n">
        <v>1214.104792</v>
      </c>
      <c r="G269" t="n">
        <v>722.888243</v>
      </c>
      <c r="H269" t="n">
        <v>10121.435398</v>
      </c>
      <c r="I269" t="n">
        <v>2496.053382</v>
      </c>
      <c r="J269" t="n">
        <v>2721.71256</v>
      </c>
      <c r="K269" t="n">
        <v>2569.296656</v>
      </c>
      <c r="L269" t="n">
        <v>17002.234886</v>
      </c>
      <c r="M269" t="n">
        <v>17002.234886</v>
      </c>
      <c r="N269" t="n">
        <v>17002.234886</v>
      </c>
      <c r="O269" t="n">
        <v>9185.440402</v>
      </c>
      <c r="P269" t="n">
        <v>1863.771432</v>
      </c>
      <c r="Q269" t="n">
        <v>17002.234886</v>
      </c>
      <c r="R269" t="n">
        <v>111559561.583727</v>
      </c>
      <c r="S269" t="n">
        <v>9185.440402</v>
      </c>
      <c r="T269" t="n">
        <v>-6478612.295953</v>
      </c>
      <c r="U269" t="n">
        <v>1863.771432</v>
      </c>
      <c r="V269" t="n">
        <v>1.299598425206395e+19</v>
      </c>
      <c r="W269" t="n">
        <v>15257.306447</v>
      </c>
      <c r="X269" t="n">
        <v>23728.582321</v>
      </c>
      <c r="Y269" t="n">
        <v>160.121668</v>
      </c>
      <c r="Z269" t="n">
        <v>658.77156</v>
      </c>
    </row>
    <row r="270" ht="21" customHeight="1">
      <c r="A270" t="inlineStr">
        <is>
          <t>Carcharhinus albimarginatus</t>
        </is>
      </c>
      <c r="B270" t="n">
        <v>4.21</v>
      </c>
      <c r="C270" t="n">
        <v>1621.810097</v>
      </c>
      <c r="D270" s="10" t="inlineStr">
        <is>
          <t>Coastal elasmobranch</t>
        </is>
      </c>
      <c r="E270" t="n">
        <v>276.665746</v>
      </c>
      <c r="F270" t="n">
        <v>1214.104792</v>
      </c>
      <c r="G270" t="n">
        <v>722.888243</v>
      </c>
      <c r="H270" t="n">
        <v>10121.435398</v>
      </c>
      <c r="I270" t="n">
        <v>2496.053382</v>
      </c>
      <c r="J270" t="n">
        <v>2721.71256</v>
      </c>
      <c r="K270" t="n">
        <v>2569.296656</v>
      </c>
      <c r="L270" t="n">
        <v>17002.234886</v>
      </c>
      <c r="M270" t="n">
        <v>17002.234886</v>
      </c>
      <c r="N270" t="n">
        <v>17002.234886</v>
      </c>
      <c r="O270" t="n">
        <v>9185.440402</v>
      </c>
      <c r="P270" t="n">
        <v>1863.771432</v>
      </c>
      <c r="Q270" t="n">
        <v>17002.234886</v>
      </c>
      <c r="R270" t="n">
        <v>111559561.583727</v>
      </c>
      <c r="S270" t="n">
        <v>9185.440402</v>
      </c>
      <c r="T270" t="n">
        <v>-6478612.295953</v>
      </c>
      <c r="U270" t="n">
        <v>1863.771432</v>
      </c>
      <c r="V270" t="n">
        <v>1.299598425206395e+19</v>
      </c>
      <c r="W270" t="n">
        <v>15257.306447</v>
      </c>
      <c r="X270" t="n">
        <v>23728.582321</v>
      </c>
      <c r="Y270" t="n">
        <v>160.121668</v>
      </c>
      <c r="Z270" t="n">
        <v>658.77156</v>
      </c>
    </row>
    <row r="271" ht="21" customHeight="1">
      <c r="A271" t="inlineStr">
        <is>
          <t>Carcharhinus melanopterus</t>
        </is>
      </c>
      <c r="B271" t="n">
        <v>3.94</v>
      </c>
      <c r="C271" t="n">
        <v>870.96359</v>
      </c>
      <c r="D271" s="10" t="inlineStr">
        <is>
          <t>Coastal elasmobranch</t>
        </is>
      </c>
      <c r="E271" t="n">
        <v>276.665746</v>
      </c>
      <c r="F271" t="n">
        <v>1214.104792</v>
      </c>
      <c r="G271" t="n">
        <v>722.888243</v>
      </c>
      <c r="H271" t="n">
        <v>10121.435398</v>
      </c>
      <c r="I271" t="n">
        <v>2496.053382</v>
      </c>
      <c r="J271" t="n">
        <v>2721.71256</v>
      </c>
      <c r="K271" t="n">
        <v>2569.296656</v>
      </c>
      <c r="L271" t="n">
        <v>17002.234886</v>
      </c>
      <c r="M271" t="n">
        <v>17002.234886</v>
      </c>
      <c r="N271" t="n">
        <v>17002.234886</v>
      </c>
      <c r="O271" t="n">
        <v>9185.440402</v>
      </c>
      <c r="P271" t="n">
        <v>1863.771432</v>
      </c>
      <c r="Q271" t="n">
        <v>17002.234886</v>
      </c>
      <c r="R271" t="n">
        <v>111559561.583727</v>
      </c>
      <c r="S271" t="n">
        <v>9185.440402</v>
      </c>
      <c r="T271" t="n">
        <v>-6478612.295953</v>
      </c>
      <c r="U271" t="n">
        <v>1863.771432</v>
      </c>
      <c r="V271" t="n">
        <v>1.299598425206395e+19</v>
      </c>
      <c r="W271" t="n">
        <v>15257.306447</v>
      </c>
      <c r="X271" t="n">
        <v>23728.582321</v>
      </c>
      <c r="Y271" t="n">
        <v>160.121668</v>
      </c>
      <c r="Z271" t="n">
        <v>658.77156</v>
      </c>
    </row>
    <row r="272" ht="21" customHeight="1">
      <c r="A272" t="inlineStr">
        <is>
          <t>Carcharhinus amblyrhynchos</t>
        </is>
      </c>
      <c r="B272" t="n">
        <v>4.11</v>
      </c>
      <c r="C272" t="n">
        <v>1288.249552</v>
      </c>
      <c r="D272" s="10" t="inlineStr">
        <is>
          <t>Coastal elasmobranch</t>
        </is>
      </c>
      <c r="E272" t="n">
        <v>276.665746</v>
      </c>
      <c r="F272" t="n">
        <v>1214.104792</v>
      </c>
      <c r="G272" t="n">
        <v>722.888243</v>
      </c>
      <c r="H272" t="n">
        <v>10121.435398</v>
      </c>
      <c r="I272" t="n">
        <v>2496.053382</v>
      </c>
      <c r="J272" t="n">
        <v>2721.71256</v>
      </c>
      <c r="K272" t="n">
        <v>2569.296656</v>
      </c>
      <c r="L272" t="n">
        <v>17002.234886</v>
      </c>
      <c r="M272" t="n">
        <v>17002.234886</v>
      </c>
      <c r="N272" t="n">
        <v>17002.234886</v>
      </c>
      <c r="O272" t="n">
        <v>9185.440402</v>
      </c>
      <c r="P272" t="n">
        <v>1863.771432</v>
      </c>
      <c r="Q272" t="n">
        <v>17002.234886</v>
      </c>
      <c r="R272" t="n">
        <v>111559561.583727</v>
      </c>
      <c r="S272" t="n">
        <v>9185.440402</v>
      </c>
      <c r="T272" t="n">
        <v>-6478612.295953</v>
      </c>
      <c r="U272" t="n">
        <v>1863.771432</v>
      </c>
      <c r="V272" t="n">
        <v>1.299598425206395e+19</v>
      </c>
      <c r="W272" t="n">
        <v>15257.306447</v>
      </c>
      <c r="X272" t="n">
        <v>23728.582321</v>
      </c>
      <c r="Y272" t="n">
        <v>160.121668</v>
      </c>
      <c r="Z272" t="n">
        <v>658.77156</v>
      </c>
    </row>
    <row r="273" ht="21" customHeight="1">
      <c r="A273" t="inlineStr">
        <is>
          <t>Galeocerdo cuvier</t>
        </is>
      </c>
      <c r="B273" t="n">
        <v>4.54</v>
      </c>
      <c r="C273" t="n">
        <v>3467.368505</v>
      </c>
      <c r="D273" s="10" t="inlineStr">
        <is>
          <t>Coastal elasmobranch</t>
        </is>
      </c>
      <c r="E273" t="n">
        <v>276.665746</v>
      </c>
      <c r="F273" t="n">
        <v>1214.104792</v>
      </c>
      <c r="G273" t="n">
        <v>722.888243</v>
      </c>
      <c r="H273" t="n">
        <v>10121.435398</v>
      </c>
      <c r="I273" t="n">
        <v>2496.053382</v>
      </c>
      <c r="J273" t="n">
        <v>2721.71256</v>
      </c>
      <c r="K273" t="n">
        <v>2569.296656</v>
      </c>
      <c r="L273" t="n">
        <v>17002.234886</v>
      </c>
      <c r="M273" t="n">
        <v>17002.234886</v>
      </c>
      <c r="N273" t="n">
        <v>17002.234886</v>
      </c>
      <c r="O273" t="n">
        <v>9185.440402</v>
      </c>
      <c r="P273" t="n">
        <v>1863.771432</v>
      </c>
      <c r="Q273" t="n">
        <v>17002.234886</v>
      </c>
      <c r="R273" t="n">
        <v>111559561.583727</v>
      </c>
      <c r="S273" t="n">
        <v>9185.440402</v>
      </c>
      <c r="T273" t="n">
        <v>-6478612.295953</v>
      </c>
      <c r="U273" t="n">
        <v>1863.771432</v>
      </c>
      <c r="V273" t="n">
        <v>1.299598425206395e+19</v>
      </c>
      <c r="W273" t="n">
        <v>15257.306447</v>
      </c>
      <c r="X273" t="n">
        <v>23728.582321</v>
      </c>
      <c r="Y273" t="n">
        <v>160.121668</v>
      </c>
      <c r="Z273" t="n">
        <v>658.77156</v>
      </c>
    </row>
    <row r="274" ht="21" customHeight="1">
      <c r="A274" t="inlineStr">
        <is>
          <t>Istiophorus</t>
        </is>
      </c>
      <c r="B274" t="n">
        <v>4.5</v>
      </c>
      <c r="C274" t="n">
        <v>3162.27766</v>
      </c>
      <c r="D274" s="10" t="inlineStr">
        <is>
          <t>Tuna-like</t>
        </is>
      </c>
      <c r="E274" t="n">
        <v>276.665746</v>
      </c>
      <c r="F274" t="n">
        <v>3650.332839</v>
      </c>
      <c r="G274" t="n">
        <v>2005.591894</v>
      </c>
      <c r="H274" t="n">
        <v>10202.43919</v>
      </c>
      <c r="I274" t="n">
        <v>2103.316703</v>
      </c>
      <c r="J274" t="n">
        <v>2473.629877</v>
      </c>
      <c r="K274" t="n">
        <v>2211.42511</v>
      </c>
      <c r="L274" t="n">
        <v>8474.746773000001</v>
      </c>
      <c r="M274" t="n">
        <v>8474.746773000001</v>
      </c>
      <c r="N274" t="n">
        <v>8474.746773000001</v>
      </c>
      <c r="O274" t="n">
        <v>5374.550638</v>
      </c>
      <c r="P274" t="n">
        <v>1271.625707</v>
      </c>
      <c r="Q274" t="n">
        <v>8474.746773000001</v>
      </c>
      <c r="R274" t="n">
        <v>11745249.699026</v>
      </c>
      <c r="S274" t="n">
        <v>5374.550638</v>
      </c>
      <c r="T274" t="n">
        <v>-414959.643064</v>
      </c>
      <c r="U274" t="n">
        <v>1271.625707</v>
      </c>
      <c r="V274" t="n">
        <v>-2163898509.296668</v>
      </c>
      <c r="W274" t="n">
        <v>8903.01534</v>
      </c>
      <c r="X274" t="n">
        <v>11378.963772</v>
      </c>
      <c r="Y274" t="n">
        <v>351.683283</v>
      </c>
      <c r="Z274" t="n">
        <v>849.64013</v>
      </c>
    </row>
    <row r="275" ht="21" customHeight="1">
      <c r="A275" t="inlineStr">
        <is>
          <t>Hyporhamphus</t>
        </is>
      </c>
      <c r="B275" t="n">
        <v>3.3</v>
      </c>
      <c r="C275" t="n">
        <v>199.526231</v>
      </c>
      <c r="D275" s="10" t="inlineStr">
        <is>
          <t>2 S pelagics | 3 S pelagics</t>
        </is>
      </c>
      <c r="E275" t="n">
        <v>276.665746</v>
      </c>
      <c r="F275" t="n">
        <v>140.109476</v>
      </c>
      <c r="G275" t="n">
        <v>97.63290000000001</v>
      </c>
      <c r="H275" t="n">
        <v>192.742209</v>
      </c>
      <c r="I275" t="n">
        <v>80.89349199999999</v>
      </c>
      <c r="J275" t="n">
        <v>105.806754</v>
      </c>
      <c r="K275" t="n">
        <v>98.775728</v>
      </c>
      <c r="L275" t="n">
        <v>234.092906</v>
      </c>
      <c r="M275" t="n">
        <v>234.092906</v>
      </c>
      <c r="N275" t="n">
        <v>234.092906</v>
      </c>
      <c r="O275" t="n">
        <v>202.855848</v>
      </c>
      <c r="P275" t="n">
        <v>80.16221299999999</v>
      </c>
      <c r="Q275" t="n">
        <v>234.092906</v>
      </c>
      <c r="R275" t="n">
        <v>-33950.413664</v>
      </c>
      <c r="S275" t="n">
        <v>202.855848</v>
      </c>
      <c r="T275" t="n">
        <v>227501.375555</v>
      </c>
      <c r="U275" t="n">
        <v>80.16221299999999</v>
      </c>
      <c r="V275" t="n">
        <v>-5091897.075108</v>
      </c>
      <c r="W275" t="n">
        <v>296.389113</v>
      </c>
      <c r="X275" t="n">
        <v>299.235812</v>
      </c>
      <c r="Y275" t="n">
        <v>34.1744</v>
      </c>
      <c r="Z275" t="n">
        <v>48.437594</v>
      </c>
    </row>
    <row r="276" ht="21" customHeight="1">
      <c r="A276" t="inlineStr">
        <is>
          <t>Lethrinus</t>
        </is>
      </c>
      <c r="B276" t="n">
        <v>3.75</v>
      </c>
      <c r="C276" t="n">
        <v>562.341325</v>
      </c>
      <c r="D276" s="10" t="inlineStr">
        <is>
          <t>2 L pisc comm | 3 L pisc comm</t>
        </is>
      </c>
      <c r="E276" t="n">
        <v>276.665746</v>
      </c>
      <c r="F276" t="n">
        <v>942.008432</v>
      </c>
      <c r="G276" t="n">
        <v>569.455705</v>
      </c>
      <c r="H276" t="n">
        <v>2134.327853</v>
      </c>
      <c r="I276" t="n">
        <v>640.479051</v>
      </c>
      <c r="J276" t="n">
        <v>809.758325</v>
      </c>
      <c r="K276" t="n">
        <v>735.799922</v>
      </c>
      <c r="L276" t="n">
        <v>2161.826618</v>
      </c>
      <c r="M276" t="n">
        <v>2161.826618</v>
      </c>
      <c r="N276" t="n">
        <v>2161.826618</v>
      </c>
      <c r="O276" t="n">
        <v>1597.141175</v>
      </c>
      <c r="P276" t="n">
        <v>484.321234</v>
      </c>
      <c r="Q276" t="n">
        <v>2161.826618</v>
      </c>
      <c r="R276" t="n">
        <v>-1582279.837302</v>
      </c>
      <c r="S276" t="n">
        <v>1597.141175</v>
      </c>
      <c r="T276" t="n">
        <v>18597729.236262</v>
      </c>
      <c r="U276" t="n">
        <v>484.321234</v>
      </c>
      <c r="V276" t="n">
        <v>-731199951.6958441</v>
      </c>
      <c r="W276" t="n">
        <v>2522.004884</v>
      </c>
      <c r="X276" t="n">
        <v>2847.344437</v>
      </c>
      <c r="Y276" t="n">
        <v>132.205276</v>
      </c>
      <c r="Z276" t="n">
        <v>267.681374</v>
      </c>
    </row>
    <row r="277" ht="21" customHeight="1">
      <c r="A277" t="inlineStr">
        <is>
          <t>Sphyrna zygaena</t>
        </is>
      </c>
      <c r="B277" t="n">
        <v>4.94</v>
      </c>
      <c r="C277" t="n">
        <v>8709.635899999999</v>
      </c>
      <c r="D277" s="10" t="inlineStr">
        <is>
          <t>Oceanic sharks</t>
        </is>
      </c>
      <c r="E277" t="n">
        <v>276.665746</v>
      </c>
      <c r="F277" t="n">
        <v>1757.235698</v>
      </c>
      <c r="G277" t="n">
        <v>1018.406889</v>
      </c>
      <c r="H277" t="n">
        <v>15272.448234</v>
      </c>
      <c r="I277" t="n">
        <v>5138.664287</v>
      </c>
      <c r="J277" t="n">
        <v>6104.491483</v>
      </c>
      <c r="K277" t="n">
        <v>3552.814043</v>
      </c>
      <c r="L277" t="n">
        <v>23073.269039</v>
      </c>
      <c r="M277" t="n">
        <v>23073.269039</v>
      </c>
      <c r="N277" t="n">
        <v>23073.269039</v>
      </c>
      <c r="O277" t="n">
        <v>8719.781079</v>
      </c>
      <c r="P277" t="n">
        <v>1862.135636</v>
      </c>
      <c r="Q277" t="n">
        <v>23073.269039</v>
      </c>
      <c r="R277" t="n">
        <v>96997077.044404</v>
      </c>
      <c r="S277" t="n">
        <v>8719.781079</v>
      </c>
      <c r="T277" t="n">
        <v>-2827644.466329</v>
      </c>
      <c r="U277" t="n">
        <v>1862.135636</v>
      </c>
      <c r="V277" t="n">
        <v>8.326891708518671e+18</v>
      </c>
      <c r="W277" t="n">
        <v>14383.018786</v>
      </c>
      <c r="X277" t="n">
        <v>31688.009682</v>
      </c>
      <c r="Y277" t="n">
        <v>208.554284</v>
      </c>
      <c r="Z277" t="n">
        <v>1011.467389</v>
      </c>
    </row>
    <row r="278" ht="21" customHeight="1">
      <c r="A278" t="inlineStr">
        <is>
          <t>Sphyrna lewini</t>
        </is>
      </c>
      <c r="B278" t="n">
        <v>4.08</v>
      </c>
      <c r="C278" t="n">
        <v>1202.264435</v>
      </c>
      <c r="D278" s="10" t="inlineStr">
        <is>
          <t>Oceanic sharks</t>
        </is>
      </c>
      <c r="E278" t="n">
        <v>276.665746</v>
      </c>
      <c r="F278" t="n">
        <v>1757.235698</v>
      </c>
      <c r="G278" t="n">
        <v>1018.406889</v>
      </c>
      <c r="H278" t="n">
        <v>15272.448234</v>
      </c>
      <c r="I278" t="n">
        <v>5138.664287</v>
      </c>
      <c r="J278" t="n">
        <v>6104.491483</v>
      </c>
      <c r="K278" t="n">
        <v>3552.814043</v>
      </c>
      <c r="L278" t="n">
        <v>23073.269039</v>
      </c>
      <c r="M278" t="n">
        <v>23073.269039</v>
      </c>
      <c r="N278" t="n">
        <v>23073.269039</v>
      </c>
      <c r="O278" t="n">
        <v>8719.781079</v>
      </c>
      <c r="P278" t="n">
        <v>1862.135636</v>
      </c>
      <c r="Q278" t="n">
        <v>23073.269039</v>
      </c>
      <c r="R278" t="n">
        <v>96997077.044404</v>
      </c>
      <c r="S278" t="n">
        <v>8719.781079</v>
      </c>
      <c r="T278" t="n">
        <v>-2827644.466329</v>
      </c>
      <c r="U278" t="n">
        <v>1862.135636</v>
      </c>
      <c r="V278" t="n">
        <v>8.326891708518671e+18</v>
      </c>
      <c r="W278" t="n">
        <v>14383.018786</v>
      </c>
      <c r="X278" t="n">
        <v>31688.009682</v>
      </c>
      <c r="Y278" t="n">
        <v>208.554284</v>
      </c>
      <c r="Z278" t="n">
        <v>1011.467389</v>
      </c>
    </row>
    <row r="279" ht="21" customHeight="1">
      <c r="A279" t="inlineStr">
        <is>
          <t>Sphyrna mokarran</t>
        </is>
      </c>
      <c r="B279" t="n">
        <v>4.32</v>
      </c>
      <c r="C279" t="n">
        <v>2089.296131</v>
      </c>
      <c r="D279" s="10" t="inlineStr">
        <is>
          <t>Oceanic sharks</t>
        </is>
      </c>
      <c r="E279" t="n">
        <v>276.665746</v>
      </c>
      <c r="F279" t="n">
        <v>1757.235698</v>
      </c>
      <c r="G279" t="n">
        <v>1018.406889</v>
      </c>
      <c r="H279" t="n">
        <v>15272.448234</v>
      </c>
      <c r="I279" t="n">
        <v>5138.664287</v>
      </c>
      <c r="J279" t="n">
        <v>6104.491483</v>
      </c>
      <c r="K279" t="n">
        <v>3552.814043</v>
      </c>
      <c r="L279" t="n">
        <v>23073.269039</v>
      </c>
      <c r="M279" t="n">
        <v>23073.269039</v>
      </c>
      <c r="N279" t="n">
        <v>23073.269039</v>
      </c>
      <c r="O279" t="n">
        <v>8719.781079</v>
      </c>
      <c r="P279" t="n">
        <v>1862.135636</v>
      </c>
      <c r="Q279" t="n">
        <v>23073.269039</v>
      </c>
      <c r="R279" t="n">
        <v>96997077.044404</v>
      </c>
      <c r="S279" t="n">
        <v>8719.781079</v>
      </c>
      <c r="T279" t="n">
        <v>-2827644.466329</v>
      </c>
      <c r="U279" t="n">
        <v>1862.135636</v>
      </c>
      <c r="V279" t="n">
        <v>8.326891708518671e+18</v>
      </c>
      <c r="W279" t="n">
        <v>14383.018786</v>
      </c>
      <c r="X279" t="n">
        <v>31688.009682</v>
      </c>
      <c r="Y279" t="n">
        <v>208.554284</v>
      </c>
      <c r="Z279" t="n">
        <v>1011.467389</v>
      </c>
    </row>
    <row r="280" ht="21" customHeight="1">
      <c r="A280" t="inlineStr">
        <is>
          <t>Acanthurus</t>
        </is>
      </c>
      <c r="B280" t="n">
        <v>2.03</v>
      </c>
      <c r="C280" t="n">
        <v>10.715193</v>
      </c>
      <c r="D280" s="10" t="inlineStr">
        <is>
          <t>2 SM inv | 3 SM inv</t>
        </is>
      </c>
      <c r="E280" t="n">
        <v>276.665746</v>
      </c>
      <c r="F280" t="n">
        <v>195.237034</v>
      </c>
      <c r="G280" t="n">
        <v>132.430212</v>
      </c>
      <c r="H280" t="n">
        <v>264.469084</v>
      </c>
      <c r="I280" t="n">
        <v>118.913507</v>
      </c>
      <c r="J280" t="n">
        <v>136.139541</v>
      </c>
      <c r="K280" t="n">
        <v>127.362312</v>
      </c>
      <c r="L280" t="n">
        <v>358.406583</v>
      </c>
      <c r="M280" t="n">
        <v>358.406583</v>
      </c>
      <c r="N280" t="n">
        <v>358.406583</v>
      </c>
      <c r="O280" t="n">
        <v>341.418803</v>
      </c>
      <c r="P280" t="n">
        <v>140.125818</v>
      </c>
      <c r="Q280" t="n">
        <v>358.406583</v>
      </c>
      <c r="R280" t="n">
        <v>5989.509989</v>
      </c>
      <c r="S280" t="n">
        <v>341.418803</v>
      </c>
      <c r="T280" t="n">
        <v>178554.604556</v>
      </c>
      <c r="U280" t="n">
        <v>140.125818</v>
      </c>
      <c r="V280" t="n">
        <v>-299079.478285</v>
      </c>
      <c r="W280" t="n">
        <v>574.027146</v>
      </c>
      <c r="X280" t="n">
        <v>502.728082</v>
      </c>
      <c r="Y280" t="n">
        <v>42.955466</v>
      </c>
      <c r="Z280" t="n">
        <v>65.044787</v>
      </c>
    </row>
    <row r="281" ht="21" customHeight="1">
      <c r="A281" t="inlineStr">
        <is>
          <t>Carcharhinus macloti</t>
        </is>
      </c>
      <c r="D281" s="10" t="inlineStr">
        <is>
          <t>Coastal elasmobranch</t>
        </is>
      </c>
      <c r="E281" t="n">
        <v>276.665746</v>
      </c>
      <c r="F281" t="n">
        <v>1214.104792</v>
      </c>
      <c r="G281" t="n">
        <v>722.888243</v>
      </c>
      <c r="H281" t="n">
        <v>10121.435398</v>
      </c>
      <c r="I281" t="n">
        <v>2496.053382</v>
      </c>
      <c r="J281" t="n">
        <v>2721.71256</v>
      </c>
      <c r="K281" t="n">
        <v>2569.296656</v>
      </c>
      <c r="L281" t="n">
        <v>17002.234886</v>
      </c>
      <c r="M281" t="n">
        <v>17002.234886</v>
      </c>
      <c r="N281" t="n">
        <v>17002.234886</v>
      </c>
      <c r="O281" t="n">
        <v>9185.440402</v>
      </c>
      <c r="P281" t="n">
        <v>1863.771432</v>
      </c>
      <c r="Q281" t="n">
        <v>17002.234886</v>
      </c>
      <c r="R281" t="n">
        <v>111559561.583727</v>
      </c>
      <c r="S281" t="n">
        <v>9185.440402</v>
      </c>
      <c r="T281" t="n">
        <v>-6478612.295953</v>
      </c>
      <c r="U281" t="n">
        <v>1863.771432</v>
      </c>
      <c r="V281" t="n">
        <v>1.299598425206395e+19</v>
      </c>
      <c r="W281" t="n">
        <v>15257.306447</v>
      </c>
      <c r="X281" t="n">
        <v>23728.582321</v>
      </c>
      <c r="Y281" t="n">
        <v>160.121668</v>
      </c>
      <c r="Z281" t="n">
        <v>658.77156</v>
      </c>
    </row>
    <row r="282" ht="21" customHeight="1">
      <c r="A282" t="inlineStr">
        <is>
          <t>Turbo marmoratus</t>
        </is>
      </c>
      <c r="D282" s="10" t="inlineStr">
        <is>
          <t>2 Macrobenthos | 3 Macrobenthos</t>
        </is>
      </c>
      <c r="E282" t="n">
        <v>276.665746</v>
      </c>
      <c r="F282" t="n">
        <v>43.212782</v>
      </c>
      <c r="G282" t="n">
        <v>32.623281</v>
      </c>
      <c r="H282" t="n">
        <v>41.368719</v>
      </c>
      <c r="I282" t="n">
        <v>34.461512</v>
      </c>
      <c r="J282" t="n">
        <v>34.461512</v>
      </c>
      <c r="K282" t="n">
        <v>31.432014</v>
      </c>
      <c r="L282" t="n">
        <v>106.719149</v>
      </c>
      <c r="M282" t="n">
        <v>106.719149</v>
      </c>
      <c r="N282" t="n">
        <v>106.719149</v>
      </c>
      <c r="O282" t="n">
        <v>113.412456</v>
      </c>
      <c r="P282" t="n">
        <v>57.717594</v>
      </c>
      <c r="Q282" t="n">
        <v>106.719149</v>
      </c>
      <c r="R282" t="n">
        <v>106.719149</v>
      </c>
      <c r="S282" t="n">
        <v>113.412456</v>
      </c>
      <c r="T282" t="n">
        <v>25.029149</v>
      </c>
      <c r="U282" t="n">
        <v>57.717594</v>
      </c>
      <c r="V282" t="n">
        <v>63.584441</v>
      </c>
      <c r="W282" t="n">
        <v>206.884057</v>
      </c>
      <c r="X282" t="n">
        <v>165.070073</v>
      </c>
      <c r="Y282" t="n">
        <v>14.477738</v>
      </c>
      <c r="Z282" t="n">
        <v>16.337529</v>
      </c>
    </row>
    <row r="283" ht="21" customHeight="1">
      <c r="A283" t="inlineStr">
        <is>
          <t>Makaira</t>
        </is>
      </c>
      <c r="B283" t="n">
        <v>4.47</v>
      </c>
      <c r="C283" t="n">
        <v>2951.209227</v>
      </c>
      <c r="D283" s="10" t="inlineStr">
        <is>
          <t>Tuna-like</t>
        </is>
      </c>
      <c r="E283" t="n">
        <v>276.665746</v>
      </c>
      <c r="F283" t="n">
        <v>3650.332839</v>
      </c>
      <c r="G283" t="n">
        <v>2005.591894</v>
      </c>
      <c r="H283" t="n">
        <v>10202.43919</v>
      </c>
      <c r="I283" t="n">
        <v>2103.316703</v>
      </c>
      <c r="J283" t="n">
        <v>2473.629877</v>
      </c>
      <c r="K283" t="n">
        <v>2211.42511</v>
      </c>
      <c r="L283" t="n">
        <v>8474.746773000001</v>
      </c>
      <c r="M283" t="n">
        <v>8474.746773000001</v>
      </c>
      <c r="N283" t="n">
        <v>8474.746773000001</v>
      </c>
      <c r="O283" t="n">
        <v>5374.550638</v>
      </c>
      <c r="P283" t="n">
        <v>1271.625707</v>
      </c>
      <c r="Q283" t="n">
        <v>8474.746773000001</v>
      </c>
      <c r="R283" t="n">
        <v>11745249.699026</v>
      </c>
      <c r="S283" t="n">
        <v>5374.550638</v>
      </c>
      <c r="T283" t="n">
        <v>-414959.643064</v>
      </c>
      <c r="U283" t="n">
        <v>1271.625707</v>
      </c>
      <c r="V283" t="n">
        <v>-2163898509.296668</v>
      </c>
      <c r="W283" t="n">
        <v>8903.01534</v>
      </c>
      <c r="X283" t="n">
        <v>11378.963772</v>
      </c>
      <c r="Y283" t="n">
        <v>351.683283</v>
      </c>
      <c r="Z283" t="n">
        <v>849.64013</v>
      </c>
    </row>
    <row r="284" ht="21" customHeight="1">
      <c r="A284" t="inlineStr">
        <is>
          <t>Tetrapturus angustirostris</t>
        </is>
      </c>
      <c r="B284" t="n">
        <v>4.5</v>
      </c>
      <c r="C284" t="n">
        <v>3162.27766</v>
      </c>
      <c r="D284" s="10" t="inlineStr">
        <is>
          <t>Tuna-like</t>
        </is>
      </c>
      <c r="E284" t="n">
        <v>276.665746</v>
      </c>
      <c r="F284" t="n">
        <v>3650.332839</v>
      </c>
      <c r="G284" t="n">
        <v>2005.591894</v>
      </c>
      <c r="H284" t="n">
        <v>10202.43919</v>
      </c>
      <c r="I284" t="n">
        <v>2103.316703</v>
      </c>
      <c r="J284" t="n">
        <v>2473.629877</v>
      </c>
      <c r="K284" t="n">
        <v>2211.42511</v>
      </c>
      <c r="L284" t="n">
        <v>8474.746773000001</v>
      </c>
      <c r="M284" t="n">
        <v>8474.746773000001</v>
      </c>
      <c r="N284" t="n">
        <v>8474.746773000001</v>
      </c>
      <c r="O284" t="n">
        <v>5374.550638</v>
      </c>
      <c r="P284" t="n">
        <v>1271.625707</v>
      </c>
      <c r="Q284" t="n">
        <v>8474.746773000001</v>
      </c>
      <c r="R284" t="n">
        <v>11745249.699026</v>
      </c>
      <c r="S284" t="n">
        <v>5374.550638</v>
      </c>
      <c r="T284" t="n">
        <v>-414959.643064</v>
      </c>
      <c r="U284" t="n">
        <v>1271.625707</v>
      </c>
      <c r="V284" t="n">
        <v>-2163898509.296668</v>
      </c>
      <c r="W284" t="n">
        <v>8903.01534</v>
      </c>
      <c r="X284" t="n">
        <v>11378.963772</v>
      </c>
      <c r="Y284" t="n">
        <v>351.683283</v>
      </c>
      <c r="Z284" t="n">
        <v>849.64013</v>
      </c>
    </row>
    <row r="285" ht="21" customHeight="1">
      <c r="A285" t="inlineStr">
        <is>
          <t>Scarus</t>
        </is>
      </c>
      <c r="B285" t="n">
        <v>2</v>
      </c>
      <c r="C285" t="n">
        <v>10</v>
      </c>
      <c r="D285" s="10" t="inlineStr">
        <is>
          <t>2 SM inv | 3 SM inv</t>
        </is>
      </c>
      <c r="E285" t="n">
        <v>276.665746</v>
      </c>
      <c r="F285" t="n">
        <v>195.237034</v>
      </c>
      <c r="G285" t="n">
        <v>132.430212</v>
      </c>
      <c r="H285" t="n">
        <v>264.469084</v>
      </c>
      <c r="I285" t="n">
        <v>118.913507</v>
      </c>
      <c r="J285" t="n">
        <v>136.139541</v>
      </c>
      <c r="K285" t="n">
        <v>127.362312</v>
      </c>
      <c r="L285" t="n">
        <v>358.406583</v>
      </c>
      <c r="M285" t="n">
        <v>358.406583</v>
      </c>
      <c r="N285" t="n">
        <v>358.406583</v>
      </c>
      <c r="O285" t="n">
        <v>341.418803</v>
      </c>
      <c r="P285" t="n">
        <v>140.125818</v>
      </c>
      <c r="Q285" t="n">
        <v>358.406583</v>
      </c>
      <c r="R285" t="n">
        <v>5989.509989</v>
      </c>
      <c r="S285" t="n">
        <v>341.418803</v>
      </c>
      <c r="T285" t="n">
        <v>178554.604556</v>
      </c>
      <c r="U285" t="n">
        <v>140.125818</v>
      </c>
      <c r="V285" t="n">
        <v>-299079.478285</v>
      </c>
      <c r="W285" t="n">
        <v>574.027146</v>
      </c>
      <c r="X285" t="n">
        <v>502.728082</v>
      </c>
      <c r="Y285" t="n">
        <v>42.955466</v>
      </c>
      <c r="Z285" t="n">
        <v>65.044787</v>
      </c>
    </row>
    <row r="286" ht="21" customHeight="1">
      <c r="A286" t="inlineStr">
        <is>
          <t>Holothuria atra</t>
        </is>
      </c>
      <c r="B286" t="n">
        <v>2</v>
      </c>
      <c r="C286" t="n">
        <v>10</v>
      </c>
      <c r="D286" s="10" t="inlineStr">
        <is>
          <t>2 Macrobenthos | 3 Macrobenthos</t>
        </is>
      </c>
      <c r="E286" t="n">
        <v>276.665746</v>
      </c>
      <c r="F286" t="n">
        <v>43.212782</v>
      </c>
      <c r="G286" t="n">
        <v>32.623281</v>
      </c>
      <c r="H286" t="n">
        <v>41.368719</v>
      </c>
      <c r="I286" t="n">
        <v>34.461512</v>
      </c>
      <c r="J286" t="n">
        <v>34.461512</v>
      </c>
      <c r="K286" t="n">
        <v>31.432014</v>
      </c>
      <c r="L286" t="n">
        <v>106.719149</v>
      </c>
      <c r="M286" t="n">
        <v>106.719149</v>
      </c>
      <c r="N286" t="n">
        <v>106.719149</v>
      </c>
      <c r="O286" t="n">
        <v>113.412456</v>
      </c>
      <c r="P286" t="n">
        <v>57.717594</v>
      </c>
      <c r="Q286" t="n">
        <v>106.719149</v>
      </c>
      <c r="R286" t="n">
        <v>106.719149</v>
      </c>
      <c r="S286" t="n">
        <v>113.412456</v>
      </c>
      <c r="T286" t="n">
        <v>25.029149</v>
      </c>
      <c r="U286" t="n">
        <v>57.717594</v>
      </c>
      <c r="V286" t="n">
        <v>63.584441</v>
      </c>
      <c r="W286" t="n">
        <v>206.884057</v>
      </c>
      <c r="X286" t="n">
        <v>165.070073</v>
      </c>
      <c r="Y286" t="n">
        <v>14.477738</v>
      </c>
      <c r="Z286" t="n">
        <v>16.337529</v>
      </c>
    </row>
    <row r="287" ht="21" customHeight="1">
      <c r="A287" t="inlineStr">
        <is>
          <t>Holothuria edulis</t>
        </is>
      </c>
      <c r="B287" t="n">
        <v>2</v>
      </c>
      <c r="C287" t="n">
        <v>10</v>
      </c>
      <c r="D287" s="10" t="inlineStr">
        <is>
          <t>2 Macrobenthos | 3 Macrobenthos</t>
        </is>
      </c>
      <c r="E287" t="n">
        <v>276.665746</v>
      </c>
      <c r="F287" t="n">
        <v>43.212782</v>
      </c>
      <c r="G287" t="n">
        <v>32.623281</v>
      </c>
      <c r="H287" t="n">
        <v>41.368719</v>
      </c>
      <c r="I287" t="n">
        <v>34.461512</v>
      </c>
      <c r="J287" t="n">
        <v>34.461512</v>
      </c>
      <c r="K287" t="n">
        <v>31.432014</v>
      </c>
      <c r="L287" t="n">
        <v>106.719149</v>
      </c>
      <c r="M287" t="n">
        <v>106.719149</v>
      </c>
      <c r="N287" t="n">
        <v>106.719149</v>
      </c>
      <c r="O287" t="n">
        <v>113.412456</v>
      </c>
      <c r="P287" t="n">
        <v>57.717594</v>
      </c>
      <c r="Q287" t="n">
        <v>106.719149</v>
      </c>
      <c r="R287" t="n">
        <v>106.719149</v>
      </c>
      <c r="S287" t="n">
        <v>113.412456</v>
      </c>
      <c r="T287" t="n">
        <v>25.029149</v>
      </c>
      <c r="U287" t="n">
        <v>57.717594</v>
      </c>
      <c r="V287" t="n">
        <v>63.584441</v>
      </c>
      <c r="W287" t="n">
        <v>206.884057</v>
      </c>
      <c r="X287" t="n">
        <v>165.070073</v>
      </c>
      <c r="Y287" t="n">
        <v>14.477738</v>
      </c>
      <c r="Z287" t="n">
        <v>16.337529</v>
      </c>
    </row>
    <row r="288" ht="21" customHeight="1">
      <c r="A288" t="inlineStr">
        <is>
          <t>Bohadschia marmorata</t>
        </is>
      </c>
      <c r="B288" t="n">
        <v>2</v>
      </c>
      <c r="C288" t="n">
        <v>10</v>
      </c>
      <c r="D288" s="10" t="inlineStr">
        <is>
          <t>2 Macrobenthos | 3 Macrobenthos</t>
        </is>
      </c>
      <c r="E288" t="n">
        <v>276.665746</v>
      </c>
      <c r="F288" t="n">
        <v>43.212782</v>
      </c>
      <c r="G288" t="n">
        <v>32.623281</v>
      </c>
      <c r="H288" t="n">
        <v>41.368719</v>
      </c>
      <c r="I288" t="n">
        <v>34.461512</v>
      </c>
      <c r="J288" t="n">
        <v>34.461512</v>
      </c>
      <c r="K288" t="n">
        <v>31.432014</v>
      </c>
      <c r="L288" t="n">
        <v>106.719149</v>
      </c>
      <c r="M288" t="n">
        <v>106.719149</v>
      </c>
      <c r="N288" t="n">
        <v>106.719149</v>
      </c>
      <c r="O288" t="n">
        <v>113.412456</v>
      </c>
      <c r="P288" t="n">
        <v>57.717594</v>
      </c>
      <c r="Q288" t="n">
        <v>106.719149</v>
      </c>
      <c r="R288" t="n">
        <v>106.719149</v>
      </c>
      <c r="S288" t="n">
        <v>113.412456</v>
      </c>
      <c r="T288" t="n">
        <v>25.029149</v>
      </c>
      <c r="U288" t="n">
        <v>57.717594</v>
      </c>
      <c r="V288" t="n">
        <v>63.584441</v>
      </c>
      <c r="W288" t="n">
        <v>206.884057</v>
      </c>
      <c r="X288" t="n">
        <v>165.070073</v>
      </c>
      <c r="Y288" t="n">
        <v>14.477738</v>
      </c>
      <c r="Z288" t="n">
        <v>16.337529</v>
      </c>
    </row>
    <row r="289" ht="21" customHeight="1">
      <c r="A289" t="inlineStr">
        <is>
          <t>Makaira mazara</t>
        </is>
      </c>
      <c r="B289" t="n">
        <v>4.46</v>
      </c>
      <c r="C289" t="n">
        <v>2884.031503</v>
      </c>
      <c r="D289" s="10" t="inlineStr">
        <is>
          <t>Marlins</t>
        </is>
      </c>
      <c r="E289" t="n">
        <v>276.665746</v>
      </c>
      <c r="F289" t="n">
        <v>4151.453096</v>
      </c>
      <c r="G289" t="n">
        <v>2259.598482</v>
      </c>
      <c r="H289" t="n">
        <v>15252.832876</v>
      </c>
      <c r="I289" t="n">
        <v>2733.073309</v>
      </c>
      <c r="J289" t="n">
        <v>3165.476841</v>
      </c>
      <c r="K289" t="n">
        <v>2848.929157</v>
      </c>
      <c r="L289" t="n">
        <v>9570.959304</v>
      </c>
      <c r="M289" t="n">
        <v>9570.959304</v>
      </c>
      <c r="N289" t="n">
        <v>9570.959304</v>
      </c>
      <c r="O289" t="n">
        <v>5875.284723</v>
      </c>
      <c r="P289" t="n">
        <v>1362.121727</v>
      </c>
      <c r="Q289" t="n">
        <v>9570.959304</v>
      </c>
      <c r="R289" t="n">
        <v>24584098.779442</v>
      </c>
      <c r="S289" t="n">
        <v>5875.284723</v>
      </c>
      <c r="T289" t="n">
        <v>-14374601.068116</v>
      </c>
      <c r="U289" t="n">
        <v>1362.121727</v>
      </c>
      <c r="V289" t="n">
        <v>1.690219893847465e+18</v>
      </c>
      <c r="W289" t="n">
        <v>9479.149813</v>
      </c>
      <c r="X289" t="n">
        <v>12974.666138</v>
      </c>
      <c r="Y289" t="n">
        <v>385.551808</v>
      </c>
      <c r="Z289" t="n">
        <v>1105.841938</v>
      </c>
    </row>
    <row r="290" ht="21" customHeight="1">
      <c r="A290" t="inlineStr">
        <is>
          <t>Hilsa kelee</t>
        </is>
      </c>
      <c r="D290" s="10" t="inlineStr">
        <is>
          <t>2-3 Hilsa</t>
        </is>
      </c>
      <c r="E290" t="n">
        <v>276.665746</v>
      </c>
      <c r="F290" t="n">
        <v>19.832171</v>
      </c>
      <c r="G290" t="n">
        <v>15.945855</v>
      </c>
      <c r="H290" t="n">
        <v>27.184936</v>
      </c>
      <c r="I290" t="n">
        <v>23.959577</v>
      </c>
      <c r="J290" t="n">
        <v>23.959577</v>
      </c>
      <c r="K290" t="n">
        <v>22.402205</v>
      </c>
      <c r="L290" t="n">
        <v>23.5341</v>
      </c>
      <c r="M290" t="n">
        <v>23.5341</v>
      </c>
      <c r="N290" t="n">
        <v>23.5341</v>
      </c>
      <c r="O290" t="n">
        <v>8.732358</v>
      </c>
      <c r="P290" t="n">
        <v>6.162297</v>
      </c>
      <c r="Q290" t="n">
        <v>23.5341</v>
      </c>
      <c r="R290" t="n">
        <v>27.800673</v>
      </c>
      <c r="S290" t="n">
        <v>8.732358</v>
      </c>
      <c r="T290" t="n">
        <v>8.694547999999999</v>
      </c>
      <c r="U290" t="n">
        <v>6.162297</v>
      </c>
      <c r="V290" t="n">
        <v>6.925038</v>
      </c>
      <c r="W290" t="n">
        <v>9.202946000000001</v>
      </c>
      <c r="X290" t="n">
        <v>23.246832</v>
      </c>
      <c r="Y290" t="n">
        <v>8.458360000000001</v>
      </c>
      <c r="Z290" t="n">
        <v>11.637438</v>
      </c>
    </row>
    <row r="291" ht="21" customHeight="1">
      <c r="A291" t="inlineStr">
        <is>
          <t>Tenualosa toli</t>
        </is>
      </c>
      <c r="B291" t="n">
        <v>2.48</v>
      </c>
      <c r="C291" t="n">
        <v>30.199517</v>
      </c>
      <c r="D291" s="10" t="inlineStr">
        <is>
          <t>2-3 Hilsa</t>
        </is>
      </c>
      <c r="E291" t="n">
        <v>276.665746</v>
      </c>
      <c r="F291" t="n">
        <v>19.832171</v>
      </c>
      <c r="G291" t="n">
        <v>15.945855</v>
      </c>
      <c r="H291" t="n">
        <v>27.184936</v>
      </c>
      <c r="I291" t="n">
        <v>23.959577</v>
      </c>
      <c r="J291" t="n">
        <v>23.959577</v>
      </c>
      <c r="K291" t="n">
        <v>22.402205</v>
      </c>
      <c r="L291" t="n">
        <v>23.5341</v>
      </c>
      <c r="M291" t="n">
        <v>23.5341</v>
      </c>
      <c r="N291" t="n">
        <v>23.5341</v>
      </c>
      <c r="O291" t="n">
        <v>8.732358</v>
      </c>
      <c r="P291" t="n">
        <v>6.162297</v>
      </c>
      <c r="Q291" t="n">
        <v>23.5341</v>
      </c>
      <c r="R291" t="n">
        <v>27.800673</v>
      </c>
      <c r="S291" t="n">
        <v>8.732358</v>
      </c>
      <c r="T291" t="n">
        <v>8.694547999999999</v>
      </c>
      <c r="U291" t="n">
        <v>6.162297</v>
      </c>
      <c r="V291" t="n">
        <v>6.925038</v>
      </c>
      <c r="W291" t="n">
        <v>9.202946000000001</v>
      </c>
      <c r="X291" t="n">
        <v>23.246832</v>
      </c>
      <c r="Y291" t="n">
        <v>8.458360000000001</v>
      </c>
      <c r="Z291" t="n">
        <v>11.637438</v>
      </c>
    </row>
    <row r="292" ht="21" customHeight="1">
      <c r="A292" t="inlineStr">
        <is>
          <t>Scatophagus argus</t>
        </is>
      </c>
      <c r="B292" t="n">
        <v>2.99</v>
      </c>
      <c r="C292" t="n">
        <v>97.723722</v>
      </c>
      <c r="D292" s="10" t="inlineStr">
        <is>
          <t>2 SM inv | 3 SM inv</t>
        </is>
      </c>
      <c r="E292" t="n">
        <v>276.665746</v>
      </c>
      <c r="F292" t="n">
        <v>195.237034</v>
      </c>
      <c r="G292" t="n">
        <v>132.430212</v>
      </c>
      <c r="H292" t="n">
        <v>264.469084</v>
      </c>
      <c r="I292" t="n">
        <v>118.913507</v>
      </c>
      <c r="J292" t="n">
        <v>136.139541</v>
      </c>
      <c r="K292" t="n">
        <v>127.362312</v>
      </c>
      <c r="L292" t="n">
        <v>358.406583</v>
      </c>
      <c r="M292" t="n">
        <v>358.406583</v>
      </c>
      <c r="N292" t="n">
        <v>358.406583</v>
      </c>
      <c r="O292" t="n">
        <v>341.418803</v>
      </c>
      <c r="P292" t="n">
        <v>140.125818</v>
      </c>
      <c r="Q292" t="n">
        <v>358.406583</v>
      </c>
      <c r="R292" t="n">
        <v>5989.509989</v>
      </c>
      <c r="S292" t="n">
        <v>341.418803</v>
      </c>
      <c r="T292" t="n">
        <v>178554.604556</v>
      </c>
      <c r="U292" t="n">
        <v>140.125818</v>
      </c>
      <c r="V292" t="n">
        <v>-299079.478285</v>
      </c>
      <c r="W292" t="n">
        <v>574.027146</v>
      </c>
      <c r="X292" t="n">
        <v>502.728082</v>
      </c>
      <c r="Y292" t="n">
        <v>42.955466</v>
      </c>
      <c r="Z292" t="n">
        <v>65.044787</v>
      </c>
    </row>
    <row r="293" ht="21" customHeight="1">
      <c r="A293" t="inlineStr">
        <is>
          <t>Lobotes surinamensis</t>
        </is>
      </c>
      <c r="B293" t="n">
        <v>4.04</v>
      </c>
      <c r="C293" t="n">
        <v>1096.478196</v>
      </c>
      <c r="D293" s="10" t="inlineStr">
        <is>
          <t>2 L pisc | 3 L pisc</t>
        </is>
      </c>
      <c r="E293" t="n">
        <v>276.665746</v>
      </c>
      <c r="F293" t="n">
        <v>1671.644897</v>
      </c>
      <c r="G293" t="n">
        <v>968.768055</v>
      </c>
      <c r="H293" t="n">
        <v>4321.103431</v>
      </c>
      <c r="I293" t="n">
        <v>1003.861945</v>
      </c>
      <c r="J293" t="n">
        <v>1190.295649</v>
      </c>
      <c r="K293" t="n">
        <v>1071.266084</v>
      </c>
      <c r="L293" t="n">
        <v>3542.246528</v>
      </c>
      <c r="M293" t="n">
        <v>3542.246528</v>
      </c>
      <c r="N293" t="n">
        <v>3542.246528</v>
      </c>
      <c r="O293" t="n">
        <v>2538.689141</v>
      </c>
      <c r="P293" t="n">
        <v>681.946673</v>
      </c>
      <c r="Q293" t="n">
        <v>3542.246528</v>
      </c>
      <c r="R293" t="n">
        <v>60332.209612</v>
      </c>
      <c r="S293" t="n">
        <v>2538.689141</v>
      </c>
      <c r="T293" t="n">
        <v>4692815.596611</v>
      </c>
      <c r="U293" t="n">
        <v>681.946673</v>
      </c>
      <c r="V293" t="n">
        <v>8778895377.827705</v>
      </c>
      <c r="W293" t="n">
        <v>4084.723039</v>
      </c>
      <c r="X293" t="n">
        <v>4708.979406</v>
      </c>
      <c r="Y293" t="n">
        <v>198.988407</v>
      </c>
      <c r="Z293" t="n">
        <v>443.769811</v>
      </c>
    </row>
    <row r="294" ht="21" customHeight="1">
      <c r="A294" t="inlineStr">
        <is>
          <t>Megalops cyprinoides</t>
        </is>
      </c>
      <c r="B294" t="n">
        <v>3.48</v>
      </c>
      <c r="C294" t="n">
        <v>301.995172</v>
      </c>
      <c r="D294" s="10" t="inlineStr">
        <is>
          <t>2 L pisc | 3 L pisc</t>
        </is>
      </c>
      <c r="E294" t="n">
        <v>276.665746</v>
      </c>
      <c r="F294" t="n">
        <v>1671.644897</v>
      </c>
      <c r="G294" t="n">
        <v>968.768055</v>
      </c>
      <c r="H294" t="n">
        <v>4321.103431</v>
      </c>
      <c r="I294" t="n">
        <v>1003.861945</v>
      </c>
      <c r="J294" t="n">
        <v>1190.295649</v>
      </c>
      <c r="K294" t="n">
        <v>1071.266084</v>
      </c>
      <c r="L294" t="n">
        <v>3542.246528</v>
      </c>
      <c r="M294" t="n">
        <v>3542.246528</v>
      </c>
      <c r="N294" t="n">
        <v>3542.246528</v>
      </c>
      <c r="O294" t="n">
        <v>2538.689141</v>
      </c>
      <c r="P294" t="n">
        <v>681.946673</v>
      </c>
      <c r="Q294" t="n">
        <v>3542.246528</v>
      </c>
      <c r="R294" t="n">
        <v>60332.209612</v>
      </c>
      <c r="S294" t="n">
        <v>2538.689141</v>
      </c>
      <c r="T294" t="n">
        <v>4692815.596611</v>
      </c>
      <c r="U294" t="n">
        <v>681.946673</v>
      </c>
      <c r="V294" t="n">
        <v>8778895377.827705</v>
      </c>
      <c r="W294" t="n">
        <v>4084.723039</v>
      </c>
      <c r="X294" t="n">
        <v>4708.979406</v>
      </c>
      <c r="Y294" t="n">
        <v>198.988407</v>
      </c>
      <c r="Z294" t="n">
        <v>443.769811</v>
      </c>
    </row>
    <row r="295" ht="21" customHeight="1">
      <c r="A295" t="inlineStr">
        <is>
          <t>Hemiramphidae</t>
        </is>
      </c>
      <c r="B295" t="n">
        <v>2.82</v>
      </c>
      <c r="C295" t="n">
        <v>66.069345</v>
      </c>
      <c r="D295" s="10" t="inlineStr">
        <is>
          <t>2 S pelagics | 3 S pelagics</t>
        </is>
      </c>
      <c r="E295" t="n">
        <v>276.665746</v>
      </c>
      <c r="F295" t="n">
        <v>140.109476</v>
      </c>
      <c r="G295" t="n">
        <v>97.63290000000001</v>
      </c>
      <c r="H295" t="n">
        <v>192.742209</v>
      </c>
      <c r="I295" t="n">
        <v>80.89349199999999</v>
      </c>
      <c r="J295" t="n">
        <v>105.806754</v>
      </c>
      <c r="K295" t="n">
        <v>98.775728</v>
      </c>
      <c r="L295" t="n">
        <v>234.092906</v>
      </c>
      <c r="M295" t="n">
        <v>234.092906</v>
      </c>
      <c r="N295" t="n">
        <v>234.092906</v>
      </c>
      <c r="O295" t="n">
        <v>202.855848</v>
      </c>
      <c r="P295" t="n">
        <v>80.16221299999999</v>
      </c>
      <c r="Q295" t="n">
        <v>234.092906</v>
      </c>
      <c r="R295" t="n">
        <v>-33950.413664</v>
      </c>
      <c r="S295" t="n">
        <v>202.855848</v>
      </c>
      <c r="T295" t="n">
        <v>227501.375555</v>
      </c>
      <c r="U295" t="n">
        <v>80.16221299999999</v>
      </c>
      <c r="V295" t="n">
        <v>-5091897.075108</v>
      </c>
      <c r="W295" t="n">
        <v>296.389113</v>
      </c>
      <c r="X295" t="n">
        <v>299.235812</v>
      </c>
      <c r="Y295" t="n">
        <v>34.1744</v>
      </c>
      <c r="Z295" t="n">
        <v>48.437594</v>
      </c>
    </row>
    <row r="296" ht="21" customHeight="1">
      <c r="A296" t="inlineStr">
        <is>
          <t>Sphyraena jello</t>
        </is>
      </c>
      <c r="B296" t="n">
        <v>4.5</v>
      </c>
      <c r="C296" t="n">
        <v>3162.27766</v>
      </c>
      <c r="D296" s="10" t="inlineStr">
        <is>
          <t>2 L pisc | 3 L pisc</t>
        </is>
      </c>
      <c r="E296" t="n">
        <v>276.665746</v>
      </c>
      <c r="F296" t="n">
        <v>1671.644897</v>
      </c>
      <c r="G296" t="n">
        <v>968.768055</v>
      </c>
      <c r="H296" t="n">
        <v>4321.103431</v>
      </c>
      <c r="I296" t="n">
        <v>1003.861945</v>
      </c>
      <c r="J296" t="n">
        <v>1190.295649</v>
      </c>
      <c r="K296" t="n">
        <v>1071.266084</v>
      </c>
      <c r="L296" t="n">
        <v>3542.246528</v>
      </c>
      <c r="M296" t="n">
        <v>3542.246528</v>
      </c>
      <c r="N296" t="n">
        <v>3542.246528</v>
      </c>
      <c r="O296" t="n">
        <v>2538.689141</v>
      </c>
      <c r="P296" t="n">
        <v>681.946673</v>
      </c>
      <c r="Q296" t="n">
        <v>3542.246528</v>
      </c>
      <c r="R296" t="n">
        <v>60332.209612</v>
      </c>
      <c r="S296" t="n">
        <v>2538.689141</v>
      </c>
      <c r="T296" t="n">
        <v>4692815.596611</v>
      </c>
      <c r="U296" t="n">
        <v>681.946673</v>
      </c>
      <c r="V296" t="n">
        <v>8778895377.827705</v>
      </c>
      <c r="W296" t="n">
        <v>4084.723039</v>
      </c>
      <c r="X296" t="n">
        <v>4708.979406</v>
      </c>
      <c r="Y296" t="n">
        <v>198.988407</v>
      </c>
      <c r="Z296" t="n">
        <v>443.769811</v>
      </c>
    </row>
    <row r="297" ht="21" customHeight="1">
      <c r="A297" t="inlineStr">
        <is>
          <t>Gnathanodon speciosus</t>
        </is>
      </c>
      <c r="B297" t="n">
        <v>3.84</v>
      </c>
      <c r="C297" t="n">
        <v>691.830971</v>
      </c>
      <c r="D297" s="10" t="inlineStr">
        <is>
          <t>2 Carangids | 3 Carangids</t>
        </is>
      </c>
      <c r="E297" t="n">
        <v>276.665746</v>
      </c>
      <c r="F297" t="n">
        <v>1047.559324</v>
      </c>
      <c r="G297" t="n">
        <v>629.821299</v>
      </c>
      <c r="H297" t="n">
        <v>2238.50504</v>
      </c>
      <c r="I297" t="n">
        <v>641.128381</v>
      </c>
      <c r="J297" t="n">
        <v>754.920494</v>
      </c>
      <c r="K297" t="n">
        <v>726.746267</v>
      </c>
      <c r="L297" t="n">
        <v>2160.61505</v>
      </c>
      <c r="M297" t="n">
        <v>2160.61505</v>
      </c>
      <c r="N297" t="n">
        <v>2160.61505</v>
      </c>
      <c r="O297" t="n">
        <v>1714.802766</v>
      </c>
      <c r="P297" t="n">
        <v>507.968664</v>
      </c>
      <c r="Q297" t="n">
        <v>2160.61505</v>
      </c>
      <c r="R297" t="n">
        <v>1782592.482977</v>
      </c>
      <c r="S297" t="n">
        <v>1714.802766</v>
      </c>
      <c r="T297" t="n">
        <v>15448395.144238</v>
      </c>
      <c r="U297" t="n">
        <v>507.968664</v>
      </c>
      <c r="V297" t="n">
        <v>363121069.828352</v>
      </c>
      <c r="W297" t="n">
        <v>2799.375544</v>
      </c>
      <c r="X297" t="n">
        <v>2890.556852</v>
      </c>
      <c r="Y297" t="n">
        <v>143.6356</v>
      </c>
      <c r="Z297" t="n">
        <v>294.157869</v>
      </c>
    </row>
    <row r="298" ht="21" customHeight="1">
      <c r="A298" t="inlineStr">
        <is>
          <t>Bregmaceros mcclellandi</t>
        </is>
      </c>
      <c r="B298" t="n">
        <v>3.3</v>
      </c>
      <c r="C298" t="n">
        <v>199.526231</v>
      </c>
      <c r="D298" s="10" t="inlineStr">
        <is>
          <t>2 S pelagics | 3 S pelagics</t>
        </is>
      </c>
      <c r="E298" t="n">
        <v>276.665746</v>
      </c>
      <c r="F298" t="n">
        <v>140.109476</v>
      </c>
      <c r="G298" t="n">
        <v>97.63290000000001</v>
      </c>
      <c r="H298" t="n">
        <v>192.742209</v>
      </c>
      <c r="I298" t="n">
        <v>80.89349199999999</v>
      </c>
      <c r="J298" t="n">
        <v>105.806754</v>
      </c>
      <c r="K298" t="n">
        <v>98.775728</v>
      </c>
      <c r="L298" t="n">
        <v>234.092906</v>
      </c>
      <c r="M298" t="n">
        <v>234.092906</v>
      </c>
      <c r="N298" t="n">
        <v>234.092906</v>
      </c>
      <c r="O298" t="n">
        <v>202.855848</v>
      </c>
      <c r="P298" t="n">
        <v>80.16221299999999</v>
      </c>
      <c r="Q298" t="n">
        <v>234.092906</v>
      </c>
      <c r="R298" t="n">
        <v>-33950.413664</v>
      </c>
      <c r="S298" t="n">
        <v>202.855848</v>
      </c>
      <c r="T298" t="n">
        <v>227501.375555</v>
      </c>
      <c r="U298" t="n">
        <v>80.16221299999999</v>
      </c>
      <c r="V298" t="n">
        <v>-5091897.075108</v>
      </c>
      <c r="W298" t="n">
        <v>296.389113</v>
      </c>
      <c r="X298" t="n">
        <v>299.235812</v>
      </c>
      <c r="Y298" t="n">
        <v>34.1744</v>
      </c>
      <c r="Z298" t="n">
        <v>48.437594</v>
      </c>
    </row>
    <row r="299" ht="21" customHeight="1">
      <c r="A299" t="inlineStr">
        <is>
          <t>Lutjanus argentimaculatus</t>
        </is>
      </c>
      <c r="D299" s="10" t="inlineStr">
        <is>
          <t>2 L pisc comm | 3 L pisc comm</t>
        </is>
      </c>
      <c r="E299" t="n">
        <v>276.665746</v>
      </c>
      <c r="F299" t="n">
        <v>942.008432</v>
      </c>
      <c r="G299" t="n">
        <v>569.455705</v>
      </c>
      <c r="H299" t="n">
        <v>2134.327853</v>
      </c>
      <c r="I299" t="n">
        <v>640.479051</v>
      </c>
      <c r="J299" t="n">
        <v>809.758325</v>
      </c>
      <c r="K299" t="n">
        <v>735.799922</v>
      </c>
      <c r="L299" t="n">
        <v>2161.826618</v>
      </c>
      <c r="M299" t="n">
        <v>2161.826618</v>
      </c>
      <c r="N299" t="n">
        <v>2161.826618</v>
      </c>
      <c r="O299" t="n">
        <v>1597.141175</v>
      </c>
      <c r="P299" t="n">
        <v>484.321234</v>
      </c>
      <c r="Q299" t="n">
        <v>2161.826618</v>
      </c>
      <c r="R299" t="n">
        <v>-1582279.837302</v>
      </c>
      <c r="S299" t="n">
        <v>1597.141175</v>
      </c>
      <c r="T299" t="n">
        <v>18597729.236262</v>
      </c>
      <c r="U299" t="n">
        <v>484.321234</v>
      </c>
      <c r="V299" t="n">
        <v>-731199951.6958441</v>
      </c>
      <c r="W299" t="n">
        <v>2522.004884</v>
      </c>
      <c r="X299" t="n">
        <v>2847.344437</v>
      </c>
      <c r="Y299" t="n">
        <v>132.205276</v>
      </c>
      <c r="Z299" t="n">
        <v>267.681374</v>
      </c>
    </row>
    <row r="300" ht="21" customHeight="1">
      <c r="A300" t="inlineStr">
        <is>
          <t>Trochus</t>
        </is>
      </c>
      <c r="B300" t="n">
        <v>2.1</v>
      </c>
      <c r="C300" t="n">
        <v>12.589254</v>
      </c>
      <c r="D300" s="10" t="inlineStr">
        <is>
          <t>2 Macrobenthos | 3 Macrobenthos</t>
        </is>
      </c>
      <c r="E300" t="n">
        <v>276.665746</v>
      </c>
      <c r="F300" t="n">
        <v>43.212782</v>
      </c>
      <c r="G300" t="n">
        <v>32.623281</v>
      </c>
      <c r="H300" t="n">
        <v>41.368719</v>
      </c>
      <c r="I300" t="n">
        <v>34.461512</v>
      </c>
      <c r="J300" t="n">
        <v>34.461512</v>
      </c>
      <c r="K300" t="n">
        <v>31.432014</v>
      </c>
      <c r="L300" t="n">
        <v>106.719149</v>
      </c>
      <c r="M300" t="n">
        <v>106.719149</v>
      </c>
      <c r="N300" t="n">
        <v>106.719149</v>
      </c>
      <c r="O300" t="n">
        <v>113.412456</v>
      </c>
      <c r="P300" t="n">
        <v>57.717594</v>
      </c>
      <c r="Q300" t="n">
        <v>106.719149</v>
      </c>
      <c r="R300" t="n">
        <v>106.719149</v>
      </c>
      <c r="S300" t="n">
        <v>113.412456</v>
      </c>
      <c r="T300" t="n">
        <v>25.029149</v>
      </c>
      <c r="U300" t="n">
        <v>57.717594</v>
      </c>
      <c r="V300" t="n">
        <v>63.584441</v>
      </c>
      <c r="W300" t="n">
        <v>206.884057</v>
      </c>
      <c r="X300" t="n">
        <v>165.070073</v>
      </c>
      <c r="Y300" t="n">
        <v>14.477738</v>
      </c>
      <c r="Z300" t="n">
        <v>16.337529</v>
      </c>
    </row>
    <row r="301" ht="21" customHeight="1">
      <c r="A301" t="inlineStr">
        <is>
          <t>Saccostrea cuccullata</t>
        </is>
      </c>
      <c r="D301" s="10" t="inlineStr">
        <is>
          <t>2 Macrobenthos | 3 Macrobenthos</t>
        </is>
      </c>
      <c r="E301" t="n">
        <v>276.665746</v>
      </c>
      <c r="F301" t="n">
        <v>43.212782</v>
      </c>
      <c r="G301" t="n">
        <v>32.623281</v>
      </c>
      <c r="H301" t="n">
        <v>41.368719</v>
      </c>
      <c r="I301" t="n">
        <v>34.461512</v>
      </c>
      <c r="J301" t="n">
        <v>34.461512</v>
      </c>
      <c r="K301" t="n">
        <v>31.432014</v>
      </c>
      <c r="L301" t="n">
        <v>106.719149</v>
      </c>
      <c r="M301" t="n">
        <v>106.719149</v>
      </c>
      <c r="N301" t="n">
        <v>106.719149</v>
      </c>
      <c r="O301" t="n">
        <v>113.412456</v>
      </c>
      <c r="P301" t="n">
        <v>57.717594</v>
      </c>
      <c r="Q301" t="n">
        <v>106.719149</v>
      </c>
      <c r="R301" t="n">
        <v>106.719149</v>
      </c>
      <c r="S301" t="n">
        <v>113.412456</v>
      </c>
      <c r="T301" t="n">
        <v>25.029149</v>
      </c>
      <c r="U301" t="n">
        <v>57.717594</v>
      </c>
      <c r="V301" t="n">
        <v>63.584441</v>
      </c>
      <c r="W301" t="n">
        <v>206.884057</v>
      </c>
      <c r="X301" t="n">
        <v>165.070073</v>
      </c>
      <c r="Y301" t="n">
        <v>14.477738</v>
      </c>
      <c r="Z301" t="n">
        <v>16.337529</v>
      </c>
    </row>
    <row r="302" ht="21" customHeight="1">
      <c r="A302" t="inlineStr">
        <is>
          <t>Lambis lambis</t>
        </is>
      </c>
      <c r="D302" s="10" t="inlineStr">
        <is>
          <t>2 Macrobenthos | 3 Macrobenthos</t>
        </is>
      </c>
      <c r="E302" t="n">
        <v>276.665746</v>
      </c>
      <c r="F302" t="n">
        <v>43.212782</v>
      </c>
      <c r="G302" t="n">
        <v>32.623281</v>
      </c>
      <c r="H302" t="n">
        <v>41.368719</v>
      </c>
      <c r="I302" t="n">
        <v>34.461512</v>
      </c>
      <c r="J302" t="n">
        <v>34.461512</v>
      </c>
      <c r="K302" t="n">
        <v>31.432014</v>
      </c>
      <c r="L302" t="n">
        <v>106.719149</v>
      </c>
      <c r="M302" t="n">
        <v>106.719149</v>
      </c>
      <c r="N302" t="n">
        <v>106.719149</v>
      </c>
      <c r="O302" t="n">
        <v>113.412456</v>
      </c>
      <c r="P302" t="n">
        <v>57.717594</v>
      </c>
      <c r="Q302" t="n">
        <v>106.719149</v>
      </c>
      <c r="R302" t="n">
        <v>106.719149</v>
      </c>
      <c r="S302" t="n">
        <v>113.412456</v>
      </c>
      <c r="T302" t="n">
        <v>25.029149</v>
      </c>
      <c r="U302" t="n">
        <v>57.717594</v>
      </c>
      <c r="V302" t="n">
        <v>63.584441</v>
      </c>
      <c r="W302" t="n">
        <v>206.884057</v>
      </c>
      <c r="X302" t="n">
        <v>165.070073</v>
      </c>
      <c r="Y302" t="n">
        <v>14.477738</v>
      </c>
      <c r="Z302" t="n">
        <v>16.337529</v>
      </c>
    </row>
    <row r="303" ht="21" customHeight="1">
      <c r="A303" t="inlineStr">
        <is>
          <t>Menidae</t>
        </is>
      </c>
      <c r="D303" s="10" t="inlineStr">
        <is>
          <t>2 SM inv | 3 SM inv</t>
        </is>
      </c>
      <c r="E303" t="n">
        <v>276.665746</v>
      </c>
      <c r="F303" t="n">
        <v>195.237034</v>
      </c>
      <c r="G303" t="n">
        <v>132.430212</v>
      </c>
      <c r="H303" t="n">
        <v>264.469084</v>
      </c>
      <c r="I303" t="n">
        <v>118.913507</v>
      </c>
      <c r="J303" t="n">
        <v>136.139541</v>
      </c>
      <c r="K303" t="n">
        <v>127.362312</v>
      </c>
      <c r="L303" t="n">
        <v>358.406583</v>
      </c>
      <c r="M303" t="n">
        <v>358.406583</v>
      </c>
      <c r="N303" t="n">
        <v>358.406583</v>
      </c>
      <c r="O303" t="n">
        <v>341.418803</v>
      </c>
      <c r="P303" t="n">
        <v>140.125818</v>
      </c>
      <c r="Q303" t="n">
        <v>358.406583</v>
      </c>
      <c r="R303" t="n">
        <v>5989.509989</v>
      </c>
      <c r="S303" t="n">
        <v>341.418803</v>
      </c>
      <c r="T303" t="n">
        <v>178554.604556</v>
      </c>
      <c r="U303" t="n">
        <v>140.125818</v>
      </c>
      <c r="V303" t="n">
        <v>-299079.478285</v>
      </c>
      <c r="W303" t="n">
        <v>574.027146</v>
      </c>
      <c r="X303" t="n">
        <v>502.728082</v>
      </c>
      <c r="Y303" t="n">
        <v>42.955466</v>
      </c>
      <c r="Z303" t="n">
        <v>65.044787</v>
      </c>
    </row>
    <row r="304" ht="21" customHeight="1">
      <c r="A304" t="inlineStr">
        <is>
          <t>Scyllaridae</t>
        </is>
      </c>
      <c r="D304" s="10" t="inlineStr">
        <is>
          <t>2 Crustaceans | 3 Crustaceans</t>
        </is>
      </c>
      <c r="E304" t="n">
        <v>276.665746</v>
      </c>
      <c r="F304" t="n">
        <v>87.346446</v>
      </c>
      <c r="G304" t="n">
        <v>62.825827</v>
      </c>
      <c r="H304" t="n">
        <v>62.583797</v>
      </c>
      <c r="I304" t="n">
        <v>49.059783</v>
      </c>
      <c r="J304" t="n">
        <v>49.059783</v>
      </c>
      <c r="K304" t="n">
        <v>45.848307</v>
      </c>
      <c r="L304" t="n">
        <v>88.61683499999999</v>
      </c>
      <c r="M304" t="n">
        <v>88.61683499999999</v>
      </c>
      <c r="N304" t="n">
        <v>88.61683499999999</v>
      </c>
      <c r="O304" t="n">
        <v>112.736869</v>
      </c>
      <c r="P304" t="n">
        <v>69.749027</v>
      </c>
      <c r="Q304" t="n">
        <v>88.61683499999999</v>
      </c>
      <c r="R304" t="n">
        <v>88.61683499999999</v>
      </c>
      <c r="S304" t="n">
        <v>112.736869</v>
      </c>
      <c r="T304" t="n">
        <v>18.000131</v>
      </c>
      <c r="U304" t="n">
        <v>69.749027</v>
      </c>
      <c r="V304" t="n">
        <v>77.336753</v>
      </c>
      <c r="W304" t="n">
        <v>138.030843</v>
      </c>
      <c r="X304" t="n">
        <v>98.46392899999999</v>
      </c>
      <c r="Y304" t="n">
        <v>24.163479</v>
      </c>
      <c r="Z304" t="n">
        <v>23.495104</v>
      </c>
    </row>
    <row r="305" ht="21" customHeight="1">
      <c r="A305" t="inlineStr">
        <is>
          <t>Pomadasys argenteus</t>
        </is>
      </c>
      <c r="B305" t="n">
        <v>3.47</v>
      </c>
      <c r="C305" t="n">
        <v>295.120923</v>
      </c>
      <c r="D305" s="10" t="inlineStr">
        <is>
          <t>2 SM pisc | 3 SM pisc</t>
        </is>
      </c>
      <c r="E305" t="n">
        <v>276.665746</v>
      </c>
      <c r="F305" t="n">
        <v>735.917019</v>
      </c>
      <c r="G305" t="n">
        <v>452.492682</v>
      </c>
      <c r="H305" t="n">
        <v>682.505571</v>
      </c>
      <c r="I305" t="n">
        <v>235.544874</v>
      </c>
      <c r="J305" t="n">
        <v>314.328392</v>
      </c>
      <c r="K305" t="n">
        <v>298.611973</v>
      </c>
      <c r="L305" t="n">
        <v>954.92823</v>
      </c>
      <c r="M305" t="n">
        <v>954.92823</v>
      </c>
      <c r="N305" t="n">
        <v>954.92823</v>
      </c>
      <c r="O305" t="n">
        <v>843.700548</v>
      </c>
      <c r="P305" t="n">
        <v>294.126635</v>
      </c>
      <c r="Q305" t="n">
        <v>954.92823</v>
      </c>
      <c r="R305" t="n">
        <v>10111.529968</v>
      </c>
      <c r="S305" t="n">
        <v>843.700548</v>
      </c>
      <c r="T305" t="n">
        <v>668478.0116420001</v>
      </c>
      <c r="U305" t="n">
        <v>294.126635</v>
      </c>
      <c r="V305" t="n">
        <v>-16893452.951404</v>
      </c>
      <c r="W305" t="n">
        <v>1324.45367</v>
      </c>
      <c r="X305" t="n">
        <v>1272.235398</v>
      </c>
      <c r="Y305" t="n">
        <v>110.428635</v>
      </c>
      <c r="Z305" t="n">
        <v>131.805708</v>
      </c>
    </row>
    <row r="306" ht="21" customHeight="1">
      <c r="A306" t="inlineStr">
        <is>
          <t>Echinodermata</t>
        </is>
      </c>
      <c r="B306" t="n">
        <v>2.3</v>
      </c>
      <c r="C306" t="n">
        <v>19.952623</v>
      </c>
      <c r="D306" s="10" t="inlineStr">
        <is>
          <t>2 Macrobenthos | 3 Macrobenthos</t>
        </is>
      </c>
      <c r="E306" t="n">
        <v>276.665746</v>
      </c>
      <c r="F306" t="n">
        <v>43.212782</v>
      </c>
      <c r="G306" t="n">
        <v>32.623281</v>
      </c>
      <c r="H306" t="n">
        <v>41.368719</v>
      </c>
      <c r="I306" t="n">
        <v>34.461512</v>
      </c>
      <c r="J306" t="n">
        <v>34.461512</v>
      </c>
      <c r="K306" t="n">
        <v>31.432014</v>
      </c>
      <c r="L306" t="n">
        <v>106.719149</v>
      </c>
      <c r="M306" t="n">
        <v>106.719149</v>
      </c>
      <c r="N306" t="n">
        <v>106.719149</v>
      </c>
      <c r="O306" t="n">
        <v>113.412456</v>
      </c>
      <c r="P306" t="n">
        <v>57.717594</v>
      </c>
      <c r="Q306" t="n">
        <v>106.719149</v>
      </c>
      <c r="R306" t="n">
        <v>106.719149</v>
      </c>
      <c r="S306" t="n">
        <v>113.412456</v>
      </c>
      <c r="T306" t="n">
        <v>25.029149</v>
      </c>
      <c r="U306" t="n">
        <v>57.717594</v>
      </c>
      <c r="V306" t="n">
        <v>63.584441</v>
      </c>
      <c r="W306" t="n">
        <v>206.884057</v>
      </c>
      <c r="X306" t="n">
        <v>165.070073</v>
      </c>
      <c r="Y306" t="n">
        <v>14.477738</v>
      </c>
      <c r="Z306" t="n">
        <v>16.337529</v>
      </c>
    </row>
    <row r="307" ht="21" customHeight="1">
      <c r="A307" t="inlineStr">
        <is>
          <t>Panulirus polyphagus</t>
        </is>
      </c>
      <c r="D307" s="10" t="inlineStr">
        <is>
          <t>2 Crustaceans | 3 Crustaceans</t>
        </is>
      </c>
      <c r="E307" t="n">
        <v>276.665746</v>
      </c>
      <c r="F307" t="n">
        <v>87.346446</v>
      </c>
      <c r="G307" t="n">
        <v>62.825827</v>
      </c>
      <c r="H307" t="n">
        <v>62.583797</v>
      </c>
      <c r="I307" t="n">
        <v>49.059783</v>
      </c>
      <c r="J307" t="n">
        <v>49.059783</v>
      </c>
      <c r="K307" t="n">
        <v>45.848307</v>
      </c>
      <c r="L307" t="n">
        <v>88.61683499999999</v>
      </c>
      <c r="M307" t="n">
        <v>88.61683499999999</v>
      </c>
      <c r="N307" t="n">
        <v>88.61683499999999</v>
      </c>
      <c r="O307" t="n">
        <v>112.736869</v>
      </c>
      <c r="P307" t="n">
        <v>69.749027</v>
      </c>
      <c r="Q307" t="n">
        <v>88.61683499999999</v>
      </c>
      <c r="R307" t="n">
        <v>88.61683499999999</v>
      </c>
      <c r="S307" t="n">
        <v>112.736869</v>
      </c>
      <c r="T307" t="n">
        <v>18.000131</v>
      </c>
      <c r="U307" t="n">
        <v>69.749027</v>
      </c>
      <c r="V307" t="n">
        <v>77.336753</v>
      </c>
      <c r="W307" t="n">
        <v>138.030843</v>
      </c>
      <c r="X307" t="n">
        <v>98.46392899999999</v>
      </c>
      <c r="Y307" t="n">
        <v>24.163479</v>
      </c>
      <c r="Z307" t="n">
        <v>23.495104</v>
      </c>
    </row>
    <row r="308" ht="21" customHeight="1">
      <c r="A308" t="inlineStr">
        <is>
          <t>Carcharhinus obscurus</t>
        </is>
      </c>
      <c r="D308" s="10" t="inlineStr">
        <is>
          <t>Coastal elasmobranch</t>
        </is>
      </c>
      <c r="E308" t="n">
        <v>276.665746</v>
      </c>
      <c r="F308" t="n">
        <v>1214.104792</v>
      </c>
      <c r="G308" t="n">
        <v>722.888243</v>
      </c>
      <c r="H308" t="n">
        <v>10121.435398</v>
      </c>
      <c r="I308" t="n">
        <v>2496.053382</v>
      </c>
      <c r="J308" t="n">
        <v>2721.71256</v>
      </c>
      <c r="K308" t="n">
        <v>2569.296656</v>
      </c>
      <c r="L308" t="n">
        <v>17002.234886</v>
      </c>
      <c r="M308" t="n">
        <v>17002.234886</v>
      </c>
      <c r="N308" t="n">
        <v>17002.234886</v>
      </c>
      <c r="O308" t="n">
        <v>9185.440402</v>
      </c>
      <c r="P308" t="n">
        <v>1863.771432</v>
      </c>
      <c r="Q308" t="n">
        <v>17002.234886</v>
      </c>
      <c r="R308" t="n">
        <v>111559561.583727</v>
      </c>
      <c r="S308" t="n">
        <v>9185.440402</v>
      </c>
      <c r="T308" t="n">
        <v>-6478612.295953</v>
      </c>
      <c r="U308" t="n">
        <v>1863.771432</v>
      </c>
      <c r="V308" t="n">
        <v>1.299598425206395e+19</v>
      </c>
      <c r="W308" t="n">
        <v>15257.306447</v>
      </c>
      <c r="X308" t="n">
        <v>23728.582321</v>
      </c>
      <c r="Y308" t="n">
        <v>160.121668</v>
      </c>
      <c r="Z308" t="n">
        <v>658.77156</v>
      </c>
    </row>
    <row r="309" ht="21" customHeight="1">
      <c r="A309" t="inlineStr">
        <is>
          <t>Labridae</t>
        </is>
      </c>
      <c r="B309" t="n">
        <v>3.46</v>
      </c>
      <c r="C309" t="n">
        <v>288.40315</v>
      </c>
      <c r="D309" s="10" t="inlineStr">
        <is>
          <t>2 L pisc | 3 L pisc</t>
        </is>
      </c>
      <c r="E309" t="n">
        <v>276.665746</v>
      </c>
      <c r="F309" t="n">
        <v>1671.644897</v>
      </c>
      <c r="G309" t="n">
        <v>968.768055</v>
      </c>
      <c r="H309" t="n">
        <v>4321.103431</v>
      </c>
      <c r="I309" t="n">
        <v>1003.861945</v>
      </c>
      <c r="J309" t="n">
        <v>1190.295649</v>
      </c>
      <c r="K309" t="n">
        <v>1071.266084</v>
      </c>
      <c r="L309" t="n">
        <v>3542.246528</v>
      </c>
      <c r="M309" t="n">
        <v>3542.246528</v>
      </c>
      <c r="N309" t="n">
        <v>3542.246528</v>
      </c>
      <c r="O309" t="n">
        <v>2538.689141</v>
      </c>
      <c r="P309" t="n">
        <v>681.946673</v>
      </c>
      <c r="Q309" t="n">
        <v>3542.246528</v>
      </c>
      <c r="R309" t="n">
        <v>60332.209612</v>
      </c>
      <c r="S309" t="n">
        <v>2538.689141</v>
      </c>
      <c r="T309" t="n">
        <v>4692815.596611</v>
      </c>
      <c r="U309" t="n">
        <v>681.946673</v>
      </c>
      <c r="V309" t="n">
        <v>8778895377.827705</v>
      </c>
      <c r="W309" t="n">
        <v>4084.723039</v>
      </c>
      <c r="X309" t="n">
        <v>4708.979406</v>
      </c>
      <c r="Y309" t="n">
        <v>198.988407</v>
      </c>
      <c r="Z309" t="n">
        <v>443.769811</v>
      </c>
    </row>
    <row r="310" ht="36" customHeight="1">
      <c r="A310" t="inlineStr">
        <is>
          <t>Polynemus</t>
        </is>
      </c>
      <c r="D310" s="10" t="inlineStr">
        <is>
          <t>2 L pisc | 3 L pisc | 2 SM inv | 3 SM inv</t>
        </is>
      </c>
      <c r="E310" t="n">
        <v>276.665746</v>
      </c>
      <c r="F310" t="n">
        <v>497.781419</v>
      </c>
      <c r="G310" t="n">
        <v>303.811932</v>
      </c>
      <c r="H310" t="n">
        <v>1095.751534</v>
      </c>
      <c r="I310" t="n">
        <v>300.256473</v>
      </c>
      <c r="J310" t="n">
        <v>352.156415</v>
      </c>
      <c r="K310" t="n">
        <v>320.786361</v>
      </c>
      <c r="L310" t="n">
        <v>1010.836663</v>
      </c>
      <c r="M310" t="n">
        <v>1010.836663</v>
      </c>
      <c r="N310" t="n">
        <v>1010.836663</v>
      </c>
      <c r="O310" t="n">
        <v>791.681783</v>
      </c>
      <c r="P310" t="n">
        <v>251.155339</v>
      </c>
      <c r="Q310" t="n">
        <v>1010.836663</v>
      </c>
      <c r="R310" t="n">
        <v>17125.375003</v>
      </c>
      <c r="S310" t="n">
        <v>791.681783</v>
      </c>
      <c r="T310" t="n">
        <v>1103613.561783</v>
      </c>
      <c r="U310" t="n">
        <v>251.155339</v>
      </c>
      <c r="V310" t="n">
        <v>1798726826.260244</v>
      </c>
      <c r="W310" t="n">
        <v>1293.4363</v>
      </c>
      <c r="X310" t="n">
        <v>1364.66993</v>
      </c>
      <c r="Y310" t="n">
        <v>74.929619</v>
      </c>
      <c r="Z310" t="n">
        <v>142.652833</v>
      </c>
    </row>
    <row r="311" ht="21" customHeight="1">
      <c r="A311" t="inlineStr">
        <is>
          <t>Decapterus macarellus</t>
        </is>
      </c>
      <c r="D311" s="10" t="inlineStr">
        <is>
          <t>2 Carangids | 3 Carangids</t>
        </is>
      </c>
      <c r="E311" t="n">
        <v>276.665746</v>
      </c>
      <c r="F311" t="n">
        <v>1047.559324</v>
      </c>
      <c r="G311" t="n">
        <v>629.821299</v>
      </c>
      <c r="H311" t="n">
        <v>2238.50504</v>
      </c>
      <c r="I311" t="n">
        <v>641.128381</v>
      </c>
      <c r="J311" t="n">
        <v>754.920494</v>
      </c>
      <c r="K311" t="n">
        <v>726.746267</v>
      </c>
      <c r="L311" t="n">
        <v>2160.61505</v>
      </c>
      <c r="M311" t="n">
        <v>2160.61505</v>
      </c>
      <c r="N311" t="n">
        <v>2160.61505</v>
      </c>
      <c r="O311" t="n">
        <v>1714.802766</v>
      </c>
      <c r="P311" t="n">
        <v>507.968664</v>
      </c>
      <c r="Q311" t="n">
        <v>2160.61505</v>
      </c>
      <c r="R311" t="n">
        <v>1782592.482977</v>
      </c>
      <c r="S311" t="n">
        <v>1714.802766</v>
      </c>
      <c r="T311" t="n">
        <v>15448395.144238</v>
      </c>
      <c r="U311" t="n">
        <v>507.968664</v>
      </c>
      <c r="V311" t="n">
        <v>363121069.828352</v>
      </c>
      <c r="W311" t="n">
        <v>2799.375544</v>
      </c>
      <c r="X311" t="n">
        <v>2890.556852</v>
      </c>
      <c r="Y311" t="n">
        <v>143.6356</v>
      </c>
      <c r="Z311" t="n">
        <v>294.157869</v>
      </c>
    </row>
    <row r="312" ht="21" customHeight="1">
      <c r="A312" t="inlineStr">
        <is>
          <t>Carcharhinus brachyurus</t>
        </is>
      </c>
      <c r="D312" s="10" t="inlineStr">
        <is>
          <t>Coastal elasmobranch</t>
        </is>
      </c>
      <c r="E312" t="n">
        <v>276.665746</v>
      </c>
      <c r="F312" t="n">
        <v>1214.104792</v>
      </c>
      <c r="G312" t="n">
        <v>722.888243</v>
      </c>
      <c r="H312" t="n">
        <v>10121.435398</v>
      </c>
      <c r="I312" t="n">
        <v>2496.053382</v>
      </c>
      <c r="J312" t="n">
        <v>2721.71256</v>
      </c>
      <c r="K312" t="n">
        <v>2569.296656</v>
      </c>
      <c r="L312" t="n">
        <v>17002.234886</v>
      </c>
      <c r="M312" t="n">
        <v>17002.234886</v>
      </c>
      <c r="N312" t="n">
        <v>17002.234886</v>
      </c>
      <c r="O312" t="n">
        <v>9185.440402</v>
      </c>
      <c r="P312" t="n">
        <v>1863.771432</v>
      </c>
      <c r="Q312" t="n">
        <v>17002.234886</v>
      </c>
      <c r="R312" t="n">
        <v>111559561.583727</v>
      </c>
      <c r="S312" t="n">
        <v>9185.440402</v>
      </c>
      <c r="T312" t="n">
        <v>-6478612.295953</v>
      </c>
      <c r="U312" t="n">
        <v>1863.771432</v>
      </c>
      <c r="V312" t="n">
        <v>1.299598425206395e+19</v>
      </c>
      <c r="W312" t="n">
        <v>15257.306447</v>
      </c>
      <c r="X312" t="n">
        <v>23728.582321</v>
      </c>
      <c r="Y312" t="n">
        <v>160.121668</v>
      </c>
      <c r="Z312" t="n">
        <v>658.77156</v>
      </c>
    </row>
    <row r="313" ht="21" customHeight="1">
      <c r="A313" t="inlineStr">
        <is>
          <t>Epinephelus tauvina</t>
        </is>
      </c>
      <c r="D313" s="10" t="inlineStr">
        <is>
          <t>2 L pisc comm | 3 L pisc comm</t>
        </is>
      </c>
      <c r="E313" t="n">
        <v>276.665746</v>
      </c>
      <c r="F313" t="n">
        <v>942.008432</v>
      </c>
      <c r="G313" t="n">
        <v>569.455705</v>
      </c>
      <c r="H313" t="n">
        <v>2134.327853</v>
      </c>
      <c r="I313" t="n">
        <v>640.479051</v>
      </c>
      <c r="J313" t="n">
        <v>809.758325</v>
      </c>
      <c r="K313" t="n">
        <v>735.799922</v>
      </c>
      <c r="L313" t="n">
        <v>2161.826618</v>
      </c>
      <c r="M313" t="n">
        <v>2161.826618</v>
      </c>
      <c r="N313" t="n">
        <v>2161.826618</v>
      </c>
      <c r="O313" t="n">
        <v>1597.141175</v>
      </c>
      <c r="P313" t="n">
        <v>484.321234</v>
      </c>
      <c r="Q313" t="n">
        <v>2161.826618</v>
      </c>
      <c r="R313" t="n">
        <v>-1582279.837302</v>
      </c>
      <c r="S313" t="n">
        <v>1597.141175</v>
      </c>
      <c r="T313" t="n">
        <v>18597729.236262</v>
      </c>
      <c r="U313" t="n">
        <v>484.321234</v>
      </c>
      <c r="V313" t="n">
        <v>-731199951.6958441</v>
      </c>
      <c r="W313" t="n">
        <v>2522.004884</v>
      </c>
      <c r="X313" t="n">
        <v>2847.344437</v>
      </c>
      <c r="Y313" t="n">
        <v>132.205276</v>
      </c>
      <c r="Z313" t="n">
        <v>267.681374</v>
      </c>
    </row>
    <row r="314" ht="21" customHeight="1">
      <c r="A314" t="inlineStr">
        <is>
          <t>Rajiformes</t>
        </is>
      </c>
      <c r="D314" s="10" t="inlineStr">
        <is>
          <t>Coastal elasmobranch</t>
        </is>
      </c>
      <c r="E314" t="n">
        <v>276.665746</v>
      </c>
      <c r="F314" t="n">
        <v>1214.104792</v>
      </c>
      <c r="G314" t="n">
        <v>722.888243</v>
      </c>
      <c r="H314" t="n">
        <v>10121.435398</v>
      </c>
      <c r="I314" t="n">
        <v>2496.053382</v>
      </c>
      <c r="J314" t="n">
        <v>2721.71256</v>
      </c>
      <c r="K314" t="n">
        <v>2569.296656</v>
      </c>
      <c r="L314" t="n">
        <v>17002.234886</v>
      </c>
      <c r="M314" t="n">
        <v>17002.234886</v>
      </c>
      <c r="N314" t="n">
        <v>17002.234886</v>
      </c>
      <c r="O314" t="n">
        <v>9185.440402</v>
      </c>
      <c r="P314" t="n">
        <v>1863.771432</v>
      </c>
      <c r="Q314" t="n">
        <v>17002.234886</v>
      </c>
      <c r="R314" t="n">
        <v>111559561.583727</v>
      </c>
      <c r="S314" t="n">
        <v>9185.440402</v>
      </c>
      <c r="T314" t="n">
        <v>-6478612.295953</v>
      </c>
      <c r="U314" t="n">
        <v>1863.771432</v>
      </c>
      <c r="V314" t="n">
        <v>1.299598425206395e+19</v>
      </c>
      <c r="W314" t="n">
        <v>15257.306447</v>
      </c>
      <c r="X314" t="n">
        <v>23728.582321</v>
      </c>
      <c r="Y314" t="n">
        <v>160.121668</v>
      </c>
      <c r="Z314" t="n">
        <v>658.77156</v>
      </c>
    </row>
    <row r="315" ht="21" customHeight="1">
      <c r="A315" t="inlineStr">
        <is>
          <t>Lepidocybium flavobrunneum</t>
        </is>
      </c>
      <c r="D315" s="10" t="inlineStr">
        <is>
          <t>ML bathy</t>
        </is>
      </c>
      <c r="E315" t="n">
        <v>276.665746</v>
      </c>
      <c r="F315" t="n">
        <v>308.890964</v>
      </c>
      <c r="G315" t="n">
        <v>203.245868</v>
      </c>
      <c r="H315" t="n">
        <v>1395.995486</v>
      </c>
      <c r="I315" t="n">
        <v>429.452734</v>
      </c>
      <c r="J315" t="n">
        <v>552.655175</v>
      </c>
      <c r="K315" t="n">
        <v>497.389657</v>
      </c>
      <c r="L315" t="n">
        <v>1517.166669</v>
      </c>
      <c r="M315" t="n">
        <v>1517.166669</v>
      </c>
      <c r="N315" t="n">
        <v>1517.166669</v>
      </c>
      <c r="O315" t="n">
        <v>936.239412</v>
      </c>
      <c r="P315" t="n">
        <v>268.385112</v>
      </c>
      <c r="Q315" t="n">
        <v>1517.166669</v>
      </c>
      <c r="R315" t="n">
        <v>-1057816.758889</v>
      </c>
      <c r="S315" t="n">
        <v>936.239412</v>
      </c>
      <c r="T315" t="n">
        <v>347166.430693</v>
      </c>
      <c r="U315" t="n">
        <v>268.385112</v>
      </c>
      <c r="V315" t="n">
        <v>-52122071.523651</v>
      </c>
      <c r="W315" t="n">
        <v>1486.238329</v>
      </c>
      <c r="X315" t="n">
        <v>1946.997288</v>
      </c>
      <c r="Y315" t="n">
        <v>60.196399</v>
      </c>
      <c r="Z315" t="n">
        <v>159.557956</v>
      </c>
    </row>
    <row r="316" ht="21" customHeight="1">
      <c r="A316" t="inlineStr">
        <is>
          <t>Carcharhinus plumbeus</t>
        </is>
      </c>
      <c r="D316" s="10" t="inlineStr">
        <is>
          <t>Coastal elasmobranch</t>
        </is>
      </c>
      <c r="E316" t="n">
        <v>276.665746</v>
      </c>
      <c r="F316" t="n">
        <v>1214.104792</v>
      </c>
      <c r="G316" t="n">
        <v>722.888243</v>
      </c>
      <c r="H316" t="n">
        <v>10121.435398</v>
      </c>
      <c r="I316" t="n">
        <v>2496.053382</v>
      </c>
      <c r="J316" t="n">
        <v>2721.71256</v>
      </c>
      <c r="K316" t="n">
        <v>2569.296656</v>
      </c>
      <c r="L316" t="n">
        <v>17002.234886</v>
      </c>
      <c r="M316" t="n">
        <v>17002.234886</v>
      </c>
      <c r="N316" t="n">
        <v>17002.234886</v>
      </c>
      <c r="O316" t="n">
        <v>9185.440402</v>
      </c>
      <c r="P316" t="n">
        <v>1863.771432</v>
      </c>
      <c r="Q316" t="n">
        <v>17002.234886</v>
      </c>
      <c r="R316" t="n">
        <v>111559561.583727</v>
      </c>
      <c r="S316" t="n">
        <v>9185.440402</v>
      </c>
      <c r="T316" t="n">
        <v>-6478612.295953</v>
      </c>
      <c r="U316" t="n">
        <v>1863.771432</v>
      </c>
      <c r="V316" t="n">
        <v>1.299598425206395e+19</v>
      </c>
      <c r="W316" t="n">
        <v>15257.306447</v>
      </c>
      <c r="X316" t="n">
        <v>23728.582321</v>
      </c>
      <c r="Y316" t="n">
        <v>160.121668</v>
      </c>
      <c r="Z316" t="n">
        <v>658.77156</v>
      </c>
    </row>
    <row r="317" ht="21" customHeight="1">
      <c r="A317" t="inlineStr">
        <is>
          <t>Mobula birostris</t>
        </is>
      </c>
      <c r="B317" t="n">
        <v>3.46</v>
      </c>
      <c r="C317" t="n">
        <v>288.40315</v>
      </c>
      <c r="D317" s="10" t="inlineStr">
        <is>
          <t>Coastal elasmobranch</t>
        </is>
      </c>
      <c r="E317" t="n">
        <v>276.665746</v>
      </c>
      <c r="F317" t="n">
        <v>1214.104792</v>
      </c>
      <c r="G317" t="n">
        <v>722.888243</v>
      </c>
      <c r="H317" t="n">
        <v>10121.435398</v>
      </c>
      <c r="I317" t="n">
        <v>2496.053382</v>
      </c>
      <c r="J317" t="n">
        <v>2721.71256</v>
      </c>
      <c r="K317" t="n">
        <v>2569.296656</v>
      </c>
      <c r="L317" t="n">
        <v>17002.234886</v>
      </c>
      <c r="M317" t="n">
        <v>17002.234886</v>
      </c>
      <c r="N317" t="n">
        <v>17002.234886</v>
      </c>
      <c r="O317" t="n">
        <v>9185.440402</v>
      </c>
      <c r="P317" t="n">
        <v>1863.771432</v>
      </c>
      <c r="Q317" t="n">
        <v>17002.234886</v>
      </c>
      <c r="R317" t="n">
        <v>111559561.583727</v>
      </c>
      <c r="S317" t="n">
        <v>9185.440402</v>
      </c>
      <c r="T317" t="n">
        <v>-6478612.295953</v>
      </c>
      <c r="U317" t="n">
        <v>1863.771432</v>
      </c>
      <c r="V317" t="n">
        <v>1.299598425206395e+19</v>
      </c>
      <c r="W317" t="n">
        <v>15257.306447</v>
      </c>
      <c r="X317" t="n">
        <v>23728.582321</v>
      </c>
      <c r="Y317" t="n">
        <v>160.121668</v>
      </c>
      <c r="Z317" t="n">
        <v>658.77156</v>
      </c>
    </row>
    <row r="318" ht="21" customHeight="1">
      <c r="A318" t="inlineStr">
        <is>
          <t>Mene maculata</t>
        </is>
      </c>
      <c r="D318" s="10" t="inlineStr">
        <is>
          <t>2 SM inv | 3 SM inv</t>
        </is>
      </c>
      <c r="E318" t="n">
        <v>276.665746</v>
      </c>
      <c r="F318" t="n">
        <v>195.237034</v>
      </c>
      <c r="G318" t="n">
        <v>132.430212</v>
      </c>
      <c r="H318" t="n">
        <v>264.469084</v>
      </c>
      <c r="I318" t="n">
        <v>118.913507</v>
      </c>
      <c r="J318" t="n">
        <v>136.139541</v>
      </c>
      <c r="K318" t="n">
        <v>127.362312</v>
      </c>
      <c r="L318" t="n">
        <v>358.406583</v>
      </c>
      <c r="M318" t="n">
        <v>358.406583</v>
      </c>
      <c r="N318" t="n">
        <v>358.406583</v>
      </c>
      <c r="O318" t="n">
        <v>341.418803</v>
      </c>
      <c r="P318" t="n">
        <v>140.125818</v>
      </c>
      <c r="Q318" t="n">
        <v>358.406583</v>
      </c>
      <c r="R318" t="n">
        <v>5989.509989</v>
      </c>
      <c r="S318" t="n">
        <v>341.418803</v>
      </c>
      <c r="T318" t="n">
        <v>178554.604556</v>
      </c>
      <c r="U318" t="n">
        <v>140.125818</v>
      </c>
      <c r="V318" t="n">
        <v>-299079.478285</v>
      </c>
      <c r="W318" t="n">
        <v>574.027146</v>
      </c>
      <c r="X318" t="n">
        <v>502.728082</v>
      </c>
      <c r="Y318" t="n">
        <v>42.955466</v>
      </c>
      <c r="Z318" t="n">
        <v>65.044787</v>
      </c>
    </row>
    <row r="319" ht="21" customHeight="1">
      <c r="A319" t="inlineStr">
        <is>
          <t>Lampris guttatus</t>
        </is>
      </c>
      <c r="D319" s="10" t="inlineStr">
        <is>
          <t>ML bathy</t>
        </is>
      </c>
      <c r="E319" t="n">
        <v>276.665746</v>
      </c>
      <c r="F319" t="n">
        <v>308.890964</v>
      </c>
      <c r="G319" t="n">
        <v>203.245868</v>
      </c>
      <c r="H319" t="n">
        <v>1395.995486</v>
      </c>
      <c r="I319" t="n">
        <v>429.452734</v>
      </c>
      <c r="J319" t="n">
        <v>552.655175</v>
      </c>
      <c r="K319" t="n">
        <v>497.389657</v>
      </c>
      <c r="L319" t="n">
        <v>1517.166669</v>
      </c>
      <c r="M319" t="n">
        <v>1517.166669</v>
      </c>
      <c r="N319" t="n">
        <v>1517.166669</v>
      </c>
      <c r="O319" t="n">
        <v>936.239412</v>
      </c>
      <c r="P319" t="n">
        <v>268.385112</v>
      </c>
      <c r="Q319" t="n">
        <v>1517.166669</v>
      </c>
      <c r="R319" t="n">
        <v>-1057816.758889</v>
      </c>
      <c r="S319" t="n">
        <v>936.239412</v>
      </c>
      <c r="T319" t="n">
        <v>347166.430693</v>
      </c>
      <c r="U319" t="n">
        <v>268.385112</v>
      </c>
      <c r="V319" t="n">
        <v>-52122071.523651</v>
      </c>
      <c r="W319" t="n">
        <v>1486.238329</v>
      </c>
      <c r="X319" t="n">
        <v>1946.997288</v>
      </c>
      <c r="Y319" t="n">
        <v>60.196399</v>
      </c>
      <c r="Z319" t="n">
        <v>159.557956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T3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s>
  <sheetData>
    <row r="1">
      <c r="A1" s="1" t="inlineStr">
        <is>
          <t>Total PPR by method and year — every taxon summed, tonnes wet weight equivalent of primary production.</t>
        </is>
      </c>
    </row>
    <row r="2">
      <c r="A2" t="inlineStr">
        <is>
          <t>All basal sources, including imports. The simple chain rows are unpartitioned references; model rows use this scope.</t>
        </is>
      </c>
    </row>
    <row r="3">
      <c r="A3" t="inlineStr">
        <is>
          <t>Methods are not alternatives to be averaged. They rest on different assumptions and the spread between them is the result.</t>
        </is>
      </c>
    </row>
    <row r="4">
      <c r="A4" t="inlineStr">
        <is>
          <t>The two grey rows aggregate the catch to a group before exponentiating, which understates the total: SPPR is convex in trophic level, so they measure the Jensen effect rather than the PPR.</t>
        </is>
      </c>
    </row>
    <row r="5">
      <c r="A5" s="4" t="inlineStr">
        <is>
          <t>method</t>
        </is>
      </c>
      <c r="B5" s="4" t="inlineStr">
        <is>
          <t>status</t>
        </is>
      </c>
      <c r="C5" s="4" t="n">
        <v>1950</v>
      </c>
      <c r="D5" s="4" t="n">
        <v>1951</v>
      </c>
      <c r="E5" s="4" t="n">
        <v>1952</v>
      </c>
      <c r="F5" s="4" t="n">
        <v>1953</v>
      </c>
      <c r="G5" s="4" t="n">
        <v>1954</v>
      </c>
      <c r="H5" s="4" t="n">
        <v>1955</v>
      </c>
      <c r="I5" s="4" t="n">
        <v>1956</v>
      </c>
      <c r="J5" s="4" t="n">
        <v>1957</v>
      </c>
      <c r="K5" s="4" t="n">
        <v>1958</v>
      </c>
      <c r="L5" s="4" t="n">
        <v>1959</v>
      </c>
      <c r="M5" s="4" t="n">
        <v>1960</v>
      </c>
      <c r="N5" s="4" t="n">
        <v>1961</v>
      </c>
      <c r="O5" s="4" t="n">
        <v>1962</v>
      </c>
      <c r="P5" s="4" t="n">
        <v>1963</v>
      </c>
      <c r="Q5" s="4" t="n">
        <v>1964</v>
      </c>
      <c r="R5" s="4" t="n">
        <v>1965</v>
      </c>
      <c r="S5" s="4" t="n">
        <v>1966</v>
      </c>
      <c r="T5" s="4" t="n">
        <v>1967</v>
      </c>
      <c r="U5" s="4" t="n">
        <v>1968</v>
      </c>
      <c r="V5" s="4" t="n">
        <v>1969</v>
      </c>
      <c r="W5" s="4" t="n">
        <v>1970</v>
      </c>
      <c r="X5" s="4" t="n">
        <v>1971</v>
      </c>
      <c r="Y5" s="4" t="n">
        <v>1972</v>
      </c>
      <c r="Z5" s="4" t="n">
        <v>1973</v>
      </c>
      <c r="AA5" s="4" t="n">
        <v>1974</v>
      </c>
      <c r="AB5" s="4" t="n">
        <v>1975</v>
      </c>
      <c r="AC5" s="4" t="n">
        <v>1976</v>
      </c>
      <c r="AD5" s="4" t="n">
        <v>1977</v>
      </c>
      <c r="AE5" s="4" t="n">
        <v>1978</v>
      </c>
      <c r="AF5" s="4" t="n">
        <v>1979</v>
      </c>
      <c r="AG5" s="4" t="n">
        <v>1980</v>
      </c>
      <c r="AH5" s="4" t="n">
        <v>1981</v>
      </c>
      <c r="AI5" s="4" t="n">
        <v>1982</v>
      </c>
      <c r="AJ5" s="4" t="n">
        <v>1983</v>
      </c>
      <c r="AK5" s="4" t="n">
        <v>1984</v>
      </c>
      <c r="AL5" s="4" t="n">
        <v>1985</v>
      </c>
      <c r="AM5" s="4" t="n">
        <v>1986</v>
      </c>
      <c r="AN5" s="4" t="n">
        <v>1987</v>
      </c>
      <c r="AO5" s="4" t="n">
        <v>1988</v>
      </c>
      <c r="AP5" s="4" t="n">
        <v>1989</v>
      </c>
      <c r="AQ5" s="4" t="n">
        <v>1990</v>
      </c>
      <c r="AR5" s="4" t="n">
        <v>1991</v>
      </c>
      <c r="AS5" s="4" t="n">
        <v>1992</v>
      </c>
      <c r="AT5" s="4" t="n">
        <v>1993</v>
      </c>
      <c r="AU5" s="4" t="n">
        <v>1994</v>
      </c>
      <c r="AV5" s="4" t="n">
        <v>1995</v>
      </c>
      <c r="AW5" s="4" t="n">
        <v>1996</v>
      </c>
      <c r="AX5" s="4" t="n">
        <v>1997</v>
      </c>
      <c r="AY5" s="4" t="n">
        <v>1998</v>
      </c>
      <c r="AZ5" s="4" t="n">
        <v>1999</v>
      </c>
      <c r="BA5" s="4" t="n">
        <v>2000</v>
      </c>
      <c r="BB5" s="4" t="n">
        <v>2001</v>
      </c>
      <c r="BC5" s="4" t="n">
        <v>2002</v>
      </c>
      <c r="BD5" s="4" t="n">
        <v>2003</v>
      </c>
      <c r="BE5" s="4" t="n">
        <v>2004</v>
      </c>
      <c r="BF5" s="4" t="n">
        <v>2005</v>
      </c>
      <c r="BG5" s="4" t="n">
        <v>2006</v>
      </c>
      <c r="BH5" s="4" t="n">
        <v>2007</v>
      </c>
      <c r="BI5" s="4" t="n">
        <v>2008</v>
      </c>
      <c r="BJ5" s="4" t="n">
        <v>2009</v>
      </c>
      <c r="BK5" s="4" t="n">
        <v>2010</v>
      </c>
      <c r="BL5" s="4" t="n">
        <v>2011</v>
      </c>
      <c r="BM5" s="4" t="n">
        <v>2012</v>
      </c>
      <c r="BN5" s="4" t="n">
        <v>2013</v>
      </c>
      <c r="BO5" s="4" t="n">
        <v>2014</v>
      </c>
      <c r="BP5" s="4" t="n">
        <v>2015</v>
      </c>
      <c r="BQ5" s="4" t="n">
        <v>2016</v>
      </c>
      <c r="BR5" s="4" t="n">
        <v>2017</v>
      </c>
      <c r="BS5" s="4" t="n">
        <v>2018</v>
      </c>
      <c r="BT5" s="4" t="n">
        <v>2019</v>
      </c>
    </row>
    <row r="6">
      <c r="A6" s="3" t="inlineStr">
        <is>
          <t>simple trophic chain, per taxon</t>
        </is>
      </c>
      <c r="B6" t="inlineStr">
        <is>
          <t>ok</t>
        </is>
      </c>
      <c r="C6" t="n">
        <v>470224474.923</v>
      </c>
      <c r="D6" t="n">
        <v>479655799.992</v>
      </c>
      <c r="E6" t="n">
        <v>518384304.482</v>
      </c>
      <c r="F6" t="n">
        <v>503838387.402</v>
      </c>
      <c r="G6" t="n">
        <v>548855442.279</v>
      </c>
      <c r="H6" t="n">
        <v>568401083.102</v>
      </c>
      <c r="I6" t="n">
        <v>625166415.7920001</v>
      </c>
      <c r="J6" t="n">
        <v>586646084.85</v>
      </c>
      <c r="K6" t="n">
        <v>609646137.494</v>
      </c>
      <c r="L6" t="n">
        <v>608993785.003</v>
      </c>
      <c r="M6" t="n">
        <v>629347038.538</v>
      </c>
      <c r="N6" t="n">
        <v>669101290.891</v>
      </c>
      <c r="O6" t="n">
        <v>687477554.039</v>
      </c>
      <c r="P6" t="n">
        <v>692351029.885</v>
      </c>
      <c r="Q6" t="n">
        <v>770896156.517</v>
      </c>
      <c r="R6" t="n">
        <v>774782731.823</v>
      </c>
      <c r="S6" t="n">
        <v>836343612.482</v>
      </c>
      <c r="T6" t="n">
        <v>870648937.309</v>
      </c>
      <c r="U6" t="n">
        <v>963645398.569</v>
      </c>
      <c r="V6" t="n">
        <v>1004857830.247</v>
      </c>
      <c r="W6" t="n">
        <v>900212336.707</v>
      </c>
      <c r="X6" t="n">
        <v>1015867746.721</v>
      </c>
      <c r="Y6" t="n">
        <v>1047425276.872</v>
      </c>
      <c r="Z6" t="n">
        <v>1097022235.332</v>
      </c>
      <c r="AA6" t="n">
        <v>1159374974.221</v>
      </c>
      <c r="AB6" t="n">
        <v>1205050019.951</v>
      </c>
      <c r="AC6" t="n">
        <v>1310822785.853</v>
      </c>
      <c r="AD6" t="n">
        <v>1426504553.974</v>
      </c>
      <c r="AE6" t="n">
        <v>1498968181.316</v>
      </c>
      <c r="AF6" t="n">
        <v>1553910885.201</v>
      </c>
      <c r="AG6" t="n">
        <v>1526737052.579</v>
      </c>
      <c r="AH6" t="n">
        <v>1612055584.751</v>
      </c>
      <c r="AI6" t="n">
        <v>1687469309.672</v>
      </c>
      <c r="AJ6" t="n">
        <v>1713907263.062</v>
      </c>
      <c r="AK6" t="n">
        <v>1820942835.486</v>
      </c>
      <c r="AL6" t="n">
        <v>1759689014.693</v>
      </c>
      <c r="AM6" t="n">
        <v>1875163978.97</v>
      </c>
      <c r="AN6" t="n">
        <v>2005624432.699</v>
      </c>
      <c r="AO6" t="n">
        <v>1957134323.584</v>
      </c>
      <c r="AP6" t="n">
        <v>2104115246.87</v>
      </c>
      <c r="AQ6" t="n">
        <v>2063030170.125</v>
      </c>
      <c r="AR6" t="n">
        <v>2255330080.124</v>
      </c>
      <c r="AS6" t="n">
        <v>2357207806.564</v>
      </c>
      <c r="AT6" t="n">
        <v>2613352232.616</v>
      </c>
      <c r="AU6" t="n">
        <v>2503947384.954</v>
      </c>
      <c r="AV6" t="n">
        <v>2577082078.158</v>
      </c>
      <c r="AW6" t="n">
        <v>2611378106.762</v>
      </c>
      <c r="AX6" t="n">
        <v>2613460472.452</v>
      </c>
      <c r="AY6" t="n">
        <v>2927891354.231</v>
      </c>
      <c r="AZ6" t="n">
        <v>2718460438.727</v>
      </c>
      <c r="BA6" t="n">
        <v>2914083457.511</v>
      </c>
      <c r="BB6" t="n">
        <v>2691692687.272</v>
      </c>
      <c r="BC6" t="n">
        <v>2987885831.14</v>
      </c>
      <c r="BD6" t="n">
        <v>3025184858.196</v>
      </c>
      <c r="BE6" t="n">
        <v>3102237094.353</v>
      </c>
      <c r="BF6" t="n">
        <v>2945799380.952</v>
      </c>
      <c r="BG6" t="n">
        <v>3090676118.693</v>
      </c>
      <c r="BH6" t="n">
        <v>3245690259.659</v>
      </c>
      <c r="BI6" t="n">
        <v>3090496494.426</v>
      </c>
      <c r="BJ6" t="n">
        <v>3263981143.095</v>
      </c>
      <c r="BK6" t="n">
        <v>3154635925.362</v>
      </c>
      <c r="BL6" t="n">
        <v>3186070406.057</v>
      </c>
      <c r="BM6" t="n">
        <v>3126950517.586</v>
      </c>
      <c r="BN6" t="n">
        <v>2933667273.488</v>
      </c>
      <c r="BO6" t="n">
        <v>3102290965.39</v>
      </c>
      <c r="BP6" t="n">
        <v>3228903568.238</v>
      </c>
      <c r="BQ6" t="n">
        <v>3392524591.477</v>
      </c>
      <c r="BR6" t="n">
        <v>3430389817.438</v>
      </c>
      <c r="BS6" t="n">
        <v>3223762185.526</v>
      </c>
      <c r="BT6" t="n">
        <v>3525461858.525</v>
      </c>
    </row>
    <row r="7">
      <c r="A7" s="15" t="inlineStr">
        <is>
          <t>simple, aggregated to SAU functional group</t>
        </is>
      </c>
      <c r="B7" t="inlineStr">
        <is>
          <t>Jensen comparison, not a PPR estimate</t>
        </is>
      </c>
      <c r="C7" t="n">
        <v>353830876.765</v>
      </c>
      <c r="D7" t="n">
        <v>360435746.638</v>
      </c>
      <c r="E7" t="n">
        <v>393742781.131</v>
      </c>
      <c r="F7" t="n">
        <v>377294812.546</v>
      </c>
      <c r="G7" t="n">
        <v>411293293.443</v>
      </c>
      <c r="H7" t="n">
        <v>432903620.497</v>
      </c>
      <c r="I7" t="n">
        <v>478471983.103</v>
      </c>
      <c r="J7" t="n">
        <v>446066578.03</v>
      </c>
      <c r="K7" t="n">
        <v>466906412.705</v>
      </c>
      <c r="L7" t="n">
        <v>466077693.276</v>
      </c>
      <c r="M7" t="n">
        <v>483975418.804</v>
      </c>
      <c r="N7" t="n">
        <v>516583551.562</v>
      </c>
      <c r="O7" t="n">
        <v>531331213.253</v>
      </c>
      <c r="P7" t="n">
        <v>528160463.532</v>
      </c>
      <c r="Q7" t="n">
        <v>591312779.9809999</v>
      </c>
      <c r="R7" t="n">
        <v>590279442.198</v>
      </c>
      <c r="S7" t="n">
        <v>642330028.182</v>
      </c>
      <c r="T7" t="n">
        <v>654410976.266</v>
      </c>
      <c r="U7" t="n">
        <v>738923252.6670001</v>
      </c>
      <c r="V7" t="n">
        <v>776188273.124</v>
      </c>
      <c r="W7" t="n">
        <v>682805355.781</v>
      </c>
      <c r="X7" t="n">
        <v>779333818.752</v>
      </c>
      <c r="Y7" t="n">
        <v>806884538.562</v>
      </c>
      <c r="Z7" t="n">
        <v>847699038.615</v>
      </c>
      <c r="AA7" t="n">
        <v>908109714.926</v>
      </c>
      <c r="AB7" t="n">
        <v>942941764.516</v>
      </c>
      <c r="AC7" t="n">
        <v>992849284.659</v>
      </c>
      <c r="AD7" t="n">
        <v>1064845868.415</v>
      </c>
      <c r="AE7" t="n">
        <v>1129191014.07</v>
      </c>
      <c r="AF7" t="n">
        <v>1167079399.309</v>
      </c>
      <c r="AG7" t="n">
        <v>1149374785.077</v>
      </c>
      <c r="AH7" t="n">
        <v>1211987453.165</v>
      </c>
      <c r="AI7" t="n">
        <v>1275418567.812</v>
      </c>
      <c r="AJ7" t="n">
        <v>1288432601.048</v>
      </c>
      <c r="AK7" t="n">
        <v>1372011238.247</v>
      </c>
      <c r="AL7" t="n">
        <v>1322952000.432</v>
      </c>
      <c r="AM7" t="n">
        <v>1425684684.194</v>
      </c>
      <c r="AN7" t="n">
        <v>1498159583.047</v>
      </c>
      <c r="AO7" t="n">
        <v>1465818754.418</v>
      </c>
      <c r="AP7" t="n">
        <v>1552704775.634</v>
      </c>
      <c r="AQ7" t="n">
        <v>1475833694.784</v>
      </c>
      <c r="AR7" t="n">
        <v>1637230490.59</v>
      </c>
      <c r="AS7" t="n">
        <v>1729056056.156</v>
      </c>
      <c r="AT7" t="n">
        <v>1908766508.019</v>
      </c>
      <c r="AU7" t="n">
        <v>1813099996.309</v>
      </c>
      <c r="AV7" t="n">
        <v>1868614333.24</v>
      </c>
      <c r="AW7" t="n">
        <v>1878692955.476</v>
      </c>
      <c r="AX7" t="n">
        <v>1888087103.301</v>
      </c>
      <c r="AY7" t="n">
        <v>2121037476.155</v>
      </c>
      <c r="AZ7" t="n">
        <v>1989206928.594</v>
      </c>
      <c r="BA7" t="n">
        <v>2154030864.156</v>
      </c>
      <c r="BB7" t="n">
        <v>1972601116.409</v>
      </c>
      <c r="BC7" t="n">
        <v>2221605865.068</v>
      </c>
      <c r="BD7" t="n">
        <v>2210120097.588</v>
      </c>
      <c r="BE7" t="n">
        <v>2248424470.377</v>
      </c>
      <c r="BF7" t="n">
        <v>2138469910.313</v>
      </c>
      <c r="BG7" t="n">
        <v>2253753506.987</v>
      </c>
      <c r="BH7" t="n">
        <v>2380401970.595</v>
      </c>
      <c r="BI7" t="n">
        <v>2214028022.424</v>
      </c>
      <c r="BJ7" t="n">
        <v>2312023676.685</v>
      </c>
      <c r="BK7" t="n">
        <v>2196208326.096</v>
      </c>
      <c r="BL7" t="n">
        <v>2240248716.032</v>
      </c>
      <c r="BM7" t="n">
        <v>2204532348.383</v>
      </c>
      <c r="BN7" t="n">
        <v>2037868208.405</v>
      </c>
      <c r="BO7" t="n">
        <v>2224689553.272</v>
      </c>
      <c r="BP7" t="n">
        <v>2336851189.309</v>
      </c>
      <c r="BQ7" t="n">
        <v>2414519662.744</v>
      </c>
      <c r="BR7" t="n">
        <v>2454778793.928</v>
      </c>
      <c r="BS7" t="n">
        <v>2305343085.912</v>
      </c>
      <c r="BT7" t="n">
        <v>2527044618.005</v>
      </c>
    </row>
    <row r="8">
      <c r="A8" s="15" t="inlineStr">
        <is>
          <t>simple, aggregated to SAU commercial group</t>
        </is>
      </c>
      <c r="B8" t="inlineStr">
        <is>
          <t>Jensen comparison, not a PPR estimate</t>
        </is>
      </c>
      <c r="C8" t="n">
        <v>306438915.693</v>
      </c>
      <c r="D8" t="n">
        <v>318746635.135</v>
      </c>
      <c r="E8" t="n">
        <v>353167514.482</v>
      </c>
      <c r="F8" t="n">
        <v>338742295.594</v>
      </c>
      <c r="G8" t="n">
        <v>363159546.172</v>
      </c>
      <c r="H8" t="n">
        <v>380847177.706</v>
      </c>
      <c r="I8" t="n">
        <v>432523763.563</v>
      </c>
      <c r="J8" t="n">
        <v>397632204.714</v>
      </c>
      <c r="K8" t="n">
        <v>421572670.263</v>
      </c>
      <c r="L8" t="n">
        <v>421622609.172</v>
      </c>
      <c r="M8" t="n">
        <v>440271165.451</v>
      </c>
      <c r="N8" t="n">
        <v>464652299.569</v>
      </c>
      <c r="O8" t="n">
        <v>465205715.472</v>
      </c>
      <c r="P8" t="n">
        <v>468138703.783</v>
      </c>
      <c r="Q8" t="n">
        <v>527468115.713</v>
      </c>
      <c r="R8" t="n">
        <v>527054929.185</v>
      </c>
      <c r="S8" t="n">
        <v>571284838.939</v>
      </c>
      <c r="T8" t="n">
        <v>576333502.6900001</v>
      </c>
      <c r="U8" t="n">
        <v>655764055.845</v>
      </c>
      <c r="V8" t="n">
        <v>699694402.646</v>
      </c>
      <c r="W8" t="n">
        <v>608969846.858</v>
      </c>
      <c r="X8" t="n">
        <v>702303929.784</v>
      </c>
      <c r="Y8" t="n">
        <v>717760960.255</v>
      </c>
      <c r="Z8" t="n">
        <v>755179945.788</v>
      </c>
      <c r="AA8" t="n">
        <v>810465676.1950001</v>
      </c>
      <c r="AB8" t="n">
        <v>844776212.29</v>
      </c>
      <c r="AC8" t="n">
        <v>870682278.8660001</v>
      </c>
      <c r="AD8" t="n">
        <v>940976393.01</v>
      </c>
      <c r="AE8" t="n">
        <v>995426167.715</v>
      </c>
      <c r="AF8" t="n">
        <v>1021814469.839</v>
      </c>
      <c r="AG8" t="n">
        <v>985395273.3200001</v>
      </c>
      <c r="AH8" t="n">
        <v>1055688123.159</v>
      </c>
      <c r="AI8" t="n">
        <v>1122616215.793</v>
      </c>
      <c r="AJ8" t="n">
        <v>1138771690.967</v>
      </c>
      <c r="AK8" t="n">
        <v>1229414190.605</v>
      </c>
      <c r="AL8" t="n">
        <v>1212732270.672</v>
      </c>
      <c r="AM8" t="n">
        <v>1302418245.576</v>
      </c>
      <c r="AN8" t="n">
        <v>1392936395.7</v>
      </c>
      <c r="AO8" t="n">
        <v>1358923296.506</v>
      </c>
      <c r="AP8" t="n">
        <v>1445163441.993</v>
      </c>
      <c r="AQ8" t="n">
        <v>1374866434.976</v>
      </c>
      <c r="AR8" t="n">
        <v>1527660069.416</v>
      </c>
      <c r="AS8" t="n">
        <v>1585784707.212</v>
      </c>
      <c r="AT8" t="n">
        <v>1785021604.405</v>
      </c>
      <c r="AU8" t="n">
        <v>1688803186.662</v>
      </c>
      <c r="AV8" t="n">
        <v>1702632144.907</v>
      </c>
      <c r="AW8" t="n">
        <v>1716322279.707</v>
      </c>
      <c r="AX8" t="n">
        <v>1717623552.869</v>
      </c>
      <c r="AY8" t="n">
        <v>1926662991.164</v>
      </c>
      <c r="AZ8" t="n">
        <v>1792825663.906</v>
      </c>
      <c r="BA8" t="n">
        <v>1955764086.257</v>
      </c>
      <c r="BB8" t="n">
        <v>1796508243.84</v>
      </c>
      <c r="BC8" t="n">
        <v>2014485999.586</v>
      </c>
      <c r="BD8" t="n">
        <v>2015783129.67</v>
      </c>
      <c r="BE8" t="n">
        <v>2080976213.49</v>
      </c>
      <c r="BF8" t="n">
        <v>1999218100.141</v>
      </c>
      <c r="BG8" t="n">
        <v>2087302462.11</v>
      </c>
      <c r="BH8" t="n">
        <v>2223117388.823</v>
      </c>
      <c r="BI8" t="n">
        <v>2066808404.2</v>
      </c>
      <c r="BJ8" t="n">
        <v>2145986859.467</v>
      </c>
      <c r="BK8" t="n">
        <v>2065124269.422</v>
      </c>
      <c r="BL8" t="n">
        <v>2096063400.955</v>
      </c>
      <c r="BM8" t="n">
        <v>2051359371.455</v>
      </c>
      <c r="BN8" t="n">
        <v>1916964326.95</v>
      </c>
      <c r="BO8" t="n">
        <v>2095005526.96</v>
      </c>
      <c r="BP8" t="n">
        <v>2184810877.047</v>
      </c>
      <c r="BQ8" t="n">
        <v>2261871824.131</v>
      </c>
      <c r="BR8" t="n">
        <v>2293874036.744</v>
      </c>
      <c r="BS8" t="n">
        <v>2166756533.021</v>
      </c>
      <c r="BT8" t="n">
        <v>2348434942.791</v>
      </c>
    </row>
    <row r="9">
      <c r="A9" t="inlineStr">
        <is>
          <t>SPPR_1986</t>
        </is>
      </c>
      <c r="B9" t="inlineStr">
        <is>
          <t>ok</t>
        </is>
      </c>
      <c r="C9" t="n">
        <v>239117568.733</v>
      </c>
      <c r="D9" t="n">
        <v>233317885.013</v>
      </c>
      <c r="E9" t="n">
        <v>244725458.075</v>
      </c>
      <c r="F9" t="n">
        <v>241765565.085</v>
      </c>
      <c r="G9" t="n">
        <v>252320885.363</v>
      </c>
      <c r="H9" t="n">
        <v>267865460.138</v>
      </c>
      <c r="I9" t="n">
        <v>281277389.934</v>
      </c>
      <c r="J9" t="n">
        <v>265426021.619</v>
      </c>
      <c r="K9" t="n">
        <v>279527921.202</v>
      </c>
      <c r="L9" t="n">
        <v>281571239.666</v>
      </c>
      <c r="M9" t="n">
        <v>298789912.23</v>
      </c>
      <c r="N9" t="n">
        <v>317513855.059</v>
      </c>
      <c r="O9" t="n">
        <v>328667419.916</v>
      </c>
      <c r="P9" t="n">
        <v>341560822.494</v>
      </c>
      <c r="Q9" t="n">
        <v>392533749.694</v>
      </c>
      <c r="R9" t="n">
        <v>392621311.912</v>
      </c>
      <c r="S9" t="n">
        <v>424062837.897</v>
      </c>
      <c r="T9" t="n">
        <v>437914156.057</v>
      </c>
      <c r="U9" t="n">
        <v>466176368.215</v>
      </c>
      <c r="V9" t="n">
        <v>480391736.72</v>
      </c>
      <c r="W9" t="n">
        <v>475062591.714</v>
      </c>
      <c r="X9" t="n">
        <v>530517133.82</v>
      </c>
      <c r="Y9" t="n">
        <v>560418345.397</v>
      </c>
      <c r="Z9" t="n">
        <v>584503044.23</v>
      </c>
      <c r="AA9" t="n">
        <v>631035250.763</v>
      </c>
      <c r="AB9" t="n">
        <v>672725300.721</v>
      </c>
      <c r="AC9" t="n">
        <v>753983328.436</v>
      </c>
      <c r="AD9" t="n">
        <v>779702772.399</v>
      </c>
      <c r="AE9" t="n">
        <v>842089684.666</v>
      </c>
      <c r="AF9" t="n">
        <v>877138232.568</v>
      </c>
      <c r="AG9" t="n">
        <v>875367089.288</v>
      </c>
      <c r="AH9" t="n">
        <v>905132658.844</v>
      </c>
      <c r="AI9" t="n">
        <v>953357682.924</v>
      </c>
      <c r="AJ9" t="n">
        <v>968716307.608</v>
      </c>
      <c r="AK9" t="n">
        <v>978856565.081</v>
      </c>
      <c r="AL9" t="n">
        <v>948930027.245</v>
      </c>
      <c r="AM9" t="n">
        <v>1021635240.799</v>
      </c>
      <c r="AN9" t="n">
        <v>1068981779.203</v>
      </c>
      <c r="AO9" t="n">
        <v>1017559716.704</v>
      </c>
      <c r="AP9" t="n">
        <v>1080056353.223</v>
      </c>
      <c r="AQ9" t="n">
        <v>1098131931.812</v>
      </c>
      <c r="AR9" t="n">
        <v>1174915547.061</v>
      </c>
      <c r="AS9" t="n">
        <v>1232731688.055</v>
      </c>
      <c r="AT9" t="n">
        <v>1309003671.426</v>
      </c>
      <c r="AU9" t="n">
        <v>1268222631.678</v>
      </c>
      <c r="AV9" t="n">
        <v>1324378442.6</v>
      </c>
      <c r="AW9" t="n">
        <v>1346453101.155</v>
      </c>
      <c r="AX9" t="n">
        <v>1368731346.413</v>
      </c>
      <c r="AY9" t="n">
        <v>1425289876.698</v>
      </c>
      <c r="AZ9" t="n">
        <v>1392085893.355</v>
      </c>
      <c r="BA9" t="n">
        <v>1453587666.964</v>
      </c>
      <c r="BB9" t="n">
        <v>1423833063.333</v>
      </c>
      <c r="BC9" t="n">
        <v>1496602473.3</v>
      </c>
      <c r="BD9" t="n">
        <v>1555848427.849</v>
      </c>
      <c r="BE9" t="n">
        <v>1610511555.692</v>
      </c>
      <c r="BF9" t="n">
        <v>1513213137.197</v>
      </c>
      <c r="BG9" t="n">
        <v>1650884860.958</v>
      </c>
      <c r="BH9" t="n">
        <v>1647373360.103</v>
      </c>
      <c r="BI9" t="n">
        <v>1689169146.728</v>
      </c>
      <c r="BJ9" t="n">
        <v>1794788142.837</v>
      </c>
      <c r="BK9" t="n">
        <v>1758949399.662</v>
      </c>
      <c r="BL9" t="n">
        <v>1800562512.749</v>
      </c>
      <c r="BM9" t="n">
        <v>1775683532.842</v>
      </c>
      <c r="BN9" t="n">
        <v>1713889792.488</v>
      </c>
      <c r="BO9" t="n">
        <v>1723681343.221</v>
      </c>
      <c r="BP9" t="n">
        <v>1749988020.467</v>
      </c>
      <c r="BQ9" t="n">
        <v>1809918215.055</v>
      </c>
      <c r="BR9" t="n">
        <v>1830953072.991</v>
      </c>
      <c r="BS9" t="n">
        <v>1697794016.824</v>
      </c>
      <c r="BT9" t="n">
        <v>1853031300.81</v>
      </c>
    </row>
    <row r="10">
      <c r="A10" t="inlineStr">
        <is>
          <t>SPPR_1995_TE0.1</t>
        </is>
      </c>
      <c r="B10" t="inlineStr">
        <is>
          <t>ok</t>
        </is>
      </c>
      <c r="C10" t="n">
        <v>481510652.131</v>
      </c>
      <c r="D10" t="n">
        <v>476588000.266</v>
      </c>
      <c r="E10" t="n">
        <v>522980698.934</v>
      </c>
      <c r="F10" t="n">
        <v>513365772.556</v>
      </c>
      <c r="G10" t="n">
        <v>560398351.909</v>
      </c>
      <c r="H10" t="n">
        <v>636015564.401</v>
      </c>
      <c r="I10" t="n">
        <v>695299848.322</v>
      </c>
      <c r="J10" t="n">
        <v>612857579.247</v>
      </c>
      <c r="K10" t="n">
        <v>635074704.54</v>
      </c>
      <c r="L10" t="n">
        <v>678975982.635</v>
      </c>
      <c r="M10" t="n">
        <v>718916014.576</v>
      </c>
      <c r="N10" t="n">
        <v>782602112.988</v>
      </c>
      <c r="O10" t="n">
        <v>789558055.8279999</v>
      </c>
      <c r="P10" t="n">
        <v>788667541.874</v>
      </c>
      <c r="Q10" t="n">
        <v>891707166.256</v>
      </c>
      <c r="R10" t="n">
        <v>880354786.221</v>
      </c>
      <c r="S10" t="n">
        <v>965289441.594</v>
      </c>
      <c r="T10" t="n">
        <v>966549077.421</v>
      </c>
      <c r="U10" t="n">
        <v>1139755068.676</v>
      </c>
      <c r="V10" t="n">
        <v>1223708852.425</v>
      </c>
      <c r="W10" t="n">
        <v>1028658804.201</v>
      </c>
      <c r="X10" t="n">
        <v>1178568049.24</v>
      </c>
      <c r="Y10" t="n">
        <v>1200642017.487</v>
      </c>
      <c r="Z10" t="n">
        <v>1184353481.853</v>
      </c>
      <c r="AA10" t="n">
        <v>1282441946.759</v>
      </c>
      <c r="AB10" t="n">
        <v>1346085503.024</v>
      </c>
      <c r="AC10" t="n">
        <v>1438993353.569</v>
      </c>
      <c r="AD10" t="n">
        <v>1610067407.842</v>
      </c>
      <c r="AE10" t="n">
        <v>1717495802.352</v>
      </c>
      <c r="AF10" t="n">
        <v>1761852960.463</v>
      </c>
      <c r="AG10" t="n">
        <v>1732577722.912</v>
      </c>
      <c r="AH10" t="n">
        <v>1828068655.846</v>
      </c>
      <c r="AI10" t="n">
        <v>1893355904.642</v>
      </c>
      <c r="AJ10" t="n">
        <v>1964505174.63</v>
      </c>
      <c r="AK10" t="n">
        <v>2175763530.825</v>
      </c>
      <c r="AL10" t="n">
        <v>2171078453.559</v>
      </c>
      <c r="AM10" t="n">
        <v>2344910688.923</v>
      </c>
      <c r="AN10" t="n">
        <v>2487271392.609</v>
      </c>
      <c r="AO10" t="n">
        <v>2456544924.559</v>
      </c>
      <c r="AP10" t="n">
        <v>2602064889.738</v>
      </c>
      <c r="AQ10" t="n">
        <v>2444417999.004</v>
      </c>
      <c r="AR10" t="n">
        <v>2674494662.113</v>
      </c>
      <c r="AS10" t="n">
        <v>2794408541.726</v>
      </c>
      <c r="AT10" t="n">
        <v>3112892238.631</v>
      </c>
      <c r="AU10" t="n">
        <v>2839355279.387</v>
      </c>
      <c r="AV10" t="n">
        <v>2958166860.251</v>
      </c>
      <c r="AW10" t="n">
        <v>3000884164.017</v>
      </c>
      <c r="AX10" t="n">
        <v>3001543324.383</v>
      </c>
      <c r="AY10" t="n">
        <v>3369118234.377</v>
      </c>
      <c r="AZ10" t="n">
        <v>3172812203.735</v>
      </c>
      <c r="BA10" t="n">
        <v>3460361238.562</v>
      </c>
      <c r="BB10" t="n">
        <v>3248356882.018</v>
      </c>
      <c r="BC10" t="n">
        <v>3610309811.306</v>
      </c>
      <c r="BD10" t="n">
        <v>3606299800.799</v>
      </c>
      <c r="BE10" t="n">
        <v>3734721450.016</v>
      </c>
      <c r="BF10" t="n">
        <v>3638522180.691</v>
      </c>
      <c r="BG10" t="n">
        <v>3661825223.036</v>
      </c>
      <c r="BH10" t="n">
        <v>4021330612.688</v>
      </c>
      <c r="BI10" t="n">
        <v>3605981978.367</v>
      </c>
      <c r="BJ10" t="n">
        <v>3765182680.089</v>
      </c>
      <c r="BK10" t="n">
        <v>3661564234.265</v>
      </c>
      <c r="BL10" t="n">
        <v>3710716073.185</v>
      </c>
      <c r="BM10" t="n">
        <v>3698580001.78</v>
      </c>
      <c r="BN10" t="n">
        <v>3406748396.474</v>
      </c>
      <c r="BO10" t="n">
        <v>3706780150.283</v>
      </c>
      <c r="BP10" t="n">
        <v>3845327570.277</v>
      </c>
      <c r="BQ10" t="n">
        <v>4002263380.159</v>
      </c>
      <c r="BR10" t="n">
        <v>4041272299.717</v>
      </c>
      <c r="BS10" t="n">
        <v>3833639137.495</v>
      </c>
      <c r="BT10" t="n">
        <v>4175226097.692</v>
      </c>
    </row>
    <row r="11">
      <c r="A11" t="inlineStr">
        <is>
          <t>SPPR_1995_TEmean</t>
        </is>
      </c>
      <c r="B11" t="inlineStr">
        <is>
          <t>ok</t>
        </is>
      </c>
      <c r="C11" t="n">
        <v>292120551.909</v>
      </c>
      <c r="D11" t="n">
        <v>288782905.204</v>
      </c>
      <c r="E11" t="n">
        <v>316222787.336</v>
      </c>
      <c r="F11" t="n">
        <v>310618509.499</v>
      </c>
      <c r="G11" t="n">
        <v>337562940.322</v>
      </c>
      <c r="H11" t="n">
        <v>378358767.049</v>
      </c>
      <c r="I11" t="n">
        <v>411886521.401</v>
      </c>
      <c r="J11" t="n">
        <v>367587863.167</v>
      </c>
      <c r="K11" t="n">
        <v>381331250.758</v>
      </c>
      <c r="L11" t="n">
        <v>404676780.02</v>
      </c>
      <c r="M11" t="n">
        <v>428725512.588</v>
      </c>
      <c r="N11" t="n">
        <v>466283755.172</v>
      </c>
      <c r="O11" t="n">
        <v>472148999.233</v>
      </c>
      <c r="P11" t="n">
        <v>473641477.21</v>
      </c>
      <c r="Q11" t="n">
        <v>533930748.588</v>
      </c>
      <c r="R11" t="n">
        <v>529733041.951</v>
      </c>
      <c r="S11" t="n">
        <v>578091779.605</v>
      </c>
      <c r="T11" t="n">
        <v>581654383.25</v>
      </c>
      <c r="U11" t="n">
        <v>677655083.4859999</v>
      </c>
      <c r="V11" t="n">
        <v>724505336.66</v>
      </c>
      <c r="W11" t="n">
        <v>622311421.859</v>
      </c>
      <c r="X11" t="n">
        <v>709320931.813</v>
      </c>
      <c r="Y11" t="n">
        <v>726402603.697</v>
      </c>
      <c r="Z11" t="n">
        <v>718916143.209</v>
      </c>
      <c r="AA11" t="n">
        <v>778880891.6900001</v>
      </c>
      <c r="AB11" t="n">
        <v>817504357.682</v>
      </c>
      <c r="AC11" t="n">
        <v>876616485.313</v>
      </c>
      <c r="AD11" t="n">
        <v>977984643.966</v>
      </c>
      <c r="AE11" t="n">
        <v>1042827920.005</v>
      </c>
      <c r="AF11" t="n">
        <v>1071415870.219</v>
      </c>
      <c r="AG11" t="n">
        <v>1054169869.007</v>
      </c>
      <c r="AH11" t="n">
        <v>1109514308.456</v>
      </c>
      <c r="AI11" t="n">
        <v>1149226488.06</v>
      </c>
      <c r="AJ11" t="n">
        <v>1189931894.895</v>
      </c>
      <c r="AK11" t="n">
        <v>1306114564.857</v>
      </c>
      <c r="AL11" t="n">
        <v>1300906871.367</v>
      </c>
      <c r="AM11" t="n">
        <v>1402194493.78</v>
      </c>
      <c r="AN11" t="n">
        <v>1487092093.261</v>
      </c>
      <c r="AO11" t="n">
        <v>1462101187.884</v>
      </c>
      <c r="AP11" t="n">
        <v>1552946299.476</v>
      </c>
      <c r="AQ11" t="n">
        <v>1474266667.881</v>
      </c>
      <c r="AR11" t="n">
        <v>1612029331.203</v>
      </c>
      <c r="AS11" t="n">
        <v>1682267372.361</v>
      </c>
      <c r="AT11" t="n">
        <v>1863885949.738</v>
      </c>
      <c r="AU11" t="n">
        <v>1712961679.676</v>
      </c>
      <c r="AV11" t="n">
        <v>1783256578.162</v>
      </c>
      <c r="AW11" t="n">
        <v>1810143367.097</v>
      </c>
      <c r="AX11" t="n">
        <v>1812161317.942</v>
      </c>
      <c r="AY11" t="n">
        <v>2020623496.337</v>
      </c>
      <c r="AZ11" t="n">
        <v>1908217827.601</v>
      </c>
      <c r="BA11" t="n">
        <v>2075309213.879</v>
      </c>
      <c r="BB11" t="n">
        <v>1956897693.088</v>
      </c>
      <c r="BC11" t="n">
        <v>2164999240.751</v>
      </c>
      <c r="BD11" t="n">
        <v>2171435021.548</v>
      </c>
      <c r="BE11" t="n">
        <v>2246282204.263</v>
      </c>
      <c r="BF11" t="n">
        <v>2176537231.845</v>
      </c>
      <c r="BG11" t="n">
        <v>2207457849</v>
      </c>
      <c r="BH11" t="n">
        <v>2395975665.745</v>
      </c>
      <c r="BI11" t="n">
        <v>2176700441.752</v>
      </c>
      <c r="BJ11" t="n">
        <v>2279966991.834</v>
      </c>
      <c r="BK11" t="n">
        <v>2218996152.543</v>
      </c>
      <c r="BL11" t="n">
        <v>2250287276.788</v>
      </c>
      <c r="BM11" t="n">
        <v>2241856918.159</v>
      </c>
      <c r="BN11" t="n">
        <v>2071612479.908</v>
      </c>
      <c r="BO11" t="n">
        <v>2236925352.313</v>
      </c>
      <c r="BP11" t="n">
        <v>2314636610.956</v>
      </c>
      <c r="BQ11" t="n">
        <v>2410018223.713</v>
      </c>
      <c r="BR11" t="n">
        <v>2435179303.014</v>
      </c>
      <c r="BS11" t="n">
        <v>2306843203.341</v>
      </c>
      <c r="BT11" t="n">
        <v>2510550309.819</v>
      </c>
    </row>
    <row r="12">
      <c r="A12" t="inlineStr">
        <is>
          <t>Ulanowicz_globalTEmean</t>
        </is>
      </c>
      <c r="B12" t="inlineStr">
        <is>
          <t>ok</t>
        </is>
      </c>
      <c r="C12" t="n">
        <v>1264249065.706</v>
      </c>
      <c r="D12" t="n">
        <v>1371859961.694</v>
      </c>
      <c r="E12" t="n">
        <v>1552467347.887</v>
      </c>
      <c r="F12" t="n">
        <v>1399769321.979</v>
      </c>
      <c r="G12" t="n">
        <v>1482712187.36</v>
      </c>
      <c r="H12" t="n">
        <v>1557140743.318</v>
      </c>
      <c r="I12" t="n">
        <v>1678409770.988</v>
      </c>
      <c r="J12" t="n">
        <v>1663394418.122</v>
      </c>
      <c r="K12" t="n">
        <v>1725743435.339</v>
      </c>
      <c r="L12" t="n">
        <v>1816643746.92</v>
      </c>
      <c r="M12" t="n">
        <v>2044319133.124</v>
      </c>
      <c r="N12" t="n">
        <v>2103759465.105</v>
      </c>
      <c r="O12" t="n">
        <v>2186165596.878</v>
      </c>
      <c r="P12" t="n">
        <v>2155688380.944</v>
      </c>
      <c r="Q12" t="n">
        <v>2286204988.484</v>
      </c>
      <c r="R12" t="n">
        <v>2424739866.383</v>
      </c>
      <c r="S12" t="n">
        <v>2584794461.577</v>
      </c>
      <c r="T12" t="n">
        <v>2438222377.683</v>
      </c>
      <c r="U12" t="n">
        <v>2847550921.458</v>
      </c>
      <c r="V12" t="n">
        <v>3060784189.521</v>
      </c>
      <c r="W12" t="n">
        <v>2747311154.961</v>
      </c>
      <c r="X12" t="n">
        <v>3032925940.626</v>
      </c>
      <c r="Y12" t="n">
        <v>3182486897.682</v>
      </c>
      <c r="Z12" t="n">
        <v>3174010043.04</v>
      </c>
      <c r="AA12" t="n">
        <v>3565287989.198</v>
      </c>
      <c r="AB12" t="n">
        <v>3570037636.138</v>
      </c>
      <c r="AC12" t="n">
        <v>3751519478.673</v>
      </c>
      <c r="AD12" t="n">
        <v>3922364359.499</v>
      </c>
      <c r="AE12" t="n">
        <v>4177266679.224</v>
      </c>
      <c r="AF12" t="n">
        <v>4217865406.871</v>
      </c>
      <c r="AG12" t="n">
        <v>4184090431.28</v>
      </c>
      <c r="AH12" t="n">
        <v>4377627055.812</v>
      </c>
      <c r="AI12" t="n">
        <v>4498050167.594</v>
      </c>
      <c r="AJ12" t="n">
        <v>4644611777.602</v>
      </c>
      <c r="AK12" t="n">
        <v>4977963077.718</v>
      </c>
      <c r="AL12" t="n">
        <v>4883488646.368</v>
      </c>
      <c r="AM12" t="n">
        <v>5227031790.43</v>
      </c>
      <c r="AN12" t="n">
        <v>5643396150.446</v>
      </c>
      <c r="AO12" t="n">
        <v>5498933854.873</v>
      </c>
      <c r="AP12" t="n">
        <v>5890745537.953</v>
      </c>
      <c r="AQ12" t="n">
        <v>5441749376.857</v>
      </c>
      <c r="AR12" t="n">
        <v>5944999661.376</v>
      </c>
      <c r="AS12" t="n">
        <v>6283961417.581</v>
      </c>
      <c r="AT12" t="n">
        <v>6997598308.289</v>
      </c>
      <c r="AU12" t="n">
        <v>6626182855.42</v>
      </c>
      <c r="AV12" t="n">
        <v>6832112452.588</v>
      </c>
      <c r="AW12" t="n">
        <v>6881544733.18</v>
      </c>
      <c r="AX12" t="n">
        <v>7007185435.558</v>
      </c>
      <c r="AY12" t="n">
        <v>7739928539.562</v>
      </c>
      <c r="AZ12" t="n">
        <v>7434421925.491</v>
      </c>
      <c r="BA12" t="n">
        <v>8016737866.715</v>
      </c>
      <c r="BB12" t="n">
        <v>7388994057.373</v>
      </c>
      <c r="BC12" t="n">
        <v>8252206635.668</v>
      </c>
      <c r="BD12" t="n">
        <v>8229502465.741</v>
      </c>
      <c r="BE12" t="n">
        <v>8514747663.195</v>
      </c>
      <c r="BF12" t="n">
        <v>8070439667.213</v>
      </c>
      <c r="BG12" t="n">
        <v>8198648893.755</v>
      </c>
      <c r="BH12" t="n">
        <v>8850774261.539</v>
      </c>
      <c r="BI12" t="n">
        <v>8043514368.642</v>
      </c>
      <c r="BJ12" t="n">
        <v>8379823109.389</v>
      </c>
      <c r="BK12" t="n">
        <v>8158023870.825</v>
      </c>
      <c r="BL12" t="n">
        <v>8307517631.675</v>
      </c>
      <c r="BM12" t="n">
        <v>8283163099.916</v>
      </c>
      <c r="BN12" t="n">
        <v>7585109626.856</v>
      </c>
      <c r="BO12" t="n">
        <v>8365897661.147</v>
      </c>
      <c r="BP12" t="n">
        <v>8598942168.957001</v>
      </c>
      <c r="BQ12" t="n">
        <v>8958439539.716999</v>
      </c>
      <c r="BR12" t="n">
        <v>9032776460.712</v>
      </c>
      <c r="BS12" t="n">
        <v>8538339396.875</v>
      </c>
      <c r="BT12" t="n">
        <v>9297231261.454</v>
      </c>
    </row>
    <row r="13">
      <c r="A13" t="inlineStr">
        <is>
          <t>Ulanowicz_TE</t>
        </is>
      </c>
      <c r="B13" t="inlineStr">
        <is>
          <t>ok</t>
        </is>
      </c>
      <c r="C13" t="n">
        <v>378964937.134</v>
      </c>
      <c r="D13" t="n">
        <v>410740732.958</v>
      </c>
      <c r="E13" t="n">
        <v>459077533.663</v>
      </c>
      <c r="F13" t="n">
        <v>415191919.518</v>
      </c>
      <c r="G13" t="n">
        <v>437176195.115</v>
      </c>
      <c r="H13" t="n">
        <v>451475870.379</v>
      </c>
      <c r="I13" t="n">
        <v>483747129.499</v>
      </c>
      <c r="J13" t="n">
        <v>486915337.326</v>
      </c>
      <c r="K13" t="n">
        <v>502902864.492</v>
      </c>
      <c r="L13" t="n">
        <v>522204811.043</v>
      </c>
      <c r="M13" t="n">
        <v>588759776.132</v>
      </c>
      <c r="N13" t="n">
        <v>606789897.115</v>
      </c>
      <c r="O13" t="n">
        <v>633796019.786</v>
      </c>
      <c r="P13" t="n">
        <v>628585077.2</v>
      </c>
      <c r="Q13" t="n">
        <v>665014015.348</v>
      </c>
      <c r="R13" t="n">
        <v>704271950.4119999</v>
      </c>
      <c r="S13" t="n">
        <v>744447830.322</v>
      </c>
      <c r="T13" t="n">
        <v>712665973.159</v>
      </c>
      <c r="U13" t="n">
        <v>812657976.66</v>
      </c>
      <c r="V13" t="n">
        <v>866019034.396</v>
      </c>
      <c r="W13" t="n">
        <v>806619983.859</v>
      </c>
      <c r="X13" t="n">
        <v>881299109.353</v>
      </c>
      <c r="Y13" t="n">
        <v>934718497.949</v>
      </c>
      <c r="Z13" t="n">
        <v>945002267.892</v>
      </c>
      <c r="AA13" t="n">
        <v>1052304315.46</v>
      </c>
      <c r="AB13" t="n">
        <v>1053980050.205</v>
      </c>
      <c r="AC13" t="n">
        <v>1116887008.866</v>
      </c>
      <c r="AD13" t="n">
        <v>1158932809.325</v>
      </c>
      <c r="AE13" t="n">
        <v>1230013263.815</v>
      </c>
      <c r="AF13" t="n">
        <v>1251097839.176</v>
      </c>
      <c r="AG13" t="n">
        <v>1243084736.046</v>
      </c>
      <c r="AH13" t="n">
        <v>1298526393.805</v>
      </c>
      <c r="AI13" t="n">
        <v>1358185749.492</v>
      </c>
      <c r="AJ13" t="n">
        <v>1374079013.467</v>
      </c>
      <c r="AK13" t="n">
        <v>1437363553.041</v>
      </c>
      <c r="AL13" t="n">
        <v>1414398676.959</v>
      </c>
      <c r="AM13" t="n">
        <v>1518099352.966</v>
      </c>
      <c r="AN13" t="n">
        <v>1625275066.348</v>
      </c>
      <c r="AO13" t="n">
        <v>1561871471.871</v>
      </c>
      <c r="AP13" t="n">
        <v>1686909281.742</v>
      </c>
      <c r="AQ13" t="n">
        <v>1585640072.417</v>
      </c>
      <c r="AR13" t="n">
        <v>1733064670.642</v>
      </c>
      <c r="AS13" t="n">
        <v>1829697817.133</v>
      </c>
      <c r="AT13" t="n">
        <v>2024025388.893</v>
      </c>
      <c r="AU13" t="n">
        <v>1946990691.059</v>
      </c>
      <c r="AV13" t="n">
        <v>2010725877.546</v>
      </c>
      <c r="AW13" t="n">
        <v>2024493974.746</v>
      </c>
      <c r="AX13" t="n">
        <v>2064550296.48</v>
      </c>
      <c r="AY13" t="n">
        <v>2247021149.726</v>
      </c>
      <c r="AZ13" t="n">
        <v>2165347694.757</v>
      </c>
      <c r="BA13" t="n">
        <v>2317201995.61</v>
      </c>
      <c r="BB13" t="n">
        <v>2145416400.591</v>
      </c>
      <c r="BC13" t="n">
        <v>2383149429.508</v>
      </c>
      <c r="BD13" t="n">
        <v>2401662697.822</v>
      </c>
      <c r="BE13" t="n">
        <v>2480097716.787</v>
      </c>
      <c r="BF13" t="n">
        <v>2336334317.702</v>
      </c>
      <c r="BG13" t="n">
        <v>2458616497.907</v>
      </c>
      <c r="BH13" t="n">
        <v>2523054492.483</v>
      </c>
      <c r="BI13" t="n">
        <v>2429562738.848</v>
      </c>
      <c r="BJ13" t="n">
        <v>2519380382.992</v>
      </c>
      <c r="BK13" t="n">
        <v>2421663184.342</v>
      </c>
      <c r="BL13" t="n">
        <v>2498330892.953</v>
      </c>
      <c r="BM13" t="n">
        <v>2452883493.019</v>
      </c>
      <c r="BN13" t="n">
        <v>2303282878.893</v>
      </c>
      <c r="BO13" t="n">
        <v>2455771319.561</v>
      </c>
      <c r="BP13" t="n">
        <v>2509810598.73</v>
      </c>
      <c r="BQ13" t="n">
        <v>2610064145.996</v>
      </c>
      <c r="BR13" t="n">
        <v>2634191966.142</v>
      </c>
      <c r="BS13" t="n">
        <v>2474947572.495</v>
      </c>
      <c r="BT13" t="n">
        <v>2683923390.97</v>
      </c>
    </row>
    <row r="14">
      <c r="A14" t="inlineStr">
        <is>
          <t>EwE_TE_noEE</t>
        </is>
      </c>
      <c r="B14" t="inlineStr">
        <is>
          <t>ok</t>
        </is>
      </c>
      <c r="C14" t="n">
        <v>450652356.811</v>
      </c>
      <c r="D14" t="n">
        <v>485882673.083</v>
      </c>
      <c r="E14" t="n">
        <v>541818108.232</v>
      </c>
      <c r="F14" t="n">
        <v>492266342.123</v>
      </c>
      <c r="G14" t="n">
        <v>519321184.829</v>
      </c>
      <c r="H14" t="n">
        <v>537400336.118</v>
      </c>
      <c r="I14" t="n">
        <v>576011229.316</v>
      </c>
      <c r="J14" t="n">
        <v>576852534.71</v>
      </c>
      <c r="K14" t="n">
        <v>595836784.8559999</v>
      </c>
      <c r="L14" t="n">
        <v>618693368.0190001</v>
      </c>
      <c r="M14" t="n">
        <v>695131967.52</v>
      </c>
      <c r="N14" t="n">
        <v>719062048.501</v>
      </c>
      <c r="O14" t="n">
        <v>750722838.391</v>
      </c>
      <c r="P14" t="n">
        <v>745264935.868</v>
      </c>
      <c r="Q14" t="n">
        <v>790238521.217</v>
      </c>
      <c r="R14" t="n">
        <v>833611669.783</v>
      </c>
      <c r="S14" t="n">
        <v>881787301.031</v>
      </c>
      <c r="T14" t="n">
        <v>848554706.8710001</v>
      </c>
      <c r="U14" t="n">
        <v>966538756.831</v>
      </c>
      <c r="V14" t="n">
        <v>1030348099.035</v>
      </c>
      <c r="W14" t="n">
        <v>959471059.476</v>
      </c>
      <c r="X14" t="n">
        <v>1048433990.26</v>
      </c>
      <c r="Y14" t="n">
        <v>1110488378</v>
      </c>
      <c r="Z14" t="n">
        <v>1122480303.176</v>
      </c>
      <c r="AA14" t="n">
        <v>1247135498.753</v>
      </c>
      <c r="AB14" t="n">
        <v>1250973240.581</v>
      </c>
      <c r="AC14" t="n">
        <v>1326125088.21</v>
      </c>
      <c r="AD14" t="n">
        <v>1384638982.949</v>
      </c>
      <c r="AE14" t="n">
        <v>1467872434.331</v>
      </c>
      <c r="AF14" t="n">
        <v>1494576891.908</v>
      </c>
      <c r="AG14" t="n">
        <v>1482482735.637</v>
      </c>
      <c r="AH14" t="n">
        <v>1546406148.882</v>
      </c>
      <c r="AI14" t="n">
        <v>1613229900.251</v>
      </c>
      <c r="AJ14" t="n">
        <v>1635336184.353</v>
      </c>
      <c r="AK14" t="n">
        <v>1716184360.251</v>
      </c>
      <c r="AL14" t="n">
        <v>1689039180.559</v>
      </c>
      <c r="AM14" t="n">
        <v>1811147807.29</v>
      </c>
      <c r="AN14" t="n">
        <v>1940193316.354</v>
      </c>
      <c r="AO14" t="n">
        <v>1867674327.234</v>
      </c>
      <c r="AP14" t="n">
        <v>2017046670.132</v>
      </c>
      <c r="AQ14" t="n">
        <v>1904078248.246</v>
      </c>
      <c r="AR14" t="n">
        <v>2082150996.888</v>
      </c>
      <c r="AS14" t="n">
        <v>2195576537.162</v>
      </c>
      <c r="AT14" t="n">
        <v>2429248876.361</v>
      </c>
      <c r="AU14" t="n">
        <v>2331388796.097</v>
      </c>
      <c r="AV14" t="n">
        <v>2405034574.079</v>
      </c>
      <c r="AW14" t="n">
        <v>2422852714.243</v>
      </c>
      <c r="AX14" t="n">
        <v>2466111649.705</v>
      </c>
      <c r="AY14" t="n">
        <v>2690449664.146</v>
      </c>
      <c r="AZ14" t="n">
        <v>2587774875.695</v>
      </c>
      <c r="BA14" t="n">
        <v>2773075574.015</v>
      </c>
      <c r="BB14" t="n">
        <v>2569622830.055</v>
      </c>
      <c r="BC14" t="n">
        <v>2854975186.222</v>
      </c>
      <c r="BD14" t="n">
        <v>2876768547.737</v>
      </c>
      <c r="BE14" t="n">
        <v>2969642969.062</v>
      </c>
      <c r="BF14" t="n">
        <v>2792182648.747</v>
      </c>
      <c r="BG14" t="n">
        <v>2928275389.986</v>
      </c>
      <c r="BH14" t="n">
        <v>3017612425.449</v>
      </c>
      <c r="BI14" t="n">
        <v>2891339753.535</v>
      </c>
      <c r="BJ14" t="n">
        <v>3007263728.764</v>
      </c>
      <c r="BK14" t="n">
        <v>2898570561.73</v>
      </c>
      <c r="BL14" t="n">
        <v>2984042039.934</v>
      </c>
      <c r="BM14" t="n">
        <v>2936894085.554</v>
      </c>
      <c r="BN14" t="n">
        <v>2749761160.299</v>
      </c>
      <c r="BO14" t="n">
        <v>2933426885.832</v>
      </c>
      <c r="BP14" t="n">
        <v>2996045726.266</v>
      </c>
      <c r="BQ14" t="n">
        <v>3118470384.686</v>
      </c>
      <c r="BR14" t="n">
        <v>3148438125.724</v>
      </c>
      <c r="BS14" t="n">
        <v>2958187779.019</v>
      </c>
      <c r="BT14" t="n">
        <v>3210631422.269</v>
      </c>
    </row>
    <row r="15">
      <c r="A15" t="inlineStr">
        <is>
          <t>EwE_TE_EE</t>
        </is>
      </c>
      <c r="B15" t="inlineStr">
        <is>
          <t>ok</t>
        </is>
      </c>
      <c r="C15" t="n">
        <v>371030442.27</v>
      </c>
      <c r="D15" t="n">
        <v>394061004.309</v>
      </c>
      <c r="E15" t="n">
        <v>440884077.162</v>
      </c>
      <c r="F15" t="n">
        <v>405834836.481</v>
      </c>
      <c r="G15" t="n">
        <v>428308901.442</v>
      </c>
      <c r="H15" t="n">
        <v>446580722.188</v>
      </c>
      <c r="I15" t="n">
        <v>479276393.474</v>
      </c>
      <c r="J15" t="n">
        <v>472557190.448</v>
      </c>
      <c r="K15" t="n">
        <v>490860720.417</v>
      </c>
      <c r="L15" t="n">
        <v>511696175.835</v>
      </c>
      <c r="M15" t="n">
        <v>572532695.216</v>
      </c>
      <c r="N15" t="n">
        <v>593883329.904</v>
      </c>
      <c r="O15" t="n">
        <v>614742284.135</v>
      </c>
      <c r="P15" t="n">
        <v>614268796.274</v>
      </c>
      <c r="Q15" t="n">
        <v>654071777.348</v>
      </c>
      <c r="R15" t="n">
        <v>691948564.369</v>
      </c>
      <c r="S15" t="n">
        <v>733759792.444</v>
      </c>
      <c r="T15" t="n">
        <v>707380911.045</v>
      </c>
      <c r="U15" t="n">
        <v>807952615.521</v>
      </c>
      <c r="V15" t="n">
        <v>863076308.429</v>
      </c>
      <c r="W15" t="n">
        <v>801680588.745</v>
      </c>
      <c r="X15" t="n">
        <v>882545808.842</v>
      </c>
      <c r="Y15" t="n">
        <v>931302282.174</v>
      </c>
      <c r="Z15" t="n">
        <v>931347557.498</v>
      </c>
      <c r="AA15" t="n">
        <v>1041916284.273</v>
      </c>
      <c r="AB15" t="n">
        <v>1050326688.261</v>
      </c>
      <c r="AC15" t="n">
        <v>1119969297.343</v>
      </c>
      <c r="AD15" t="n">
        <v>1183948360.48</v>
      </c>
      <c r="AE15" t="n">
        <v>1256994140.256</v>
      </c>
      <c r="AF15" t="n">
        <v>1279084456.79</v>
      </c>
      <c r="AG15" t="n">
        <v>1266271819.64</v>
      </c>
      <c r="AH15" t="n">
        <v>1317702877.614</v>
      </c>
      <c r="AI15" t="n">
        <v>1354589887.247</v>
      </c>
      <c r="AJ15" t="n">
        <v>1398504473.069</v>
      </c>
      <c r="AK15" t="n">
        <v>1481475474.774</v>
      </c>
      <c r="AL15" t="n">
        <v>1451604146.864</v>
      </c>
      <c r="AM15" t="n">
        <v>1546477720.971</v>
      </c>
      <c r="AN15" t="n">
        <v>1665963962.519</v>
      </c>
      <c r="AO15" t="n">
        <v>1610787785.542</v>
      </c>
      <c r="AP15" t="n">
        <v>1727995446.201</v>
      </c>
      <c r="AQ15" t="n">
        <v>1653586521.513</v>
      </c>
      <c r="AR15" t="n">
        <v>1797844216.348</v>
      </c>
      <c r="AS15" t="n">
        <v>1887704026.36</v>
      </c>
      <c r="AT15" t="n">
        <v>2075048749.176</v>
      </c>
      <c r="AU15" t="n">
        <v>1977876326.439</v>
      </c>
      <c r="AV15" t="n">
        <v>2044241419.678</v>
      </c>
      <c r="AW15" t="n">
        <v>2065649915.975</v>
      </c>
      <c r="AX15" t="n">
        <v>2095222626.619</v>
      </c>
      <c r="AY15" t="n">
        <v>2291712314.944</v>
      </c>
      <c r="AZ15" t="n">
        <v>2198944982.136</v>
      </c>
      <c r="BA15" t="n">
        <v>2359169725.384</v>
      </c>
      <c r="BB15" t="n">
        <v>2212043628.826</v>
      </c>
      <c r="BC15" t="n">
        <v>2439700059.724</v>
      </c>
      <c r="BD15" t="n">
        <v>2462844845.339</v>
      </c>
      <c r="BE15" t="n">
        <v>2542046273.435</v>
      </c>
      <c r="BF15" t="n">
        <v>2401110401.51</v>
      </c>
      <c r="BG15" t="n">
        <v>2462816559.303</v>
      </c>
      <c r="BH15" t="n">
        <v>2598515049.255</v>
      </c>
      <c r="BI15" t="n">
        <v>2427947678.197</v>
      </c>
      <c r="BJ15" t="n">
        <v>2556501358.748</v>
      </c>
      <c r="BK15" t="n">
        <v>2499054103.061</v>
      </c>
      <c r="BL15" t="n">
        <v>2541688129.313</v>
      </c>
      <c r="BM15" t="n">
        <v>2531336798.094</v>
      </c>
      <c r="BN15" t="n">
        <v>2336653099.635</v>
      </c>
      <c r="BO15" t="n">
        <v>2505164632.422</v>
      </c>
      <c r="BP15" t="n">
        <v>2568222619.655</v>
      </c>
      <c r="BQ15" t="n">
        <v>2683622674.314</v>
      </c>
      <c r="BR15" t="n">
        <v>2710195172.288</v>
      </c>
      <c r="BS15" t="n">
        <v>2558024415.275</v>
      </c>
      <c r="BT15" t="n">
        <v>2779096735.085</v>
      </c>
    </row>
    <row r="16">
      <c r="A16" t="inlineStr">
        <is>
          <t>SPPR_2015</t>
        </is>
      </c>
      <c r="B16" t="inlineStr">
        <is>
          <t>ok</t>
        </is>
      </c>
      <c r="C16" t="n">
        <v>1525841059.494</v>
      </c>
      <c r="D16" t="n">
        <v>1721759036.642</v>
      </c>
      <c r="E16" t="n">
        <v>1962934339.675</v>
      </c>
      <c r="F16" t="n">
        <v>1705784057.805</v>
      </c>
      <c r="G16" t="n">
        <v>1759843758.402</v>
      </c>
      <c r="H16" t="n">
        <v>1777606552.586</v>
      </c>
      <c r="I16" t="n">
        <v>1888733459.819</v>
      </c>
      <c r="J16" t="n">
        <v>1988720101.585</v>
      </c>
      <c r="K16" t="n">
        <v>2056615615.046</v>
      </c>
      <c r="L16" t="n">
        <v>2143855936.189</v>
      </c>
      <c r="M16" t="n">
        <v>2509065175.571</v>
      </c>
      <c r="N16" t="n">
        <v>2506938232.922</v>
      </c>
      <c r="O16" t="n">
        <v>2631292025.55</v>
      </c>
      <c r="P16" t="n">
        <v>2593816551.614</v>
      </c>
      <c r="Q16" t="n">
        <v>2668712019.679</v>
      </c>
      <c r="R16" t="n">
        <v>2938054830.588</v>
      </c>
      <c r="S16" t="n">
        <v>3071831716.278</v>
      </c>
      <c r="T16" t="n">
        <v>2805826296.975</v>
      </c>
      <c r="U16" t="n">
        <v>3230943576.991</v>
      </c>
      <c r="V16" t="n">
        <v>3469997079.262</v>
      </c>
      <c r="W16" t="n">
        <v>3315478641.595</v>
      </c>
      <c r="X16" t="n">
        <v>3580339201.708</v>
      </c>
      <c r="Y16" t="n">
        <v>3858983406.533</v>
      </c>
      <c r="Z16" t="n">
        <v>3868842800.238</v>
      </c>
      <c r="AA16" t="n">
        <v>4445232805.536</v>
      </c>
      <c r="AB16" t="n">
        <v>4352858538.86</v>
      </c>
      <c r="AC16" t="n">
        <v>4541060466.697</v>
      </c>
      <c r="AD16" t="n">
        <v>4589866744.16</v>
      </c>
      <c r="AE16" t="n">
        <v>4842741157.66</v>
      </c>
      <c r="AF16" t="n">
        <v>4866393646.663</v>
      </c>
      <c r="AG16" t="n">
        <v>4855505629.527</v>
      </c>
      <c r="AH16" t="n">
        <v>5038813910.842</v>
      </c>
      <c r="AI16" t="n">
        <v>5172815518.812</v>
      </c>
      <c r="AJ16" t="n">
        <v>5303291479.175</v>
      </c>
      <c r="AK16" t="n">
        <v>5473824618.96</v>
      </c>
      <c r="AL16" t="n">
        <v>5300715072.476</v>
      </c>
      <c r="AM16" t="n">
        <v>5653928826.783</v>
      </c>
      <c r="AN16" t="n">
        <v>6162649050.479</v>
      </c>
      <c r="AO16" t="n">
        <v>5890289679.492</v>
      </c>
      <c r="AP16" t="n">
        <v>6377964596.703</v>
      </c>
      <c r="AQ16" t="n">
        <v>5968897637.916</v>
      </c>
      <c r="AR16" t="n">
        <v>6510681466.301</v>
      </c>
      <c r="AS16" t="n">
        <v>6958499710.671</v>
      </c>
      <c r="AT16" t="n">
        <v>7646438129.773</v>
      </c>
      <c r="AU16" t="n">
        <v>7417598221.806</v>
      </c>
      <c r="AV16" t="n">
        <v>7650893884.491</v>
      </c>
      <c r="AW16" t="n">
        <v>7691135588.775</v>
      </c>
      <c r="AX16" t="n">
        <v>7913349258.617</v>
      </c>
      <c r="AY16" t="n">
        <v>8570635086.611</v>
      </c>
      <c r="AZ16" t="n">
        <v>8325352214.203</v>
      </c>
      <c r="BA16" t="n">
        <v>8887398030.329</v>
      </c>
      <c r="BB16" t="n">
        <v>8226348225.51</v>
      </c>
      <c r="BC16" t="n">
        <v>9126073198.316</v>
      </c>
      <c r="BD16" t="n">
        <v>9200813004.833</v>
      </c>
      <c r="BE16" t="n">
        <v>9521571618.542999</v>
      </c>
      <c r="BF16" t="n">
        <v>8829921942.983999</v>
      </c>
      <c r="BG16" t="n">
        <v>9095808774.978001</v>
      </c>
      <c r="BH16" t="n">
        <v>9449518271.893</v>
      </c>
      <c r="BI16" t="n">
        <v>8897448888.382999</v>
      </c>
      <c r="BJ16" t="n">
        <v>9230928868.150999</v>
      </c>
      <c r="BK16" t="n">
        <v>8984400914.697001</v>
      </c>
      <c r="BL16" t="n">
        <v>9205815439.917999</v>
      </c>
      <c r="BM16" t="n">
        <v>9120823427.597</v>
      </c>
      <c r="BN16" t="n">
        <v>8430912572.802</v>
      </c>
      <c r="BO16" t="n">
        <v>9101009457.120001</v>
      </c>
      <c r="BP16" t="n">
        <v>9246183319.568001</v>
      </c>
      <c r="BQ16" t="n">
        <v>9646910475.077999</v>
      </c>
      <c r="BR16" t="n">
        <v>9710373892.195</v>
      </c>
      <c r="BS16" t="n">
        <v>9136323015.400999</v>
      </c>
      <c r="BT16" t="n">
        <v>9922880014.211</v>
      </c>
    </row>
    <row r="17">
      <c r="A17" t="inlineStr">
        <is>
          <t>new_TE_noEEfix</t>
        </is>
      </c>
      <c r="B17" t="inlineStr">
        <is>
          <t>ok</t>
        </is>
      </c>
      <c r="C17" t="n">
        <v>1525841059.494</v>
      </c>
      <c r="D17" t="n">
        <v>1721759036.642</v>
      </c>
      <c r="E17" t="n">
        <v>1962934339.675</v>
      </c>
      <c r="F17" t="n">
        <v>1705784057.805</v>
      </c>
      <c r="G17" t="n">
        <v>1759843758.402</v>
      </c>
      <c r="H17" t="n">
        <v>1777606552.586</v>
      </c>
      <c r="I17" t="n">
        <v>1888733459.819</v>
      </c>
      <c r="J17" t="n">
        <v>1988720101.585</v>
      </c>
      <c r="K17" t="n">
        <v>2056615615.046</v>
      </c>
      <c r="L17" t="n">
        <v>2143855936.189</v>
      </c>
      <c r="M17" t="n">
        <v>2509065175.571</v>
      </c>
      <c r="N17" t="n">
        <v>2506938232.922</v>
      </c>
      <c r="O17" t="n">
        <v>2631292025.55</v>
      </c>
      <c r="P17" t="n">
        <v>2593816551.614</v>
      </c>
      <c r="Q17" t="n">
        <v>2668712019.679</v>
      </c>
      <c r="R17" t="n">
        <v>2938054830.588</v>
      </c>
      <c r="S17" t="n">
        <v>3071831716.278</v>
      </c>
      <c r="T17" t="n">
        <v>2805826296.975</v>
      </c>
      <c r="U17" t="n">
        <v>3230943576.991</v>
      </c>
      <c r="V17" t="n">
        <v>3469997079.262</v>
      </c>
      <c r="W17" t="n">
        <v>3315478641.595</v>
      </c>
      <c r="X17" t="n">
        <v>3580339201.708</v>
      </c>
      <c r="Y17" t="n">
        <v>3858983406.533</v>
      </c>
      <c r="Z17" t="n">
        <v>3868842800.238</v>
      </c>
      <c r="AA17" t="n">
        <v>4445232805.536</v>
      </c>
      <c r="AB17" t="n">
        <v>4352858538.86</v>
      </c>
      <c r="AC17" t="n">
        <v>4541060466.697</v>
      </c>
      <c r="AD17" t="n">
        <v>4589866744.16</v>
      </c>
      <c r="AE17" t="n">
        <v>4842741157.66</v>
      </c>
      <c r="AF17" t="n">
        <v>4866393646.663</v>
      </c>
      <c r="AG17" t="n">
        <v>4855505629.527</v>
      </c>
      <c r="AH17" t="n">
        <v>5038813910.842</v>
      </c>
      <c r="AI17" t="n">
        <v>5172815518.812</v>
      </c>
      <c r="AJ17" t="n">
        <v>5303291479.175</v>
      </c>
      <c r="AK17" t="n">
        <v>5473824618.96</v>
      </c>
      <c r="AL17" t="n">
        <v>5300715072.476</v>
      </c>
      <c r="AM17" t="n">
        <v>5653928826.783</v>
      </c>
      <c r="AN17" t="n">
        <v>6162649050.479</v>
      </c>
      <c r="AO17" t="n">
        <v>5890289679.492</v>
      </c>
      <c r="AP17" t="n">
        <v>6377964596.703</v>
      </c>
      <c r="AQ17" t="n">
        <v>5968897637.916</v>
      </c>
      <c r="AR17" t="n">
        <v>6510681466.301</v>
      </c>
      <c r="AS17" t="n">
        <v>6958499710.671</v>
      </c>
      <c r="AT17" t="n">
        <v>7646438129.773</v>
      </c>
      <c r="AU17" t="n">
        <v>7417598221.806</v>
      </c>
      <c r="AV17" t="n">
        <v>7650893884.491</v>
      </c>
      <c r="AW17" t="n">
        <v>7691135588.775</v>
      </c>
      <c r="AX17" t="n">
        <v>7913349258.617</v>
      </c>
      <c r="AY17" t="n">
        <v>8570635086.611</v>
      </c>
      <c r="AZ17" t="n">
        <v>8325352214.203</v>
      </c>
      <c r="BA17" t="n">
        <v>8887398030.329</v>
      </c>
      <c r="BB17" t="n">
        <v>8226348225.51</v>
      </c>
      <c r="BC17" t="n">
        <v>9126073198.316</v>
      </c>
      <c r="BD17" t="n">
        <v>9200813004.833</v>
      </c>
      <c r="BE17" t="n">
        <v>9521571618.542999</v>
      </c>
      <c r="BF17" t="n">
        <v>8829921942.983999</v>
      </c>
      <c r="BG17" t="n">
        <v>9095808774.978001</v>
      </c>
      <c r="BH17" t="n">
        <v>9449518271.893</v>
      </c>
      <c r="BI17" t="n">
        <v>8897448888.382999</v>
      </c>
      <c r="BJ17" t="n">
        <v>9230928868.150999</v>
      </c>
      <c r="BK17" t="n">
        <v>8984400914.697001</v>
      </c>
      <c r="BL17" t="n">
        <v>9205815439.917999</v>
      </c>
      <c r="BM17" t="n">
        <v>9120823427.597</v>
      </c>
      <c r="BN17" t="n">
        <v>8430912572.802</v>
      </c>
      <c r="BO17" t="n">
        <v>9101009457.120001</v>
      </c>
      <c r="BP17" t="n">
        <v>9246183319.568001</v>
      </c>
      <c r="BQ17" t="n">
        <v>9646910475.077999</v>
      </c>
      <c r="BR17" t="n">
        <v>9710373892.195</v>
      </c>
      <c r="BS17" t="n">
        <v>9136323015.400999</v>
      </c>
      <c r="BT17" t="n">
        <v>9922880014.211</v>
      </c>
    </row>
    <row r="18">
      <c r="A18" t="inlineStr">
        <is>
          <t>new_TE_EEfix</t>
        </is>
      </c>
      <c r="B18" t="inlineStr">
        <is>
          <t>ok</t>
        </is>
      </c>
      <c r="C18" t="n">
        <v>1525841059.494</v>
      </c>
      <c r="D18" t="n">
        <v>1721759036.642</v>
      </c>
      <c r="E18" t="n">
        <v>1962934339.675</v>
      </c>
      <c r="F18" t="n">
        <v>1705784057.805</v>
      </c>
      <c r="G18" t="n">
        <v>1759843758.402</v>
      </c>
      <c r="H18" t="n">
        <v>1777606552.586</v>
      </c>
      <c r="I18" t="n">
        <v>1888733459.819</v>
      </c>
      <c r="J18" t="n">
        <v>1988720101.585</v>
      </c>
      <c r="K18" t="n">
        <v>2056615615.046</v>
      </c>
      <c r="L18" t="n">
        <v>2143855936.189</v>
      </c>
      <c r="M18" t="n">
        <v>2509065175.571</v>
      </c>
      <c r="N18" t="n">
        <v>2506938232.922</v>
      </c>
      <c r="O18" t="n">
        <v>2631292025.55</v>
      </c>
      <c r="P18" t="n">
        <v>2593816551.614</v>
      </c>
      <c r="Q18" t="n">
        <v>2668712019.679</v>
      </c>
      <c r="R18" t="n">
        <v>2938054830.588</v>
      </c>
      <c r="S18" t="n">
        <v>3071831716.278</v>
      </c>
      <c r="T18" t="n">
        <v>2805826296.975</v>
      </c>
      <c r="U18" t="n">
        <v>3230943576.991</v>
      </c>
      <c r="V18" t="n">
        <v>3469997079.262</v>
      </c>
      <c r="W18" t="n">
        <v>3315478641.595</v>
      </c>
      <c r="X18" t="n">
        <v>3580339201.708</v>
      </c>
      <c r="Y18" t="n">
        <v>3858983406.533</v>
      </c>
      <c r="Z18" t="n">
        <v>3868842800.238</v>
      </c>
      <c r="AA18" t="n">
        <v>4445232805.536</v>
      </c>
      <c r="AB18" t="n">
        <v>4352858538.86</v>
      </c>
      <c r="AC18" t="n">
        <v>4541060466.697</v>
      </c>
      <c r="AD18" t="n">
        <v>4589866744.16</v>
      </c>
      <c r="AE18" t="n">
        <v>4842741157.66</v>
      </c>
      <c r="AF18" t="n">
        <v>4866393646.663</v>
      </c>
      <c r="AG18" t="n">
        <v>4855505629.527</v>
      </c>
      <c r="AH18" t="n">
        <v>5038813910.842</v>
      </c>
      <c r="AI18" t="n">
        <v>5172815518.812</v>
      </c>
      <c r="AJ18" t="n">
        <v>5303291479.175</v>
      </c>
      <c r="AK18" t="n">
        <v>5473824618.96</v>
      </c>
      <c r="AL18" t="n">
        <v>5300715072.476</v>
      </c>
      <c r="AM18" t="n">
        <v>5653928826.783</v>
      </c>
      <c r="AN18" t="n">
        <v>6162649050.479</v>
      </c>
      <c r="AO18" t="n">
        <v>5890289679.492</v>
      </c>
      <c r="AP18" t="n">
        <v>6377964596.703</v>
      </c>
      <c r="AQ18" t="n">
        <v>5968897637.916</v>
      </c>
      <c r="AR18" t="n">
        <v>6510681466.301</v>
      </c>
      <c r="AS18" t="n">
        <v>6958499710.671</v>
      </c>
      <c r="AT18" t="n">
        <v>7646438129.773</v>
      </c>
      <c r="AU18" t="n">
        <v>7417598221.806</v>
      </c>
      <c r="AV18" t="n">
        <v>7650893884.491</v>
      </c>
      <c r="AW18" t="n">
        <v>7691135588.775</v>
      </c>
      <c r="AX18" t="n">
        <v>7913349258.617</v>
      </c>
      <c r="AY18" t="n">
        <v>8570635086.611</v>
      </c>
      <c r="AZ18" t="n">
        <v>8325352214.203</v>
      </c>
      <c r="BA18" t="n">
        <v>8887398030.329</v>
      </c>
      <c r="BB18" t="n">
        <v>8226348225.51</v>
      </c>
      <c r="BC18" t="n">
        <v>9126073198.316</v>
      </c>
      <c r="BD18" t="n">
        <v>9200813004.833</v>
      </c>
      <c r="BE18" t="n">
        <v>9521571618.542999</v>
      </c>
      <c r="BF18" t="n">
        <v>8829921942.983999</v>
      </c>
      <c r="BG18" t="n">
        <v>9095808774.978001</v>
      </c>
      <c r="BH18" t="n">
        <v>9449518271.893</v>
      </c>
      <c r="BI18" t="n">
        <v>8897448888.382999</v>
      </c>
      <c r="BJ18" t="n">
        <v>9230928868.150999</v>
      </c>
      <c r="BK18" t="n">
        <v>8984400914.697001</v>
      </c>
      <c r="BL18" t="n">
        <v>9205815439.917999</v>
      </c>
      <c r="BM18" t="n">
        <v>9120823427.597</v>
      </c>
      <c r="BN18" t="n">
        <v>8430912572.802</v>
      </c>
      <c r="BO18" t="n">
        <v>9101009457.120001</v>
      </c>
      <c r="BP18" t="n">
        <v>9246183319.568001</v>
      </c>
      <c r="BQ18" t="n">
        <v>9646910475.077999</v>
      </c>
      <c r="BR18" t="n">
        <v>9710373892.195</v>
      </c>
      <c r="BS18" t="n">
        <v>9136323015.400999</v>
      </c>
      <c r="BT18" t="n">
        <v>9922880014.211</v>
      </c>
    </row>
    <row r="19">
      <c r="A19" t="inlineStr">
        <is>
          <t>new_GE</t>
        </is>
      </c>
      <c r="B19" t="inlineStr">
        <is>
          <t>ok</t>
        </is>
      </c>
      <c r="C19" t="n">
        <v>951082787.546</v>
      </c>
      <c r="D19" t="n">
        <v>1029265214.968</v>
      </c>
      <c r="E19" t="n">
        <v>1164630641.353</v>
      </c>
      <c r="F19" t="n">
        <v>1051078254.275</v>
      </c>
      <c r="G19" t="n">
        <v>1093863179.881</v>
      </c>
      <c r="H19" t="n">
        <v>1122633235.958</v>
      </c>
      <c r="I19" t="n">
        <v>1196123237.53</v>
      </c>
      <c r="J19" t="n">
        <v>1215282418.997</v>
      </c>
      <c r="K19" t="n">
        <v>1261497856.632</v>
      </c>
      <c r="L19" t="n">
        <v>1313534344.77</v>
      </c>
      <c r="M19" t="n">
        <v>1498349257.653</v>
      </c>
      <c r="N19" t="n">
        <v>1528264970.732</v>
      </c>
      <c r="O19" t="n">
        <v>1588032384.138</v>
      </c>
      <c r="P19" t="n">
        <v>1583844300.692</v>
      </c>
      <c r="Q19" t="n">
        <v>1661602342.726</v>
      </c>
      <c r="R19" t="n">
        <v>1798260349.991</v>
      </c>
      <c r="S19" t="n">
        <v>1890863515.285</v>
      </c>
      <c r="T19" t="n">
        <v>1781554846.309</v>
      </c>
      <c r="U19" t="n">
        <v>2033516252.054</v>
      </c>
      <c r="V19" t="n">
        <v>2173071460.357</v>
      </c>
      <c r="W19" t="n">
        <v>2065713879.122</v>
      </c>
      <c r="X19" t="n">
        <v>2257088766.529</v>
      </c>
      <c r="Y19" t="n">
        <v>2409538335.859</v>
      </c>
      <c r="Z19" t="n">
        <v>2397682209.061</v>
      </c>
      <c r="AA19" t="n">
        <v>2725794641.247</v>
      </c>
      <c r="AB19" t="n">
        <v>2720896421.781</v>
      </c>
      <c r="AC19" t="n">
        <v>2881363586.341</v>
      </c>
      <c r="AD19" t="n">
        <v>3003155187.355</v>
      </c>
      <c r="AE19" t="n">
        <v>3179911534.133</v>
      </c>
      <c r="AF19" t="n">
        <v>3220416460.586</v>
      </c>
      <c r="AG19" t="n">
        <v>3199810665.87</v>
      </c>
      <c r="AH19" t="n">
        <v>3326164949.066</v>
      </c>
      <c r="AI19" t="n">
        <v>3407516780.517</v>
      </c>
      <c r="AJ19" t="n">
        <v>3525141913.844</v>
      </c>
      <c r="AK19" t="n">
        <v>3679699312.516</v>
      </c>
      <c r="AL19" t="n">
        <v>3585837623.258</v>
      </c>
      <c r="AM19" t="n">
        <v>3816303282.148</v>
      </c>
      <c r="AN19" t="n">
        <v>4134345094.236</v>
      </c>
      <c r="AO19" t="n">
        <v>3966870920.537</v>
      </c>
      <c r="AP19" t="n">
        <v>4267449567.907</v>
      </c>
      <c r="AQ19" t="n">
        <v>4086469105.106</v>
      </c>
      <c r="AR19" t="n">
        <v>4437154557.782</v>
      </c>
      <c r="AS19" t="n">
        <v>4685810697.306</v>
      </c>
      <c r="AT19" t="n">
        <v>5111320699.977</v>
      </c>
      <c r="AU19" t="n">
        <v>4903006318.555</v>
      </c>
      <c r="AV19" t="n">
        <v>5078123989.06</v>
      </c>
      <c r="AW19" t="n">
        <v>5125939138.039</v>
      </c>
      <c r="AX19" t="n">
        <v>5228119538.012</v>
      </c>
      <c r="AY19" t="n">
        <v>5675509035.726</v>
      </c>
      <c r="AZ19" t="n">
        <v>5473381918.243</v>
      </c>
      <c r="BA19" t="n">
        <v>5858775855.32</v>
      </c>
      <c r="BB19" t="n">
        <v>5520535068.733</v>
      </c>
      <c r="BC19" t="n">
        <v>6060275511.139</v>
      </c>
      <c r="BD19" t="n">
        <v>6142686910.077</v>
      </c>
      <c r="BE19" t="n">
        <v>6340689120.297</v>
      </c>
      <c r="BF19" t="n">
        <v>5963799677.907</v>
      </c>
      <c r="BG19" t="n">
        <v>6114722586.777</v>
      </c>
      <c r="BH19" t="n">
        <v>6399958462.493</v>
      </c>
      <c r="BI19" t="n">
        <v>6004958165.382</v>
      </c>
      <c r="BJ19" t="n">
        <v>6302385024.95</v>
      </c>
      <c r="BK19" t="n">
        <v>6165475830.122</v>
      </c>
      <c r="BL19" t="n">
        <v>6271397992.598</v>
      </c>
      <c r="BM19" t="n">
        <v>6247454299.839</v>
      </c>
      <c r="BN19" t="n">
        <v>5766200088.215</v>
      </c>
      <c r="BO19" t="n">
        <v>6179948699.276</v>
      </c>
      <c r="BP19" t="n">
        <v>6310148477.786</v>
      </c>
      <c r="BQ19" t="n">
        <v>6593964231.174</v>
      </c>
      <c r="BR19" t="n">
        <v>6647930344.434</v>
      </c>
      <c r="BS19" t="n">
        <v>6278966367.428</v>
      </c>
      <c r="BT19" t="n">
        <v>6812009974.954</v>
      </c>
    </row>
    <row r="20">
      <c r="A20" t="inlineStr">
        <is>
          <t>new_WithEgestion</t>
        </is>
      </c>
      <c r="B20" t="inlineStr">
        <is>
          <t>ok</t>
        </is>
      </c>
      <c r="C20" t="n">
        <v>268017352.757</v>
      </c>
      <c r="D20" t="n">
        <v>280726070.825</v>
      </c>
      <c r="E20" t="n">
        <v>312782218.539</v>
      </c>
      <c r="F20" t="n">
        <v>291202152.903</v>
      </c>
      <c r="G20" t="n">
        <v>305164390.462</v>
      </c>
      <c r="H20" t="n">
        <v>316485788.221</v>
      </c>
      <c r="I20" t="n">
        <v>337513346.735</v>
      </c>
      <c r="J20" t="n">
        <v>334247180.474</v>
      </c>
      <c r="K20" t="n">
        <v>346984010.729</v>
      </c>
      <c r="L20" t="n">
        <v>359320504.374</v>
      </c>
      <c r="M20" t="n">
        <v>400619178.46</v>
      </c>
      <c r="N20" t="n">
        <v>416432513.551</v>
      </c>
      <c r="O20" t="n">
        <v>431144479.118</v>
      </c>
      <c r="P20" t="n">
        <v>434248785.49</v>
      </c>
      <c r="Q20" t="n">
        <v>465121572.971</v>
      </c>
      <c r="R20" t="n">
        <v>492127563.94</v>
      </c>
      <c r="S20" t="n">
        <v>519897004.016</v>
      </c>
      <c r="T20" t="n">
        <v>506390988.393</v>
      </c>
      <c r="U20" t="n">
        <v>569353071.059</v>
      </c>
      <c r="V20" t="n">
        <v>603781920.5599999</v>
      </c>
      <c r="W20" t="n">
        <v>575614426.364</v>
      </c>
      <c r="X20" t="n">
        <v>633133142.681</v>
      </c>
      <c r="Y20" t="n">
        <v>672666513.853</v>
      </c>
      <c r="Z20" t="n">
        <v>672661857.3559999</v>
      </c>
      <c r="AA20" t="n">
        <v>752095574.25</v>
      </c>
      <c r="AB20" t="n">
        <v>763342621.507</v>
      </c>
      <c r="AC20" t="n">
        <v>818141774.659</v>
      </c>
      <c r="AD20" t="n">
        <v>866932234.645</v>
      </c>
      <c r="AE20" t="n">
        <v>920241983.309</v>
      </c>
      <c r="AF20" t="n">
        <v>939240013.623</v>
      </c>
      <c r="AG20" t="n">
        <v>931581376.0599999</v>
      </c>
      <c r="AH20" t="n">
        <v>967716656.0829999</v>
      </c>
      <c r="AI20" t="n">
        <v>993596854.293</v>
      </c>
      <c r="AJ20" t="n">
        <v>1026187097.264</v>
      </c>
      <c r="AK20" t="n">
        <v>1073734470.634</v>
      </c>
      <c r="AL20" t="n">
        <v>1050759239.209</v>
      </c>
      <c r="AM20" t="n">
        <v>1117697335.604</v>
      </c>
      <c r="AN20" t="n">
        <v>1201302445.611</v>
      </c>
      <c r="AO20" t="n">
        <v>1154425828.023</v>
      </c>
      <c r="AP20" t="n">
        <v>1240342061.933</v>
      </c>
      <c r="AQ20" t="n">
        <v>1207522744.274</v>
      </c>
      <c r="AR20" t="n">
        <v>1309881225.68</v>
      </c>
      <c r="AS20" t="n">
        <v>1373842950.009</v>
      </c>
      <c r="AT20" t="n">
        <v>1492811435.509</v>
      </c>
      <c r="AU20" t="n">
        <v>1427670980.888</v>
      </c>
      <c r="AV20" t="n">
        <v>1480758836.079</v>
      </c>
      <c r="AW20" t="n">
        <v>1497271344.231</v>
      </c>
      <c r="AX20" t="n">
        <v>1518527167.229</v>
      </c>
      <c r="AY20" t="n">
        <v>1646037468.85</v>
      </c>
      <c r="AZ20" t="n">
        <v>1583538898.376</v>
      </c>
      <c r="BA20" t="n">
        <v>1693280354.914</v>
      </c>
      <c r="BB20" t="n">
        <v>1610220355.273</v>
      </c>
      <c r="BC20" t="n">
        <v>1757006093.843</v>
      </c>
      <c r="BD20" t="n">
        <v>1791034257.267</v>
      </c>
      <c r="BE20" t="n">
        <v>1844628271.895</v>
      </c>
      <c r="BF20" t="n">
        <v>1740162586.973</v>
      </c>
      <c r="BG20" t="n">
        <v>1796010723.315</v>
      </c>
      <c r="BH20" t="n">
        <v>1869712272.409</v>
      </c>
      <c r="BI20" t="n">
        <v>1771694640.031</v>
      </c>
      <c r="BJ20" t="n">
        <v>1872490373.853</v>
      </c>
      <c r="BK20" t="n">
        <v>1835592150.97</v>
      </c>
      <c r="BL20" t="n">
        <v>1862652262.901</v>
      </c>
      <c r="BM20" t="n">
        <v>1855962097.292</v>
      </c>
      <c r="BN20" t="n">
        <v>1719704276.334</v>
      </c>
      <c r="BO20" t="n">
        <v>1823488343.915</v>
      </c>
      <c r="BP20" t="n">
        <v>1859928850.562</v>
      </c>
      <c r="BQ20" t="n">
        <v>1943936140.877</v>
      </c>
      <c r="BR20" t="n">
        <v>1962093466.25</v>
      </c>
      <c r="BS20" t="n">
        <v>1851257529.288</v>
      </c>
      <c r="BT20" t="n">
        <v>2010374539.011</v>
      </c>
    </row>
    <row r="21">
      <c r="A21" t="inlineStr">
        <is>
          <t>sym_TE_asPP</t>
        </is>
      </c>
      <c r="B21" t="inlineStr">
        <is>
          <t>ok</t>
        </is>
      </c>
      <c r="C21" t="n">
        <v>1525841059.494</v>
      </c>
      <c r="D21" t="n">
        <v>1721759036.642</v>
      </c>
      <c r="E21" t="n">
        <v>1962934339.675</v>
      </c>
      <c r="F21" t="n">
        <v>1705784057.805</v>
      </c>
      <c r="G21" t="n">
        <v>1759843758.402</v>
      </c>
      <c r="H21" t="n">
        <v>1777606552.586</v>
      </c>
      <c r="I21" t="n">
        <v>1888733459.819</v>
      </c>
      <c r="J21" t="n">
        <v>1988720101.585</v>
      </c>
      <c r="K21" t="n">
        <v>2056615615.046</v>
      </c>
      <c r="L21" t="n">
        <v>2143855936.189</v>
      </c>
      <c r="M21" t="n">
        <v>2509065175.571</v>
      </c>
      <c r="N21" t="n">
        <v>2506938232.922</v>
      </c>
      <c r="O21" t="n">
        <v>2631292025.55</v>
      </c>
      <c r="P21" t="n">
        <v>2593816551.614</v>
      </c>
      <c r="Q21" t="n">
        <v>2668712019.679</v>
      </c>
      <c r="R21" t="n">
        <v>2938054830.588</v>
      </c>
      <c r="S21" t="n">
        <v>3071831716.278</v>
      </c>
      <c r="T21" t="n">
        <v>2805826296.975</v>
      </c>
      <c r="U21" t="n">
        <v>3230943576.991</v>
      </c>
      <c r="V21" t="n">
        <v>3469997079.262</v>
      </c>
      <c r="W21" t="n">
        <v>3315478641.595</v>
      </c>
      <c r="X21" t="n">
        <v>3580339201.708</v>
      </c>
      <c r="Y21" t="n">
        <v>3858983406.533</v>
      </c>
      <c r="Z21" t="n">
        <v>3868842800.238</v>
      </c>
      <c r="AA21" t="n">
        <v>4445232805.536</v>
      </c>
      <c r="AB21" t="n">
        <v>4352858538.86</v>
      </c>
      <c r="AC21" t="n">
        <v>4541060466.697</v>
      </c>
      <c r="AD21" t="n">
        <v>4589866744.16</v>
      </c>
      <c r="AE21" t="n">
        <v>4842741157.66</v>
      </c>
      <c r="AF21" t="n">
        <v>4866393646.663</v>
      </c>
      <c r="AG21" t="n">
        <v>4855505629.527</v>
      </c>
      <c r="AH21" t="n">
        <v>5038813910.842</v>
      </c>
      <c r="AI21" t="n">
        <v>5172815518.812</v>
      </c>
      <c r="AJ21" t="n">
        <v>5303291479.175</v>
      </c>
      <c r="AK21" t="n">
        <v>5473824618.96</v>
      </c>
      <c r="AL21" t="n">
        <v>5300715072.476</v>
      </c>
      <c r="AM21" t="n">
        <v>5653928826.783</v>
      </c>
      <c r="AN21" t="n">
        <v>6162649050.479</v>
      </c>
      <c r="AO21" t="n">
        <v>5890289679.492</v>
      </c>
      <c r="AP21" t="n">
        <v>6377964596.703</v>
      </c>
      <c r="AQ21" t="n">
        <v>5968897637.916</v>
      </c>
      <c r="AR21" t="n">
        <v>6510681466.301</v>
      </c>
      <c r="AS21" t="n">
        <v>6958499710.671</v>
      </c>
      <c r="AT21" t="n">
        <v>7646438129.773</v>
      </c>
      <c r="AU21" t="n">
        <v>7417598221.806</v>
      </c>
      <c r="AV21" t="n">
        <v>7650893884.491</v>
      </c>
      <c r="AW21" t="n">
        <v>7691135588.775</v>
      </c>
      <c r="AX21" t="n">
        <v>7913349258.617</v>
      </c>
      <c r="AY21" t="n">
        <v>8570635086.611</v>
      </c>
      <c r="AZ21" t="n">
        <v>8325352214.203</v>
      </c>
      <c r="BA21" t="n">
        <v>8887398030.329</v>
      </c>
      <c r="BB21" t="n">
        <v>8226348225.51</v>
      </c>
      <c r="BC21" t="n">
        <v>9126073198.316</v>
      </c>
      <c r="BD21" t="n">
        <v>9200813004.833</v>
      </c>
      <c r="BE21" t="n">
        <v>9521571618.542999</v>
      </c>
      <c r="BF21" t="n">
        <v>8829921942.983999</v>
      </c>
      <c r="BG21" t="n">
        <v>9095808774.978001</v>
      </c>
      <c r="BH21" t="n">
        <v>9449518271.893</v>
      </c>
      <c r="BI21" t="n">
        <v>8897448888.382999</v>
      </c>
      <c r="BJ21" t="n">
        <v>9230928868.150999</v>
      </c>
      <c r="BK21" t="n">
        <v>8984400914.697001</v>
      </c>
      <c r="BL21" t="n">
        <v>9205815439.917999</v>
      </c>
      <c r="BM21" t="n">
        <v>9120823427.597</v>
      </c>
      <c r="BN21" t="n">
        <v>8430912572.802</v>
      </c>
      <c r="BO21" t="n">
        <v>9101009457.120001</v>
      </c>
      <c r="BP21" t="n">
        <v>9246183319.568001</v>
      </c>
      <c r="BQ21" t="n">
        <v>9646910475.077999</v>
      </c>
      <c r="BR21" t="n">
        <v>9710373892.195</v>
      </c>
      <c r="BS21" t="n">
        <v>9136323015.400999</v>
      </c>
      <c r="BT21" t="n">
        <v>9922880014.211</v>
      </c>
    </row>
    <row r="22">
      <c r="A22" s="16" t="inlineStr">
        <is>
          <t>sym_TE_asDC</t>
        </is>
      </c>
      <c r="B22" s="17" t="inlineStr">
        <is>
          <t>DIVERGED - negative SPPR in a source-model group</t>
        </is>
      </c>
      <c r="C22" t="n">
        <v>4055858747698.933</v>
      </c>
      <c r="D22" t="n">
        <v>5372195353846.88</v>
      </c>
      <c r="E22" t="n">
        <v>6407439644964.775</v>
      </c>
      <c r="F22" t="n">
        <v>4828909134653.24</v>
      </c>
      <c r="G22" t="n">
        <v>4621495571724.936</v>
      </c>
      <c r="H22" t="n">
        <v>4283488640356.837</v>
      </c>
      <c r="I22" t="n">
        <v>4409367425687.317</v>
      </c>
      <c r="J22" t="n">
        <v>5587300075429.223</v>
      </c>
      <c r="K22" t="n">
        <v>5751633823901.141</v>
      </c>
      <c r="L22" t="n">
        <v>6022267656061.615</v>
      </c>
      <c r="M22" t="n">
        <v>7994246884437.725</v>
      </c>
      <c r="N22" t="n">
        <v>7206745444386.795</v>
      </c>
      <c r="O22" t="n">
        <v>7712172510502.354</v>
      </c>
      <c r="P22" t="n">
        <v>7383463932752.261</v>
      </c>
      <c r="Q22" t="n">
        <v>6907762206536.263</v>
      </c>
      <c r="R22" t="n">
        <v>8646288527552.107</v>
      </c>
      <c r="S22" t="n">
        <v>8773764382372.923</v>
      </c>
      <c r="T22" t="n">
        <v>6609918488542.006</v>
      </c>
      <c r="U22" t="n">
        <v>7887137085541.524</v>
      </c>
      <c r="V22" t="n">
        <v>8665996255951.437</v>
      </c>
      <c r="W22" t="n">
        <v>8909793700246.943</v>
      </c>
      <c r="X22" t="n">
        <v>9228502167414.281</v>
      </c>
      <c r="Y22" t="n">
        <v>10556726916726.77</v>
      </c>
      <c r="Z22" t="n">
        <v>10595694752512.75</v>
      </c>
      <c r="AA22" t="n">
        <v>13296942047973.19</v>
      </c>
      <c r="AB22" t="n">
        <v>12077924044136.19</v>
      </c>
      <c r="AC22" t="n">
        <v>11928052565871.11</v>
      </c>
      <c r="AD22" t="n">
        <v>10247902530845.71</v>
      </c>
      <c r="AE22" t="n">
        <v>10580327268885.13</v>
      </c>
      <c r="AF22" t="n">
        <v>10118621235972.02</v>
      </c>
      <c r="AG22" t="n">
        <v>10404251118225.58</v>
      </c>
      <c r="AH22" t="n">
        <v>10700132032464.88</v>
      </c>
      <c r="AI22" t="n">
        <v>10743976487779.33</v>
      </c>
      <c r="AJ22" t="n">
        <v>11031312338596.18</v>
      </c>
      <c r="AK22" t="n">
        <v>10177684944353.19</v>
      </c>
      <c r="AL22" t="n">
        <v>9105282577239.816</v>
      </c>
      <c r="AM22" t="n">
        <v>9545676820764.271</v>
      </c>
      <c r="AN22" t="n">
        <v>11323768717699.94</v>
      </c>
      <c r="AO22" t="n">
        <v>10257519731485.87</v>
      </c>
      <c r="AP22" t="n">
        <v>11365839868279.24</v>
      </c>
      <c r="AQ22" t="n">
        <v>9672968826242.463</v>
      </c>
      <c r="AR22" t="n">
        <v>10528718464108.13</v>
      </c>
      <c r="AS22" t="n">
        <v>12224424879967.56</v>
      </c>
      <c r="AT22" t="n">
        <v>13175506129394.76</v>
      </c>
      <c r="AU22" t="n">
        <v>13940708958378.32</v>
      </c>
      <c r="AV22" t="n">
        <v>14356837861165.34</v>
      </c>
      <c r="AW22" t="n">
        <v>14239337530314.2</v>
      </c>
      <c r="AX22" t="n">
        <v>15685292299183.09</v>
      </c>
      <c r="AY22" t="n">
        <v>16077432701531.7</v>
      </c>
      <c r="AZ22" t="n">
        <v>16482461853340.9</v>
      </c>
      <c r="BA22" t="n">
        <v>17176731270635.8</v>
      </c>
      <c r="BB22" t="n">
        <v>15314663545024.68</v>
      </c>
      <c r="BC22" t="n">
        <v>17005176249436.09</v>
      </c>
      <c r="BD22" t="n">
        <v>17237053522053.77</v>
      </c>
      <c r="BE22" t="n">
        <v>18196072631797.55</v>
      </c>
      <c r="BF22" t="n">
        <v>15649452810076.28</v>
      </c>
      <c r="BG22" t="n">
        <v>15859099436232.29</v>
      </c>
      <c r="BH22" t="n">
        <v>15910428845239.99</v>
      </c>
      <c r="BI22" t="n">
        <v>15000126747014.28</v>
      </c>
      <c r="BJ22" t="n">
        <v>14584776249945.49</v>
      </c>
      <c r="BK22" t="n">
        <v>14149258084172.56</v>
      </c>
      <c r="BL22" t="n">
        <v>14887572361077.32</v>
      </c>
      <c r="BM22" t="n">
        <v>14667785160479.9</v>
      </c>
      <c r="BN22" t="n">
        <v>13227301760328.52</v>
      </c>
      <c r="BO22" t="n">
        <v>14732825459531.64</v>
      </c>
      <c r="BP22" t="n">
        <v>14610771847626.45</v>
      </c>
      <c r="BQ22" t="n">
        <v>15080791058309.02</v>
      </c>
      <c r="BR22" t="n">
        <v>14949552880647.89</v>
      </c>
      <c r="BS22" t="n">
        <v>13882708857571.15</v>
      </c>
      <c r="BT22" t="n">
        <v>15066552542431.92</v>
      </c>
    </row>
    <row r="23">
      <c r="A23" t="inlineStr">
        <is>
          <t>sym_GE_asPP</t>
        </is>
      </c>
      <c r="B23" t="inlineStr">
        <is>
          <t>ok</t>
        </is>
      </c>
      <c r="C23" t="n">
        <v>951082787.546</v>
      </c>
      <c r="D23" t="n">
        <v>1029265214.968</v>
      </c>
      <c r="E23" t="n">
        <v>1164630641.353</v>
      </c>
      <c r="F23" t="n">
        <v>1051078254.275</v>
      </c>
      <c r="G23" t="n">
        <v>1093863179.881</v>
      </c>
      <c r="H23" t="n">
        <v>1122633235.958</v>
      </c>
      <c r="I23" t="n">
        <v>1196123237.53</v>
      </c>
      <c r="J23" t="n">
        <v>1215282418.997</v>
      </c>
      <c r="K23" t="n">
        <v>1261497856.632</v>
      </c>
      <c r="L23" t="n">
        <v>1313534344.77</v>
      </c>
      <c r="M23" t="n">
        <v>1498349257.653</v>
      </c>
      <c r="N23" t="n">
        <v>1528264970.732</v>
      </c>
      <c r="O23" t="n">
        <v>1588032384.138</v>
      </c>
      <c r="P23" t="n">
        <v>1583844300.692</v>
      </c>
      <c r="Q23" t="n">
        <v>1661602342.726</v>
      </c>
      <c r="R23" t="n">
        <v>1798260349.991</v>
      </c>
      <c r="S23" t="n">
        <v>1890863515.285</v>
      </c>
      <c r="T23" t="n">
        <v>1781554846.309</v>
      </c>
      <c r="U23" t="n">
        <v>2033516252.054</v>
      </c>
      <c r="V23" t="n">
        <v>2173071460.357</v>
      </c>
      <c r="W23" t="n">
        <v>2065713879.122</v>
      </c>
      <c r="X23" t="n">
        <v>2257088766.529</v>
      </c>
      <c r="Y23" t="n">
        <v>2409538335.859</v>
      </c>
      <c r="Z23" t="n">
        <v>2397682209.061</v>
      </c>
      <c r="AA23" t="n">
        <v>2725794641.247</v>
      </c>
      <c r="AB23" t="n">
        <v>2720896421.781</v>
      </c>
      <c r="AC23" t="n">
        <v>2881363586.341</v>
      </c>
      <c r="AD23" t="n">
        <v>3003155187.355</v>
      </c>
      <c r="AE23" t="n">
        <v>3179911534.133</v>
      </c>
      <c r="AF23" t="n">
        <v>3220416460.586</v>
      </c>
      <c r="AG23" t="n">
        <v>3199810665.87</v>
      </c>
      <c r="AH23" t="n">
        <v>3326164949.066</v>
      </c>
      <c r="AI23" t="n">
        <v>3407516780.517</v>
      </c>
      <c r="AJ23" t="n">
        <v>3525141913.844</v>
      </c>
      <c r="AK23" t="n">
        <v>3679699312.516</v>
      </c>
      <c r="AL23" t="n">
        <v>3585837623.258</v>
      </c>
      <c r="AM23" t="n">
        <v>3816303282.148</v>
      </c>
      <c r="AN23" t="n">
        <v>4134345094.236</v>
      </c>
      <c r="AO23" t="n">
        <v>3966870920.537</v>
      </c>
      <c r="AP23" t="n">
        <v>4267449567.907</v>
      </c>
      <c r="AQ23" t="n">
        <v>4086469105.106</v>
      </c>
      <c r="AR23" t="n">
        <v>4437154557.782</v>
      </c>
      <c r="AS23" t="n">
        <v>4685810697.306</v>
      </c>
      <c r="AT23" t="n">
        <v>5111320699.977</v>
      </c>
      <c r="AU23" t="n">
        <v>4903006318.555</v>
      </c>
      <c r="AV23" t="n">
        <v>5078123989.06</v>
      </c>
      <c r="AW23" t="n">
        <v>5125939138.039</v>
      </c>
      <c r="AX23" t="n">
        <v>5228119538.012</v>
      </c>
      <c r="AY23" t="n">
        <v>5675509035.726</v>
      </c>
      <c r="AZ23" t="n">
        <v>5473381918.243</v>
      </c>
      <c r="BA23" t="n">
        <v>5858775855.32</v>
      </c>
      <c r="BB23" t="n">
        <v>5520535068.733</v>
      </c>
      <c r="BC23" t="n">
        <v>6060275511.139</v>
      </c>
      <c r="BD23" t="n">
        <v>6142686910.077</v>
      </c>
      <c r="BE23" t="n">
        <v>6340689120.297</v>
      </c>
      <c r="BF23" t="n">
        <v>5963799677.907</v>
      </c>
      <c r="BG23" t="n">
        <v>6114722586.777</v>
      </c>
      <c r="BH23" t="n">
        <v>6399958462.493</v>
      </c>
      <c r="BI23" t="n">
        <v>6004958165.382</v>
      </c>
      <c r="BJ23" t="n">
        <v>6302385024.95</v>
      </c>
      <c r="BK23" t="n">
        <v>6165475830.122</v>
      </c>
      <c r="BL23" t="n">
        <v>6271397992.598</v>
      </c>
      <c r="BM23" t="n">
        <v>6247454299.839</v>
      </c>
      <c r="BN23" t="n">
        <v>5766200088.215</v>
      </c>
      <c r="BO23" t="n">
        <v>6179948699.276</v>
      </c>
      <c r="BP23" t="n">
        <v>6310148477.786</v>
      </c>
      <c r="BQ23" t="n">
        <v>6593964231.174</v>
      </c>
      <c r="BR23" t="n">
        <v>6647930344.434</v>
      </c>
      <c r="BS23" t="n">
        <v>6278966367.428</v>
      </c>
      <c r="BT23" t="n">
        <v>6812009974.954</v>
      </c>
    </row>
    <row r="24">
      <c r="A24" s="16" t="inlineStr">
        <is>
          <t>sym_GE_asDC</t>
        </is>
      </c>
      <c r="B24" s="17" t="inlineStr">
        <is>
          <t>DIVERGED - negative SPPR in a source-model group</t>
        </is>
      </c>
      <c r="C24" t="n">
        <v>1976883882517.463</v>
      </c>
      <c r="D24" t="n">
        <v>1798778409534.592</v>
      </c>
      <c r="E24" t="n">
        <v>1868194909823.251</v>
      </c>
      <c r="F24" t="n">
        <v>2157552613937.053</v>
      </c>
      <c r="G24" t="n">
        <v>2392448749558.125</v>
      </c>
      <c r="H24" t="n">
        <v>2500923404236.416</v>
      </c>
      <c r="I24" t="n">
        <v>2839739921748.366</v>
      </c>
      <c r="J24" t="n">
        <v>2272500240960.125</v>
      </c>
      <c r="K24" t="n">
        <v>2398002203322.469</v>
      </c>
      <c r="L24" t="n">
        <v>2480968166087.109</v>
      </c>
      <c r="M24" t="n">
        <v>2628844256672.587</v>
      </c>
      <c r="N24" t="n">
        <v>3052740053236.858</v>
      </c>
      <c r="O24" t="n">
        <v>2788303108277.074</v>
      </c>
      <c r="P24" t="n">
        <v>3146113783560.638</v>
      </c>
      <c r="Q24" t="n">
        <v>3268973622290.654</v>
      </c>
      <c r="R24" t="n">
        <v>3410755615656.812</v>
      </c>
      <c r="S24" t="n">
        <v>3443438693906.066</v>
      </c>
      <c r="T24" t="n">
        <v>4092668636940.32</v>
      </c>
      <c r="U24" t="n">
        <v>4257319191521.048</v>
      </c>
      <c r="V24" t="n">
        <v>4651722752519.556</v>
      </c>
      <c r="W24" t="n">
        <v>4838438427356.336</v>
      </c>
      <c r="X24" t="n">
        <v>5379562397727.217</v>
      </c>
      <c r="Y24" t="n">
        <v>5679371558633.846</v>
      </c>
      <c r="Z24" t="n">
        <v>5583623884495.017</v>
      </c>
      <c r="AA24" t="n">
        <v>6104671310495.312</v>
      </c>
      <c r="AB24" t="n">
        <v>6170224948351.251</v>
      </c>
      <c r="AC24" t="n">
        <v>7485467281334.594</v>
      </c>
      <c r="AD24" t="n">
        <v>8817557465669.691</v>
      </c>
      <c r="AE24" t="n">
        <v>9269751110569.469</v>
      </c>
      <c r="AF24" t="n">
        <v>9738856942757.355</v>
      </c>
      <c r="AG24" t="n">
        <v>9207861949256.539</v>
      </c>
      <c r="AH24" t="n">
        <v>9320671621107.236</v>
      </c>
      <c r="AI24" t="n">
        <v>9541642832208.785</v>
      </c>
      <c r="AJ24" t="n">
        <v>10148887774191.76</v>
      </c>
      <c r="AK24" t="n">
        <v>11093953406259.05</v>
      </c>
      <c r="AL24" t="n">
        <v>10913950478413.83</v>
      </c>
      <c r="AM24" t="n">
        <v>11223776757779.74</v>
      </c>
      <c r="AN24" t="n">
        <v>12016086603654.38</v>
      </c>
      <c r="AO24" t="n">
        <v>11505375380753.4</v>
      </c>
      <c r="AP24" t="n">
        <v>12097443323962.46</v>
      </c>
      <c r="AQ24" t="n">
        <v>13778463657108.02</v>
      </c>
      <c r="AR24" t="n">
        <v>14196394786269.17</v>
      </c>
      <c r="AS24" t="n">
        <v>14014959992227.7</v>
      </c>
      <c r="AT24" t="n">
        <v>15024564666942.06</v>
      </c>
      <c r="AU24" t="n">
        <v>14456303676701.05</v>
      </c>
      <c r="AV24" t="n">
        <v>15085006203329.52</v>
      </c>
      <c r="AW24" t="n">
        <v>15443266457988.17</v>
      </c>
      <c r="AX24" t="n">
        <v>14904751478546.4</v>
      </c>
      <c r="AY24" t="n">
        <v>16516052870942.84</v>
      </c>
      <c r="AZ24" t="n">
        <v>15166205557881.35</v>
      </c>
      <c r="BA24" t="n">
        <v>15881467691455.07</v>
      </c>
      <c r="BB24" t="n">
        <v>15830492238372.68</v>
      </c>
      <c r="BC24" t="n">
        <v>17100586806353.39</v>
      </c>
      <c r="BD24" t="n">
        <v>17965394202742.64</v>
      </c>
      <c r="BE24" t="n">
        <v>18168676981801.68</v>
      </c>
      <c r="BF24" t="n">
        <v>17955370387848.3</v>
      </c>
      <c r="BG24" t="n">
        <v>18011967505996.72</v>
      </c>
      <c r="BH24" t="n">
        <v>17663900725563.6</v>
      </c>
      <c r="BI24" t="n">
        <v>18395433712477.93</v>
      </c>
      <c r="BJ24" t="n">
        <v>20767869740884.43</v>
      </c>
      <c r="BK24" t="n">
        <v>20723687875906.39</v>
      </c>
      <c r="BL24" t="n">
        <v>20778137312496.46</v>
      </c>
      <c r="BM24" t="n">
        <v>20424899890297.57</v>
      </c>
      <c r="BN24" t="n">
        <v>19217668983029.25</v>
      </c>
      <c r="BO24" t="n">
        <v>17831366383061.94</v>
      </c>
      <c r="BP24" t="n">
        <v>18880632914632.87</v>
      </c>
      <c r="BQ24" t="n">
        <v>20609944616265.21</v>
      </c>
      <c r="BR24" t="n">
        <v>20972895053668.05</v>
      </c>
      <c r="BS24" t="n">
        <v>20146308085824.26</v>
      </c>
      <c r="BT24" t="n">
        <v>21305203277277.32</v>
      </c>
    </row>
    <row r="25">
      <c r="A25" t="inlineStr">
        <is>
          <t>sym_WithEgestion_asPP</t>
        </is>
      </c>
      <c r="B25" t="inlineStr">
        <is>
          <t>ok</t>
        </is>
      </c>
      <c r="C25" t="n">
        <v>268017352.757</v>
      </c>
      <c r="D25" t="n">
        <v>280726070.825</v>
      </c>
      <c r="E25" t="n">
        <v>312782218.539</v>
      </c>
      <c r="F25" t="n">
        <v>291202152.903</v>
      </c>
      <c r="G25" t="n">
        <v>305164390.462</v>
      </c>
      <c r="H25" t="n">
        <v>316485788.221</v>
      </c>
      <c r="I25" t="n">
        <v>337513346.735</v>
      </c>
      <c r="J25" t="n">
        <v>334247180.474</v>
      </c>
      <c r="K25" t="n">
        <v>346984010.729</v>
      </c>
      <c r="L25" t="n">
        <v>359320504.374</v>
      </c>
      <c r="M25" t="n">
        <v>400619178.46</v>
      </c>
      <c r="N25" t="n">
        <v>416432513.551</v>
      </c>
      <c r="O25" t="n">
        <v>431144479.118</v>
      </c>
      <c r="P25" t="n">
        <v>434248785.49</v>
      </c>
      <c r="Q25" t="n">
        <v>465121572.971</v>
      </c>
      <c r="R25" t="n">
        <v>492127563.94</v>
      </c>
      <c r="S25" t="n">
        <v>519897004.016</v>
      </c>
      <c r="T25" t="n">
        <v>506390988.393</v>
      </c>
      <c r="U25" t="n">
        <v>569353071.059</v>
      </c>
      <c r="V25" t="n">
        <v>603781920.5599999</v>
      </c>
      <c r="W25" t="n">
        <v>575614426.364</v>
      </c>
      <c r="X25" t="n">
        <v>633133142.681</v>
      </c>
      <c r="Y25" t="n">
        <v>672666513.853</v>
      </c>
      <c r="Z25" t="n">
        <v>672661857.3559999</v>
      </c>
      <c r="AA25" t="n">
        <v>752095574.25</v>
      </c>
      <c r="AB25" t="n">
        <v>763342621.507</v>
      </c>
      <c r="AC25" t="n">
        <v>818141774.659</v>
      </c>
      <c r="AD25" t="n">
        <v>866932234.645</v>
      </c>
      <c r="AE25" t="n">
        <v>920241983.309</v>
      </c>
      <c r="AF25" t="n">
        <v>939240013.623</v>
      </c>
      <c r="AG25" t="n">
        <v>931581376.0599999</v>
      </c>
      <c r="AH25" t="n">
        <v>967716656.0829999</v>
      </c>
      <c r="AI25" t="n">
        <v>993596854.293</v>
      </c>
      <c r="AJ25" t="n">
        <v>1026187097.264</v>
      </c>
      <c r="AK25" t="n">
        <v>1073734470.634</v>
      </c>
      <c r="AL25" t="n">
        <v>1050759239.209</v>
      </c>
      <c r="AM25" t="n">
        <v>1117697335.604</v>
      </c>
      <c r="AN25" t="n">
        <v>1201302445.611</v>
      </c>
      <c r="AO25" t="n">
        <v>1154425828.023</v>
      </c>
      <c r="AP25" t="n">
        <v>1240342061.933</v>
      </c>
      <c r="AQ25" t="n">
        <v>1207522744.274</v>
      </c>
      <c r="AR25" t="n">
        <v>1309881225.68</v>
      </c>
      <c r="AS25" t="n">
        <v>1373842950.009</v>
      </c>
      <c r="AT25" t="n">
        <v>1492811435.509</v>
      </c>
      <c r="AU25" t="n">
        <v>1427670980.888</v>
      </c>
      <c r="AV25" t="n">
        <v>1480758836.079</v>
      </c>
      <c r="AW25" t="n">
        <v>1497271344.231</v>
      </c>
      <c r="AX25" t="n">
        <v>1518527167.229</v>
      </c>
      <c r="AY25" t="n">
        <v>1646037468.85</v>
      </c>
      <c r="AZ25" t="n">
        <v>1583538898.376</v>
      </c>
      <c r="BA25" t="n">
        <v>1693280354.914</v>
      </c>
      <c r="BB25" t="n">
        <v>1610220355.273</v>
      </c>
      <c r="BC25" t="n">
        <v>1757006093.843</v>
      </c>
      <c r="BD25" t="n">
        <v>1791034257.267</v>
      </c>
      <c r="BE25" t="n">
        <v>1844628271.895</v>
      </c>
      <c r="BF25" t="n">
        <v>1740162586.973</v>
      </c>
      <c r="BG25" t="n">
        <v>1796010723.315</v>
      </c>
      <c r="BH25" t="n">
        <v>1869712272.409</v>
      </c>
      <c r="BI25" t="n">
        <v>1771694640.031</v>
      </c>
      <c r="BJ25" t="n">
        <v>1872490373.853</v>
      </c>
      <c r="BK25" t="n">
        <v>1835592150.97</v>
      </c>
      <c r="BL25" t="n">
        <v>1862652262.901</v>
      </c>
      <c r="BM25" t="n">
        <v>1855962097.292</v>
      </c>
      <c r="BN25" t="n">
        <v>1719704276.334</v>
      </c>
      <c r="BO25" t="n">
        <v>1823488343.915</v>
      </c>
      <c r="BP25" t="n">
        <v>1859928850.562</v>
      </c>
      <c r="BQ25" t="n">
        <v>1943936140.877</v>
      </c>
      <c r="BR25" t="n">
        <v>1962093466.25</v>
      </c>
      <c r="BS25" t="n">
        <v>1851257529.288</v>
      </c>
      <c r="BT25" t="n">
        <v>2010374539.011</v>
      </c>
    </row>
    <row r="26">
      <c r="A26" s="16" t="inlineStr">
        <is>
          <t>sym_WithEgestion_asDC</t>
        </is>
      </c>
      <c r="B26" s="17" t="inlineStr">
        <is>
          <t>DIVERGED - negative SPPR in a source-model group</t>
        </is>
      </c>
      <c r="C26" t="n">
        <v>3.775033371675641e+23</v>
      </c>
      <c r="D26" t="n">
        <v>5.134830057608586e+23</v>
      </c>
      <c r="E26" t="n">
        <v>6.262451569624344e+23</v>
      </c>
      <c r="F26" t="n">
        <v>4.603545545943196e+23</v>
      </c>
      <c r="G26" t="n">
        <v>-2.69927583252197e+25</v>
      </c>
      <c r="H26" t="n">
        <v>-1.56227744969527e+26</v>
      </c>
      <c r="I26" t="n">
        <v>-2.050211788430307e+26</v>
      </c>
      <c r="J26" t="n">
        <v>-5.03779807916598e+25</v>
      </c>
      <c r="K26" t="n">
        <v>-4.891700644834277e+25</v>
      </c>
      <c r="L26" t="n">
        <v>-1.210362298709159e+26</v>
      </c>
      <c r="M26" t="n">
        <v>-1.347173813460565e+26</v>
      </c>
      <c r="N26" t="n">
        <v>-1.495745383185958e+26</v>
      </c>
      <c r="O26" t="n">
        <v>-9.687630310718994e+25</v>
      </c>
      <c r="P26" t="n">
        <v>-6.730525689748653e+25</v>
      </c>
      <c r="Q26" t="n">
        <v>-1.322594794244677e+26</v>
      </c>
      <c r="R26" t="n">
        <v>-6.238680748908367e+25</v>
      </c>
      <c r="S26" t="n">
        <v>-1.354796069589018e+26</v>
      </c>
      <c r="T26" t="n">
        <v>-7.561728583693514e+25</v>
      </c>
      <c r="U26" t="n">
        <v>-2.585121423892798e+26</v>
      </c>
      <c r="V26" t="n">
        <v>-3.491550293952308e+26</v>
      </c>
      <c r="W26" t="n">
        <v>-2.658983337587922e+25</v>
      </c>
      <c r="X26" t="n">
        <v>-1.174008868892433e+26</v>
      </c>
      <c r="Y26" t="n">
        <v>-4.690939385721088e+25</v>
      </c>
      <c r="Z26" t="n">
        <v>-9.906852826460769e+24</v>
      </c>
      <c r="AA26" t="n">
        <v>-1.82108659190705e+25</v>
      </c>
      <c r="AB26" t="n">
        <v>-2.876937464668952e+25</v>
      </c>
      <c r="AC26" t="n">
        <v>-1.32927459795314e+25</v>
      </c>
      <c r="AD26" t="n">
        <v>-3.657478331102616e+25</v>
      </c>
      <c r="AE26" t="n">
        <v>-4.550767153830943e+25</v>
      </c>
      <c r="AF26" t="n">
        <v>-2.054494711103026e+25</v>
      </c>
      <c r="AG26" t="n">
        <v>-1.713923297977675e+25</v>
      </c>
      <c r="AH26" t="n">
        <v>-5.329401016186133e+25</v>
      </c>
      <c r="AI26" t="n">
        <v>-6.414824337221613e+25</v>
      </c>
      <c r="AJ26" t="n">
        <v>-1.153924959569295e+26</v>
      </c>
      <c r="AK26" t="n">
        <v>-3.12796891444802e+26</v>
      </c>
      <c r="AL26" t="n">
        <v>-3.239042983612562e+26</v>
      </c>
      <c r="AM26" t="n">
        <v>-4.282934675655305e+26</v>
      </c>
      <c r="AN26" t="n">
        <v>-4.36978857674073e+26</v>
      </c>
      <c r="AO26" t="n">
        <v>-5.50771418862371e+26</v>
      </c>
      <c r="AP26" t="n">
        <v>-4.485659646670113e+26</v>
      </c>
      <c r="AQ26" t="n">
        <v>-2.103445132718197e+26</v>
      </c>
      <c r="AR26" t="n">
        <v>-2.08977860945139e+26</v>
      </c>
      <c r="AS26" t="n">
        <v>-2.659363357424279e+26</v>
      </c>
      <c r="AT26" t="n">
        <v>-4.626417863273124e+26</v>
      </c>
      <c r="AU26" t="n">
        <v>-1.464329895783291e+26</v>
      </c>
      <c r="AV26" t="n">
        <v>-2.367939128743973e+26</v>
      </c>
      <c r="AW26" t="n">
        <v>-2.330054342631852e+26</v>
      </c>
      <c r="AX26" t="n">
        <v>-2.017171249912697e+26</v>
      </c>
      <c r="AY26" t="n">
        <v>-4.492388403347315e+26</v>
      </c>
      <c r="AZ26" t="n">
        <v>-3.206582010425615e+26</v>
      </c>
      <c r="BA26" t="n">
        <v>-3.974109177657176e+26</v>
      </c>
      <c r="BB26" t="n">
        <v>-2.69676671877529e+26</v>
      </c>
      <c r="BC26" t="n">
        <v>-4.274323623880893e+26</v>
      </c>
      <c r="BD26" t="n">
        <v>-3.132167351804086e+26</v>
      </c>
      <c r="BE26" t="n">
        <v>-3.856258013291391e+26</v>
      </c>
      <c r="BF26" t="n">
        <v>-6.337678060023772e+26</v>
      </c>
      <c r="BG26" t="n">
        <v>-2.906196580589016e+26</v>
      </c>
      <c r="BH26" t="n">
        <v>-7.887577111410761e+26</v>
      </c>
      <c r="BI26" t="n">
        <v>-2.76782953591532e+26</v>
      </c>
      <c r="BJ26" t="n">
        <v>-1.550452605524443e+26</v>
      </c>
      <c r="BK26" t="n">
        <v>-1.416340207874062e+26</v>
      </c>
      <c r="BL26" t="n">
        <v>-1.394821694204205e+26</v>
      </c>
      <c r="BM26" t="n">
        <v>-1.4015329951277e+26</v>
      </c>
      <c r="BN26" t="n">
        <v>-5.133708679890515e+25</v>
      </c>
      <c r="BO26" t="n">
        <v>-1.389757650210522e+26</v>
      </c>
      <c r="BP26" t="n">
        <v>-2.656952109543815e+26</v>
      </c>
      <c r="BQ26" t="n">
        <v>-2.467002774564183e+26</v>
      </c>
      <c r="BR26" t="n">
        <v>-2.166111676432129e+26</v>
      </c>
      <c r="BS26" t="n">
        <v>-2.49876179147422e+26</v>
      </c>
      <c r="BT26" t="n">
        <v>-3.087670573841537e+26</v>
      </c>
    </row>
    <row r="27">
      <c r="A27" t="inlineStr">
        <is>
          <t>MC_new_GE</t>
        </is>
      </c>
      <c r="B27" t="inlineStr">
        <is>
          <t>ok</t>
        </is>
      </c>
      <c r="C27" t="n">
        <v>1536263124.745</v>
      </c>
      <c r="D27" t="n">
        <v>1668117013.225</v>
      </c>
      <c r="E27" t="n">
        <v>1890106950.562</v>
      </c>
      <c r="F27" t="n">
        <v>1701724619.932</v>
      </c>
      <c r="G27" t="n">
        <v>1769129155.071</v>
      </c>
      <c r="H27" t="n">
        <v>1812757135.318</v>
      </c>
      <c r="I27" t="n">
        <v>1930473499.642</v>
      </c>
      <c r="J27" t="n">
        <v>1968446631.161</v>
      </c>
      <c r="K27" t="n">
        <v>2043005815.302</v>
      </c>
      <c r="L27" t="n">
        <v>2127403163.535</v>
      </c>
      <c r="M27" t="n">
        <v>2432019440.53</v>
      </c>
      <c r="N27" t="n">
        <v>2475845141.181</v>
      </c>
      <c r="O27" t="n">
        <v>2573923682.464</v>
      </c>
      <c r="P27" t="n">
        <v>2565770143.411</v>
      </c>
      <c r="Q27" t="n">
        <v>2685602930.238</v>
      </c>
      <c r="R27" t="n">
        <v>2912699320.492</v>
      </c>
      <c r="S27" t="n">
        <v>3060737035.712</v>
      </c>
      <c r="T27" t="n">
        <v>2875513809.209</v>
      </c>
      <c r="U27" t="n">
        <v>3285624842.516</v>
      </c>
      <c r="V27" t="n">
        <v>3512040643.145</v>
      </c>
      <c r="W27" t="n">
        <v>3340536679.485</v>
      </c>
      <c r="X27" t="n">
        <v>3644653774.2</v>
      </c>
      <c r="Y27" t="n">
        <v>3892640429.179</v>
      </c>
      <c r="Z27" t="n">
        <v>3869309434.696</v>
      </c>
      <c r="AA27" t="n">
        <v>4406236385.784</v>
      </c>
      <c r="AB27" t="n">
        <v>4390982662.405</v>
      </c>
      <c r="AC27" t="n">
        <v>4650321855.392</v>
      </c>
      <c r="AD27" t="n">
        <v>4837051812.394</v>
      </c>
      <c r="AE27" t="n">
        <v>5120101595.555</v>
      </c>
      <c r="AF27" t="n">
        <v>5181951235.785</v>
      </c>
      <c r="AG27" t="n">
        <v>5155773579.104</v>
      </c>
      <c r="AH27" t="n">
        <v>5362577617.448</v>
      </c>
      <c r="AI27" t="n">
        <v>5490979086.09</v>
      </c>
      <c r="AJ27" t="n">
        <v>5682531537.777</v>
      </c>
      <c r="AK27" t="n">
        <v>5928034009.512</v>
      </c>
      <c r="AL27" t="n">
        <v>5781512572.57</v>
      </c>
      <c r="AM27" t="n">
        <v>6150834962.984</v>
      </c>
      <c r="AN27" t="n">
        <v>6668284663.175</v>
      </c>
      <c r="AO27" t="n">
        <v>6396572474.363</v>
      </c>
      <c r="AP27" t="n">
        <v>6883550321.076</v>
      </c>
      <c r="AQ27" t="n">
        <v>6572055752.872</v>
      </c>
      <c r="AR27" t="n">
        <v>7135175159.372</v>
      </c>
      <c r="AS27" t="n">
        <v>7539259856.702</v>
      </c>
      <c r="AT27" t="n">
        <v>8226776864.807</v>
      </c>
      <c r="AU27" t="n">
        <v>7898816304.911</v>
      </c>
      <c r="AV27" t="n">
        <v>8183099319.37</v>
      </c>
      <c r="AW27" t="n">
        <v>8256808314.521</v>
      </c>
      <c r="AX27" t="n">
        <v>8427445971.411</v>
      </c>
      <c r="AY27" t="n">
        <v>9143349946.055</v>
      </c>
      <c r="AZ27" t="n">
        <v>8825586196.297001</v>
      </c>
      <c r="BA27" t="n">
        <v>9442161684.443001</v>
      </c>
      <c r="BB27" t="n">
        <v>8891304372.487</v>
      </c>
      <c r="BC27" t="n">
        <v>9763410436.683001</v>
      </c>
      <c r="BD27" t="n">
        <v>9891818497.41</v>
      </c>
      <c r="BE27" t="n">
        <v>10212574535.889</v>
      </c>
      <c r="BF27" t="n">
        <v>9611122596.665001</v>
      </c>
      <c r="BG27" t="n">
        <v>9849641849.612</v>
      </c>
      <c r="BH27" t="n">
        <v>10311607681.651</v>
      </c>
      <c r="BI27" t="n">
        <v>9666989951.936001</v>
      </c>
      <c r="BJ27" t="n">
        <v>10138087753.715</v>
      </c>
      <c r="BK27" t="n">
        <v>9918891642.879</v>
      </c>
      <c r="BL27" t="n">
        <v>10088118971.847</v>
      </c>
      <c r="BM27" t="n">
        <v>10051303120.485</v>
      </c>
      <c r="BN27" t="n">
        <v>9275507669.101999</v>
      </c>
      <c r="BO27" t="n">
        <v>9958331138.504999</v>
      </c>
      <c r="BP27" t="n">
        <v>10166800711.469</v>
      </c>
      <c r="BQ27" t="n">
        <v>10624568682.575</v>
      </c>
      <c r="BR27" t="n">
        <v>10710352047.826</v>
      </c>
      <c r="BS27" t="n">
        <v>10117267879.735</v>
      </c>
      <c r="BT27" t="n">
        <v>10977673254.797</v>
      </c>
    </row>
    <row r="28">
      <c r="A28" t="inlineStr">
        <is>
          <t>MC_new_TE_EEfix</t>
        </is>
      </c>
      <c r="B28" t="inlineStr">
        <is>
          <t>ok</t>
        </is>
      </c>
      <c r="C28" t="n">
        <v>2073327525.744</v>
      </c>
      <c r="D28" t="n">
        <v>2347239849.573</v>
      </c>
      <c r="E28" t="n">
        <v>2678580119.788</v>
      </c>
      <c r="F28" t="n">
        <v>2321087067.997</v>
      </c>
      <c r="G28" t="n">
        <v>2390867024.805</v>
      </c>
      <c r="H28" t="n">
        <v>2410957925.247</v>
      </c>
      <c r="I28" t="n">
        <v>2559708890.198</v>
      </c>
      <c r="J28" t="n">
        <v>2705351907.181</v>
      </c>
      <c r="K28" t="n">
        <v>2796490661.744</v>
      </c>
      <c r="L28" t="n">
        <v>2915120768.465</v>
      </c>
      <c r="M28" t="n">
        <v>3420476709.574</v>
      </c>
      <c r="N28" t="n">
        <v>3410038072.029</v>
      </c>
      <c r="O28" t="n">
        <v>3581036144.883</v>
      </c>
      <c r="P28" t="n">
        <v>3527756027.794</v>
      </c>
      <c r="Q28" t="n">
        <v>3622174032.904</v>
      </c>
      <c r="R28" t="n">
        <v>3997683904.56</v>
      </c>
      <c r="S28" t="n">
        <v>4176138141.908</v>
      </c>
      <c r="T28" t="n">
        <v>3801866089.371</v>
      </c>
      <c r="U28" t="n">
        <v>4379065840.909</v>
      </c>
      <c r="V28" t="n">
        <v>4704753262.138</v>
      </c>
      <c r="W28" t="n">
        <v>4504109190.592</v>
      </c>
      <c r="X28" t="n">
        <v>4856878210.414</v>
      </c>
      <c r="Y28" t="n">
        <v>5241618767.928</v>
      </c>
      <c r="Z28" t="n">
        <v>5253839753.418</v>
      </c>
      <c r="AA28" t="n">
        <v>6046719986.319</v>
      </c>
      <c r="AB28" t="n">
        <v>5911428482.374</v>
      </c>
      <c r="AC28" t="n">
        <v>6163645789.37</v>
      </c>
      <c r="AD28" t="n">
        <v>6211717209.419</v>
      </c>
      <c r="AE28" t="n">
        <v>6549903242.51</v>
      </c>
      <c r="AF28" t="n">
        <v>6577564878.492</v>
      </c>
      <c r="AG28" t="n">
        <v>6570827892.238</v>
      </c>
      <c r="AH28" t="n">
        <v>6815573272.082</v>
      </c>
      <c r="AI28" t="n">
        <v>6986420115.523</v>
      </c>
      <c r="AJ28" t="n">
        <v>7168693845.934</v>
      </c>
      <c r="AK28" t="n">
        <v>7389054721.381</v>
      </c>
      <c r="AL28" t="n">
        <v>7149986256.64</v>
      </c>
      <c r="AM28" t="n">
        <v>7619925077.259</v>
      </c>
      <c r="AN28" t="n">
        <v>8319388977.507</v>
      </c>
      <c r="AO28" t="n">
        <v>7948864207.122</v>
      </c>
      <c r="AP28" t="n">
        <v>8610417850.577999</v>
      </c>
      <c r="AQ28" t="n">
        <v>8043671936.553</v>
      </c>
      <c r="AR28" t="n">
        <v>8773307528.645</v>
      </c>
      <c r="AS28" t="n">
        <v>9388088348.878</v>
      </c>
      <c r="AT28" t="n">
        <v>10311933285.575</v>
      </c>
      <c r="AU28" t="n">
        <v>10014572592.621</v>
      </c>
      <c r="AV28" t="n">
        <v>10333041950.128</v>
      </c>
      <c r="AW28" t="n">
        <v>10383702075.17</v>
      </c>
      <c r="AX28" t="n">
        <v>10693149519.97</v>
      </c>
      <c r="AY28" t="n">
        <v>11572403762.129</v>
      </c>
      <c r="AZ28" t="n">
        <v>11252069865.923</v>
      </c>
      <c r="BA28" t="n">
        <v>12003408894.357</v>
      </c>
      <c r="BB28" t="n">
        <v>11107021430.554</v>
      </c>
      <c r="BC28" t="n">
        <v>12320976594.16</v>
      </c>
      <c r="BD28" t="n">
        <v>12425163047.314</v>
      </c>
      <c r="BE28" t="n">
        <v>12859971700.648</v>
      </c>
      <c r="BF28" t="n">
        <v>11915552319.838</v>
      </c>
      <c r="BG28" t="n">
        <v>12254270350.199</v>
      </c>
      <c r="BH28" t="n">
        <v>12744800358.381</v>
      </c>
      <c r="BI28" t="n">
        <v>11978100107.877</v>
      </c>
      <c r="BJ28" t="n">
        <v>12423630099.909</v>
      </c>
      <c r="BK28" t="n">
        <v>12104681272.898</v>
      </c>
      <c r="BL28" t="n">
        <v>12394488101.304</v>
      </c>
      <c r="BM28" t="n">
        <v>12287523252.607</v>
      </c>
      <c r="BN28" t="n">
        <v>11344075923.078</v>
      </c>
      <c r="BO28" t="n">
        <v>12262970787.919</v>
      </c>
      <c r="BP28" t="n">
        <v>12448247261.324</v>
      </c>
      <c r="BQ28" t="n">
        <v>12990467729.873</v>
      </c>
      <c r="BR28" t="n">
        <v>13071494615.342</v>
      </c>
      <c r="BS28" t="n">
        <v>12298491932.875</v>
      </c>
      <c r="BT28" t="n">
        <v>13365492609.183</v>
      </c>
    </row>
    <row r="29">
      <c r="A29" t="inlineStr">
        <is>
          <t>SPPR_1995_TEmean_catch</t>
        </is>
      </c>
      <c r="B29" t="inlineStr">
        <is>
          <t>ok</t>
        </is>
      </c>
      <c r="C29" t="n">
        <v>70252406.096</v>
      </c>
      <c r="D29" t="n">
        <v>69203155.822</v>
      </c>
      <c r="E29" t="n">
        <v>75212013.513</v>
      </c>
      <c r="F29" t="n">
        <v>74004908.737</v>
      </c>
      <c r="G29" t="n">
        <v>79525623.59199999</v>
      </c>
      <c r="H29" t="n">
        <v>86695400.985</v>
      </c>
      <c r="I29" t="n">
        <v>93332750.257</v>
      </c>
      <c r="J29" t="n">
        <v>85642189.02599999</v>
      </c>
      <c r="K29" t="n">
        <v>89142585.817</v>
      </c>
      <c r="L29" t="n">
        <v>92896205.272</v>
      </c>
      <c r="M29" t="n">
        <v>98561339.771</v>
      </c>
      <c r="N29" t="n">
        <v>106836386.105</v>
      </c>
      <c r="O29" t="n">
        <v>109097776.346</v>
      </c>
      <c r="P29" t="n">
        <v>110662446.968</v>
      </c>
      <c r="Q29" t="n">
        <v>124220345.49</v>
      </c>
      <c r="R29" t="n">
        <v>124469709.207</v>
      </c>
      <c r="S29" t="n">
        <v>134507131.699</v>
      </c>
      <c r="T29" t="n">
        <v>136870715.557</v>
      </c>
      <c r="U29" t="n">
        <v>154733044.563</v>
      </c>
      <c r="V29" t="n">
        <v>163656520.482</v>
      </c>
      <c r="W29" t="n">
        <v>148143701.672</v>
      </c>
      <c r="X29" t="n">
        <v>166909818.076</v>
      </c>
      <c r="Y29" t="n">
        <v>173031911.896</v>
      </c>
      <c r="Z29" t="n">
        <v>172930904.749</v>
      </c>
      <c r="AA29" t="n">
        <v>187558560.535</v>
      </c>
      <c r="AB29" t="n">
        <v>197077418.721</v>
      </c>
      <c r="AC29" t="n">
        <v>213309290.484</v>
      </c>
      <c r="AD29" t="n">
        <v>235457631.974</v>
      </c>
      <c r="AE29" t="n">
        <v>251058279.333</v>
      </c>
      <c r="AF29" t="n">
        <v>258947861.578</v>
      </c>
      <c r="AG29" t="n">
        <v>255344724.862</v>
      </c>
      <c r="AH29" t="n">
        <v>267140547.775</v>
      </c>
      <c r="AI29" t="n">
        <v>277095186.058</v>
      </c>
      <c r="AJ29" t="n">
        <v>285396852.734</v>
      </c>
      <c r="AK29" t="n">
        <v>305965032.463</v>
      </c>
      <c r="AL29" t="n">
        <v>303023350.025</v>
      </c>
      <c r="AM29" t="n">
        <v>325325290.225</v>
      </c>
      <c r="AN29" t="n">
        <v>344513197.465</v>
      </c>
      <c r="AO29" t="n">
        <v>334874219.625</v>
      </c>
      <c r="AP29" t="n">
        <v>357552252.99</v>
      </c>
      <c r="AQ29" t="n">
        <v>348356767.46</v>
      </c>
      <c r="AR29" t="n">
        <v>379850926.487</v>
      </c>
      <c r="AS29" t="n">
        <v>395603363.259</v>
      </c>
      <c r="AT29" t="n">
        <v>432393420.671</v>
      </c>
      <c r="AU29" t="n">
        <v>404657991.512</v>
      </c>
      <c r="AV29" t="n">
        <v>420790891.384</v>
      </c>
      <c r="AW29" t="n">
        <v>427677676.611</v>
      </c>
      <c r="AX29" t="n">
        <v>429355197.219</v>
      </c>
      <c r="AY29" t="n">
        <v>470477428.063</v>
      </c>
      <c r="AZ29" t="n">
        <v>447589282.803</v>
      </c>
      <c r="BA29" t="n">
        <v>482791251.941</v>
      </c>
      <c r="BB29" t="n">
        <v>460514981.414</v>
      </c>
      <c r="BC29" t="n">
        <v>503178912.98</v>
      </c>
      <c r="BD29" t="n">
        <v>510057065.329</v>
      </c>
      <c r="BE29" t="n">
        <v>526311061.581</v>
      </c>
      <c r="BF29" t="n">
        <v>503507366.841</v>
      </c>
      <c r="BG29" t="n">
        <v>521001852.721</v>
      </c>
      <c r="BH29" t="n">
        <v>549261361.502</v>
      </c>
      <c r="BI29" t="n">
        <v>516358060.964</v>
      </c>
      <c r="BJ29" t="n">
        <v>544853140.344</v>
      </c>
      <c r="BK29" t="n">
        <v>531345420.532</v>
      </c>
      <c r="BL29" t="n">
        <v>540070320.24</v>
      </c>
      <c r="BM29" t="n">
        <v>537248111.348</v>
      </c>
      <c r="BN29" t="n">
        <v>500941672.963</v>
      </c>
      <c r="BO29" t="n">
        <v>530078232.197</v>
      </c>
      <c r="BP29" t="n">
        <v>545015236.8430001</v>
      </c>
      <c r="BQ29" t="n">
        <v>567412518.934</v>
      </c>
      <c r="BR29" t="n">
        <v>574202469.7029999</v>
      </c>
      <c r="BS29" t="n">
        <v>541662508.226</v>
      </c>
      <c r="BT29" t="n">
        <v>588761960.8559999</v>
      </c>
    </row>
    <row r="30">
      <c r="A30" t="inlineStr">
        <is>
          <t>Ulanowicz_globalTEmean_catch</t>
        </is>
      </c>
      <c r="B30" t="inlineStr">
        <is>
          <t>ok</t>
        </is>
      </c>
      <c r="C30" t="n">
        <v>141647091.518</v>
      </c>
      <c r="D30" t="n">
        <v>145977124.781</v>
      </c>
      <c r="E30" t="n">
        <v>161471566.982</v>
      </c>
      <c r="F30" t="n">
        <v>152695398.56</v>
      </c>
      <c r="G30" t="n">
        <v>163050724.058</v>
      </c>
      <c r="H30" t="n">
        <v>173059279.164</v>
      </c>
      <c r="I30" t="n">
        <v>186154371.83</v>
      </c>
      <c r="J30" t="n">
        <v>178255538.296</v>
      </c>
      <c r="K30" t="n">
        <v>185265855.213</v>
      </c>
      <c r="L30" t="n">
        <v>192896896.175</v>
      </c>
      <c r="M30" t="n">
        <v>210343813.998</v>
      </c>
      <c r="N30" t="n">
        <v>222673829.617</v>
      </c>
      <c r="O30" t="n">
        <v>229544385.557</v>
      </c>
      <c r="P30" t="n">
        <v>230320248.089</v>
      </c>
      <c r="Q30" t="n">
        <v>250358805.891</v>
      </c>
      <c r="R30" t="n">
        <v>258417618.071</v>
      </c>
      <c r="S30" t="n">
        <v>276181989.226</v>
      </c>
      <c r="T30" t="n">
        <v>272947533.074</v>
      </c>
      <c r="U30" t="n">
        <v>310321124.101</v>
      </c>
      <c r="V30" t="n">
        <v>329906199.031</v>
      </c>
      <c r="W30" t="n">
        <v>301501768.058</v>
      </c>
      <c r="X30" t="n">
        <v>334610881.032</v>
      </c>
      <c r="Y30" t="n">
        <v>349544320.814</v>
      </c>
      <c r="Z30" t="n">
        <v>349944399.248</v>
      </c>
      <c r="AA30" t="n">
        <v>384802092.748</v>
      </c>
      <c r="AB30" t="n">
        <v>395212817.335</v>
      </c>
      <c r="AC30" t="n">
        <v>424819642.382</v>
      </c>
      <c r="AD30" t="n">
        <v>456847908.682</v>
      </c>
      <c r="AE30" t="n">
        <v>486538209.26</v>
      </c>
      <c r="AF30" t="n">
        <v>498506156.935</v>
      </c>
      <c r="AG30" t="n">
        <v>493473615.257</v>
      </c>
      <c r="AH30" t="n">
        <v>515202092.312</v>
      </c>
      <c r="AI30" t="n">
        <v>531775839.448</v>
      </c>
      <c r="AJ30" t="n">
        <v>548341161.835</v>
      </c>
      <c r="AK30" t="n">
        <v>586001999.966</v>
      </c>
      <c r="AL30" t="n">
        <v>577900835.598</v>
      </c>
      <c r="AM30" t="n">
        <v>616838823.012</v>
      </c>
      <c r="AN30" t="n">
        <v>660080590.155</v>
      </c>
      <c r="AO30" t="n">
        <v>641181985.276</v>
      </c>
      <c r="AP30" t="n">
        <v>687045106.735</v>
      </c>
      <c r="AQ30" t="n">
        <v>657456792.831</v>
      </c>
      <c r="AR30" t="n">
        <v>716148512.6109999</v>
      </c>
      <c r="AS30" t="n">
        <v>748819273.9680001</v>
      </c>
      <c r="AT30" t="n">
        <v>822722260.2869999</v>
      </c>
      <c r="AU30" t="n">
        <v>779596552.066</v>
      </c>
      <c r="AV30" t="n">
        <v>807665101.308</v>
      </c>
      <c r="AW30" t="n">
        <v>818084349.696</v>
      </c>
      <c r="AX30" t="n">
        <v>826277736.941</v>
      </c>
      <c r="AY30" t="n">
        <v>905191696.976</v>
      </c>
      <c r="AZ30" t="n">
        <v>865979264.656</v>
      </c>
      <c r="BA30" t="n">
        <v>930784680.0190001</v>
      </c>
      <c r="BB30" t="n">
        <v>875765474.734</v>
      </c>
      <c r="BC30" t="n">
        <v>964338933.507</v>
      </c>
      <c r="BD30" t="n">
        <v>973063583.862</v>
      </c>
      <c r="BE30" t="n">
        <v>1003658825.406</v>
      </c>
      <c r="BF30" t="n">
        <v>955751627.28</v>
      </c>
      <c r="BG30" t="n">
        <v>984147060.6950001</v>
      </c>
      <c r="BH30" t="n">
        <v>1042235083.11</v>
      </c>
      <c r="BI30" t="n">
        <v>973787111.9809999</v>
      </c>
      <c r="BJ30" t="n">
        <v>1025418478.183</v>
      </c>
      <c r="BK30" t="n">
        <v>1000383819.733</v>
      </c>
      <c r="BL30" t="n">
        <v>1017308742.536</v>
      </c>
      <c r="BM30" t="n">
        <v>1012321623.584</v>
      </c>
      <c r="BN30" t="n">
        <v>938033896.8789999</v>
      </c>
      <c r="BO30" t="n">
        <v>1005469098.231</v>
      </c>
      <c r="BP30" t="n">
        <v>1033267029.248</v>
      </c>
      <c r="BQ30" t="n">
        <v>1077430641.67</v>
      </c>
      <c r="BR30" t="n">
        <v>1089225789.762</v>
      </c>
      <c r="BS30" t="n">
        <v>1028013085.676</v>
      </c>
      <c r="BT30" t="n">
        <v>1118801829.296</v>
      </c>
    </row>
    <row r="32">
      <c r="A32" t="inlineStr">
        <is>
          <t>Catch tonnage on a named group: 251,144,657 of 251,144,657 (100.0 %). Unresolved taxa contribute nothing to the model rows and everything to the simple row, so the two are not directly comparable until coverage is 100 %.</t>
        </is>
      </c>
    </row>
    <row r="33">
      <c r="A33" s="16" t="inlineStr">
        <is>
          <t>3 of 22 methods are flagged above. A flagged row is a property of this model under that method, not of the mapping; see model_health in the SPPR workbook.</t>
        </is>
      </c>
    </row>
    <row r="34">
      <c r="A34" t="inlineStr">
        <is>
          <t>Coverage by year, %:</t>
        </is>
      </c>
    </row>
    <row r="35">
      <c r="A35" t="inlineStr">
        <is>
          <t>catch on a named group, %</t>
        </is>
      </c>
      <c r="B35" t="inlineStr"/>
      <c r="C35" t="n">
        <v>100</v>
      </c>
      <c r="D35" t="n">
        <v>100</v>
      </c>
      <c r="E35" t="n">
        <v>100</v>
      </c>
      <c r="F35" t="n">
        <v>100</v>
      </c>
      <c r="G35" t="n">
        <v>100</v>
      </c>
      <c r="H35" t="n">
        <v>100</v>
      </c>
      <c r="I35" t="n">
        <v>100</v>
      </c>
      <c r="J35" t="n">
        <v>100</v>
      </c>
      <c r="K35" t="n">
        <v>100</v>
      </c>
      <c r="L35" t="n">
        <v>100</v>
      </c>
      <c r="M35" t="n">
        <v>100</v>
      </c>
      <c r="N35" t="n">
        <v>100</v>
      </c>
      <c r="O35" t="n">
        <v>100</v>
      </c>
      <c r="P35" t="n">
        <v>100</v>
      </c>
      <c r="Q35" t="n">
        <v>100</v>
      </c>
      <c r="R35" t="n">
        <v>100</v>
      </c>
      <c r="S35" t="n">
        <v>100</v>
      </c>
      <c r="T35" t="n">
        <v>100</v>
      </c>
      <c r="U35" t="n">
        <v>100</v>
      </c>
      <c r="V35" t="n">
        <v>100</v>
      </c>
      <c r="W35" t="n">
        <v>100</v>
      </c>
      <c r="X35" t="n">
        <v>100</v>
      </c>
      <c r="Y35" t="n">
        <v>100</v>
      </c>
      <c r="Z35" t="n">
        <v>100</v>
      </c>
      <c r="AA35" t="n">
        <v>100</v>
      </c>
      <c r="AB35" t="n">
        <v>100</v>
      </c>
      <c r="AC35" t="n">
        <v>100</v>
      </c>
      <c r="AD35" t="n">
        <v>100</v>
      </c>
      <c r="AE35" t="n">
        <v>100</v>
      </c>
      <c r="AF35" t="n">
        <v>100</v>
      </c>
      <c r="AG35" t="n">
        <v>100</v>
      </c>
      <c r="AH35" t="n">
        <v>100</v>
      </c>
      <c r="AI35" t="n">
        <v>100</v>
      </c>
      <c r="AJ35" t="n">
        <v>100</v>
      </c>
      <c r="AK35" t="n">
        <v>100</v>
      </c>
      <c r="AL35" t="n">
        <v>100</v>
      </c>
      <c r="AM35" t="n">
        <v>100</v>
      </c>
      <c r="AN35" t="n">
        <v>100</v>
      </c>
      <c r="AO35" t="n">
        <v>100</v>
      </c>
      <c r="AP35" t="n">
        <v>100</v>
      </c>
      <c r="AQ35" t="n">
        <v>100</v>
      </c>
      <c r="AR35" t="n">
        <v>100</v>
      </c>
      <c r="AS35" t="n">
        <v>100</v>
      </c>
      <c r="AT35" t="n">
        <v>100</v>
      </c>
      <c r="AU35" t="n">
        <v>100</v>
      </c>
      <c r="AV35" t="n">
        <v>100</v>
      </c>
      <c r="AW35" t="n">
        <v>100</v>
      </c>
      <c r="AX35" t="n">
        <v>100</v>
      </c>
      <c r="AY35" t="n">
        <v>100</v>
      </c>
      <c r="AZ35" t="n">
        <v>100</v>
      </c>
      <c r="BA35" t="n">
        <v>100</v>
      </c>
      <c r="BB35" t="n">
        <v>100</v>
      </c>
      <c r="BC35" t="n">
        <v>100</v>
      </c>
      <c r="BD35" t="n">
        <v>100</v>
      </c>
      <c r="BE35" t="n">
        <v>100</v>
      </c>
      <c r="BF35" t="n">
        <v>100</v>
      </c>
      <c r="BG35" t="n">
        <v>100</v>
      </c>
      <c r="BH35" t="n">
        <v>100</v>
      </c>
      <c r="BI35" t="n">
        <v>100</v>
      </c>
      <c r="BJ35" t="n">
        <v>100</v>
      </c>
      <c r="BK35" t="n">
        <v>100</v>
      </c>
      <c r="BL35" t="n">
        <v>100</v>
      </c>
      <c r="BM35" t="n">
        <v>100</v>
      </c>
      <c r="BN35" t="n">
        <v>100</v>
      </c>
      <c r="BO35" t="n">
        <v>100</v>
      </c>
      <c r="BP35" t="n">
        <v>100</v>
      </c>
      <c r="BQ35" t="n">
        <v>100</v>
      </c>
      <c r="BR35" t="n">
        <v>100</v>
      </c>
      <c r="BS35" t="n">
        <v>100</v>
      </c>
      <c r="BT35"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319"/>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40" customWidth="1" min="4" max="4"/>
    <col width="2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21" customWidth="1" min="18" max="18"/>
    <col width="21" customWidth="1" min="19" max="19"/>
    <col width="21" customWidth="1" min="20" max="20"/>
    <col width="21" customWidth="1" min="21" max="21"/>
    <col width="21" customWidth="1" min="22" max="22"/>
    <col width="21" customWidth="1" min="23" max="23"/>
    <col width="21" customWidth="1" min="24" max="24"/>
    <col width="21" customWidth="1" min="25" max="25"/>
    <col width="21" customWidth="1" min="26" max="26"/>
  </cols>
  <sheetData>
    <row r="1">
      <c r="A1" s="1" t="inlineStr">
        <is>
          <t>Specific PPR per taxon — LME_034, model 34_1_Bay_of_Bengal_(1978)</t>
        </is>
      </c>
    </row>
    <row r="2">
      <c r="A2" t="inlineStr">
        <is>
          <t>sppr_simple is the trophic-chain estimate (1/TE)^(TL-1) at TE=0.1, applied to the taxon's own trophic level and needing no model.</t>
        </is>
      </c>
    </row>
    <row r="3">
      <c r="A3" t="inlineStr">
        <is>
          <t>Internal sources: primary producers and detritus; excludes imports. Blank means unavailable, not zero. sppr_simple is an unpartitioned reference.</t>
        </is>
      </c>
    </row>
    <row r="4" ht="42" customHeight="1">
      <c r="A4" s="18" t="inlineStr">
        <is>
          <t>taxon</t>
        </is>
      </c>
      <c r="B4" s="18" t="inlineStr">
        <is>
          <t>trophic_level</t>
        </is>
      </c>
      <c r="C4" s="18" t="inlineStr">
        <is>
          <t>sppr_simple</t>
        </is>
      </c>
      <c r="D4" s="18" t="inlineStr">
        <is>
          <t>Ecopath group</t>
        </is>
      </c>
      <c r="E4" s="18" t="inlineStr">
        <is>
          <t>SPPR_1986</t>
        </is>
      </c>
      <c r="F4" s="18" t="inlineStr">
        <is>
          <t>SPPR_1995_TE0.1</t>
        </is>
      </c>
      <c r="G4" s="18" t="inlineStr">
        <is>
          <t>SPPR_1995_TEmean</t>
        </is>
      </c>
      <c r="H4" s="18" t="inlineStr">
        <is>
          <t>Ulanowicz_globalTEmean</t>
        </is>
      </c>
      <c r="I4" s="18" t="inlineStr">
        <is>
          <t>Ulanowicz_TE</t>
        </is>
      </c>
      <c r="J4" s="18" t="inlineStr">
        <is>
          <t>EwE_TE_noEE</t>
        </is>
      </c>
      <c r="K4" s="18" t="inlineStr">
        <is>
          <t>EwE_TE_EE</t>
        </is>
      </c>
      <c r="L4" s="18" t="inlineStr">
        <is>
          <t>SPPR_2015</t>
        </is>
      </c>
      <c r="M4" s="18" t="inlineStr">
        <is>
          <t>new_TE_noEEfix</t>
        </is>
      </c>
      <c r="N4" s="18" t="inlineStr">
        <is>
          <t>new_TE_EEfix</t>
        </is>
      </c>
      <c r="O4" s="18" t="inlineStr">
        <is>
          <t>new_GE</t>
        </is>
      </c>
      <c r="P4" s="18" t="inlineStr">
        <is>
          <t>new_WithEgestion</t>
        </is>
      </c>
      <c r="Q4" s="18" t="inlineStr">
        <is>
          <t>sym_TE_asPP</t>
        </is>
      </c>
      <c r="R4" s="18" t="inlineStr">
        <is>
          <t>sym_TE_asDC</t>
        </is>
      </c>
      <c r="S4" s="18" t="inlineStr">
        <is>
          <t>sym_GE_asPP</t>
        </is>
      </c>
      <c r="T4" s="18" t="inlineStr">
        <is>
          <t>sym_GE_asDC</t>
        </is>
      </c>
      <c r="U4" s="18" t="inlineStr">
        <is>
          <t>sym_WithEgestion_asPP</t>
        </is>
      </c>
      <c r="V4" s="18" t="inlineStr">
        <is>
          <t>sym_WithEgestion_asDC</t>
        </is>
      </c>
      <c r="W4" s="18" t="inlineStr">
        <is>
          <t>MC_new_GE</t>
        </is>
      </c>
      <c r="X4" s="18" t="inlineStr">
        <is>
          <t>MC_new_TE_EEfix</t>
        </is>
      </c>
      <c r="Y4" s="18" t="inlineStr">
        <is>
          <t>SPPR_1995_TEmean_catch</t>
        </is>
      </c>
      <c r="Z4" s="18" t="inlineStr">
        <is>
          <t>Ulanowicz_globalTEmean_catch</t>
        </is>
      </c>
    </row>
    <row r="5" ht="51" customHeight="1">
      <c r="A5" t="inlineStr">
        <is>
          <t>Marine fishes not identified</t>
        </is>
      </c>
      <c r="B5" t="n">
        <v>3.28</v>
      </c>
      <c r="C5" t="n">
        <v>190.546072</v>
      </c>
      <c r="D5" s="10" t="inlineStr">
        <is>
          <t>2 L pisc comm | 3 L pisc comm | 2 SM pisc | 3 SM pisc | 2 SM inv | 3 SM inv | 2 L pisc | 3 L pisc</t>
        </is>
      </c>
      <c r="E5" t="n">
        <v>276.665746</v>
      </c>
      <c r="F5" t="n">
        <v>624.960598</v>
      </c>
      <c r="G5" t="n">
        <v>381.961857</v>
      </c>
      <c r="H5" t="n">
        <v>1068.300026</v>
      </c>
      <c r="I5" t="n">
        <v>314.979273</v>
      </c>
      <c r="J5" t="n">
        <v>388.408621</v>
      </c>
      <c r="K5" t="n">
        <v>357.717815</v>
      </c>
      <c r="L5" t="n">
        <v>1115.276449</v>
      </c>
      <c r="M5" t="n">
        <v>1115.276449</v>
      </c>
      <c r="N5" t="n">
        <v>1115.276449</v>
      </c>
      <c r="O5" t="n">
        <v>895.21514</v>
      </c>
      <c r="P5" t="n">
        <v>290.427396</v>
      </c>
      <c r="Q5" t="n">
        <v>1115.276449</v>
      </c>
      <c r="R5" t="n">
        <v>-154510.891293</v>
      </c>
      <c r="S5" t="n">
        <v>895.21514</v>
      </c>
      <c r="T5" t="n">
        <v>2849498.538046</v>
      </c>
      <c r="U5" t="n">
        <v>290.427396</v>
      </c>
      <c r="V5" t="n">
        <v>921560877.008407</v>
      </c>
      <c r="W5" t="n">
        <v>1435.278723</v>
      </c>
      <c r="X5" t="n">
        <v>1492.441277</v>
      </c>
      <c r="Y5" t="n">
        <v>92.92978100000001</v>
      </c>
      <c r="Z5" t="n">
        <v>152.278856</v>
      </c>
    </row>
    <row r="6" ht="21" customHeight="1">
      <c r="A6" t="inlineStr">
        <is>
          <t>Penaeidae</t>
        </is>
      </c>
      <c r="B6" t="n">
        <v>3.31</v>
      </c>
      <c r="C6" t="n">
        <v>204.173794</v>
      </c>
      <c r="D6" s="10" t="inlineStr">
        <is>
          <t>2 Crustaceans | 3 Crustaceans</t>
        </is>
      </c>
      <c r="E6" t="n">
        <v>276.665746</v>
      </c>
      <c r="F6" t="n">
        <v>87.346446</v>
      </c>
      <c r="G6" t="n">
        <v>62.825827</v>
      </c>
      <c r="H6" t="n">
        <v>62.583797</v>
      </c>
      <c r="I6" t="n">
        <v>49.059783</v>
      </c>
      <c r="J6" t="n">
        <v>49.059783</v>
      </c>
      <c r="K6" t="n">
        <v>45.848307</v>
      </c>
      <c r="L6" t="n">
        <v>88.61683499999999</v>
      </c>
      <c r="M6" t="n">
        <v>88.61683499999999</v>
      </c>
      <c r="N6" t="n">
        <v>88.61683499999999</v>
      </c>
      <c r="O6" t="n">
        <v>112.736869</v>
      </c>
      <c r="P6" t="n">
        <v>69.749027</v>
      </c>
      <c r="Q6" t="n">
        <v>88.61683499999999</v>
      </c>
      <c r="R6" t="n">
        <v>88.61683499999999</v>
      </c>
      <c r="S6" t="n">
        <v>112.736869</v>
      </c>
      <c r="T6" t="n">
        <v>18.000131</v>
      </c>
      <c r="U6" t="n">
        <v>69.749027</v>
      </c>
      <c r="V6" t="n">
        <v>77.336753</v>
      </c>
      <c r="W6" t="n">
        <v>138.030843</v>
      </c>
      <c r="X6" t="n">
        <v>98.46392899999999</v>
      </c>
      <c r="Y6" t="n">
        <v>24.163479</v>
      </c>
      <c r="Z6" t="n">
        <v>23.495104</v>
      </c>
    </row>
    <row r="7" ht="21" customHeight="1">
      <c r="A7" t="inlineStr">
        <is>
          <t>Tenualosa ilisha</t>
        </is>
      </c>
      <c r="B7" t="n">
        <v>2.2</v>
      </c>
      <c r="C7" t="n">
        <v>15.848932</v>
      </c>
      <c r="D7" s="10" t="inlineStr">
        <is>
          <t>2-3 Hilsa</t>
        </is>
      </c>
      <c r="E7" t="n">
        <v>276.665746</v>
      </c>
      <c r="F7" t="n">
        <v>19.832171</v>
      </c>
      <c r="G7" t="n">
        <v>15.945855</v>
      </c>
      <c r="H7" t="n">
        <v>25.651793</v>
      </c>
      <c r="I7" t="n">
        <v>23.183612</v>
      </c>
      <c r="J7" t="n">
        <v>23.183612</v>
      </c>
      <c r="K7" t="n">
        <v>21.676677</v>
      </c>
      <c r="L7" t="n">
        <v>22.758135</v>
      </c>
      <c r="M7" t="n">
        <v>22.758135</v>
      </c>
      <c r="N7" t="n">
        <v>22.758135</v>
      </c>
      <c r="O7" t="n">
        <v>8.006830000000001</v>
      </c>
      <c r="P7" t="n">
        <v>5.581875</v>
      </c>
      <c r="Q7" t="n">
        <v>22.758135</v>
      </c>
      <c r="R7" t="n">
        <v>22.758135</v>
      </c>
      <c r="S7" t="n">
        <v>8.006830000000001</v>
      </c>
      <c r="T7" t="n">
        <v>7.117514</v>
      </c>
      <c r="U7" t="n">
        <v>5.581875</v>
      </c>
      <c r="V7" t="n">
        <v>5.668962</v>
      </c>
      <c r="W7" t="n">
        <v>8.464467000000001</v>
      </c>
      <c r="X7" t="n">
        <v>22.474002</v>
      </c>
      <c r="Y7" t="n">
        <v>8.458360000000001</v>
      </c>
      <c r="Z7" t="n">
        <v>10.696986</v>
      </c>
    </row>
    <row r="8" ht="21" customHeight="1">
      <c r="A8" t="inlineStr">
        <is>
          <t>Sciaenidae</t>
        </is>
      </c>
      <c r="B8" t="n">
        <v>3.76</v>
      </c>
      <c r="C8" t="n">
        <v>575.439937</v>
      </c>
      <c r="D8" s="10" t="inlineStr">
        <is>
          <t>2 L pisc comm | 3 L pisc comm</t>
        </is>
      </c>
      <c r="E8" t="n">
        <v>276.665746</v>
      </c>
      <c r="F8" t="n">
        <v>942.008432</v>
      </c>
      <c r="G8" t="n">
        <v>569.455705</v>
      </c>
      <c r="H8" t="n">
        <v>2133.059221</v>
      </c>
      <c r="I8" t="n">
        <v>640.2845610000001</v>
      </c>
      <c r="J8" t="n">
        <v>809.484635</v>
      </c>
      <c r="K8" t="n">
        <v>735.551234</v>
      </c>
      <c r="L8" t="n">
        <v>2161.417589</v>
      </c>
      <c r="M8" t="n">
        <v>2161.417589</v>
      </c>
      <c r="N8" t="n">
        <v>2161.417589</v>
      </c>
      <c r="O8" t="n">
        <v>1596.841335</v>
      </c>
      <c r="P8" t="n">
        <v>484.191698</v>
      </c>
      <c r="Q8" t="n">
        <v>2161.417589</v>
      </c>
      <c r="R8" t="n">
        <v>-1566538.678845</v>
      </c>
      <c r="S8" t="n">
        <v>1596.841335</v>
      </c>
      <c r="T8" t="n">
        <v>18720614.545483</v>
      </c>
      <c r="U8" t="n">
        <v>484.191698</v>
      </c>
      <c r="V8" t="n">
        <v>-729589570.314726</v>
      </c>
      <c r="W8" t="n">
        <v>2521.687387</v>
      </c>
      <c r="X8" t="n">
        <v>2846.929567</v>
      </c>
      <c r="Y8" t="n">
        <v>132.205276</v>
      </c>
      <c r="Z8" t="n">
        <v>267.422877</v>
      </c>
    </row>
    <row r="9" ht="21" customHeight="1">
      <c r="A9" t="inlineStr">
        <is>
          <t>Rastrelliger</t>
        </is>
      </c>
      <c r="B9" t="n">
        <v>3.1</v>
      </c>
      <c r="C9" t="n">
        <v>125.892541</v>
      </c>
      <c r="D9" s="10" t="inlineStr">
        <is>
          <t>2-3 Indian mackerel</t>
        </is>
      </c>
      <c r="E9" t="n">
        <v>276.665746</v>
      </c>
      <c r="F9" t="n">
        <v>120.78179</v>
      </c>
      <c r="G9" t="n">
        <v>85.112274</v>
      </c>
      <c r="H9" t="n">
        <v>191.975941</v>
      </c>
      <c r="I9" t="n">
        <v>101.34619</v>
      </c>
      <c r="J9" t="n">
        <v>103.501508</v>
      </c>
      <c r="K9" t="n">
        <v>96.67040799999999</v>
      </c>
      <c r="L9" t="n">
        <v>293.256288</v>
      </c>
      <c r="M9" t="n">
        <v>293.256288</v>
      </c>
      <c r="N9" t="n">
        <v>293.256288</v>
      </c>
      <c r="O9" t="n">
        <v>271.676855</v>
      </c>
      <c r="P9" t="n">
        <v>111.213141</v>
      </c>
      <c r="Q9" t="n">
        <v>293.256288</v>
      </c>
      <c r="R9" t="n">
        <v>263.07043</v>
      </c>
      <c r="S9" t="n">
        <v>271.676855</v>
      </c>
      <c r="T9" t="n">
        <v>60.561613</v>
      </c>
      <c r="U9" t="n">
        <v>111.213141</v>
      </c>
      <c r="V9" t="n">
        <v>132.515005</v>
      </c>
      <c r="W9" t="n">
        <v>466.250831</v>
      </c>
      <c r="X9" t="n">
        <v>427.226374</v>
      </c>
      <c r="Y9" t="n">
        <v>30.767747</v>
      </c>
      <c r="Z9" t="n">
        <v>48.367683</v>
      </c>
    </row>
    <row r="10" ht="21" customHeight="1">
      <c r="A10" t="inlineStr">
        <is>
          <t>Leiognathidae</t>
        </is>
      </c>
      <c r="B10" t="n">
        <v>3.24</v>
      </c>
      <c r="C10" t="n">
        <v>173.780083</v>
      </c>
      <c r="D10" s="10" t="inlineStr">
        <is>
          <t>2 SM inv | 3 SM inv</t>
        </is>
      </c>
      <c r="E10" t="n">
        <v>276.665746</v>
      </c>
      <c r="F10" t="n">
        <v>195.237034</v>
      </c>
      <c r="G10" t="n">
        <v>132.430212</v>
      </c>
      <c r="H10" t="n">
        <v>264.43232</v>
      </c>
      <c r="I10" t="n">
        <v>118.903546</v>
      </c>
      <c r="J10" t="n">
        <v>136.120138</v>
      </c>
      <c r="K10" t="n">
        <v>127.344134</v>
      </c>
      <c r="L10" t="n">
        <v>358.382548</v>
      </c>
      <c r="M10" t="n">
        <v>358.382548</v>
      </c>
      <c r="N10" t="n">
        <v>358.382548</v>
      </c>
      <c r="O10" t="n">
        <v>341.399299</v>
      </c>
      <c r="P10" t="n">
        <v>140.115469</v>
      </c>
      <c r="Q10" t="n">
        <v>358.382548</v>
      </c>
      <c r="R10" t="n">
        <v>6457.458436</v>
      </c>
      <c r="S10" t="n">
        <v>341.399299</v>
      </c>
      <c r="T10" t="n">
        <v>179529.737596</v>
      </c>
      <c r="U10" t="n">
        <v>140.115469</v>
      </c>
      <c r="V10" t="n">
        <v>-303793.842089</v>
      </c>
      <c r="W10" t="n">
        <v>574.006718</v>
      </c>
      <c r="X10" t="n">
        <v>502.703783</v>
      </c>
      <c r="Y10" t="n">
        <v>42.955466</v>
      </c>
      <c r="Z10" t="n">
        <v>65.030467</v>
      </c>
    </row>
    <row r="11" ht="21" customHeight="1">
      <c r="A11" t="inlineStr">
        <is>
          <t>Clupeiformes</t>
        </is>
      </c>
      <c r="B11" t="n">
        <v>3.24</v>
      </c>
      <c r="C11" t="n">
        <v>173.780083</v>
      </c>
      <c r="D11" s="10" t="inlineStr">
        <is>
          <t>2 S pelagics | 3 S pelagics</t>
        </is>
      </c>
      <c r="E11" t="n">
        <v>276.665746</v>
      </c>
      <c r="F11" t="n">
        <v>140.109476</v>
      </c>
      <c r="G11" t="n">
        <v>97.63290000000001</v>
      </c>
      <c r="H11" t="n">
        <v>192.530385</v>
      </c>
      <c r="I11" t="n">
        <v>80.840119</v>
      </c>
      <c r="J11" t="n">
        <v>105.744532</v>
      </c>
      <c r="K11" t="n">
        <v>98.71770100000001</v>
      </c>
      <c r="L11" t="n">
        <v>234.01812</v>
      </c>
      <c r="M11" t="n">
        <v>234.01812</v>
      </c>
      <c r="N11" t="n">
        <v>234.01812</v>
      </c>
      <c r="O11" t="n">
        <v>202.793183</v>
      </c>
      <c r="P11" t="n">
        <v>80.12592100000001</v>
      </c>
      <c r="Q11" t="n">
        <v>234.01812</v>
      </c>
      <c r="R11" t="n">
        <v>-33882.555745</v>
      </c>
      <c r="S11" t="n">
        <v>202.793183</v>
      </c>
      <c r="T11" t="n">
        <v>227994.620435</v>
      </c>
      <c r="U11" t="n">
        <v>80.12592100000001</v>
      </c>
      <c r="V11" t="n">
        <v>-5095004.477163</v>
      </c>
      <c r="W11" t="n">
        <v>296.324343</v>
      </c>
      <c r="X11" t="n">
        <v>299.160007</v>
      </c>
      <c r="Y11" t="n">
        <v>34.1744</v>
      </c>
      <c r="Z11" t="n">
        <v>48.359224</v>
      </c>
    </row>
    <row r="12" ht="21" customHeight="1">
      <c r="A12" t="inlineStr">
        <is>
          <t>Carangidae</t>
        </is>
      </c>
      <c r="B12" t="n">
        <v>4.05</v>
      </c>
      <c r="C12" t="n">
        <v>1122.018454</v>
      </c>
      <c r="D12" s="10" t="inlineStr">
        <is>
          <t>2 Carangids | 3 Carangids</t>
        </is>
      </c>
      <c r="E12" t="n">
        <v>276.665746</v>
      </c>
      <c r="F12" t="n">
        <v>1047.559324</v>
      </c>
      <c r="G12" t="n">
        <v>629.821299</v>
      </c>
      <c r="H12" t="n">
        <v>2236.955926</v>
      </c>
      <c r="I12" t="n">
        <v>640.844159</v>
      </c>
      <c r="J12" t="n">
        <v>754.590569</v>
      </c>
      <c r="K12" t="n">
        <v>726.430521</v>
      </c>
      <c r="L12" t="n">
        <v>2160.134294</v>
      </c>
      <c r="M12" t="n">
        <v>2160.134294</v>
      </c>
      <c r="N12" t="n">
        <v>2160.134294</v>
      </c>
      <c r="O12" t="n">
        <v>1714.41623</v>
      </c>
      <c r="P12" t="n">
        <v>507.780375</v>
      </c>
      <c r="Q12" t="n">
        <v>2160.134294</v>
      </c>
      <c r="R12" t="n">
        <v>1795384.471462</v>
      </c>
      <c r="S12" t="n">
        <v>1714.41623</v>
      </c>
      <c r="T12" t="n">
        <v>15523021.978962</v>
      </c>
      <c r="U12" t="n">
        <v>507.780375</v>
      </c>
      <c r="V12" t="n">
        <v>361623540.311127</v>
      </c>
      <c r="W12" t="n">
        <v>2798.965662</v>
      </c>
      <c r="X12" t="n">
        <v>2890.070964</v>
      </c>
      <c r="Y12" t="n">
        <v>143.6356</v>
      </c>
      <c r="Z12" t="n">
        <v>293.771321</v>
      </c>
    </row>
    <row r="13" ht="21" customHeight="1">
      <c r="A13" t="inlineStr">
        <is>
          <t>Nemipteridae</t>
        </is>
      </c>
      <c r="B13" t="n">
        <v>3.51</v>
      </c>
      <c r="C13" t="n">
        <v>323.593657</v>
      </c>
      <c r="D13" s="10" t="inlineStr">
        <is>
          <t>2 SM pisc | 3 SM pisc</t>
        </is>
      </c>
      <c r="E13" t="n">
        <v>276.665746</v>
      </c>
      <c r="F13" t="n">
        <v>735.917019</v>
      </c>
      <c r="G13" t="n">
        <v>452.492682</v>
      </c>
      <c r="H13" t="n">
        <v>682.111639</v>
      </c>
      <c r="I13" t="n">
        <v>235.466475</v>
      </c>
      <c r="J13" t="n">
        <v>314.21941</v>
      </c>
      <c r="K13" t="n">
        <v>298.50844</v>
      </c>
      <c r="L13" t="n">
        <v>954.7607</v>
      </c>
      <c r="M13" t="n">
        <v>954.7607</v>
      </c>
      <c r="N13" t="n">
        <v>954.7607</v>
      </c>
      <c r="O13" t="n">
        <v>843.56575</v>
      </c>
      <c r="P13" t="n">
        <v>294.060389</v>
      </c>
      <c r="Q13" t="n">
        <v>954.7607</v>
      </c>
      <c r="R13" t="n">
        <v>9873.492876</v>
      </c>
      <c r="S13" t="n">
        <v>843.56575</v>
      </c>
      <c r="T13" t="n">
        <v>671288.666809</v>
      </c>
      <c r="U13" t="n">
        <v>294.060389</v>
      </c>
      <c r="V13" t="n">
        <v>-16862660.627203</v>
      </c>
      <c r="W13" t="n">
        <v>1324.31138</v>
      </c>
      <c r="X13" t="n">
        <v>1272.066649</v>
      </c>
      <c r="Y13" t="n">
        <v>110.428635</v>
      </c>
      <c r="Z13" t="n">
        <v>131.682702</v>
      </c>
    </row>
    <row r="14" ht="21" customHeight="1">
      <c r="A14" t="inlineStr">
        <is>
          <t>Clupeidae</t>
        </is>
      </c>
      <c r="B14" t="n">
        <v>3.16</v>
      </c>
      <c r="C14" t="n">
        <v>144.543977</v>
      </c>
      <c r="D14" s="10" t="inlineStr">
        <is>
          <t>2 S pelagics | 3 S pelagics</t>
        </is>
      </c>
      <c r="E14" t="n">
        <v>276.665746</v>
      </c>
      <c r="F14" t="n">
        <v>140.109476</v>
      </c>
      <c r="G14" t="n">
        <v>97.63290000000001</v>
      </c>
      <c r="H14" t="n">
        <v>192.530385</v>
      </c>
      <c r="I14" t="n">
        <v>80.840119</v>
      </c>
      <c r="J14" t="n">
        <v>105.744532</v>
      </c>
      <c r="K14" t="n">
        <v>98.71770100000001</v>
      </c>
      <c r="L14" t="n">
        <v>234.01812</v>
      </c>
      <c r="M14" t="n">
        <v>234.01812</v>
      </c>
      <c r="N14" t="n">
        <v>234.01812</v>
      </c>
      <c r="O14" t="n">
        <v>202.793183</v>
      </c>
      <c r="P14" t="n">
        <v>80.12592100000001</v>
      </c>
      <c r="Q14" t="n">
        <v>234.01812</v>
      </c>
      <c r="R14" t="n">
        <v>-33882.555745</v>
      </c>
      <c r="S14" t="n">
        <v>202.793183</v>
      </c>
      <c r="T14" t="n">
        <v>227994.620435</v>
      </c>
      <c r="U14" t="n">
        <v>80.12592100000001</v>
      </c>
      <c r="V14" t="n">
        <v>-5095004.477163</v>
      </c>
      <c r="W14" t="n">
        <v>296.324343</v>
      </c>
      <c r="X14" t="n">
        <v>299.160007</v>
      </c>
      <c r="Y14" t="n">
        <v>34.1744</v>
      </c>
      <c r="Z14" t="n">
        <v>48.359224</v>
      </c>
    </row>
    <row r="15" ht="21" customHeight="1">
      <c r="A15" t="inlineStr">
        <is>
          <t>Rastrelliger kanagurta</t>
        </is>
      </c>
      <c r="B15" t="n">
        <v>3.19</v>
      </c>
      <c r="C15" t="n">
        <v>154.881662</v>
      </c>
      <c r="D15" s="10" t="inlineStr">
        <is>
          <t>2-3 Indian mackerel</t>
        </is>
      </c>
      <c r="E15" t="n">
        <v>276.665746</v>
      </c>
      <c r="F15" t="n">
        <v>120.78179</v>
      </c>
      <c r="G15" t="n">
        <v>85.112274</v>
      </c>
      <c r="H15" t="n">
        <v>191.975941</v>
      </c>
      <c r="I15" t="n">
        <v>101.34619</v>
      </c>
      <c r="J15" t="n">
        <v>103.501508</v>
      </c>
      <c r="K15" t="n">
        <v>96.67040799999999</v>
      </c>
      <c r="L15" t="n">
        <v>293.256288</v>
      </c>
      <c r="M15" t="n">
        <v>293.256288</v>
      </c>
      <c r="N15" t="n">
        <v>293.256288</v>
      </c>
      <c r="O15" t="n">
        <v>271.676855</v>
      </c>
      <c r="P15" t="n">
        <v>111.213141</v>
      </c>
      <c r="Q15" t="n">
        <v>293.256288</v>
      </c>
      <c r="R15" t="n">
        <v>263.07043</v>
      </c>
      <c r="S15" t="n">
        <v>271.676855</v>
      </c>
      <c r="T15" t="n">
        <v>60.561613</v>
      </c>
      <c r="U15" t="n">
        <v>111.213141</v>
      </c>
      <c r="V15" t="n">
        <v>132.515005</v>
      </c>
      <c r="W15" t="n">
        <v>466.250831</v>
      </c>
      <c r="X15" t="n">
        <v>427.226374</v>
      </c>
      <c r="Y15" t="n">
        <v>30.767747</v>
      </c>
      <c r="Z15" t="n">
        <v>48.367683</v>
      </c>
    </row>
    <row r="16" ht="21" customHeight="1">
      <c r="A16" t="inlineStr">
        <is>
          <t>Stolephorus</t>
        </is>
      </c>
      <c r="B16" t="n">
        <v>3.44</v>
      </c>
      <c r="C16" t="n">
        <v>275.42287</v>
      </c>
      <c r="D16" s="10" t="inlineStr">
        <is>
          <t>2 S pelagics | 3 S pelagics</t>
        </is>
      </c>
      <c r="E16" t="n">
        <v>276.665746</v>
      </c>
      <c r="F16" t="n">
        <v>140.109476</v>
      </c>
      <c r="G16" t="n">
        <v>97.63290000000001</v>
      </c>
      <c r="H16" t="n">
        <v>192.530385</v>
      </c>
      <c r="I16" t="n">
        <v>80.840119</v>
      </c>
      <c r="J16" t="n">
        <v>105.744532</v>
      </c>
      <c r="K16" t="n">
        <v>98.71770100000001</v>
      </c>
      <c r="L16" t="n">
        <v>234.01812</v>
      </c>
      <c r="M16" t="n">
        <v>234.01812</v>
      </c>
      <c r="N16" t="n">
        <v>234.01812</v>
      </c>
      <c r="O16" t="n">
        <v>202.793183</v>
      </c>
      <c r="P16" t="n">
        <v>80.12592100000001</v>
      </c>
      <c r="Q16" t="n">
        <v>234.01812</v>
      </c>
      <c r="R16" t="n">
        <v>-33882.555745</v>
      </c>
      <c r="S16" t="n">
        <v>202.793183</v>
      </c>
      <c r="T16" t="n">
        <v>227994.620435</v>
      </c>
      <c r="U16" t="n">
        <v>80.12592100000001</v>
      </c>
      <c r="V16" t="n">
        <v>-5095004.477163</v>
      </c>
      <c r="W16" t="n">
        <v>296.324343</v>
      </c>
      <c r="X16" t="n">
        <v>299.160007</v>
      </c>
      <c r="Y16" t="n">
        <v>34.1744</v>
      </c>
      <c r="Z16" t="n">
        <v>48.359224</v>
      </c>
    </row>
    <row r="17" ht="21" customHeight="1">
      <c r="A17" t="inlineStr">
        <is>
          <t>Harpadon nehereus</t>
        </is>
      </c>
      <c r="B17" t="n">
        <v>4.2</v>
      </c>
      <c r="C17" t="n">
        <v>1584.893192</v>
      </c>
      <c r="D17" s="10" t="inlineStr">
        <is>
          <t>2 L pisc comm | 3 L pisc comm</t>
        </is>
      </c>
      <c r="E17" t="n">
        <v>276.665746</v>
      </c>
      <c r="F17" t="n">
        <v>942.008432</v>
      </c>
      <c r="G17" t="n">
        <v>569.455705</v>
      </c>
      <c r="H17" t="n">
        <v>2133.059221</v>
      </c>
      <c r="I17" t="n">
        <v>640.2845610000001</v>
      </c>
      <c r="J17" t="n">
        <v>809.484635</v>
      </c>
      <c r="K17" t="n">
        <v>735.551234</v>
      </c>
      <c r="L17" t="n">
        <v>2161.417589</v>
      </c>
      <c r="M17" t="n">
        <v>2161.417589</v>
      </c>
      <c r="N17" t="n">
        <v>2161.417589</v>
      </c>
      <c r="O17" t="n">
        <v>1596.841335</v>
      </c>
      <c r="P17" t="n">
        <v>484.191698</v>
      </c>
      <c r="Q17" t="n">
        <v>2161.417589</v>
      </c>
      <c r="R17" t="n">
        <v>-1566538.678845</v>
      </c>
      <c r="S17" t="n">
        <v>1596.841335</v>
      </c>
      <c r="T17" t="n">
        <v>18720614.545483</v>
      </c>
      <c r="U17" t="n">
        <v>484.191698</v>
      </c>
      <c r="V17" t="n">
        <v>-729589570.314726</v>
      </c>
      <c r="W17" t="n">
        <v>2521.687387</v>
      </c>
      <c r="X17" t="n">
        <v>2846.929567</v>
      </c>
      <c r="Y17" t="n">
        <v>132.205276</v>
      </c>
      <c r="Z17" t="n">
        <v>267.422877</v>
      </c>
    </row>
    <row r="18" ht="21" customHeight="1">
      <c r="A18" t="inlineStr">
        <is>
          <t>Engraulidae</t>
        </is>
      </c>
      <c r="B18" t="n">
        <v>3.2</v>
      </c>
      <c r="C18" t="n">
        <v>158.489319</v>
      </c>
      <c r="D18" s="10" t="inlineStr">
        <is>
          <t>2 S pelagics | 3 S pelagics</t>
        </is>
      </c>
      <c r="E18" t="n">
        <v>276.665746</v>
      </c>
      <c r="F18" t="n">
        <v>140.109476</v>
      </c>
      <c r="G18" t="n">
        <v>97.63290000000001</v>
      </c>
      <c r="H18" t="n">
        <v>192.530385</v>
      </c>
      <c r="I18" t="n">
        <v>80.840119</v>
      </c>
      <c r="J18" t="n">
        <v>105.744532</v>
      </c>
      <c r="K18" t="n">
        <v>98.71770100000001</v>
      </c>
      <c r="L18" t="n">
        <v>234.01812</v>
      </c>
      <c r="M18" t="n">
        <v>234.01812</v>
      </c>
      <c r="N18" t="n">
        <v>234.01812</v>
      </c>
      <c r="O18" t="n">
        <v>202.793183</v>
      </c>
      <c r="P18" t="n">
        <v>80.12592100000001</v>
      </c>
      <c r="Q18" t="n">
        <v>234.01812</v>
      </c>
      <c r="R18" t="n">
        <v>-33882.555745</v>
      </c>
      <c r="S18" t="n">
        <v>202.793183</v>
      </c>
      <c r="T18" t="n">
        <v>227994.620435</v>
      </c>
      <c r="U18" t="n">
        <v>80.12592100000001</v>
      </c>
      <c r="V18" t="n">
        <v>-5095004.477163</v>
      </c>
      <c r="W18" t="n">
        <v>296.324343</v>
      </c>
      <c r="X18" t="n">
        <v>299.160007</v>
      </c>
      <c r="Y18" t="n">
        <v>34.1744</v>
      </c>
      <c r="Z18" t="n">
        <v>48.359224</v>
      </c>
    </row>
    <row r="19" ht="21" customHeight="1">
      <c r="A19" t="inlineStr">
        <is>
          <t>Acetes</t>
        </is>
      </c>
      <c r="B19" t="n">
        <v>2.7</v>
      </c>
      <c r="C19" t="n">
        <v>50.118723</v>
      </c>
      <c r="D19" s="10" t="inlineStr">
        <is>
          <t>2 Crustaceans | 3 Crustaceans</t>
        </is>
      </c>
      <c r="E19" t="n">
        <v>276.665746</v>
      </c>
      <c r="F19" t="n">
        <v>87.346446</v>
      </c>
      <c r="G19" t="n">
        <v>62.825827</v>
      </c>
      <c r="H19" t="n">
        <v>62.583797</v>
      </c>
      <c r="I19" t="n">
        <v>49.059783</v>
      </c>
      <c r="J19" t="n">
        <v>49.059783</v>
      </c>
      <c r="K19" t="n">
        <v>45.848307</v>
      </c>
      <c r="L19" t="n">
        <v>88.61683499999999</v>
      </c>
      <c r="M19" t="n">
        <v>88.61683499999999</v>
      </c>
      <c r="N19" t="n">
        <v>88.61683499999999</v>
      </c>
      <c r="O19" t="n">
        <v>112.736869</v>
      </c>
      <c r="P19" t="n">
        <v>69.749027</v>
      </c>
      <c r="Q19" t="n">
        <v>88.61683499999999</v>
      </c>
      <c r="R19" t="n">
        <v>88.61683499999999</v>
      </c>
      <c r="S19" t="n">
        <v>112.736869</v>
      </c>
      <c r="T19" t="n">
        <v>18.000131</v>
      </c>
      <c r="U19" t="n">
        <v>69.749027</v>
      </c>
      <c r="V19" t="n">
        <v>77.336753</v>
      </c>
      <c r="W19" t="n">
        <v>138.030843</v>
      </c>
      <c r="X19" t="n">
        <v>98.46392899999999</v>
      </c>
      <c r="Y19" t="n">
        <v>24.163479</v>
      </c>
      <c r="Z19" t="n">
        <v>23.495104</v>
      </c>
    </row>
    <row r="20" ht="36" customHeight="1">
      <c r="A20" t="inlineStr">
        <is>
          <t>Elasmobranchii</t>
        </is>
      </c>
      <c r="B20" t="n">
        <v>4.05</v>
      </c>
      <c r="C20" t="n">
        <v>1122.018454</v>
      </c>
      <c r="D20" s="10" t="inlineStr">
        <is>
          <t>Oceanic sharks | Coastal elasmobranch</t>
        </is>
      </c>
      <c r="E20" t="n">
        <v>276.665746</v>
      </c>
      <c r="F20" t="n">
        <v>1380.156554</v>
      </c>
      <c r="G20" t="n">
        <v>813.237349</v>
      </c>
      <c r="H20" t="n">
        <v>11688.066786</v>
      </c>
      <c r="I20" t="n">
        <v>3302.11378</v>
      </c>
      <c r="J20" t="n">
        <v>3753.764115</v>
      </c>
      <c r="K20" t="n">
        <v>2868.260753</v>
      </c>
      <c r="L20" t="n">
        <v>18853.580958</v>
      </c>
      <c r="M20" t="n">
        <v>18853.580958</v>
      </c>
      <c r="N20" t="n">
        <v>18853.580958</v>
      </c>
      <c r="O20" t="n">
        <v>9040.533485</v>
      </c>
      <c r="P20" t="n">
        <v>1862.18019</v>
      </c>
      <c r="Q20" t="n">
        <v>18853.580958</v>
      </c>
      <c r="R20" t="n">
        <v>94943203.22682799</v>
      </c>
      <c r="S20" t="n">
        <v>9040.533485</v>
      </c>
      <c r="T20" t="n">
        <v>-4557941.960348</v>
      </c>
      <c r="U20" t="n">
        <v>1862.18019</v>
      </c>
      <c r="V20" t="n">
        <v>-7.861118488044005e+19</v>
      </c>
      <c r="W20" t="n">
        <v>14987.301255</v>
      </c>
      <c r="X20" t="n">
        <v>26157.019993</v>
      </c>
      <c r="Y20" t="n">
        <v>174.929003</v>
      </c>
      <c r="Z20" t="n">
        <v>765.3479139999999</v>
      </c>
    </row>
    <row r="21" ht="51" customHeight="1">
      <c r="A21" t="inlineStr">
        <is>
          <t>Ariidae</t>
        </is>
      </c>
      <c r="B21" t="n">
        <v>3.48</v>
      </c>
      <c r="C21" t="n">
        <v>301.995172</v>
      </c>
      <c r="D21" s="10" t="inlineStr">
        <is>
          <t>2 Milkfish plus | 3 Milkfish plus | 2 SM inv | 3 SM inv | 2 SM pisc | 3 SM pisc</t>
        </is>
      </c>
      <c r="E21" t="n">
        <v>276.665746</v>
      </c>
      <c r="F21" t="n">
        <v>434.537025</v>
      </c>
      <c r="G21" t="n">
        <v>274.456865</v>
      </c>
      <c r="H21" t="n">
        <v>467.540928</v>
      </c>
      <c r="I21" t="n">
        <v>178.996195</v>
      </c>
      <c r="J21" t="n">
        <v>232.411532</v>
      </c>
      <c r="K21" t="n">
        <v>218.462335</v>
      </c>
      <c r="L21" t="n">
        <v>656.241385</v>
      </c>
      <c r="M21" t="n">
        <v>656.241385</v>
      </c>
      <c r="N21" t="n">
        <v>656.241385</v>
      </c>
      <c r="O21" t="n">
        <v>587.109347</v>
      </c>
      <c r="P21" t="n">
        <v>216.440558</v>
      </c>
      <c r="Q21" t="n">
        <v>656.241385</v>
      </c>
      <c r="R21" t="n">
        <v>26798.956363</v>
      </c>
      <c r="S21" t="n">
        <v>587.109347</v>
      </c>
      <c r="T21" t="n">
        <v>535599.651461</v>
      </c>
      <c r="U21" t="n">
        <v>216.440558</v>
      </c>
      <c r="V21" t="n">
        <v>-11352928.932538</v>
      </c>
      <c r="W21" t="n">
        <v>947.526396</v>
      </c>
      <c r="X21" t="n">
        <v>892.261318</v>
      </c>
      <c r="Y21" t="n">
        <v>73.124354</v>
      </c>
      <c r="Z21" t="n">
        <v>96.14451099999999</v>
      </c>
    </row>
    <row r="22" ht="21" customHeight="1">
      <c r="A22" t="inlineStr">
        <is>
          <t>Decapterus</t>
        </is>
      </c>
      <c r="B22" t="n">
        <v>3.63</v>
      </c>
      <c r="C22" t="n">
        <v>426.579519</v>
      </c>
      <c r="D22" s="10" t="inlineStr">
        <is>
          <t>2 Carangids | 3 Carangids</t>
        </is>
      </c>
      <c r="E22" t="n">
        <v>276.665746</v>
      </c>
      <c r="F22" t="n">
        <v>1047.559324</v>
      </c>
      <c r="G22" t="n">
        <v>629.821299</v>
      </c>
      <c r="H22" t="n">
        <v>2236.955926</v>
      </c>
      <c r="I22" t="n">
        <v>640.844159</v>
      </c>
      <c r="J22" t="n">
        <v>754.590569</v>
      </c>
      <c r="K22" t="n">
        <v>726.430521</v>
      </c>
      <c r="L22" t="n">
        <v>2160.134294</v>
      </c>
      <c r="M22" t="n">
        <v>2160.134294</v>
      </c>
      <c r="N22" t="n">
        <v>2160.134294</v>
      </c>
      <c r="O22" t="n">
        <v>1714.41623</v>
      </c>
      <c r="P22" t="n">
        <v>507.780375</v>
      </c>
      <c r="Q22" t="n">
        <v>2160.134294</v>
      </c>
      <c r="R22" t="n">
        <v>1795384.471462</v>
      </c>
      <c r="S22" t="n">
        <v>1714.41623</v>
      </c>
      <c r="T22" t="n">
        <v>15523021.978962</v>
      </c>
      <c r="U22" t="n">
        <v>507.780375</v>
      </c>
      <c r="V22" t="n">
        <v>361623540.311127</v>
      </c>
      <c r="W22" t="n">
        <v>2798.965662</v>
      </c>
      <c r="X22" t="n">
        <v>2890.070964</v>
      </c>
      <c r="Y22" t="n">
        <v>143.6356</v>
      </c>
      <c r="Z22" t="n">
        <v>293.771321</v>
      </c>
    </row>
    <row r="23" ht="21" customHeight="1">
      <c r="A23" t="inlineStr">
        <is>
          <t>Synodontidae</t>
        </is>
      </c>
      <c r="B23" t="n">
        <v>4.3</v>
      </c>
      <c r="C23" t="n">
        <v>1995.262315</v>
      </c>
      <c r="D23" s="10" t="inlineStr">
        <is>
          <t>2 L pisc comm | 3 L pisc comm</t>
        </is>
      </c>
      <c r="E23" t="n">
        <v>276.665746</v>
      </c>
      <c r="F23" t="n">
        <v>942.008432</v>
      </c>
      <c r="G23" t="n">
        <v>569.455705</v>
      </c>
      <c r="H23" t="n">
        <v>2133.059221</v>
      </c>
      <c r="I23" t="n">
        <v>640.2845610000001</v>
      </c>
      <c r="J23" t="n">
        <v>809.484635</v>
      </c>
      <c r="K23" t="n">
        <v>735.551234</v>
      </c>
      <c r="L23" t="n">
        <v>2161.417589</v>
      </c>
      <c r="M23" t="n">
        <v>2161.417589</v>
      </c>
      <c r="N23" t="n">
        <v>2161.417589</v>
      </c>
      <c r="O23" t="n">
        <v>1596.841335</v>
      </c>
      <c r="P23" t="n">
        <v>484.191698</v>
      </c>
      <c r="Q23" t="n">
        <v>2161.417589</v>
      </c>
      <c r="R23" t="n">
        <v>-1566538.678845</v>
      </c>
      <c r="S23" t="n">
        <v>1596.841335</v>
      </c>
      <c r="T23" t="n">
        <v>18720614.545483</v>
      </c>
      <c r="U23" t="n">
        <v>484.191698</v>
      </c>
      <c r="V23" t="n">
        <v>-729589570.314726</v>
      </c>
      <c r="W23" t="n">
        <v>2521.687387</v>
      </c>
      <c r="X23" t="n">
        <v>2846.929567</v>
      </c>
      <c r="Y23" t="n">
        <v>132.205276</v>
      </c>
      <c r="Z23" t="n">
        <v>267.422877</v>
      </c>
    </row>
    <row r="24" ht="21" customHeight="1">
      <c r="A24" t="inlineStr">
        <is>
          <t>Sardinella</t>
        </is>
      </c>
      <c r="B24" t="n">
        <v>2.77</v>
      </c>
      <c r="C24" t="n">
        <v>58.884366</v>
      </c>
      <c r="D24" s="10" t="inlineStr">
        <is>
          <t>2 S pelagics | 3 S pelagics</t>
        </is>
      </c>
      <c r="E24" t="n">
        <v>276.665746</v>
      </c>
      <c r="F24" t="n">
        <v>140.109476</v>
      </c>
      <c r="G24" t="n">
        <v>97.63290000000001</v>
      </c>
      <c r="H24" t="n">
        <v>192.530385</v>
      </c>
      <c r="I24" t="n">
        <v>80.840119</v>
      </c>
      <c r="J24" t="n">
        <v>105.744532</v>
      </c>
      <c r="K24" t="n">
        <v>98.71770100000001</v>
      </c>
      <c r="L24" t="n">
        <v>234.01812</v>
      </c>
      <c r="M24" t="n">
        <v>234.01812</v>
      </c>
      <c r="N24" t="n">
        <v>234.01812</v>
      </c>
      <c r="O24" t="n">
        <v>202.793183</v>
      </c>
      <c r="P24" t="n">
        <v>80.12592100000001</v>
      </c>
      <c r="Q24" t="n">
        <v>234.01812</v>
      </c>
      <c r="R24" t="n">
        <v>-33882.555745</v>
      </c>
      <c r="S24" t="n">
        <v>202.793183</v>
      </c>
      <c r="T24" t="n">
        <v>227994.620435</v>
      </c>
      <c r="U24" t="n">
        <v>80.12592100000001</v>
      </c>
      <c r="V24" t="n">
        <v>-5095004.477163</v>
      </c>
      <c r="W24" t="n">
        <v>296.324343</v>
      </c>
      <c r="X24" t="n">
        <v>299.160007</v>
      </c>
      <c r="Y24" t="n">
        <v>34.1744</v>
      </c>
      <c r="Z24" t="n">
        <v>48.359224</v>
      </c>
    </row>
    <row r="25" ht="21" customHeight="1">
      <c r="A25" t="inlineStr">
        <is>
          <t>Sardinella longiceps</t>
        </is>
      </c>
      <c r="B25" t="n">
        <v>2.41</v>
      </c>
      <c r="C25" t="n">
        <v>25.703958</v>
      </c>
      <c r="D25" s="10" t="inlineStr">
        <is>
          <t>2 S pelagics | 3 S pelagics</t>
        </is>
      </c>
      <c r="E25" t="n">
        <v>276.665746</v>
      </c>
      <c r="F25" t="n">
        <v>140.109476</v>
      </c>
      <c r="G25" t="n">
        <v>97.63290000000001</v>
      </c>
      <c r="H25" t="n">
        <v>192.530385</v>
      </c>
      <c r="I25" t="n">
        <v>80.840119</v>
      </c>
      <c r="J25" t="n">
        <v>105.744532</v>
      </c>
      <c r="K25" t="n">
        <v>98.71770100000001</v>
      </c>
      <c r="L25" t="n">
        <v>234.01812</v>
      </c>
      <c r="M25" t="n">
        <v>234.01812</v>
      </c>
      <c r="N25" t="n">
        <v>234.01812</v>
      </c>
      <c r="O25" t="n">
        <v>202.793183</v>
      </c>
      <c r="P25" t="n">
        <v>80.12592100000001</v>
      </c>
      <c r="Q25" t="n">
        <v>234.01812</v>
      </c>
      <c r="R25" t="n">
        <v>-33882.555745</v>
      </c>
      <c r="S25" t="n">
        <v>202.793183</v>
      </c>
      <c r="T25" t="n">
        <v>227994.620435</v>
      </c>
      <c r="U25" t="n">
        <v>80.12592100000001</v>
      </c>
      <c r="V25" t="n">
        <v>-5095004.477163</v>
      </c>
      <c r="W25" t="n">
        <v>296.324343</v>
      </c>
      <c r="X25" t="n">
        <v>299.160007</v>
      </c>
      <c r="Y25" t="n">
        <v>34.1744</v>
      </c>
      <c r="Z25" t="n">
        <v>48.359224</v>
      </c>
    </row>
    <row r="26" ht="36" customHeight="1">
      <c r="A26" t="inlineStr">
        <is>
          <t>Scombridae</t>
        </is>
      </c>
      <c r="B26" t="n">
        <v>4.26</v>
      </c>
      <c r="C26" t="n">
        <v>1819.700859</v>
      </c>
      <c r="D26" s="10" t="inlineStr">
        <is>
          <t>Tuna-like | Coastal scombrids | 2-3 Indian mackerel</t>
        </is>
      </c>
      <c r="E26" t="n">
        <v>276.665746</v>
      </c>
      <c r="F26" t="n">
        <v>817.831285</v>
      </c>
      <c r="G26" t="n">
        <v>474.697647</v>
      </c>
      <c r="H26" t="n">
        <v>2033.544069</v>
      </c>
      <c r="I26" t="n">
        <v>628.408679</v>
      </c>
      <c r="J26" t="n">
        <v>729.513231</v>
      </c>
      <c r="K26" t="n">
        <v>492.145132</v>
      </c>
      <c r="L26" t="n">
        <v>2122.26798</v>
      </c>
      <c r="M26" t="n">
        <v>2122.26798</v>
      </c>
      <c r="N26" t="n">
        <v>2122.26798</v>
      </c>
      <c r="O26" t="n">
        <v>1194.187065</v>
      </c>
      <c r="P26" t="n">
        <v>338.914003</v>
      </c>
      <c r="Q26" t="n">
        <v>2122.26798</v>
      </c>
      <c r="R26" t="n">
        <v>4854076.813837</v>
      </c>
      <c r="S26" t="n">
        <v>1194.187065</v>
      </c>
      <c r="T26" t="n">
        <v>-4946503.98007</v>
      </c>
      <c r="U26" t="n">
        <v>338.914003</v>
      </c>
      <c r="V26" t="n">
        <v>1.200092096883633e+16</v>
      </c>
      <c r="W26" t="n">
        <v>1952.860279</v>
      </c>
      <c r="X26" t="n">
        <v>2905.365711</v>
      </c>
      <c r="Y26" t="n">
        <v>100.995238</v>
      </c>
      <c r="Z26" t="n">
        <v>213.779019</v>
      </c>
    </row>
    <row r="27" ht="21" customHeight="1">
      <c r="A27" t="inlineStr">
        <is>
          <t>Anguilliformes</t>
        </is>
      </c>
      <c r="B27" t="n">
        <v>3.89</v>
      </c>
      <c r="C27" t="n">
        <v>776.247117</v>
      </c>
      <c r="D27" s="10" t="inlineStr">
        <is>
          <t>2 L pisc | 3 L pisc</t>
        </is>
      </c>
      <c r="E27" t="n">
        <v>276.665746</v>
      </c>
      <c r="F27" t="n">
        <v>1671.644897</v>
      </c>
      <c r="G27" t="n">
        <v>968.768055</v>
      </c>
      <c r="H27" t="n">
        <v>4318.024466</v>
      </c>
      <c r="I27" t="n">
        <v>1003.379133</v>
      </c>
      <c r="J27" t="n">
        <v>1189.735453</v>
      </c>
      <c r="K27" t="n">
        <v>1070.761907</v>
      </c>
      <c r="L27" t="n">
        <v>3541.417618</v>
      </c>
      <c r="M27" t="n">
        <v>3541.417618</v>
      </c>
      <c r="N27" t="n">
        <v>3541.417618</v>
      </c>
      <c r="O27" t="n">
        <v>2538.082167</v>
      </c>
      <c r="P27" t="n">
        <v>681.673862</v>
      </c>
      <c r="Q27" t="n">
        <v>3541.417618</v>
      </c>
      <c r="R27" t="n">
        <v>62682.288429</v>
      </c>
      <c r="S27" t="n">
        <v>2538.082167</v>
      </c>
      <c r="T27" t="n">
        <v>4712584.866078</v>
      </c>
      <c r="U27" t="n">
        <v>681.673862</v>
      </c>
      <c r="V27" t="n">
        <v>8783084984.919691</v>
      </c>
      <c r="W27" t="n">
        <v>4084.080603</v>
      </c>
      <c r="X27" t="n">
        <v>4708.141648</v>
      </c>
      <c r="Y27" t="n">
        <v>198.988407</v>
      </c>
      <c r="Z27" t="n">
        <v>443.151943</v>
      </c>
    </row>
    <row r="28" ht="21" customHeight="1">
      <c r="A28" t="inlineStr">
        <is>
          <t>Decapoda</t>
        </is>
      </c>
      <c r="B28" t="n">
        <v>3.43</v>
      </c>
      <c r="C28" t="n">
        <v>269.15348</v>
      </c>
      <c r="D28" s="10" t="inlineStr">
        <is>
          <t>2 Crustaceans | 3 Crustaceans</t>
        </is>
      </c>
      <c r="E28" t="n">
        <v>276.665746</v>
      </c>
      <c r="F28" t="n">
        <v>87.346446</v>
      </c>
      <c r="G28" t="n">
        <v>62.825827</v>
      </c>
      <c r="H28" t="n">
        <v>62.583797</v>
      </c>
      <c r="I28" t="n">
        <v>49.059783</v>
      </c>
      <c r="J28" t="n">
        <v>49.059783</v>
      </c>
      <c r="K28" t="n">
        <v>45.848307</v>
      </c>
      <c r="L28" t="n">
        <v>88.61683499999999</v>
      </c>
      <c r="M28" t="n">
        <v>88.61683499999999</v>
      </c>
      <c r="N28" t="n">
        <v>88.61683499999999</v>
      </c>
      <c r="O28" t="n">
        <v>112.736869</v>
      </c>
      <c r="P28" t="n">
        <v>69.749027</v>
      </c>
      <c r="Q28" t="n">
        <v>88.61683499999999</v>
      </c>
      <c r="R28" t="n">
        <v>88.61683499999999</v>
      </c>
      <c r="S28" t="n">
        <v>112.736869</v>
      </c>
      <c r="T28" t="n">
        <v>18.000131</v>
      </c>
      <c r="U28" t="n">
        <v>69.749027</v>
      </c>
      <c r="V28" t="n">
        <v>77.336753</v>
      </c>
      <c r="W28" t="n">
        <v>138.030843</v>
      </c>
      <c r="X28" t="n">
        <v>98.46392899999999</v>
      </c>
      <c r="Y28" t="n">
        <v>24.163479</v>
      </c>
      <c r="Z28" t="n">
        <v>23.495104</v>
      </c>
    </row>
    <row r="29" ht="21" customHeight="1">
      <c r="A29" t="inlineStr">
        <is>
          <t>Megalaspis cordyla</t>
        </is>
      </c>
      <c r="B29" t="n">
        <v>4.24</v>
      </c>
      <c r="C29" t="n">
        <v>1737.800829</v>
      </c>
      <c r="D29" s="10" t="inlineStr">
        <is>
          <t>2 Carangids | 3 Carangids</t>
        </is>
      </c>
      <c r="E29" t="n">
        <v>276.665746</v>
      </c>
      <c r="F29" t="n">
        <v>1047.559324</v>
      </c>
      <c r="G29" t="n">
        <v>629.821299</v>
      </c>
      <c r="H29" t="n">
        <v>2236.955926</v>
      </c>
      <c r="I29" t="n">
        <v>640.844159</v>
      </c>
      <c r="J29" t="n">
        <v>754.590569</v>
      </c>
      <c r="K29" t="n">
        <v>726.430521</v>
      </c>
      <c r="L29" t="n">
        <v>2160.134294</v>
      </c>
      <c r="M29" t="n">
        <v>2160.134294</v>
      </c>
      <c r="N29" t="n">
        <v>2160.134294</v>
      </c>
      <c r="O29" t="n">
        <v>1714.41623</v>
      </c>
      <c r="P29" t="n">
        <v>507.780375</v>
      </c>
      <c r="Q29" t="n">
        <v>2160.134294</v>
      </c>
      <c r="R29" t="n">
        <v>1795384.471462</v>
      </c>
      <c r="S29" t="n">
        <v>1714.41623</v>
      </c>
      <c r="T29" t="n">
        <v>15523021.978962</v>
      </c>
      <c r="U29" t="n">
        <v>507.780375</v>
      </c>
      <c r="V29" t="n">
        <v>361623540.311127</v>
      </c>
      <c r="W29" t="n">
        <v>2798.965662</v>
      </c>
      <c r="X29" t="n">
        <v>2890.070964</v>
      </c>
      <c r="Y29" t="n">
        <v>143.6356</v>
      </c>
      <c r="Z29" t="n">
        <v>293.771321</v>
      </c>
    </row>
    <row r="30" ht="21" customHeight="1">
      <c r="A30" t="inlineStr">
        <is>
          <t>Pampus argenteus</t>
        </is>
      </c>
      <c r="B30" t="n">
        <v>3.3</v>
      </c>
      <c r="C30" t="n">
        <v>199.526231</v>
      </c>
      <c r="D30" s="10" t="inlineStr">
        <is>
          <t>2 SM inv | 3 SM inv</t>
        </is>
      </c>
      <c r="E30" t="n">
        <v>276.665746</v>
      </c>
      <c r="F30" t="n">
        <v>195.237034</v>
      </c>
      <c r="G30" t="n">
        <v>132.430212</v>
      </c>
      <c r="H30" t="n">
        <v>264.43232</v>
      </c>
      <c r="I30" t="n">
        <v>118.903546</v>
      </c>
      <c r="J30" t="n">
        <v>136.120138</v>
      </c>
      <c r="K30" t="n">
        <v>127.344134</v>
      </c>
      <c r="L30" t="n">
        <v>358.382548</v>
      </c>
      <c r="M30" t="n">
        <v>358.382548</v>
      </c>
      <c r="N30" t="n">
        <v>358.382548</v>
      </c>
      <c r="O30" t="n">
        <v>341.399299</v>
      </c>
      <c r="P30" t="n">
        <v>140.115469</v>
      </c>
      <c r="Q30" t="n">
        <v>358.382548</v>
      </c>
      <c r="R30" t="n">
        <v>6457.458436</v>
      </c>
      <c r="S30" t="n">
        <v>341.399299</v>
      </c>
      <c r="T30" t="n">
        <v>179529.737596</v>
      </c>
      <c r="U30" t="n">
        <v>140.115469</v>
      </c>
      <c r="V30" t="n">
        <v>-303793.842089</v>
      </c>
      <c r="W30" t="n">
        <v>574.006718</v>
      </c>
      <c r="X30" t="n">
        <v>502.703783</v>
      </c>
      <c r="Y30" t="n">
        <v>42.955466</v>
      </c>
      <c r="Z30" t="n">
        <v>65.030467</v>
      </c>
    </row>
    <row r="31" ht="21" customHeight="1">
      <c r="A31" t="inlineStr">
        <is>
          <t>Bivalvia</t>
        </is>
      </c>
      <c r="B31" t="n">
        <v>2.23</v>
      </c>
      <c r="C31" t="n">
        <v>16.982437</v>
      </c>
      <c r="D31" s="10" t="inlineStr">
        <is>
          <t>2 Macrobenthos | 3 Macrobenthos</t>
        </is>
      </c>
      <c r="E31" t="n">
        <v>276.665746</v>
      </c>
      <c r="F31" t="n">
        <v>43.212782</v>
      </c>
      <c r="G31" t="n">
        <v>32.623281</v>
      </c>
      <c r="H31" t="n">
        <v>41.368719</v>
      </c>
      <c r="I31" t="n">
        <v>34.461512</v>
      </c>
      <c r="J31" t="n">
        <v>34.461512</v>
      </c>
      <c r="K31" t="n">
        <v>31.432014</v>
      </c>
      <c r="L31" t="n">
        <v>106.719149</v>
      </c>
      <c r="M31" t="n">
        <v>106.719149</v>
      </c>
      <c r="N31" t="n">
        <v>106.719149</v>
      </c>
      <c r="O31" t="n">
        <v>113.412456</v>
      </c>
      <c r="P31" t="n">
        <v>57.717594</v>
      </c>
      <c r="Q31" t="n">
        <v>106.719149</v>
      </c>
      <c r="R31" t="n">
        <v>106.719149</v>
      </c>
      <c r="S31" t="n">
        <v>113.412456</v>
      </c>
      <c r="T31" t="n">
        <v>25.029149</v>
      </c>
      <c r="U31" t="n">
        <v>57.717594</v>
      </c>
      <c r="V31" t="n">
        <v>63.584441</v>
      </c>
      <c r="W31" t="n">
        <v>206.884057</v>
      </c>
      <c r="X31" t="n">
        <v>165.070073</v>
      </c>
      <c r="Y31" t="n">
        <v>14.477738</v>
      </c>
      <c r="Z31" t="n">
        <v>16.337529</v>
      </c>
    </row>
    <row r="32" ht="21" customHeight="1">
      <c r="A32" t="inlineStr">
        <is>
          <t>Cephalopoda</t>
        </is>
      </c>
      <c r="B32" t="n">
        <v>3.81</v>
      </c>
      <c r="C32" t="n">
        <v>645.654229</v>
      </c>
      <c r="D32" s="10" t="inlineStr">
        <is>
          <t>Cephalopods</t>
        </is>
      </c>
      <c r="E32" t="n">
        <v>276.665746</v>
      </c>
      <c r="F32" t="n">
        <v>990.119511</v>
      </c>
      <c r="G32" t="n">
        <v>598.369015</v>
      </c>
      <c r="H32" t="n">
        <v>1346.233095</v>
      </c>
      <c r="I32" t="n">
        <v>376.93677</v>
      </c>
      <c r="J32" t="n">
        <v>457.544762</v>
      </c>
      <c r="K32" t="n">
        <v>411.790286</v>
      </c>
      <c r="L32" t="n">
        <v>1154.79452</v>
      </c>
      <c r="M32" t="n">
        <v>1154.79452</v>
      </c>
      <c r="N32" t="n">
        <v>1154.79452</v>
      </c>
      <c r="O32" t="n">
        <v>883.361743</v>
      </c>
      <c r="P32" t="n">
        <v>288.682294</v>
      </c>
      <c r="Q32" t="n">
        <v>1154.79452</v>
      </c>
      <c r="R32" t="n">
        <v>-29810.748817</v>
      </c>
      <c r="S32" t="n">
        <v>883.361743</v>
      </c>
      <c r="T32" t="n">
        <v>-4388.856367</v>
      </c>
      <c r="U32" t="n">
        <v>288.682294</v>
      </c>
      <c r="V32" t="n">
        <v>-67924.848461</v>
      </c>
      <c r="W32" t="n">
        <v>1393.755014</v>
      </c>
      <c r="X32" t="n">
        <v>1512.277541</v>
      </c>
      <c r="Y32" t="n">
        <v>138.403273</v>
      </c>
      <c r="Z32" t="n">
        <v>209.32439</v>
      </c>
    </row>
    <row r="33" ht="21" customHeight="1">
      <c r="A33" t="inlineStr">
        <is>
          <t>Cephea</t>
        </is>
      </c>
      <c r="B33" t="n">
        <v>3.46</v>
      </c>
      <c r="C33" t="n">
        <v>288.40315</v>
      </c>
      <c r="D33" s="10" t="inlineStr">
        <is>
          <t>Jellyfish</t>
        </is>
      </c>
      <c r="E33" t="n">
        <v>276.665746</v>
      </c>
      <c r="F33" t="n">
        <v>100</v>
      </c>
      <c r="G33" t="n">
        <v>71.445972</v>
      </c>
      <c r="H33" t="n">
        <v>71.445972</v>
      </c>
      <c r="I33" t="n">
        <v>392.817059</v>
      </c>
      <c r="J33" t="n">
        <v>392.817059</v>
      </c>
      <c r="K33" t="n">
        <v>25.925926</v>
      </c>
      <c r="L33" t="n">
        <v>392.817059</v>
      </c>
      <c r="M33" t="n">
        <v>392.817059</v>
      </c>
      <c r="N33" t="n">
        <v>392.817059</v>
      </c>
      <c r="O33" t="n">
        <v>15.555556</v>
      </c>
      <c r="P33" t="n">
        <v>9.955556</v>
      </c>
      <c r="Q33" t="n">
        <v>392.817059</v>
      </c>
      <c r="R33" t="n">
        <v>392.817059</v>
      </c>
      <c r="S33" t="n">
        <v>15.555556</v>
      </c>
      <c r="T33" t="n">
        <v>15.555556</v>
      </c>
      <c r="U33" t="n">
        <v>9.955556</v>
      </c>
      <c r="V33" t="n">
        <v>9.955556</v>
      </c>
      <c r="W33" t="n">
        <v>15.908519</v>
      </c>
      <c r="X33" t="n">
        <v>405.819791</v>
      </c>
      <c r="Y33" t="n">
        <v>26.883496</v>
      </c>
      <c r="Z33" t="n">
        <v>26.883496</v>
      </c>
    </row>
    <row r="34" ht="21" customHeight="1">
      <c r="A34" t="inlineStr">
        <is>
          <t>Miscellaneous marine crustaceans</t>
        </is>
      </c>
      <c r="B34" t="n">
        <v>2.7</v>
      </c>
      <c r="C34" t="n">
        <v>50.118723</v>
      </c>
      <c r="D34" s="10" t="inlineStr">
        <is>
          <t>2 Crustaceans | 3 Crustaceans</t>
        </is>
      </c>
      <c r="E34" t="n">
        <v>276.665746</v>
      </c>
      <c r="F34" t="n">
        <v>87.346446</v>
      </c>
      <c r="G34" t="n">
        <v>62.825827</v>
      </c>
      <c r="H34" t="n">
        <v>62.583797</v>
      </c>
      <c r="I34" t="n">
        <v>49.059783</v>
      </c>
      <c r="J34" t="n">
        <v>49.059783</v>
      </c>
      <c r="K34" t="n">
        <v>45.848307</v>
      </c>
      <c r="L34" t="n">
        <v>88.61683499999999</v>
      </c>
      <c r="M34" t="n">
        <v>88.61683499999999</v>
      </c>
      <c r="N34" t="n">
        <v>88.61683499999999</v>
      </c>
      <c r="O34" t="n">
        <v>112.736869</v>
      </c>
      <c r="P34" t="n">
        <v>69.749027</v>
      </c>
      <c r="Q34" t="n">
        <v>88.61683499999999</v>
      </c>
      <c r="R34" t="n">
        <v>88.61683499999999</v>
      </c>
      <c r="S34" t="n">
        <v>112.736869</v>
      </c>
      <c r="T34" t="n">
        <v>18.000131</v>
      </c>
      <c r="U34" t="n">
        <v>69.749027</v>
      </c>
      <c r="V34" t="n">
        <v>77.336753</v>
      </c>
      <c r="W34" t="n">
        <v>138.030843</v>
      </c>
      <c r="X34" t="n">
        <v>98.46392899999999</v>
      </c>
      <c r="Y34" t="n">
        <v>24.163479</v>
      </c>
      <c r="Z34" t="n">
        <v>23.495104</v>
      </c>
    </row>
    <row r="35" ht="21" customHeight="1">
      <c r="A35" t="inlineStr">
        <is>
          <t>Scomberomorus</t>
        </is>
      </c>
      <c r="B35" t="n">
        <v>4.35</v>
      </c>
      <c r="C35" t="n">
        <v>2238.721139</v>
      </c>
      <c r="D35" s="10" t="inlineStr">
        <is>
          <t>Coastal scombrids</t>
        </is>
      </c>
      <c r="E35" t="n">
        <v>276.665746</v>
      </c>
      <c r="F35" t="n">
        <v>2151.411916</v>
      </c>
      <c r="G35" t="n">
        <v>1228.563684</v>
      </c>
      <c r="H35" t="n">
        <v>5446.035641</v>
      </c>
      <c r="I35" t="n">
        <v>1745.735548</v>
      </c>
      <c r="J35" t="n">
        <v>2057.857337</v>
      </c>
      <c r="K35" t="n">
        <v>1230.598688</v>
      </c>
      <c r="L35" t="n">
        <v>5797.992045</v>
      </c>
      <c r="M35" t="n">
        <v>5797.992045</v>
      </c>
      <c r="N35" t="n">
        <v>5797.992045</v>
      </c>
      <c r="O35" t="n">
        <v>2888.86016</v>
      </c>
      <c r="P35" t="n">
        <v>773.406711</v>
      </c>
      <c r="Q35" t="n">
        <v>5797.992045</v>
      </c>
      <c r="R35" t="n">
        <v>16253842.87507</v>
      </c>
      <c r="S35" t="n">
        <v>2888.86016</v>
      </c>
      <c r="T35" t="n">
        <v>-18404050.091193</v>
      </c>
      <c r="U35" t="n">
        <v>773.406711</v>
      </c>
      <c r="V35" t="n">
        <v>4.487680113340224e+16</v>
      </c>
      <c r="W35" t="n">
        <v>4648.847098</v>
      </c>
      <c r="X35" t="n">
        <v>7907.299162</v>
      </c>
      <c r="Y35" t="n">
        <v>241.012964</v>
      </c>
      <c r="Z35" t="n">
        <v>536.33742</v>
      </c>
    </row>
    <row r="36" ht="21" customHeight="1">
      <c r="A36" t="inlineStr">
        <is>
          <t>Platycephalidae</t>
        </is>
      </c>
      <c r="B36" t="n">
        <v>3.9</v>
      </c>
      <c r="C36" t="n">
        <v>794.3282349999999</v>
      </c>
      <c r="D36" s="10" t="inlineStr">
        <is>
          <t>2 L pisc | 3 L pisc</t>
        </is>
      </c>
      <c r="E36" t="n">
        <v>276.665746</v>
      </c>
      <c r="F36" t="n">
        <v>1671.644897</v>
      </c>
      <c r="G36" t="n">
        <v>968.768055</v>
      </c>
      <c r="H36" t="n">
        <v>4318.024466</v>
      </c>
      <c r="I36" t="n">
        <v>1003.379133</v>
      </c>
      <c r="J36" t="n">
        <v>1189.735453</v>
      </c>
      <c r="K36" t="n">
        <v>1070.761907</v>
      </c>
      <c r="L36" t="n">
        <v>3541.417618</v>
      </c>
      <c r="M36" t="n">
        <v>3541.417618</v>
      </c>
      <c r="N36" t="n">
        <v>3541.417618</v>
      </c>
      <c r="O36" t="n">
        <v>2538.082167</v>
      </c>
      <c r="P36" t="n">
        <v>681.673862</v>
      </c>
      <c r="Q36" t="n">
        <v>3541.417618</v>
      </c>
      <c r="R36" t="n">
        <v>62682.288429</v>
      </c>
      <c r="S36" t="n">
        <v>2538.082167</v>
      </c>
      <c r="T36" t="n">
        <v>4712584.866078</v>
      </c>
      <c r="U36" t="n">
        <v>681.673862</v>
      </c>
      <c r="V36" t="n">
        <v>8783084984.919691</v>
      </c>
      <c r="W36" t="n">
        <v>4084.080603</v>
      </c>
      <c r="X36" t="n">
        <v>4708.141648</v>
      </c>
      <c r="Y36" t="n">
        <v>198.988407</v>
      </c>
      <c r="Z36" t="n">
        <v>443.151943</v>
      </c>
    </row>
    <row r="37" ht="21" customHeight="1">
      <c r="A37" t="inlineStr">
        <is>
          <t>Selaroides leptolepis</t>
        </is>
      </c>
      <c r="B37" t="n">
        <v>3.84</v>
      </c>
      <c r="C37" t="n">
        <v>691.830971</v>
      </c>
      <c r="D37" s="10" t="inlineStr">
        <is>
          <t>2 SM inv | 3 SM inv</t>
        </is>
      </c>
      <c r="E37" t="n">
        <v>276.665746</v>
      </c>
      <c r="F37" t="n">
        <v>195.237034</v>
      </c>
      <c r="G37" t="n">
        <v>132.430212</v>
      </c>
      <c r="H37" t="n">
        <v>264.43232</v>
      </c>
      <c r="I37" t="n">
        <v>118.903546</v>
      </c>
      <c r="J37" t="n">
        <v>136.120138</v>
      </c>
      <c r="K37" t="n">
        <v>127.344134</v>
      </c>
      <c r="L37" t="n">
        <v>358.382548</v>
      </c>
      <c r="M37" t="n">
        <v>358.382548</v>
      </c>
      <c r="N37" t="n">
        <v>358.382548</v>
      </c>
      <c r="O37" t="n">
        <v>341.399299</v>
      </c>
      <c r="P37" t="n">
        <v>140.115469</v>
      </c>
      <c r="Q37" t="n">
        <v>358.382548</v>
      </c>
      <c r="R37" t="n">
        <v>6457.458436</v>
      </c>
      <c r="S37" t="n">
        <v>341.399299</v>
      </c>
      <c r="T37" t="n">
        <v>179529.737596</v>
      </c>
      <c r="U37" t="n">
        <v>140.115469</v>
      </c>
      <c r="V37" t="n">
        <v>-303793.842089</v>
      </c>
      <c r="W37" t="n">
        <v>574.006718</v>
      </c>
      <c r="X37" t="n">
        <v>502.703783</v>
      </c>
      <c r="Y37" t="n">
        <v>42.955466</v>
      </c>
      <c r="Z37" t="n">
        <v>65.030467</v>
      </c>
    </row>
    <row r="38" ht="21" customHeight="1">
      <c r="A38" t="inlineStr">
        <is>
          <t>Parastromateus niger</t>
        </is>
      </c>
      <c r="B38" t="n">
        <v>2.93</v>
      </c>
      <c r="C38" t="n">
        <v>85.113804</v>
      </c>
      <c r="D38" s="10" t="inlineStr">
        <is>
          <t>2 Carangids | 3 Carangids</t>
        </is>
      </c>
      <c r="E38" t="n">
        <v>276.665746</v>
      </c>
      <c r="F38" t="n">
        <v>1047.559324</v>
      </c>
      <c r="G38" t="n">
        <v>629.821299</v>
      </c>
      <c r="H38" t="n">
        <v>2236.955926</v>
      </c>
      <c r="I38" t="n">
        <v>640.844159</v>
      </c>
      <c r="J38" t="n">
        <v>754.590569</v>
      </c>
      <c r="K38" t="n">
        <v>726.430521</v>
      </c>
      <c r="L38" t="n">
        <v>2160.134294</v>
      </c>
      <c r="M38" t="n">
        <v>2160.134294</v>
      </c>
      <c r="N38" t="n">
        <v>2160.134294</v>
      </c>
      <c r="O38" t="n">
        <v>1714.41623</v>
      </c>
      <c r="P38" t="n">
        <v>507.780375</v>
      </c>
      <c r="Q38" t="n">
        <v>2160.134294</v>
      </c>
      <c r="R38" t="n">
        <v>1795384.471462</v>
      </c>
      <c r="S38" t="n">
        <v>1714.41623</v>
      </c>
      <c r="T38" t="n">
        <v>15523021.978962</v>
      </c>
      <c r="U38" t="n">
        <v>507.780375</v>
      </c>
      <c r="V38" t="n">
        <v>361623540.311127</v>
      </c>
      <c r="W38" t="n">
        <v>2798.965662</v>
      </c>
      <c r="X38" t="n">
        <v>2890.070964</v>
      </c>
      <c r="Y38" t="n">
        <v>143.6356</v>
      </c>
      <c r="Z38" t="n">
        <v>293.771321</v>
      </c>
    </row>
    <row r="39" ht="21" customHeight="1">
      <c r="A39" t="inlineStr">
        <is>
          <t>Nemipterus</t>
        </is>
      </c>
      <c r="B39" t="n">
        <v>3.72</v>
      </c>
      <c r="C39" t="n">
        <v>524.80746</v>
      </c>
      <c r="D39" s="10" t="inlineStr">
        <is>
          <t>2 SM pisc | 3 SM pisc</t>
        </is>
      </c>
      <c r="E39" t="n">
        <v>276.665746</v>
      </c>
      <c r="F39" t="n">
        <v>735.917019</v>
      </c>
      <c r="G39" t="n">
        <v>452.492682</v>
      </c>
      <c r="H39" t="n">
        <v>682.111639</v>
      </c>
      <c r="I39" t="n">
        <v>235.466475</v>
      </c>
      <c r="J39" t="n">
        <v>314.21941</v>
      </c>
      <c r="K39" t="n">
        <v>298.50844</v>
      </c>
      <c r="L39" t="n">
        <v>954.7607</v>
      </c>
      <c r="M39" t="n">
        <v>954.7607</v>
      </c>
      <c r="N39" t="n">
        <v>954.7607</v>
      </c>
      <c r="O39" t="n">
        <v>843.56575</v>
      </c>
      <c r="P39" t="n">
        <v>294.060389</v>
      </c>
      <c r="Q39" t="n">
        <v>954.7607</v>
      </c>
      <c r="R39" t="n">
        <v>9873.492876</v>
      </c>
      <c r="S39" t="n">
        <v>843.56575</v>
      </c>
      <c r="T39" t="n">
        <v>671288.666809</v>
      </c>
      <c r="U39" t="n">
        <v>294.060389</v>
      </c>
      <c r="V39" t="n">
        <v>-16862660.627203</v>
      </c>
      <c r="W39" t="n">
        <v>1324.31138</v>
      </c>
      <c r="X39" t="n">
        <v>1272.066649</v>
      </c>
      <c r="Y39" t="n">
        <v>110.428635</v>
      </c>
      <c r="Z39" t="n">
        <v>131.682702</v>
      </c>
    </row>
    <row r="40" ht="21" customHeight="1">
      <c r="A40" t="inlineStr">
        <is>
          <t>Chirocentrus</t>
        </is>
      </c>
      <c r="B40" t="n">
        <v>4.3</v>
      </c>
      <c r="C40" t="n">
        <v>1995.262315</v>
      </c>
      <c r="D40" s="10" t="inlineStr">
        <is>
          <t>2 L pisc | 3 L pisc</t>
        </is>
      </c>
      <c r="E40" t="n">
        <v>276.665746</v>
      </c>
      <c r="F40" t="n">
        <v>1671.644897</v>
      </c>
      <c r="G40" t="n">
        <v>968.768055</v>
      </c>
      <c r="H40" t="n">
        <v>4318.024466</v>
      </c>
      <c r="I40" t="n">
        <v>1003.379133</v>
      </c>
      <c r="J40" t="n">
        <v>1189.735453</v>
      </c>
      <c r="K40" t="n">
        <v>1070.761907</v>
      </c>
      <c r="L40" t="n">
        <v>3541.417618</v>
      </c>
      <c r="M40" t="n">
        <v>3541.417618</v>
      </c>
      <c r="N40" t="n">
        <v>3541.417618</v>
      </c>
      <c r="O40" t="n">
        <v>2538.082167</v>
      </c>
      <c r="P40" t="n">
        <v>681.673862</v>
      </c>
      <c r="Q40" t="n">
        <v>3541.417618</v>
      </c>
      <c r="R40" t="n">
        <v>62682.288429</v>
      </c>
      <c r="S40" t="n">
        <v>2538.082167</v>
      </c>
      <c r="T40" t="n">
        <v>4712584.866078</v>
      </c>
      <c r="U40" t="n">
        <v>681.673862</v>
      </c>
      <c r="V40" t="n">
        <v>8783084984.919691</v>
      </c>
      <c r="W40" t="n">
        <v>4084.080603</v>
      </c>
      <c r="X40" t="n">
        <v>4708.141648</v>
      </c>
      <c r="Y40" t="n">
        <v>198.988407</v>
      </c>
      <c r="Z40" t="n">
        <v>443.151943</v>
      </c>
    </row>
    <row r="41" ht="51" customHeight="1">
      <c r="A41" t="inlineStr">
        <is>
          <t>Siluriformes</t>
        </is>
      </c>
      <c r="B41" t="n">
        <v>3.48</v>
      </c>
      <c r="C41" t="n">
        <v>301.995172</v>
      </c>
      <c r="D41" s="10" t="inlineStr">
        <is>
          <t>2 Milkfish plus | 3 Milkfish plus | 2 SM inv | 3 SM inv | 2 SM pisc | 3 SM pisc</t>
        </is>
      </c>
      <c r="E41" t="n">
        <v>276.665746</v>
      </c>
      <c r="F41" t="n">
        <v>434.537025</v>
      </c>
      <c r="G41" t="n">
        <v>274.456865</v>
      </c>
      <c r="H41" t="n">
        <v>467.540928</v>
      </c>
      <c r="I41" t="n">
        <v>178.996195</v>
      </c>
      <c r="J41" t="n">
        <v>232.411532</v>
      </c>
      <c r="K41" t="n">
        <v>218.462335</v>
      </c>
      <c r="L41" t="n">
        <v>656.241385</v>
      </c>
      <c r="M41" t="n">
        <v>656.241385</v>
      </c>
      <c r="N41" t="n">
        <v>656.241385</v>
      </c>
      <c r="O41" t="n">
        <v>587.109347</v>
      </c>
      <c r="P41" t="n">
        <v>216.440558</v>
      </c>
      <c r="Q41" t="n">
        <v>656.241385</v>
      </c>
      <c r="R41" t="n">
        <v>26798.956363</v>
      </c>
      <c r="S41" t="n">
        <v>587.109347</v>
      </c>
      <c r="T41" t="n">
        <v>535599.651461</v>
      </c>
      <c r="U41" t="n">
        <v>216.440558</v>
      </c>
      <c r="V41" t="n">
        <v>-11352928.932538</v>
      </c>
      <c r="W41" t="n">
        <v>947.526396</v>
      </c>
      <c r="X41" t="n">
        <v>892.261318</v>
      </c>
      <c r="Y41" t="n">
        <v>73.124354</v>
      </c>
      <c r="Z41" t="n">
        <v>96.14451099999999</v>
      </c>
    </row>
    <row r="42" ht="21" customHeight="1">
      <c r="A42" t="inlineStr">
        <is>
          <t>Dendrobranchiata</t>
        </is>
      </c>
      <c r="B42" t="n">
        <v>3.24</v>
      </c>
      <c r="C42" t="n">
        <v>173.780083</v>
      </c>
      <c r="D42" s="10" t="inlineStr">
        <is>
          <t>2 Crustaceans | 3 Crustaceans</t>
        </is>
      </c>
      <c r="E42" t="n">
        <v>276.665746</v>
      </c>
      <c r="F42" t="n">
        <v>87.346446</v>
      </c>
      <c r="G42" t="n">
        <v>62.825827</v>
      </c>
      <c r="H42" t="n">
        <v>62.583797</v>
      </c>
      <c r="I42" t="n">
        <v>49.059783</v>
      </c>
      <c r="J42" t="n">
        <v>49.059783</v>
      </c>
      <c r="K42" t="n">
        <v>45.848307</v>
      </c>
      <c r="L42" t="n">
        <v>88.61683499999999</v>
      </c>
      <c r="M42" t="n">
        <v>88.61683499999999</v>
      </c>
      <c r="N42" t="n">
        <v>88.61683499999999</v>
      </c>
      <c r="O42" t="n">
        <v>112.736869</v>
      </c>
      <c r="P42" t="n">
        <v>69.749027</v>
      </c>
      <c r="Q42" t="n">
        <v>88.61683499999999</v>
      </c>
      <c r="R42" t="n">
        <v>88.61683499999999</v>
      </c>
      <c r="S42" t="n">
        <v>112.736869</v>
      </c>
      <c r="T42" t="n">
        <v>18.000131</v>
      </c>
      <c r="U42" t="n">
        <v>69.749027</v>
      </c>
      <c r="V42" t="n">
        <v>77.336753</v>
      </c>
      <c r="W42" t="n">
        <v>138.030843</v>
      </c>
      <c r="X42" t="n">
        <v>98.46392899999999</v>
      </c>
      <c r="Y42" t="n">
        <v>24.163479</v>
      </c>
      <c r="Z42" t="n">
        <v>23.495104</v>
      </c>
    </row>
    <row r="43" ht="21" customHeight="1">
      <c r="A43" t="inlineStr">
        <is>
          <t>Pennahia</t>
        </is>
      </c>
      <c r="B43" t="n">
        <v>3.73</v>
      </c>
      <c r="C43" t="n">
        <v>537.031796</v>
      </c>
      <c r="D43" s="10" t="inlineStr">
        <is>
          <t>2 L pisc comm | 3 L pisc comm</t>
        </is>
      </c>
      <c r="E43" t="n">
        <v>276.665746</v>
      </c>
      <c r="F43" t="n">
        <v>942.008432</v>
      </c>
      <c r="G43" t="n">
        <v>569.455705</v>
      </c>
      <c r="H43" t="n">
        <v>2133.059221</v>
      </c>
      <c r="I43" t="n">
        <v>640.2845610000001</v>
      </c>
      <c r="J43" t="n">
        <v>809.484635</v>
      </c>
      <c r="K43" t="n">
        <v>735.551234</v>
      </c>
      <c r="L43" t="n">
        <v>2161.417589</v>
      </c>
      <c r="M43" t="n">
        <v>2161.417589</v>
      </c>
      <c r="N43" t="n">
        <v>2161.417589</v>
      </c>
      <c r="O43" t="n">
        <v>1596.841335</v>
      </c>
      <c r="P43" t="n">
        <v>484.191698</v>
      </c>
      <c r="Q43" t="n">
        <v>2161.417589</v>
      </c>
      <c r="R43" t="n">
        <v>-1566538.678845</v>
      </c>
      <c r="S43" t="n">
        <v>1596.841335</v>
      </c>
      <c r="T43" t="n">
        <v>18720614.545483</v>
      </c>
      <c r="U43" t="n">
        <v>484.191698</v>
      </c>
      <c r="V43" t="n">
        <v>-729589570.314726</v>
      </c>
      <c r="W43" t="n">
        <v>2521.687387</v>
      </c>
      <c r="X43" t="n">
        <v>2846.929567</v>
      </c>
      <c r="Y43" t="n">
        <v>132.205276</v>
      </c>
      <c r="Z43" t="n">
        <v>267.422877</v>
      </c>
    </row>
    <row r="44" ht="21" customHeight="1">
      <c r="A44" t="inlineStr">
        <is>
          <t>Trichiuridae</t>
        </is>
      </c>
      <c r="B44" t="n">
        <v>4.15</v>
      </c>
      <c r="C44" t="n">
        <v>1412.537545</v>
      </c>
      <c r="D44" s="10" t="inlineStr">
        <is>
          <t>2 L pisc | 3 L pisc</t>
        </is>
      </c>
      <c r="E44" t="n">
        <v>276.665746</v>
      </c>
      <c r="F44" t="n">
        <v>1671.644897</v>
      </c>
      <c r="G44" t="n">
        <v>968.768055</v>
      </c>
      <c r="H44" t="n">
        <v>4318.024466</v>
      </c>
      <c r="I44" t="n">
        <v>1003.379133</v>
      </c>
      <c r="J44" t="n">
        <v>1189.735453</v>
      </c>
      <c r="K44" t="n">
        <v>1070.761907</v>
      </c>
      <c r="L44" t="n">
        <v>3541.417618</v>
      </c>
      <c r="M44" t="n">
        <v>3541.417618</v>
      </c>
      <c r="N44" t="n">
        <v>3541.417618</v>
      </c>
      <c r="O44" t="n">
        <v>2538.082167</v>
      </c>
      <c r="P44" t="n">
        <v>681.673862</v>
      </c>
      <c r="Q44" t="n">
        <v>3541.417618</v>
      </c>
      <c r="R44" t="n">
        <v>62682.288429</v>
      </c>
      <c r="S44" t="n">
        <v>2538.082167</v>
      </c>
      <c r="T44" t="n">
        <v>4712584.866078</v>
      </c>
      <c r="U44" t="n">
        <v>681.673862</v>
      </c>
      <c r="V44" t="n">
        <v>8783084984.919691</v>
      </c>
      <c r="W44" t="n">
        <v>4084.080603</v>
      </c>
      <c r="X44" t="n">
        <v>4708.141648</v>
      </c>
      <c r="Y44" t="n">
        <v>198.988407</v>
      </c>
      <c r="Z44" t="n">
        <v>443.151943</v>
      </c>
    </row>
    <row r="45" ht="51" customHeight="1">
      <c r="A45" t="inlineStr">
        <is>
          <t>Perciformes</t>
        </is>
      </c>
      <c r="B45" t="n">
        <v>3.53</v>
      </c>
      <c r="C45" t="n">
        <v>338.844156</v>
      </c>
      <c r="D45" s="10" t="inlineStr">
        <is>
          <t>2 L pisc comm | 3 L pisc comm | 2 SM pisc | 3 SM pisc | 2 SM inv | 3 SM inv | 2 L pisc | 3 L pisc</t>
        </is>
      </c>
      <c r="E45" t="n">
        <v>276.665746</v>
      </c>
      <c r="F45" t="n">
        <v>624.960598</v>
      </c>
      <c r="G45" t="n">
        <v>381.961857</v>
      </c>
      <c r="H45" t="n">
        <v>1068.300026</v>
      </c>
      <c r="I45" t="n">
        <v>314.979273</v>
      </c>
      <c r="J45" t="n">
        <v>388.408621</v>
      </c>
      <c r="K45" t="n">
        <v>357.717815</v>
      </c>
      <c r="L45" t="n">
        <v>1115.276449</v>
      </c>
      <c r="M45" t="n">
        <v>1115.276449</v>
      </c>
      <c r="N45" t="n">
        <v>1115.276449</v>
      </c>
      <c r="O45" t="n">
        <v>895.21514</v>
      </c>
      <c r="P45" t="n">
        <v>290.427396</v>
      </c>
      <c r="Q45" t="n">
        <v>1115.276449</v>
      </c>
      <c r="R45" t="n">
        <v>-154510.891293</v>
      </c>
      <c r="S45" t="n">
        <v>895.21514</v>
      </c>
      <c r="T45" t="n">
        <v>2849498.538046</v>
      </c>
      <c r="U45" t="n">
        <v>290.427396</v>
      </c>
      <c r="V45" t="n">
        <v>921560877.008407</v>
      </c>
      <c r="W45" t="n">
        <v>1435.278723</v>
      </c>
      <c r="X45" t="n">
        <v>1492.441277</v>
      </c>
      <c r="Y45" t="n">
        <v>92.92978100000001</v>
      </c>
      <c r="Z45" t="n">
        <v>152.278856</v>
      </c>
    </row>
    <row r="46" ht="36" customHeight="1">
      <c r="A46" t="inlineStr">
        <is>
          <t>Odontamblyopus rubicundus</t>
        </is>
      </c>
      <c r="B46" t="n">
        <v>3.9</v>
      </c>
      <c r="C46" t="n">
        <v>794.3282349999999</v>
      </c>
      <c r="D46" s="10" t="inlineStr">
        <is>
          <t>2 SM inv | 3 SM inv | 2 SM pisc | 3 SM pisc</t>
        </is>
      </c>
      <c r="E46" t="n">
        <v>276.665746</v>
      </c>
      <c r="F46" t="n">
        <v>427.369702</v>
      </c>
      <c r="G46" t="n">
        <v>269.84413</v>
      </c>
      <c r="H46" t="n">
        <v>443.756536</v>
      </c>
      <c r="I46" t="n">
        <v>168.948054</v>
      </c>
      <c r="J46" t="n">
        <v>212.584332</v>
      </c>
      <c r="K46" t="n">
        <v>200.830906</v>
      </c>
      <c r="L46" t="n">
        <v>614.42837</v>
      </c>
      <c r="M46" t="n">
        <v>614.42837</v>
      </c>
      <c r="N46" t="n">
        <v>614.42837</v>
      </c>
      <c r="O46" t="n">
        <v>556.996771</v>
      </c>
      <c r="P46" t="n">
        <v>206.209362</v>
      </c>
      <c r="Q46" t="n">
        <v>614.42837</v>
      </c>
      <c r="R46" t="n">
        <v>7924.080486</v>
      </c>
      <c r="S46" t="n">
        <v>556.996771</v>
      </c>
      <c r="T46" t="n">
        <v>390658.899708</v>
      </c>
      <c r="U46" t="n">
        <v>206.209362</v>
      </c>
      <c r="V46" t="n">
        <v>-7413089.601009</v>
      </c>
      <c r="W46" t="n">
        <v>896.1385289999999</v>
      </c>
      <c r="X46" t="n">
        <v>833.0179419999999</v>
      </c>
      <c r="Y46" t="n">
        <v>71.924037</v>
      </c>
      <c r="Z46" t="n">
        <v>93.64658300000001</v>
      </c>
    </row>
    <row r="47" ht="21" customHeight="1">
      <c r="A47" t="inlineStr">
        <is>
          <t>Scomberomorus commerson</t>
        </is>
      </c>
      <c r="B47" t="n">
        <v>4.5</v>
      </c>
      <c r="C47" t="n">
        <v>3162.27766</v>
      </c>
      <c r="D47" s="10" t="inlineStr">
        <is>
          <t>Coastal scombrids</t>
        </is>
      </c>
      <c r="E47" t="n">
        <v>276.665746</v>
      </c>
      <c r="F47" t="n">
        <v>2151.411916</v>
      </c>
      <c r="G47" t="n">
        <v>1228.563684</v>
      </c>
      <c r="H47" t="n">
        <v>5446.035641</v>
      </c>
      <c r="I47" t="n">
        <v>1745.735548</v>
      </c>
      <c r="J47" t="n">
        <v>2057.857337</v>
      </c>
      <c r="K47" t="n">
        <v>1230.598688</v>
      </c>
      <c r="L47" t="n">
        <v>5797.992045</v>
      </c>
      <c r="M47" t="n">
        <v>5797.992045</v>
      </c>
      <c r="N47" t="n">
        <v>5797.992045</v>
      </c>
      <c r="O47" t="n">
        <v>2888.86016</v>
      </c>
      <c r="P47" t="n">
        <v>773.406711</v>
      </c>
      <c r="Q47" t="n">
        <v>5797.992045</v>
      </c>
      <c r="R47" t="n">
        <v>16253842.87507</v>
      </c>
      <c r="S47" t="n">
        <v>2888.86016</v>
      </c>
      <c r="T47" t="n">
        <v>-18404050.091193</v>
      </c>
      <c r="U47" t="n">
        <v>773.406711</v>
      </c>
      <c r="V47" t="n">
        <v>4.487680113340224e+16</v>
      </c>
      <c r="W47" t="n">
        <v>4648.847098</v>
      </c>
      <c r="X47" t="n">
        <v>7907.299162</v>
      </c>
      <c r="Y47" t="n">
        <v>241.012964</v>
      </c>
      <c r="Z47" t="n">
        <v>536.33742</v>
      </c>
    </row>
    <row r="48" ht="21" customHeight="1">
      <c r="A48" t="inlineStr">
        <is>
          <t>Saurida</t>
        </is>
      </c>
      <c r="B48" t="n">
        <v>4.35</v>
      </c>
      <c r="C48" t="n">
        <v>2238.721139</v>
      </c>
      <c r="D48" s="10" t="inlineStr">
        <is>
          <t>2 L pisc comm | 3 L pisc comm</t>
        </is>
      </c>
      <c r="E48" t="n">
        <v>276.665746</v>
      </c>
      <c r="F48" t="n">
        <v>942.008432</v>
      </c>
      <c r="G48" t="n">
        <v>569.455705</v>
      </c>
      <c r="H48" t="n">
        <v>2133.059221</v>
      </c>
      <c r="I48" t="n">
        <v>640.2845610000001</v>
      </c>
      <c r="J48" t="n">
        <v>809.484635</v>
      </c>
      <c r="K48" t="n">
        <v>735.551234</v>
      </c>
      <c r="L48" t="n">
        <v>2161.417589</v>
      </c>
      <c r="M48" t="n">
        <v>2161.417589</v>
      </c>
      <c r="N48" t="n">
        <v>2161.417589</v>
      </c>
      <c r="O48" t="n">
        <v>1596.841335</v>
      </c>
      <c r="P48" t="n">
        <v>484.191698</v>
      </c>
      <c r="Q48" t="n">
        <v>2161.417589</v>
      </c>
      <c r="R48" t="n">
        <v>-1566538.678845</v>
      </c>
      <c r="S48" t="n">
        <v>1596.841335</v>
      </c>
      <c r="T48" t="n">
        <v>18720614.545483</v>
      </c>
      <c r="U48" t="n">
        <v>484.191698</v>
      </c>
      <c r="V48" t="n">
        <v>-729589570.314726</v>
      </c>
      <c r="W48" t="n">
        <v>2521.687387</v>
      </c>
      <c r="X48" t="n">
        <v>2846.929567</v>
      </c>
      <c r="Y48" t="n">
        <v>132.205276</v>
      </c>
      <c r="Z48" t="n">
        <v>267.422877</v>
      </c>
    </row>
    <row r="49" ht="21" customHeight="1">
      <c r="A49" t="inlineStr">
        <is>
          <t>Apogonidae</t>
        </is>
      </c>
      <c r="B49" t="n">
        <v>3.54</v>
      </c>
      <c r="C49" t="n">
        <v>346.73685</v>
      </c>
      <c r="D49" s="10" t="inlineStr">
        <is>
          <t>2 SM inv | 3 SM inv</t>
        </is>
      </c>
      <c r="E49" t="n">
        <v>276.665746</v>
      </c>
      <c r="F49" t="n">
        <v>195.237034</v>
      </c>
      <c r="G49" t="n">
        <v>132.430212</v>
      </c>
      <c r="H49" t="n">
        <v>264.43232</v>
      </c>
      <c r="I49" t="n">
        <v>118.903546</v>
      </c>
      <c r="J49" t="n">
        <v>136.120138</v>
      </c>
      <c r="K49" t="n">
        <v>127.344134</v>
      </c>
      <c r="L49" t="n">
        <v>358.382548</v>
      </c>
      <c r="M49" t="n">
        <v>358.382548</v>
      </c>
      <c r="N49" t="n">
        <v>358.382548</v>
      </c>
      <c r="O49" t="n">
        <v>341.399299</v>
      </c>
      <c r="P49" t="n">
        <v>140.115469</v>
      </c>
      <c r="Q49" t="n">
        <v>358.382548</v>
      </c>
      <c r="R49" t="n">
        <v>6457.458436</v>
      </c>
      <c r="S49" t="n">
        <v>341.399299</v>
      </c>
      <c r="T49" t="n">
        <v>179529.737596</v>
      </c>
      <c r="U49" t="n">
        <v>140.115469</v>
      </c>
      <c r="V49" t="n">
        <v>-303793.842089</v>
      </c>
      <c r="W49" t="n">
        <v>574.006718</v>
      </c>
      <c r="X49" t="n">
        <v>502.703783</v>
      </c>
      <c r="Y49" t="n">
        <v>42.955466</v>
      </c>
      <c r="Z49" t="n">
        <v>65.030467</v>
      </c>
    </row>
    <row r="50" ht="21" customHeight="1">
      <c r="A50" t="inlineStr">
        <is>
          <t>Decapterus russelli</t>
        </is>
      </c>
      <c r="B50" t="n">
        <v>3.68</v>
      </c>
      <c r="C50" t="n">
        <v>478.630092</v>
      </c>
      <c r="D50" s="10" t="inlineStr">
        <is>
          <t>2 Carangids | 3 Carangids</t>
        </is>
      </c>
      <c r="E50" t="n">
        <v>276.665746</v>
      </c>
      <c r="F50" t="n">
        <v>1047.559324</v>
      </c>
      <c r="G50" t="n">
        <v>629.821299</v>
      </c>
      <c r="H50" t="n">
        <v>2236.955926</v>
      </c>
      <c r="I50" t="n">
        <v>640.844159</v>
      </c>
      <c r="J50" t="n">
        <v>754.590569</v>
      </c>
      <c r="K50" t="n">
        <v>726.430521</v>
      </c>
      <c r="L50" t="n">
        <v>2160.134294</v>
      </c>
      <c r="M50" t="n">
        <v>2160.134294</v>
      </c>
      <c r="N50" t="n">
        <v>2160.134294</v>
      </c>
      <c r="O50" t="n">
        <v>1714.41623</v>
      </c>
      <c r="P50" t="n">
        <v>507.780375</v>
      </c>
      <c r="Q50" t="n">
        <v>2160.134294</v>
      </c>
      <c r="R50" t="n">
        <v>1795384.471462</v>
      </c>
      <c r="S50" t="n">
        <v>1714.41623</v>
      </c>
      <c r="T50" t="n">
        <v>15523021.978962</v>
      </c>
      <c r="U50" t="n">
        <v>507.780375</v>
      </c>
      <c r="V50" t="n">
        <v>361623540.311127</v>
      </c>
      <c r="W50" t="n">
        <v>2798.965662</v>
      </c>
      <c r="X50" t="n">
        <v>2890.070964</v>
      </c>
      <c r="Y50" t="n">
        <v>143.6356</v>
      </c>
      <c r="Z50" t="n">
        <v>293.771321</v>
      </c>
    </row>
    <row r="51" ht="21" customHeight="1">
      <c r="A51" t="inlineStr">
        <is>
          <t>Sepia</t>
        </is>
      </c>
      <c r="B51" t="n">
        <v>3.69</v>
      </c>
      <c r="C51" t="n">
        <v>489.778819</v>
      </c>
      <c r="D51" s="10" t="inlineStr">
        <is>
          <t>Cephalopods</t>
        </is>
      </c>
      <c r="E51" t="n">
        <v>276.665746</v>
      </c>
      <c r="F51" t="n">
        <v>990.119511</v>
      </c>
      <c r="G51" t="n">
        <v>598.369015</v>
      </c>
      <c r="H51" t="n">
        <v>1346.233095</v>
      </c>
      <c r="I51" t="n">
        <v>376.93677</v>
      </c>
      <c r="J51" t="n">
        <v>457.544762</v>
      </c>
      <c r="K51" t="n">
        <v>411.790286</v>
      </c>
      <c r="L51" t="n">
        <v>1154.79452</v>
      </c>
      <c r="M51" t="n">
        <v>1154.79452</v>
      </c>
      <c r="N51" t="n">
        <v>1154.79452</v>
      </c>
      <c r="O51" t="n">
        <v>883.361743</v>
      </c>
      <c r="P51" t="n">
        <v>288.682294</v>
      </c>
      <c r="Q51" t="n">
        <v>1154.79452</v>
      </c>
      <c r="R51" t="n">
        <v>-29810.748817</v>
      </c>
      <c r="S51" t="n">
        <v>883.361743</v>
      </c>
      <c r="T51" t="n">
        <v>-4388.856367</v>
      </c>
      <c r="U51" t="n">
        <v>288.682294</v>
      </c>
      <c r="V51" t="n">
        <v>-67924.848461</v>
      </c>
      <c r="W51" t="n">
        <v>1393.755014</v>
      </c>
      <c r="X51" t="n">
        <v>1512.277541</v>
      </c>
      <c r="Y51" t="n">
        <v>138.403273</v>
      </c>
      <c r="Z51" t="n">
        <v>209.32439</v>
      </c>
    </row>
    <row r="52" ht="21" customHeight="1">
      <c r="A52" t="inlineStr">
        <is>
          <t>Mugilidae</t>
        </is>
      </c>
      <c r="B52" t="n">
        <v>2.53</v>
      </c>
      <c r="C52" t="n">
        <v>33.884416</v>
      </c>
      <c r="D52" s="10" t="inlineStr">
        <is>
          <t>2 SM inv | 3 SM inv</t>
        </is>
      </c>
      <c r="E52" t="n">
        <v>276.665746</v>
      </c>
      <c r="F52" t="n">
        <v>195.237034</v>
      </c>
      <c r="G52" t="n">
        <v>132.430212</v>
      </c>
      <c r="H52" t="n">
        <v>264.43232</v>
      </c>
      <c r="I52" t="n">
        <v>118.903546</v>
      </c>
      <c r="J52" t="n">
        <v>136.120138</v>
      </c>
      <c r="K52" t="n">
        <v>127.344134</v>
      </c>
      <c r="L52" t="n">
        <v>358.382548</v>
      </c>
      <c r="M52" t="n">
        <v>358.382548</v>
      </c>
      <c r="N52" t="n">
        <v>358.382548</v>
      </c>
      <c r="O52" t="n">
        <v>341.399299</v>
      </c>
      <c r="P52" t="n">
        <v>140.115469</v>
      </c>
      <c r="Q52" t="n">
        <v>358.382548</v>
      </c>
      <c r="R52" t="n">
        <v>6457.458436</v>
      </c>
      <c r="S52" t="n">
        <v>341.399299</v>
      </c>
      <c r="T52" t="n">
        <v>179529.737596</v>
      </c>
      <c r="U52" t="n">
        <v>140.115469</v>
      </c>
      <c r="V52" t="n">
        <v>-303793.842089</v>
      </c>
      <c r="W52" t="n">
        <v>574.006718</v>
      </c>
      <c r="X52" t="n">
        <v>502.703783</v>
      </c>
      <c r="Y52" t="n">
        <v>42.955466</v>
      </c>
      <c r="Z52" t="n">
        <v>65.030467</v>
      </c>
    </row>
    <row r="53" ht="21" customHeight="1">
      <c r="A53" t="inlineStr">
        <is>
          <t>Thryssa</t>
        </is>
      </c>
      <c r="B53" t="n">
        <v>3.34</v>
      </c>
      <c r="C53" t="n">
        <v>218.776162</v>
      </c>
      <c r="D53" s="10" t="inlineStr">
        <is>
          <t>2 S pelagics | 3 S pelagics</t>
        </is>
      </c>
      <c r="E53" t="n">
        <v>276.665746</v>
      </c>
      <c r="F53" t="n">
        <v>140.109476</v>
      </c>
      <c r="G53" t="n">
        <v>97.63290000000001</v>
      </c>
      <c r="H53" t="n">
        <v>192.530385</v>
      </c>
      <c r="I53" t="n">
        <v>80.840119</v>
      </c>
      <c r="J53" t="n">
        <v>105.744532</v>
      </c>
      <c r="K53" t="n">
        <v>98.71770100000001</v>
      </c>
      <c r="L53" t="n">
        <v>234.01812</v>
      </c>
      <c r="M53" t="n">
        <v>234.01812</v>
      </c>
      <c r="N53" t="n">
        <v>234.01812</v>
      </c>
      <c r="O53" t="n">
        <v>202.793183</v>
      </c>
      <c r="P53" t="n">
        <v>80.12592100000001</v>
      </c>
      <c r="Q53" t="n">
        <v>234.01812</v>
      </c>
      <c r="R53" t="n">
        <v>-33882.555745</v>
      </c>
      <c r="S53" t="n">
        <v>202.793183</v>
      </c>
      <c r="T53" t="n">
        <v>227994.620435</v>
      </c>
      <c r="U53" t="n">
        <v>80.12592100000001</v>
      </c>
      <c r="V53" t="n">
        <v>-5095004.477163</v>
      </c>
      <c r="W53" t="n">
        <v>296.324343</v>
      </c>
      <c r="X53" t="n">
        <v>299.160007</v>
      </c>
      <c r="Y53" t="n">
        <v>34.1744</v>
      </c>
      <c r="Z53" t="n">
        <v>48.359224</v>
      </c>
    </row>
    <row r="54" ht="21" customHeight="1">
      <c r="A54" t="inlineStr">
        <is>
          <t>Portunidae</t>
        </is>
      </c>
      <c r="B54" t="n">
        <v>3.56</v>
      </c>
      <c r="C54" t="n">
        <v>363.078055</v>
      </c>
      <c r="D54" s="10" t="inlineStr">
        <is>
          <t>2 Crustaceans | 3 Crustaceans</t>
        </is>
      </c>
      <c r="E54" t="n">
        <v>276.665746</v>
      </c>
      <c r="F54" t="n">
        <v>87.346446</v>
      </c>
      <c r="G54" t="n">
        <v>62.825827</v>
      </c>
      <c r="H54" t="n">
        <v>62.583797</v>
      </c>
      <c r="I54" t="n">
        <v>49.059783</v>
      </c>
      <c r="J54" t="n">
        <v>49.059783</v>
      </c>
      <c r="K54" t="n">
        <v>45.848307</v>
      </c>
      <c r="L54" t="n">
        <v>88.61683499999999</v>
      </c>
      <c r="M54" t="n">
        <v>88.61683499999999</v>
      </c>
      <c r="N54" t="n">
        <v>88.61683499999999</v>
      </c>
      <c r="O54" t="n">
        <v>112.736869</v>
      </c>
      <c r="P54" t="n">
        <v>69.749027</v>
      </c>
      <c r="Q54" t="n">
        <v>88.61683499999999</v>
      </c>
      <c r="R54" t="n">
        <v>88.61683499999999</v>
      </c>
      <c r="S54" t="n">
        <v>112.736869</v>
      </c>
      <c r="T54" t="n">
        <v>18.000131</v>
      </c>
      <c r="U54" t="n">
        <v>69.749027</v>
      </c>
      <c r="V54" t="n">
        <v>77.336753</v>
      </c>
      <c r="W54" t="n">
        <v>138.030843</v>
      </c>
      <c r="X54" t="n">
        <v>98.46392899999999</v>
      </c>
      <c r="Y54" t="n">
        <v>24.163479</v>
      </c>
      <c r="Z54" t="n">
        <v>23.495104</v>
      </c>
    </row>
    <row r="55" ht="21" customHeight="1">
      <c r="A55" t="inlineStr">
        <is>
          <t>Pterotolithus maculatus</t>
        </is>
      </c>
      <c r="B55" t="n">
        <v>3.7</v>
      </c>
      <c r="C55" t="n">
        <v>501.187234</v>
      </c>
      <c r="D55" s="10" t="inlineStr">
        <is>
          <t>2 L pisc comm | 3 L pisc comm</t>
        </is>
      </c>
      <c r="E55" t="n">
        <v>276.665746</v>
      </c>
      <c r="F55" t="n">
        <v>942.008432</v>
      </c>
      <c r="G55" t="n">
        <v>569.455705</v>
      </c>
      <c r="H55" t="n">
        <v>2133.059221</v>
      </c>
      <c r="I55" t="n">
        <v>640.2845610000001</v>
      </c>
      <c r="J55" t="n">
        <v>809.484635</v>
      </c>
      <c r="K55" t="n">
        <v>735.551234</v>
      </c>
      <c r="L55" t="n">
        <v>2161.417589</v>
      </c>
      <c r="M55" t="n">
        <v>2161.417589</v>
      </c>
      <c r="N55" t="n">
        <v>2161.417589</v>
      </c>
      <c r="O55" t="n">
        <v>1596.841335</v>
      </c>
      <c r="P55" t="n">
        <v>484.191698</v>
      </c>
      <c r="Q55" t="n">
        <v>2161.417589</v>
      </c>
      <c r="R55" t="n">
        <v>-1566538.678845</v>
      </c>
      <c r="S55" t="n">
        <v>1596.841335</v>
      </c>
      <c r="T55" t="n">
        <v>18720614.545483</v>
      </c>
      <c r="U55" t="n">
        <v>484.191698</v>
      </c>
      <c r="V55" t="n">
        <v>-729589570.314726</v>
      </c>
      <c r="W55" t="n">
        <v>2521.687387</v>
      </c>
      <c r="X55" t="n">
        <v>2846.929567</v>
      </c>
      <c r="Y55" t="n">
        <v>132.205276</v>
      </c>
      <c r="Z55" t="n">
        <v>267.422877</v>
      </c>
    </row>
    <row r="56" ht="21" customHeight="1">
      <c r="A56" t="inlineStr">
        <is>
          <t>Rastrelliger brachysoma</t>
        </is>
      </c>
      <c r="B56" t="n">
        <v>2.72</v>
      </c>
      <c r="C56" t="n">
        <v>52.480746</v>
      </c>
      <c r="D56" s="10" t="inlineStr">
        <is>
          <t>2-3 Indian mackerel</t>
        </is>
      </c>
      <c r="E56" t="n">
        <v>276.665746</v>
      </c>
      <c r="F56" t="n">
        <v>120.78179</v>
      </c>
      <c r="G56" t="n">
        <v>85.112274</v>
      </c>
      <c r="H56" t="n">
        <v>191.975941</v>
      </c>
      <c r="I56" t="n">
        <v>101.34619</v>
      </c>
      <c r="J56" t="n">
        <v>103.501508</v>
      </c>
      <c r="K56" t="n">
        <v>96.67040799999999</v>
      </c>
      <c r="L56" t="n">
        <v>293.256288</v>
      </c>
      <c r="M56" t="n">
        <v>293.256288</v>
      </c>
      <c r="N56" t="n">
        <v>293.256288</v>
      </c>
      <c r="O56" t="n">
        <v>271.676855</v>
      </c>
      <c r="P56" t="n">
        <v>111.213141</v>
      </c>
      <c r="Q56" t="n">
        <v>293.256288</v>
      </c>
      <c r="R56" t="n">
        <v>263.07043</v>
      </c>
      <c r="S56" t="n">
        <v>271.676855</v>
      </c>
      <c r="T56" t="n">
        <v>60.561613</v>
      </c>
      <c r="U56" t="n">
        <v>111.213141</v>
      </c>
      <c r="V56" t="n">
        <v>132.515005</v>
      </c>
      <c r="W56" t="n">
        <v>466.250831</v>
      </c>
      <c r="X56" t="n">
        <v>427.226374</v>
      </c>
      <c r="Y56" t="n">
        <v>30.767747</v>
      </c>
      <c r="Z56" t="n">
        <v>48.367683</v>
      </c>
    </row>
    <row r="57" ht="36" customHeight="1">
      <c r="A57" t="inlineStr">
        <is>
          <t>Polynemidae</t>
        </is>
      </c>
      <c r="B57" t="n">
        <v>3.62</v>
      </c>
      <c r="C57" t="n">
        <v>416.869383</v>
      </c>
      <c r="D57" s="10" t="inlineStr">
        <is>
          <t>2 L pisc | 3 L pisc | 2 SM inv | 3 SM inv</t>
        </is>
      </c>
      <c r="E57" t="n">
        <v>276.665746</v>
      </c>
      <c r="F57" t="n">
        <v>497.781419</v>
      </c>
      <c r="G57" t="n">
        <v>303.811932</v>
      </c>
      <c r="H57" t="n">
        <v>1095.091365</v>
      </c>
      <c r="I57" t="n">
        <v>300.149616</v>
      </c>
      <c r="J57" t="n">
        <v>352.026194</v>
      </c>
      <c r="K57" t="n">
        <v>320.668593</v>
      </c>
      <c r="L57" t="n">
        <v>1010.647693</v>
      </c>
      <c r="M57" t="n">
        <v>1010.647693</v>
      </c>
      <c r="N57" t="n">
        <v>1010.647693</v>
      </c>
      <c r="O57" t="n">
        <v>791.541896</v>
      </c>
      <c r="P57" t="n">
        <v>251.091207</v>
      </c>
      <c r="Q57" t="n">
        <v>1010.647693</v>
      </c>
      <c r="R57" t="n">
        <v>17979.008186</v>
      </c>
      <c r="S57" t="n">
        <v>791.541896</v>
      </c>
      <c r="T57" t="n">
        <v>1108439.975083</v>
      </c>
      <c r="U57" t="n">
        <v>251.091207</v>
      </c>
      <c r="V57" t="n">
        <v>1799581609.085237</v>
      </c>
      <c r="W57" t="n">
        <v>1293.28841</v>
      </c>
      <c r="X57" t="n">
        <v>1364.478938</v>
      </c>
      <c r="Y57" t="n">
        <v>74.929619</v>
      </c>
      <c r="Z57" t="n">
        <v>142.514835</v>
      </c>
    </row>
    <row r="58" ht="21" customHeight="1">
      <c r="A58" t="inlineStr">
        <is>
          <t>Thunnus albacares</t>
        </is>
      </c>
      <c r="B58" t="n">
        <v>4.41</v>
      </c>
      <c r="C58" t="n">
        <v>2570.395783</v>
      </c>
      <c r="D58" s="10" t="inlineStr">
        <is>
          <t>Yellowfin tuna</t>
        </is>
      </c>
      <c r="E58" t="n">
        <v>276.665746</v>
      </c>
      <c r="F58" t="n">
        <v>7345.100997</v>
      </c>
      <c r="G58" t="n">
        <v>3834.748855</v>
      </c>
      <c r="H58" t="n">
        <v>9818.27512</v>
      </c>
      <c r="I58" t="n">
        <v>1880.036796</v>
      </c>
      <c r="J58" t="n">
        <v>2274.025634</v>
      </c>
      <c r="K58" t="n">
        <v>2046.623071</v>
      </c>
      <c r="L58" t="n">
        <v>5881.075708</v>
      </c>
      <c r="M58" t="n">
        <v>5881.075708</v>
      </c>
      <c r="N58" t="n">
        <v>5881.075708</v>
      </c>
      <c r="O58" t="n">
        <v>4117.091035</v>
      </c>
      <c r="P58" t="n">
        <v>1090.079797</v>
      </c>
      <c r="Q58" t="n">
        <v>5881.075708</v>
      </c>
      <c r="R58" t="n">
        <v>-1266685.55958</v>
      </c>
      <c r="S58" t="n">
        <v>4117.091035</v>
      </c>
      <c r="T58" t="n">
        <v>827920.715951</v>
      </c>
      <c r="U58" t="n">
        <v>1090.079797</v>
      </c>
      <c r="V58" t="n">
        <v>-1.426071359499554e+22</v>
      </c>
      <c r="W58" t="n">
        <v>6516.14338</v>
      </c>
      <c r="X58" t="n">
        <v>7808.934948</v>
      </c>
      <c r="Y58" t="n">
        <v>579.688036</v>
      </c>
      <c r="Z58" t="n">
        <v>953.667598</v>
      </c>
    </row>
    <row r="59" ht="21" customHeight="1">
      <c r="A59" t="inlineStr">
        <is>
          <t>Mullidae</t>
        </is>
      </c>
      <c r="B59" t="n">
        <v>3.46</v>
      </c>
      <c r="C59" t="n">
        <v>288.40315</v>
      </c>
      <c r="D59" s="10" t="inlineStr">
        <is>
          <t>2 SM inv | 3 SM inv</t>
        </is>
      </c>
      <c r="E59" t="n">
        <v>276.665746</v>
      </c>
      <c r="F59" t="n">
        <v>195.237034</v>
      </c>
      <c r="G59" t="n">
        <v>132.430212</v>
      </c>
      <c r="H59" t="n">
        <v>264.43232</v>
      </c>
      <c r="I59" t="n">
        <v>118.903546</v>
      </c>
      <c r="J59" t="n">
        <v>136.120138</v>
      </c>
      <c r="K59" t="n">
        <v>127.344134</v>
      </c>
      <c r="L59" t="n">
        <v>358.382548</v>
      </c>
      <c r="M59" t="n">
        <v>358.382548</v>
      </c>
      <c r="N59" t="n">
        <v>358.382548</v>
      </c>
      <c r="O59" t="n">
        <v>341.399299</v>
      </c>
      <c r="P59" t="n">
        <v>140.115469</v>
      </c>
      <c r="Q59" t="n">
        <v>358.382548</v>
      </c>
      <c r="R59" t="n">
        <v>6457.458436</v>
      </c>
      <c r="S59" t="n">
        <v>341.399299</v>
      </c>
      <c r="T59" t="n">
        <v>179529.737596</v>
      </c>
      <c r="U59" t="n">
        <v>140.115469</v>
      </c>
      <c r="V59" t="n">
        <v>-303793.842089</v>
      </c>
      <c r="W59" t="n">
        <v>574.006718</v>
      </c>
      <c r="X59" t="n">
        <v>502.703783</v>
      </c>
      <c r="Y59" t="n">
        <v>42.955466</v>
      </c>
      <c r="Z59" t="n">
        <v>65.030467</v>
      </c>
    </row>
    <row r="60" ht="21" customHeight="1">
      <c r="A60" t="inlineStr">
        <is>
          <t>Saurida tumbil</t>
        </is>
      </c>
      <c r="B60" t="n">
        <v>4.4</v>
      </c>
      <c r="C60" t="n">
        <v>2511.886432</v>
      </c>
      <c r="D60" s="10" t="inlineStr">
        <is>
          <t>2 L pisc comm | 3 L pisc comm</t>
        </is>
      </c>
      <c r="E60" t="n">
        <v>276.665746</v>
      </c>
      <c r="F60" t="n">
        <v>942.008432</v>
      </c>
      <c r="G60" t="n">
        <v>569.455705</v>
      </c>
      <c r="H60" t="n">
        <v>2133.059221</v>
      </c>
      <c r="I60" t="n">
        <v>640.2845610000001</v>
      </c>
      <c r="J60" t="n">
        <v>809.484635</v>
      </c>
      <c r="K60" t="n">
        <v>735.551234</v>
      </c>
      <c r="L60" t="n">
        <v>2161.417589</v>
      </c>
      <c r="M60" t="n">
        <v>2161.417589</v>
      </c>
      <c r="N60" t="n">
        <v>2161.417589</v>
      </c>
      <c r="O60" t="n">
        <v>1596.841335</v>
      </c>
      <c r="P60" t="n">
        <v>484.191698</v>
      </c>
      <c r="Q60" t="n">
        <v>2161.417589</v>
      </c>
      <c r="R60" t="n">
        <v>-1566538.678845</v>
      </c>
      <c r="S60" t="n">
        <v>1596.841335</v>
      </c>
      <c r="T60" t="n">
        <v>18720614.545483</v>
      </c>
      <c r="U60" t="n">
        <v>484.191698</v>
      </c>
      <c r="V60" t="n">
        <v>-729589570.314726</v>
      </c>
      <c r="W60" t="n">
        <v>2521.687387</v>
      </c>
      <c r="X60" t="n">
        <v>2846.929567</v>
      </c>
      <c r="Y60" t="n">
        <v>132.205276</v>
      </c>
      <c r="Z60" t="n">
        <v>267.422877</v>
      </c>
    </row>
    <row r="61" ht="21" customHeight="1">
      <c r="A61" t="inlineStr">
        <is>
          <t>Scomberomorus guttatus</t>
        </is>
      </c>
      <c r="B61" t="n">
        <v>4.28</v>
      </c>
      <c r="C61" t="n">
        <v>1905.460718</v>
      </c>
      <c r="D61" s="10" t="inlineStr">
        <is>
          <t>Coastal scombrids</t>
        </is>
      </c>
      <c r="E61" t="n">
        <v>276.665746</v>
      </c>
      <c r="F61" t="n">
        <v>2151.411916</v>
      </c>
      <c r="G61" t="n">
        <v>1228.563684</v>
      </c>
      <c r="H61" t="n">
        <v>5446.035641</v>
      </c>
      <c r="I61" t="n">
        <v>1745.735548</v>
      </c>
      <c r="J61" t="n">
        <v>2057.857337</v>
      </c>
      <c r="K61" t="n">
        <v>1230.598688</v>
      </c>
      <c r="L61" t="n">
        <v>5797.992045</v>
      </c>
      <c r="M61" t="n">
        <v>5797.992045</v>
      </c>
      <c r="N61" t="n">
        <v>5797.992045</v>
      </c>
      <c r="O61" t="n">
        <v>2888.86016</v>
      </c>
      <c r="P61" t="n">
        <v>773.406711</v>
      </c>
      <c r="Q61" t="n">
        <v>5797.992045</v>
      </c>
      <c r="R61" t="n">
        <v>16253842.87507</v>
      </c>
      <c r="S61" t="n">
        <v>2888.86016</v>
      </c>
      <c r="T61" t="n">
        <v>-18404050.091193</v>
      </c>
      <c r="U61" t="n">
        <v>773.406711</v>
      </c>
      <c r="V61" t="n">
        <v>4.487680113340224e+16</v>
      </c>
      <c r="W61" t="n">
        <v>4648.847098</v>
      </c>
      <c r="X61" t="n">
        <v>7907.299162</v>
      </c>
      <c r="Y61" t="n">
        <v>241.012964</v>
      </c>
      <c r="Z61" t="n">
        <v>536.33742</v>
      </c>
    </row>
    <row r="62" ht="21" customHeight="1">
      <c r="A62" t="inlineStr">
        <is>
          <t>Priacanthus</t>
        </is>
      </c>
      <c r="B62" t="n">
        <v>3.81</v>
      </c>
      <c r="C62" t="n">
        <v>645.654229</v>
      </c>
      <c r="D62" s="10" t="inlineStr">
        <is>
          <t>2 SM pisc | 3 SM pisc</t>
        </is>
      </c>
      <c r="E62" t="n">
        <v>276.665746</v>
      </c>
      <c r="F62" t="n">
        <v>735.917019</v>
      </c>
      <c r="G62" t="n">
        <v>452.492682</v>
      </c>
      <c r="H62" t="n">
        <v>682.111639</v>
      </c>
      <c r="I62" t="n">
        <v>235.466475</v>
      </c>
      <c r="J62" t="n">
        <v>314.21941</v>
      </c>
      <c r="K62" t="n">
        <v>298.50844</v>
      </c>
      <c r="L62" t="n">
        <v>954.7607</v>
      </c>
      <c r="M62" t="n">
        <v>954.7607</v>
      </c>
      <c r="N62" t="n">
        <v>954.7607</v>
      </c>
      <c r="O62" t="n">
        <v>843.56575</v>
      </c>
      <c r="P62" t="n">
        <v>294.060389</v>
      </c>
      <c r="Q62" t="n">
        <v>954.7607</v>
      </c>
      <c r="R62" t="n">
        <v>9873.492876</v>
      </c>
      <c r="S62" t="n">
        <v>843.56575</v>
      </c>
      <c r="T62" t="n">
        <v>671288.666809</v>
      </c>
      <c r="U62" t="n">
        <v>294.060389</v>
      </c>
      <c r="V62" t="n">
        <v>-16862660.627203</v>
      </c>
      <c r="W62" t="n">
        <v>1324.31138</v>
      </c>
      <c r="X62" t="n">
        <v>1272.066649</v>
      </c>
      <c r="Y62" t="n">
        <v>110.428635</v>
      </c>
      <c r="Z62" t="n">
        <v>131.682702</v>
      </c>
    </row>
    <row r="63" ht="36" customHeight="1">
      <c r="A63" t="inlineStr">
        <is>
          <t>Marine pelagic fishes not identified</t>
        </is>
      </c>
      <c r="B63" t="n">
        <v>3.35</v>
      </c>
      <c r="C63" t="n">
        <v>223.872114</v>
      </c>
      <c r="D63" s="10" t="inlineStr">
        <is>
          <t>2 S pelagics | 3 S pelagics | 2 Carangids | 3 Carangids</t>
        </is>
      </c>
      <c r="E63" t="n">
        <v>276.665746</v>
      </c>
      <c r="F63" t="n">
        <v>491.216771</v>
      </c>
      <c r="G63" t="n">
        <v>303.545359</v>
      </c>
      <c r="H63" t="n">
        <v>983.552305</v>
      </c>
      <c r="I63" t="n">
        <v>297.514907</v>
      </c>
      <c r="J63" t="n">
        <v>356.793753</v>
      </c>
      <c r="K63" t="n">
        <v>341.590131</v>
      </c>
      <c r="L63" t="n">
        <v>979.264197</v>
      </c>
      <c r="M63" t="n">
        <v>979.264197</v>
      </c>
      <c r="N63" t="n">
        <v>979.264197</v>
      </c>
      <c r="O63" t="n">
        <v>787.665041</v>
      </c>
      <c r="P63" t="n">
        <v>245.592474</v>
      </c>
      <c r="Q63" t="n">
        <v>979.264197</v>
      </c>
      <c r="R63" t="n">
        <v>673890.990873</v>
      </c>
      <c r="S63" t="n">
        <v>787.665041</v>
      </c>
      <c r="T63" t="n">
        <v>6145892.662739</v>
      </c>
      <c r="U63" t="n">
        <v>245.592474</v>
      </c>
      <c r="V63" t="n">
        <v>136794441.511279</v>
      </c>
      <c r="W63" t="n">
        <v>1264.637496</v>
      </c>
      <c r="X63" t="n">
        <v>1301.626137</v>
      </c>
      <c r="Y63" t="n">
        <v>76.526741</v>
      </c>
      <c r="Z63" t="n">
        <v>143.313207</v>
      </c>
    </row>
    <row r="64" ht="21" customHeight="1">
      <c r="A64" t="inlineStr">
        <is>
          <t>Batoidea</t>
        </is>
      </c>
      <c r="B64" t="n">
        <v>3.72</v>
      </c>
      <c r="C64" t="n">
        <v>524.80746</v>
      </c>
      <c r="D64" s="10" t="inlineStr">
        <is>
          <t>Coastal elasmobranch</t>
        </is>
      </c>
      <c r="E64" t="n">
        <v>276.665746</v>
      </c>
      <c r="F64" t="n">
        <v>1214.104792</v>
      </c>
      <c r="G64" t="n">
        <v>722.888243</v>
      </c>
      <c r="H64" t="n">
        <v>10114.101338</v>
      </c>
      <c r="I64" t="n">
        <v>2494.37346</v>
      </c>
      <c r="J64" t="n">
        <v>2719.859382</v>
      </c>
      <c r="K64" t="n">
        <v>2567.547256</v>
      </c>
      <c r="L64" t="n">
        <v>16997.641054</v>
      </c>
      <c r="M64" t="n">
        <v>16997.641054</v>
      </c>
      <c r="N64" t="n">
        <v>16997.641054</v>
      </c>
      <c r="O64" t="n">
        <v>9182.663503</v>
      </c>
      <c r="P64" t="n">
        <v>1862.532494</v>
      </c>
      <c r="Q64" t="n">
        <v>16997.641054</v>
      </c>
      <c r="R64" t="n">
        <v>95398056.213283</v>
      </c>
      <c r="S64" t="n">
        <v>9182.663503</v>
      </c>
      <c r="T64" t="n">
        <v>-5392414.250181</v>
      </c>
      <c r="U64" t="n">
        <v>1862.532494</v>
      </c>
      <c r="V64" t="n">
        <v>-8.614472647464927e+19</v>
      </c>
      <c r="W64" t="n">
        <v>15254.347201</v>
      </c>
      <c r="X64" t="n">
        <v>23723.705808</v>
      </c>
      <c r="Y64" t="n">
        <v>160.121668</v>
      </c>
      <c r="Z64" t="n">
        <v>657.545035</v>
      </c>
    </row>
    <row r="65" ht="21" customHeight="1">
      <c r="A65" t="inlineStr">
        <is>
          <t>Parapenaeopsis</t>
        </is>
      </c>
      <c r="B65" t="n">
        <v>2.72</v>
      </c>
      <c r="C65" t="n">
        <v>52.480746</v>
      </c>
      <c r="D65" s="10" t="inlineStr">
        <is>
          <t>2 Crustaceans | 3 Crustaceans</t>
        </is>
      </c>
      <c r="E65" t="n">
        <v>276.665746</v>
      </c>
      <c r="F65" t="n">
        <v>87.346446</v>
      </c>
      <c r="G65" t="n">
        <v>62.825827</v>
      </c>
      <c r="H65" t="n">
        <v>62.583797</v>
      </c>
      <c r="I65" t="n">
        <v>49.059783</v>
      </c>
      <c r="J65" t="n">
        <v>49.059783</v>
      </c>
      <c r="K65" t="n">
        <v>45.848307</v>
      </c>
      <c r="L65" t="n">
        <v>88.61683499999999</v>
      </c>
      <c r="M65" t="n">
        <v>88.61683499999999</v>
      </c>
      <c r="N65" t="n">
        <v>88.61683499999999</v>
      </c>
      <c r="O65" t="n">
        <v>112.736869</v>
      </c>
      <c r="P65" t="n">
        <v>69.749027</v>
      </c>
      <c r="Q65" t="n">
        <v>88.61683499999999</v>
      </c>
      <c r="R65" t="n">
        <v>88.61683499999999</v>
      </c>
      <c r="S65" t="n">
        <v>112.736869</v>
      </c>
      <c r="T65" t="n">
        <v>18.000131</v>
      </c>
      <c r="U65" t="n">
        <v>69.749027</v>
      </c>
      <c r="V65" t="n">
        <v>77.336753</v>
      </c>
      <c r="W65" t="n">
        <v>138.030843</v>
      </c>
      <c r="X65" t="n">
        <v>98.46392899999999</v>
      </c>
      <c r="Y65" t="n">
        <v>24.163479</v>
      </c>
      <c r="Z65" t="n">
        <v>23.495104</v>
      </c>
    </row>
    <row r="66" ht="21" customHeight="1">
      <c r="A66" t="inlineStr">
        <is>
          <t>Sphyraena</t>
        </is>
      </c>
      <c r="B66" t="n">
        <v>4.4</v>
      </c>
      <c r="C66" t="n">
        <v>2511.886432</v>
      </c>
      <c r="D66" s="10" t="inlineStr">
        <is>
          <t>2 L pisc | 3 L pisc</t>
        </is>
      </c>
      <c r="E66" t="n">
        <v>276.665746</v>
      </c>
      <c r="F66" t="n">
        <v>1671.644897</v>
      </c>
      <c r="G66" t="n">
        <v>968.768055</v>
      </c>
      <c r="H66" t="n">
        <v>4318.024466</v>
      </c>
      <c r="I66" t="n">
        <v>1003.379133</v>
      </c>
      <c r="J66" t="n">
        <v>1189.735453</v>
      </c>
      <c r="K66" t="n">
        <v>1070.761907</v>
      </c>
      <c r="L66" t="n">
        <v>3541.417618</v>
      </c>
      <c r="M66" t="n">
        <v>3541.417618</v>
      </c>
      <c r="N66" t="n">
        <v>3541.417618</v>
      </c>
      <c r="O66" t="n">
        <v>2538.082167</v>
      </c>
      <c r="P66" t="n">
        <v>681.673862</v>
      </c>
      <c r="Q66" t="n">
        <v>3541.417618</v>
      </c>
      <c r="R66" t="n">
        <v>62682.288429</v>
      </c>
      <c r="S66" t="n">
        <v>2538.082167</v>
      </c>
      <c r="T66" t="n">
        <v>4712584.866078</v>
      </c>
      <c r="U66" t="n">
        <v>681.673862</v>
      </c>
      <c r="V66" t="n">
        <v>8783084984.919691</v>
      </c>
      <c r="W66" t="n">
        <v>4084.080603</v>
      </c>
      <c r="X66" t="n">
        <v>4708.141648</v>
      </c>
      <c r="Y66" t="n">
        <v>198.988407</v>
      </c>
      <c r="Z66" t="n">
        <v>443.151943</v>
      </c>
    </row>
    <row r="67" ht="21" customHeight="1">
      <c r="A67" t="inlineStr">
        <is>
          <t>Sepiidae</t>
        </is>
      </c>
      <c r="B67" t="n">
        <v>3.6</v>
      </c>
      <c r="C67" t="n">
        <v>398.107171</v>
      </c>
      <c r="D67" s="10" t="inlineStr">
        <is>
          <t>Cephalopods</t>
        </is>
      </c>
      <c r="E67" t="n">
        <v>276.665746</v>
      </c>
      <c r="F67" t="n">
        <v>990.119511</v>
      </c>
      <c r="G67" t="n">
        <v>598.369015</v>
      </c>
      <c r="H67" t="n">
        <v>1346.233095</v>
      </c>
      <c r="I67" t="n">
        <v>376.93677</v>
      </c>
      <c r="J67" t="n">
        <v>457.544762</v>
      </c>
      <c r="K67" t="n">
        <v>411.790286</v>
      </c>
      <c r="L67" t="n">
        <v>1154.79452</v>
      </c>
      <c r="M67" t="n">
        <v>1154.79452</v>
      </c>
      <c r="N67" t="n">
        <v>1154.79452</v>
      </c>
      <c r="O67" t="n">
        <v>883.361743</v>
      </c>
      <c r="P67" t="n">
        <v>288.682294</v>
      </c>
      <c r="Q67" t="n">
        <v>1154.79452</v>
      </c>
      <c r="R67" t="n">
        <v>-29810.748817</v>
      </c>
      <c r="S67" t="n">
        <v>883.361743</v>
      </c>
      <c r="T67" t="n">
        <v>-4388.856367</v>
      </c>
      <c r="U67" t="n">
        <v>288.682294</v>
      </c>
      <c r="V67" t="n">
        <v>-67924.848461</v>
      </c>
      <c r="W67" t="n">
        <v>1393.755014</v>
      </c>
      <c r="X67" t="n">
        <v>1512.277541</v>
      </c>
      <c r="Y67" t="n">
        <v>138.403273</v>
      </c>
      <c r="Z67" t="n">
        <v>209.32439</v>
      </c>
    </row>
    <row r="68" ht="21" customHeight="1">
      <c r="A68" t="inlineStr">
        <is>
          <t>Trichiurus lepturus</t>
        </is>
      </c>
      <c r="B68" t="n">
        <v>4.42</v>
      </c>
      <c r="C68" t="n">
        <v>2630.267992</v>
      </c>
      <c r="D68" s="10" t="inlineStr">
        <is>
          <t>2 L pisc | 3 L pisc</t>
        </is>
      </c>
      <c r="E68" t="n">
        <v>276.665746</v>
      </c>
      <c r="F68" t="n">
        <v>1671.644897</v>
      </c>
      <c r="G68" t="n">
        <v>968.768055</v>
      </c>
      <c r="H68" t="n">
        <v>4318.024466</v>
      </c>
      <c r="I68" t="n">
        <v>1003.379133</v>
      </c>
      <c r="J68" t="n">
        <v>1189.735453</v>
      </c>
      <c r="K68" t="n">
        <v>1070.761907</v>
      </c>
      <c r="L68" t="n">
        <v>3541.417618</v>
      </c>
      <c r="M68" t="n">
        <v>3541.417618</v>
      </c>
      <c r="N68" t="n">
        <v>3541.417618</v>
      </c>
      <c r="O68" t="n">
        <v>2538.082167</v>
      </c>
      <c r="P68" t="n">
        <v>681.673862</v>
      </c>
      <c r="Q68" t="n">
        <v>3541.417618</v>
      </c>
      <c r="R68" t="n">
        <v>62682.288429</v>
      </c>
      <c r="S68" t="n">
        <v>2538.082167</v>
      </c>
      <c r="T68" t="n">
        <v>4712584.866078</v>
      </c>
      <c r="U68" t="n">
        <v>681.673862</v>
      </c>
      <c r="V68" t="n">
        <v>8783084984.919691</v>
      </c>
      <c r="W68" t="n">
        <v>4084.080603</v>
      </c>
      <c r="X68" t="n">
        <v>4708.141648</v>
      </c>
      <c r="Y68" t="n">
        <v>198.988407</v>
      </c>
      <c r="Z68" t="n">
        <v>443.151943</v>
      </c>
    </row>
    <row r="69" ht="21" customHeight="1">
      <c r="A69" t="inlineStr">
        <is>
          <t>Alepes</t>
        </is>
      </c>
      <c r="B69" t="n">
        <v>3.32</v>
      </c>
      <c r="C69" t="n">
        <v>208.929613</v>
      </c>
      <c r="D69" s="10" t="inlineStr">
        <is>
          <t>2 Carangids | 3 Carangids</t>
        </is>
      </c>
      <c r="E69" t="n">
        <v>276.665746</v>
      </c>
      <c r="F69" t="n">
        <v>1047.559324</v>
      </c>
      <c r="G69" t="n">
        <v>629.821299</v>
      </c>
      <c r="H69" t="n">
        <v>2236.955926</v>
      </c>
      <c r="I69" t="n">
        <v>640.844159</v>
      </c>
      <c r="J69" t="n">
        <v>754.590569</v>
      </c>
      <c r="K69" t="n">
        <v>726.430521</v>
      </c>
      <c r="L69" t="n">
        <v>2160.134294</v>
      </c>
      <c r="M69" t="n">
        <v>2160.134294</v>
      </c>
      <c r="N69" t="n">
        <v>2160.134294</v>
      </c>
      <c r="O69" t="n">
        <v>1714.41623</v>
      </c>
      <c r="P69" t="n">
        <v>507.780375</v>
      </c>
      <c r="Q69" t="n">
        <v>2160.134294</v>
      </c>
      <c r="R69" t="n">
        <v>1795384.471462</v>
      </c>
      <c r="S69" t="n">
        <v>1714.41623</v>
      </c>
      <c r="T69" t="n">
        <v>15523021.978962</v>
      </c>
      <c r="U69" t="n">
        <v>507.780375</v>
      </c>
      <c r="V69" t="n">
        <v>361623540.311127</v>
      </c>
      <c r="W69" t="n">
        <v>2798.965662</v>
      </c>
      <c r="X69" t="n">
        <v>2890.070964</v>
      </c>
      <c r="Y69" t="n">
        <v>143.6356</v>
      </c>
      <c r="Z69" t="n">
        <v>293.771321</v>
      </c>
    </row>
    <row r="70" ht="21" customHeight="1">
      <c r="A70" t="inlineStr">
        <is>
          <t>Euthynnus affinis</t>
        </is>
      </c>
      <c r="B70" t="n">
        <v>4.5</v>
      </c>
      <c r="C70" t="n">
        <v>3162.27766</v>
      </c>
      <c r="D70" s="10" t="inlineStr">
        <is>
          <t>Coastal scombrids</t>
        </is>
      </c>
      <c r="E70" t="n">
        <v>276.665746</v>
      </c>
      <c r="F70" t="n">
        <v>2151.411916</v>
      </c>
      <c r="G70" t="n">
        <v>1228.563684</v>
      </c>
      <c r="H70" t="n">
        <v>5446.035641</v>
      </c>
      <c r="I70" t="n">
        <v>1745.735548</v>
      </c>
      <c r="J70" t="n">
        <v>2057.857337</v>
      </c>
      <c r="K70" t="n">
        <v>1230.598688</v>
      </c>
      <c r="L70" t="n">
        <v>5797.992045</v>
      </c>
      <c r="M70" t="n">
        <v>5797.992045</v>
      </c>
      <c r="N70" t="n">
        <v>5797.992045</v>
      </c>
      <c r="O70" t="n">
        <v>2888.86016</v>
      </c>
      <c r="P70" t="n">
        <v>773.406711</v>
      </c>
      <c r="Q70" t="n">
        <v>5797.992045</v>
      </c>
      <c r="R70" t="n">
        <v>16253842.87507</v>
      </c>
      <c r="S70" t="n">
        <v>2888.86016</v>
      </c>
      <c r="T70" t="n">
        <v>-18404050.091193</v>
      </c>
      <c r="U70" t="n">
        <v>773.406711</v>
      </c>
      <c r="V70" t="n">
        <v>4.487680113340224e+16</v>
      </c>
      <c r="W70" t="n">
        <v>4648.847098</v>
      </c>
      <c r="X70" t="n">
        <v>7907.299162</v>
      </c>
      <c r="Y70" t="n">
        <v>241.012964</v>
      </c>
      <c r="Z70" t="n">
        <v>536.33742</v>
      </c>
    </row>
    <row r="71" ht="21" customHeight="1">
      <c r="A71" t="inlineStr">
        <is>
          <t>Trichiurus</t>
        </is>
      </c>
      <c r="B71" t="n">
        <v>4.42</v>
      </c>
      <c r="C71" t="n">
        <v>2630.267992</v>
      </c>
      <c r="D71" s="10" t="inlineStr">
        <is>
          <t>2 L pisc | 3 L pisc</t>
        </is>
      </c>
      <c r="E71" t="n">
        <v>276.665746</v>
      </c>
      <c r="F71" t="n">
        <v>1671.644897</v>
      </c>
      <c r="G71" t="n">
        <v>968.768055</v>
      </c>
      <c r="H71" t="n">
        <v>4318.024466</v>
      </c>
      <c r="I71" t="n">
        <v>1003.379133</v>
      </c>
      <c r="J71" t="n">
        <v>1189.735453</v>
      </c>
      <c r="K71" t="n">
        <v>1070.761907</v>
      </c>
      <c r="L71" t="n">
        <v>3541.417618</v>
      </c>
      <c r="M71" t="n">
        <v>3541.417618</v>
      </c>
      <c r="N71" t="n">
        <v>3541.417618</v>
      </c>
      <c r="O71" t="n">
        <v>2538.082167</v>
      </c>
      <c r="P71" t="n">
        <v>681.673862</v>
      </c>
      <c r="Q71" t="n">
        <v>3541.417618</v>
      </c>
      <c r="R71" t="n">
        <v>62682.288429</v>
      </c>
      <c r="S71" t="n">
        <v>2538.082167</v>
      </c>
      <c r="T71" t="n">
        <v>4712584.866078</v>
      </c>
      <c r="U71" t="n">
        <v>681.673862</v>
      </c>
      <c r="V71" t="n">
        <v>8783084984.919691</v>
      </c>
      <c r="W71" t="n">
        <v>4084.080603</v>
      </c>
      <c r="X71" t="n">
        <v>4708.141648</v>
      </c>
      <c r="Y71" t="n">
        <v>198.988407</v>
      </c>
      <c r="Z71" t="n">
        <v>443.151943</v>
      </c>
    </row>
    <row r="72" ht="21" customHeight="1">
      <c r="A72" t="inlineStr">
        <is>
          <t>Portunus pelagicus</t>
        </is>
      </c>
      <c r="B72" t="n">
        <v>2.48</v>
      </c>
      <c r="C72" t="n">
        <v>30.199517</v>
      </c>
      <c r="D72" s="10" t="inlineStr">
        <is>
          <t>2 Crustaceans | 3 Crustaceans</t>
        </is>
      </c>
      <c r="E72" t="n">
        <v>276.665746</v>
      </c>
      <c r="F72" t="n">
        <v>87.346446</v>
      </c>
      <c r="G72" t="n">
        <v>62.825827</v>
      </c>
      <c r="H72" t="n">
        <v>62.583797</v>
      </c>
      <c r="I72" t="n">
        <v>49.059783</v>
      </c>
      <c r="J72" t="n">
        <v>49.059783</v>
      </c>
      <c r="K72" t="n">
        <v>45.848307</v>
      </c>
      <c r="L72" t="n">
        <v>88.61683499999999</v>
      </c>
      <c r="M72" t="n">
        <v>88.61683499999999</v>
      </c>
      <c r="N72" t="n">
        <v>88.61683499999999</v>
      </c>
      <c r="O72" t="n">
        <v>112.736869</v>
      </c>
      <c r="P72" t="n">
        <v>69.749027</v>
      </c>
      <c r="Q72" t="n">
        <v>88.61683499999999</v>
      </c>
      <c r="R72" t="n">
        <v>88.61683499999999</v>
      </c>
      <c r="S72" t="n">
        <v>112.736869</v>
      </c>
      <c r="T72" t="n">
        <v>18.000131</v>
      </c>
      <c r="U72" t="n">
        <v>69.749027</v>
      </c>
      <c r="V72" t="n">
        <v>77.336753</v>
      </c>
      <c r="W72" t="n">
        <v>138.030843</v>
      </c>
      <c r="X72" t="n">
        <v>98.46392899999999</v>
      </c>
      <c r="Y72" t="n">
        <v>24.163479</v>
      </c>
      <c r="Z72" t="n">
        <v>23.495104</v>
      </c>
    </row>
    <row r="73" ht="21" customHeight="1">
      <c r="A73" t="inlineStr">
        <is>
          <t>Penaeus merguiensis</t>
        </is>
      </c>
      <c r="B73" t="n">
        <v>3.77</v>
      </c>
      <c r="C73" t="n">
        <v>588.843655</v>
      </c>
      <c r="D73" s="10" t="inlineStr">
        <is>
          <t>2 Crustaceans | 3 Crustaceans</t>
        </is>
      </c>
      <c r="E73" t="n">
        <v>276.665746</v>
      </c>
      <c r="F73" t="n">
        <v>87.346446</v>
      </c>
      <c r="G73" t="n">
        <v>62.825827</v>
      </c>
      <c r="H73" t="n">
        <v>62.583797</v>
      </c>
      <c r="I73" t="n">
        <v>49.059783</v>
      </c>
      <c r="J73" t="n">
        <v>49.059783</v>
      </c>
      <c r="K73" t="n">
        <v>45.848307</v>
      </c>
      <c r="L73" t="n">
        <v>88.61683499999999</v>
      </c>
      <c r="M73" t="n">
        <v>88.61683499999999</v>
      </c>
      <c r="N73" t="n">
        <v>88.61683499999999</v>
      </c>
      <c r="O73" t="n">
        <v>112.736869</v>
      </c>
      <c r="P73" t="n">
        <v>69.749027</v>
      </c>
      <c r="Q73" t="n">
        <v>88.61683499999999</v>
      </c>
      <c r="R73" t="n">
        <v>88.61683499999999</v>
      </c>
      <c r="S73" t="n">
        <v>112.736869</v>
      </c>
      <c r="T73" t="n">
        <v>18.000131</v>
      </c>
      <c r="U73" t="n">
        <v>69.749027</v>
      </c>
      <c r="V73" t="n">
        <v>77.336753</v>
      </c>
      <c r="W73" t="n">
        <v>138.030843</v>
      </c>
      <c r="X73" t="n">
        <v>98.46392899999999</v>
      </c>
      <c r="Y73" t="n">
        <v>24.163479</v>
      </c>
      <c r="Z73" t="n">
        <v>23.495104</v>
      </c>
    </row>
    <row r="74" ht="21" customHeight="1">
      <c r="A74" t="inlineStr">
        <is>
          <t>Metapenaeus</t>
        </is>
      </c>
      <c r="B74" t="n">
        <v>2.7</v>
      </c>
      <c r="C74" t="n">
        <v>50.118723</v>
      </c>
      <c r="D74" s="10" t="inlineStr">
        <is>
          <t>2 Crustaceans | 3 Crustaceans</t>
        </is>
      </c>
      <c r="E74" t="n">
        <v>276.665746</v>
      </c>
      <c r="F74" t="n">
        <v>87.346446</v>
      </c>
      <c r="G74" t="n">
        <v>62.825827</v>
      </c>
      <c r="H74" t="n">
        <v>62.583797</v>
      </c>
      <c r="I74" t="n">
        <v>49.059783</v>
      </c>
      <c r="J74" t="n">
        <v>49.059783</v>
      </c>
      <c r="K74" t="n">
        <v>45.848307</v>
      </c>
      <c r="L74" t="n">
        <v>88.61683499999999</v>
      </c>
      <c r="M74" t="n">
        <v>88.61683499999999</v>
      </c>
      <c r="N74" t="n">
        <v>88.61683499999999</v>
      </c>
      <c r="O74" t="n">
        <v>112.736869</v>
      </c>
      <c r="P74" t="n">
        <v>69.749027</v>
      </c>
      <c r="Q74" t="n">
        <v>88.61683499999999</v>
      </c>
      <c r="R74" t="n">
        <v>88.61683499999999</v>
      </c>
      <c r="S74" t="n">
        <v>112.736869</v>
      </c>
      <c r="T74" t="n">
        <v>18.000131</v>
      </c>
      <c r="U74" t="n">
        <v>69.749027</v>
      </c>
      <c r="V74" t="n">
        <v>77.336753</v>
      </c>
      <c r="W74" t="n">
        <v>138.030843</v>
      </c>
      <c r="X74" t="n">
        <v>98.46392899999999</v>
      </c>
      <c r="Y74" t="n">
        <v>24.163479</v>
      </c>
      <c r="Z74" t="n">
        <v>23.495104</v>
      </c>
    </row>
    <row r="75" ht="21" customHeight="1">
      <c r="A75" t="inlineStr">
        <is>
          <t>Tegillarca granosa</t>
        </is>
      </c>
      <c r="B75" t="n">
        <v>2</v>
      </c>
      <c r="C75" t="n">
        <v>10</v>
      </c>
      <c r="D75" s="10" t="inlineStr">
        <is>
          <t>2 Macrobenthos | 3 Macrobenthos</t>
        </is>
      </c>
      <c r="E75" t="n">
        <v>276.665746</v>
      </c>
      <c r="F75" t="n">
        <v>43.212782</v>
      </c>
      <c r="G75" t="n">
        <v>32.623281</v>
      </c>
      <c r="H75" t="n">
        <v>41.368719</v>
      </c>
      <c r="I75" t="n">
        <v>34.461512</v>
      </c>
      <c r="J75" t="n">
        <v>34.461512</v>
      </c>
      <c r="K75" t="n">
        <v>31.432014</v>
      </c>
      <c r="L75" t="n">
        <v>106.719149</v>
      </c>
      <c r="M75" t="n">
        <v>106.719149</v>
      </c>
      <c r="N75" t="n">
        <v>106.719149</v>
      </c>
      <c r="O75" t="n">
        <v>113.412456</v>
      </c>
      <c r="P75" t="n">
        <v>57.717594</v>
      </c>
      <c r="Q75" t="n">
        <v>106.719149</v>
      </c>
      <c r="R75" t="n">
        <v>106.719149</v>
      </c>
      <c r="S75" t="n">
        <v>113.412456</v>
      </c>
      <c r="T75" t="n">
        <v>25.029149</v>
      </c>
      <c r="U75" t="n">
        <v>57.717594</v>
      </c>
      <c r="V75" t="n">
        <v>63.584441</v>
      </c>
      <c r="W75" t="n">
        <v>206.884057</v>
      </c>
      <c r="X75" t="n">
        <v>165.070073</v>
      </c>
      <c r="Y75" t="n">
        <v>14.477738</v>
      </c>
      <c r="Z75" t="n">
        <v>16.337529</v>
      </c>
    </row>
    <row r="76" ht="21" customHeight="1">
      <c r="A76" t="inlineStr">
        <is>
          <t>Setipinna taty</t>
        </is>
      </c>
      <c r="B76" t="n">
        <v>3.2</v>
      </c>
      <c r="C76" t="n">
        <v>158.489319</v>
      </c>
      <c r="D76" s="10" t="inlineStr">
        <is>
          <t>2 S pelagics | 3 S pelagics</t>
        </is>
      </c>
      <c r="E76" t="n">
        <v>276.665746</v>
      </c>
      <c r="F76" t="n">
        <v>140.109476</v>
      </c>
      <c r="G76" t="n">
        <v>97.63290000000001</v>
      </c>
      <c r="H76" t="n">
        <v>192.530385</v>
      </c>
      <c r="I76" t="n">
        <v>80.840119</v>
      </c>
      <c r="J76" t="n">
        <v>105.744532</v>
      </c>
      <c r="K76" t="n">
        <v>98.71770100000001</v>
      </c>
      <c r="L76" t="n">
        <v>234.01812</v>
      </c>
      <c r="M76" t="n">
        <v>234.01812</v>
      </c>
      <c r="N76" t="n">
        <v>234.01812</v>
      </c>
      <c r="O76" t="n">
        <v>202.793183</v>
      </c>
      <c r="P76" t="n">
        <v>80.12592100000001</v>
      </c>
      <c r="Q76" t="n">
        <v>234.01812</v>
      </c>
      <c r="R76" t="n">
        <v>-33882.555745</v>
      </c>
      <c r="S76" t="n">
        <v>202.793183</v>
      </c>
      <c r="T76" t="n">
        <v>227994.620435</v>
      </c>
      <c r="U76" t="n">
        <v>80.12592100000001</v>
      </c>
      <c r="V76" t="n">
        <v>-5095004.477163</v>
      </c>
      <c r="W76" t="n">
        <v>296.324343</v>
      </c>
      <c r="X76" t="n">
        <v>299.160007</v>
      </c>
      <c r="Y76" t="n">
        <v>34.1744</v>
      </c>
      <c r="Z76" t="n">
        <v>48.359224</v>
      </c>
    </row>
    <row r="77" ht="21" customHeight="1">
      <c r="A77" t="inlineStr">
        <is>
          <t>Loliginidae</t>
        </is>
      </c>
      <c r="B77" t="n">
        <v>3.9</v>
      </c>
      <c r="C77" t="n">
        <v>794.3282349999999</v>
      </c>
      <c r="D77" s="10" t="inlineStr">
        <is>
          <t>Cephalopods</t>
        </is>
      </c>
      <c r="E77" t="n">
        <v>276.665746</v>
      </c>
      <c r="F77" t="n">
        <v>990.119511</v>
      </c>
      <c r="G77" t="n">
        <v>598.369015</v>
      </c>
      <c r="H77" t="n">
        <v>1346.233095</v>
      </c>
      <c r="I77" t="n">
        <v>376.93677</v>
      </c>
      <c r="J77" t="n">
        <v>457.544762</v>
      </c>
      <c r="K77" t="n">
        <v>411.790286</v>
      </c>
      <c r="L77" t="n">
        <v>1154.79452</v>
      </c>
      <c r="M77" t="n">
        <v>1154.79452</v>
      </c>
      <c r="N77" t="n">
        <v>1154.79452</v>
      </c>
      <c r="O77" t="n">
        <v>883.361743</v>
      </c>
      <c r="P77" t="n">
        <v>288.682294</v>
      </c>
      <c r="Q77" t="n">
        <v>1154.79452</v>
      </c>
      <c r="R77" t="n">
        <v>-29810.748817</v>
      </c>
      <c r="S77" t="n">
        <v>883.361743</v>
      </c>
      <c r="T77" t="n">
        <v>-4388.856367</v>
      </c>
      <c r="U77" t="n">
        <v>288.682294</v>
      </c>
      <c r="V77" t="n">
        <v>-67924.848461</v>
      </c>
      <c r="W77" t="n">
        <v>1393.755014</v>
      </c>
      <c r="X77" t="n">
        <v>1512.277541</v>
      </c>
      <c r="Y77" t="n">
        <v>138.403273</v>
      </c>
      <c r="Z77" t="n">
        <v>209.32439</v>
      </c>
    </row>
    <row r="78" ht="21" customHeight="1">
      <c r="A78" t="inlineStr">
        <is>
          <t>Lethrinidae</t>
        </is>
      </c>
      <c r="B78" t="n">
        <v>3.59</v>
      </c>
      <c r="C78" t="n">
        <v>389.045145</v>
      </c>
      <c r="D78" s="10" t="inlineStr">
        <is>
          <t>2 L pisc comm | 3 L pisc comm</t>
        </is>
      </c>
      <c r="E78" t="n">
        <v>276.665746</v>
      </c>
      <c r="F78" t="n">
        <v>942.008432</v>
      </c>
      <c r="G78" t="n">
        <v>569.455705</v>
      </c>
      <c r="H78" t="n">
        <v>2133.059221</v>
      </c>
      <c r="I78" t="n">
        <v>640.2845610000001</v>
      </c>
      <c r="J78" t="n">
        <v>809.484635</v>
      </c>
      <c r="K78" t="n">
        <v>735.551234</v>
      </c>
      <c r="L78" t="n">
        <v>2161.417589</v>
      </c>
      <c r="M78" t="n">
        <v>2161.417589</v>
      </c>
      <c r="N78" t="n">
        <v>2161.417589</v>
      </c>
      <c r="O78" t="n">
        <v>1596.841335</v>
      </c>
      <c r="P78" t="n">
        <v>484.191698</v>
      </c>
      <c r="Q78" t="n">
        <v>2161.417589</v>
      </c>
      <c r="R78" t="n">
        <v>-1566538.678845</v>
      </c>
      <c r="S78" t="n">
        <v>1596.841335</v>
      </c>
      <c r="T78" t="n">
        <v>18720614.545483</v>
      </c>
      <c r="U78" t="n">
        <v>484.191698</v>
      </c>
      <c r="V78" t="n">
        <v>-729589570.314726</v>
      </c>
      <c r="W78" t="n">
        <v>2521.687387</v>
      </c>
      <c r="X78" t="n">
        <v>2846.929567</v>
      </c>
      <c r="Y78" t="n">
        <v>132.205276</v>
      </c>
      <c r="Z78" t="n">
        <v>267.422877</v>
      </c>
    </row>
    <row r="79" ht="21" customHeight="1">
      <c r="A79" t="inlineStr">
        <is>
          <t>Setipinna phasa</t>
        </is>
      </c>
      <c r="B79" t="n">
        <v>3.25</v>
      </c>
      <c r="C79" t="n">
        <v>177.827941</v>
      </c>
      <c r="D79" s="10" t="inlineStr">
        <is>
          <t>2 S pelagics | 3 S pelagics</t>
        </is>
      </c>
      <c r="E79" t="n">
        <v>276.665746</v>
      </c>
      <c r="F79" t="n">
        <v>140.109476</v>
      </c>
      <c r="G79" t="n">
        <v>97.63290000000001</v>
      </c>
      <c r="H79" t="n">
        <v>192.530385</v>
      </c>
      <c r="I79" t="n">
        <v>80.840119</v>
      </c>
      <c r="J79" t="n">
        <v>105.744532</v>
      </c>
      <c r="K79" t="n">
        <v>98.71770100000001</v>
      </c>
      <c r="L79" t="n">
        <v>234.01812</v>
      </c>
      <c r="M79" t="n">
        <v>234.01812</v>
      </c>
      <c r="N79" t="n">
        <v>234.01812</v>
      </c>
      <c r="O79" t="n">
        <v>202.793183</v>
      </c>
      <c r="P79" t="n">
        <v>80.12592100000001</v>
      </c>
      <c r="Q79" t="n">
        <v>234.01812</v>
      </c>
      <c r="R79" t="n">
        <v>-33882.555745</v>
      </c>
      <c r="S79" t="n">
        <v>202.793183</v>
      </c>
      <c r="T79" t="n">
        <v>227994.620435</v>
      </c>
      <c r="U79" t="n">
        <v>80.12592100000001</v>
      </c>
      <c r="V79" t="n">
        <v>-5095004.477163</v>
      </c>
      <c r="W79" t="n">
        <v>296.324343</v>
      </c>
      <c r="X79" t="n">
        <v>299.160007</v>
      </c>
      <c r="Y79" t="n">
        <v>34.1744</v>
      </c>
      <c r="Z79" t="n">
        <v>48.359224</v>
      </c>
    </row>
    <row r="80" ht="21" customHeight="1">
      <c r="A80" t="inlineStr">
        <is>
          <t>Auxis thazard</t>
        </is>
      </c>
      <c r="B80" t="n">
        <v>4.37</v>
      </c>
      <c r="C80" t="n">
        <v>2344.228815</v>
      </c>
      <c r="D80" s="10" t="inlineStr">
        <is>
          <t>Coastal scombrids</t>
        </is>
      </c>
      <c r="E80" t="n">
        <v>276.665746</v>
      </c>
      <c r="F80" t="n">
        <v>2151.411916</v>
      </c>
      <c r="G80" t="n">
        <v>1228.563684</v>
      </c>
      <c r="H80" t="n">
        <v>5446.035641</v>
      </c>
      <c r="I80" t="n">
        <v>1745.735548</v>
      </c>
      <c r="J80" t="n">
        <v>2057.857337</v>
      </c>
      <c r="K80" t="n">
        <v>1230.598688</v>
      </c>
      <c r="L80" t="n">
        <v>5797.992045</v>
      </c>
      <c r="M80" t="n">
        <v>5797.992045</v>
      </c>
      <c r="N80" t="n">
        <v>5797.992045</v>
      </c>
      <c r="O80" t="n">
        <v>2888.86016</v>
      </c>
      <c r="P80" t="n">
        <v>773.406711</v>
      </c>
      <c r="Q80" t="n">
        <v>5797.992045</v>
      </c>
      <c r="R80" t="n">
        <v>16253842.87507</v>
      </c>
      <c r="S80" t="n">
        <v>2888.86016</v>
      </c>
      <c r="T80" t="n">
        <v>-18404050.091193</v>
      </c>
      <c r="U80" t="n">
        <v>773.406711</v>
      </c>
      <c r="V80" t="n">
        <v>4.487680113340224e+16</v>
      </c>
      <c r="W80" t="n">
        <v>4648.847098</v>
      </c>
      <c r="X80" t="n">
        <v>7907.299162</v>
      </c>
      <c r="Y80" t="n">
        <v>241.012964</v>
      </c>
      <c r="Z80" t="n">
        <v>536.33742</v>
      </c>
    </row>
    <row r="81" ht="21" customHeight="1">
      <c r="A81" t="inlineStr">
        <is>
          <t>Miscellaneous aquatic invertebrates</t>
        </is>
      </c>
      <c r="B81" t="n">
        <v>2.43</v>
      </c>
      <c r="C81" t="n">
        <v>26.915348</v>
      </c>
      <c r="D81" s="10" t="inlineStr">
        <is>
          <t>2 Macrobenthos | 3 Macrobenthos</t>
        </is>
      </c>
      <c r="E81" t="n">
        <v>276.665746</v>
      </c>
      <c r="F81" t="n">
        <v>43.212782</v>
      </c>
      <c r="G81" t="n">
        <v>32.623281</v>
      </c>
      <c r="H81" t="n">
        <v>41.368719</v>
      </c>
      <c r="I81" t="n">
        <v>34.461512</v>
      </c>
      <c r="J81" t="n">
        <v>34.461512</v>
      </c>
      <c r="K81" t="n">
        <v>31.432014</v>
      </c>
      <c r="L81" t="n">
        <v>106.719149</v>
      </c>
      <c r="M81" t="n">
        <v>106.719149</v>
      </c>
      <c r="N81" t="n">
        <v>106.719149</v>
      </c>
      <c r="O81" t="n">
        <v>113.412456</v>
      </c>
      <c r="P81" t="n">
        <v>57.717594</v>
      </c>
      <c r="Q81" t="n">
        <v>106.719149</v>
      </c>
      <c r="R81" t="n">
        <v>106.719149</v>
      </c>
      <c r="S81" t="n">
        <v>113.412456</v>
      </c>
      <c r="T81" t="n">
        <v>25.029149</v>
      </c>
      <c r="U81" t="n">
        <v>57.717594</v>
      </c>
      <c r="V81" t="n">
        <v>63.584441</v>
      </c>
      <c r="W81" t="n">
        <v>206.884057</v>
      </c>
      <c r="X81" t="n">
        <v>165.070073</v>
      </c>
      <c r="Y81" t="n">
        <v>14.477738</v>
      </c>
      <c r="Z81" t="n">
        <v>16.337529</v>
      </c>
    </row>
    <row r="82" ht="21" customHeight="1">
      <c r="A82" t="inlineStr">
        <is>
          <t>Leiognathus</t>
        </is>
      </c>
      <c r="B82" t="n">
        <v>3.22</v>
      </c>
      <c r="C82" t="n">
        <v>165.958691</v>
      </c>
      <c r="D82" s="10" t="inlineStr">
        <is>
          <t>2 SM inv | 3 SM inv</t>
        </is>
      </c>
      <c r="E82" t="n">
        <v>276.665746</v>
      </c>
      <c r="F82" t="n">
        <v>195.237034</v>
      </c>
      <c r="G82" t="n">
        <v>132.430212</v>
      </c>
      <c r="H82" t="n">
        <v>264.43232</v>
      </c>
      <c r="I82" t="n">
        <v>118.903546</v>
      </c>
      <c r="J82" t="n">
        <v>136.120138</v>
      </c>
      <c r="K82" t="n">
        <v>127.344134</v>
      </c>
      <c r="L82" t="n">
        <v>358.382548</v>
      </c>
      <c r="M82" t="n">
        <v>358.382548</v>
      </c>
      <c r="N82" t="n">
        <v>358.382548</v>
      </c>
      <c r="O82" t="n">
        <v>341.399299</v>
      </c>
      <c r="P82" t="n">
        <v>140.115469</v>
      </c>
      <c r="Q82" t="n">
        <v>358.382548</v>
      </c>
      <c r="R82" t="n">
        <v>6457.458436</v>
      </c>
      <c r="S82" t="n">
        <v>341.399299</v>
      </c>
      <c r="T82" t="n">
        <v>179529.737596</v>
      </c>
      <c r="U82" t="n">
        <v>140.115469</v>
      </c>
      <c r="V82" t="n">
        <v>-303793.842089</v>
      </c>
      <c r="W82" t="n">
        <v>574.006718</v>
      </c>
      <c r="X82" t="n">
        <v>502.703783</v>
      </c>
      <c r="Y82" t="n">
        <v>42.955466</v>
      </c>
      <c r="Z82" t="n">
        <v>65.030467</v>
      </c>
    </row>
    <row r="83" ht="21" customHeight="1">
      <c r="A83" t="inlineStr">
        <is>
          <t>Lutjanidae</t>
        </is>
      </c>
      <c r="B83" t="n">
        <v>4.02</v>
      </c>
      <c r="C83" t="n">
        <v>1047.128548</v>
      </c>
      <c r="D83" s="10" t="inlineStr">
        <is>
          <t>2 L pisc comm | 3 L pisc comm</t>
        </is>
      </c>
      <c r="E83" t="n">
        <v>276.665746</v>
      </c>
      <c r="F83" t="n">
        <v>942.008432</v>
      </c>
      <c r="G83" t="n">
        <v>569.455705</v>
      </c>
      <c r="H83" t="n">
        <v>2133.059221</v>
      </c>
      <c r="I83" t="n">
        <v>640.2845610000001</v>
      </c>
      <c r="J83" t="n">
        <v>809.484635</v>
      </c>
      <c r="K83" t="n">
        <v>735.551234</v>
      </c>
      <c r="L83" t="n">
        <v>2161.417589</v>
      </c>
      <c r="M83" t="n">
        <v>2161.417589</v>
      </c>
      <c r="N83" t="n">
        <v>2161.417589</v>
      </c>
      <c r="O83" t="n">
        <v>1596.841335</v>
      </c>
      <c r="P83" t="n">
        <v>484.191698</v>
      </c>
      <c r="Q83" t="n">
        <v>2161.417589</v>
      </c>
      <c r="R83" t="n">
        <v>-1566538.678845</v>
      </c>
      <c r="S83" t="n">
        <v>1596.841335</v>
      </c>
      <c r="T83" t="n">
        <v>18720614.545483</v>
      </c>
      <c r="U83" t="n">
        <v>484.191698</v>
      </c>
      <c r="V83" t="n">
        <v>-729589570.314726</v>
      </c>
      <c r="W83" t="n">
        <v>2521.687387</v>
      </c>
      <c r="X83" t="n">
        <v>2846.929567</v>
      </c>
      <c r="Y83" t="n">
        <v>132.205276</v>
      </c>
      <c r="Z83" t="n">
        <v>267.422877</v>
      </c>
    </row>
    <row r="84" ht="21" customHeight="1">
      <c r="A84" t="inlineStr">
        <is>
          <t>Penaeus</t>
        </is>
      </c>
      <c r="B84" t="n">
        <v>2.7</v>
      </c>
      <c r="C84" t="n">
        <v>50.118723</v>
      </c>
      <c r="D84" s="10" t="inlineStr">
        <is>
          <t>2 Crustaceans | 3 Crustaceans</t>
        </is>
      </c>
      <c r="E84" t="n">
        <v>276.665746</v>
      </c>
      <c r="F84" t="n">
        <v>87.346446</v>
      </c>
      <c r="G84" t="n">
        <v>62.825827</v>
      </c>
      <c r="H84" t="n">
        <v>62.583797</v>
      </c>
      <c r="I84" t="n">
        <v>49.059783</v>
      </c>
      <c r="J84" t="n">
        <v>49.059783</v>
      </c>
      <c r="K84" t="n">
        <v>45.848307</v>
      </c>
      <c r="L84" t="n">
        <v>88.61683499999999</v>
      </c>
      <c r="M84" t="n">
        <v>88.61683499999999</v>
      </c>
      <c r="N84" t="n">
        <v>88.61683499999999</v>
      </c>
      <c r="O84" t="n">
        <v>112.736869</v>
      </c>
      <c r="P84" t="n">
        <v>69.749027</v>
      </c>
      <c r="Q84" t="n">
        <v>88.61683499999999</v>
      </c>
      <c r="R84" t="n">
        <v>88.61683499999999</v>
      </c>
      <c r="S84" t="n">
        <v>112.736869</v>
      </c>
      <c r="T84" t="n">
        <v>18.000131</v>
      </c>
      <c r="U84" t="n">
        <v>69.749027</v>
      </c>
      <c r="V84" t="n">
        <v>77.336753</v>
      </c>
      <c r="W84" t="n">
        <v>138.030843</v>
      </c>
      <c r="X84" t="n">
        <v>98.46392899999999</v>
      </c>
      <c r="Y84" t="n">
        <v>24.163479</v>
      </c>
      <c r="Z84" t="n">
        <v>23.495104</v>
      </c>
    </row>
    <row r="85" ht="21" customHeight="1">
      <c r="A85" t="inlineStr">
        <is>
          <t>Katsuwonus pelamis</t>
        </is>
      </c>
      <c r="B85" t="n">
        <v>4.43</v>
      </c>
      <c r="C85" t="n">
        <v>2691.534804</v>
      </c>
      <c r="D85" s="10" t="inlineStr">
        <is>
          <t>Tuna-like</t>
        </is>
      </c>
      <c r="E85" t="n">
        <v>276.665746</v>
      </c>
      <c r="F85" t="n">
        <v>3650.332839</v>
      </c>
      <c r="G85" t="n">
        <v>2005.591894</v>
      </c>
      <c r="H85" t="n">
        <v>10195.617489</v>
      </c>
      <c r="I85" t="n">
        <v>2102.414308</v>
      </c>
      <c r="J85" t="n">
        <v>2472.563272</v>
      </c>
      <c r="K85" t="n">
        <v>2210.471565</v>
      </c>
      <c r="L85" t="n">
        <v>8472.950376000001</v>
      </c>
      <c r="M85" t="n">
        <v>8472.950376000001</v>
      </c>
      <c r="N85" t="n">
        <v>8472.950376000001</v>
      </c>
      <c r="O85" t="n">
        <v>5373.396262</v>
      </c>
      <c r="P85" t="n">
        <v>1271.175154</v>
      </c>
      <c r="Q85" t="n">
        <v>8472.950376000001</v>
      </c>
      <c r="R85" t="n">
        <v>11625502.426924</v>
      </c>
      <c r="S85" t="n">
        <v>5373.396262</v>
      </c>
      <c r="T85" t="n">
        <v>-571718.054743</v>
      </c>
      <c r="U85" t="n">
        <v>1271.175154</v>
      </c>
      <c r="V85" t="n">
        <v>-2164067390.718938</v>
      </c>
      <c r="W85" t="n">
        <v>8901.765899</v>
      </c>
      <c r="X85" t="n">
        <v>11377.133687</v>
      </c>
      <c r="Y85" t="n">
        <v>351.683283</v>
      </c>
      <c r="Z85" t="n">
        <v>848.5746820000001</v>
      </c>
    </row>
    <row r="86" ht="21" customHeight="1">
      <c r="A86" t="inlineStr">
        <is>
          <t>Mollusca</t>
        </is>
      </c>
      <c r="B86" t="n">
        <v>2.1</v>
      </c>
      <c r="C86" t="n">
        <v>12.589254</v>
      </c>
      <c r="D86" s="10" t="inlineStr">
        <is>
          <t>2 Macrobenthos | 3 Macrobenthos</t>
        </is>
      </c>
      <c r="E86" t="n">
        <v>276.665746</v>
      </c>
      <c r="F86" t="n">
        <v>43.212782</v>
      </c>
      <c r="G86" t="n">
        <v>32.623281</v>
      </c>
      <c r="H86" t="n">
        <v>41.368719</v>
      </c>
      <c r="I86" t="n">
        <v>34.461512</v>
      </c>
      <c r="J86" t="n">
        <v>34.461512</v>
      </c>
      <c r="K86" t="n">
        <v>31.432014</v>
      </c>
      <c r="L86" t="n">
        <v>106.719149</v>
      </c>
      <c r="M86" t="n">
        <v>106.719149</v>
      </c>
      <c r="N86" t="n">
        <v>106.719149</v>
      </c>
      <c r="O86" t="n">
        <v>113.412456</v>
      </c>
      <c r="P86" t="n">
        <v>57.717594</v>
      </c>
      <c r="Q86" t="n">
        <v>106.719149</v>
      </c>
      <c r="R86" t="n">
        <v>106.719149</v>
      </c>
      <c r="S86" t="n">
        <v>113.412456</v>
      </c>
      <c r="T86" t="n">
        <v>25.029149</v>
      </c>
      <c r="U86" t="n">
        <v>57.717594</v>
      </c>
      <c r="V86" t="n">
        <v>63.584441</v>
      </c>
      <c r="W86" t="n">
        <v>206.884057</v>
      </c>
      <c r="X86" t="n">
        <v>165.070073</v>
      </c>
      <c r="Y86" t="n">
        <v>14.477738</v>
      </c>
      <c r="Z86" t="n">
        <v>16.337529</v>
      </c>
    </row>
    <row r="87" ht="21" customHeight="1">
      <c r="A87" t="inlineStr">
        <is>
          <t>Serranidae</t>
        </is>
      </c>
      <c r="B87" t="n">
        <v>3.98</v>
      </c>
      <c r="C87" t="n">
        <v>954.992586</v>
      </c>
      <c r="D87" s="10" t="inlineStr">
        <is>
          <t>2 L pisc comm | 3 L pisc comm</t>
        </is>
      </c>
      <c r="E87" t="n">
        <v>276.665746</v>
      </c>
      <c r="F87" t="n">
        <v>942.008432</v>
      </c>
      <c r="G87" t="n">
        <v>569.455705</v>
      </c>
      <c r="H87" t="n">
        <v>2133.059221</v>
      </c>
      <c r="I87" t="n">
        <v>640.2845610000001</v>
      </c>
      <c r="J87" t="n">
        <v>809.484635</v>
      </c>
      <c r="K87" t="n">
        <v>735.551234</v>
      </c>
      <c r="L87" t="n">
        <v>2161.417589</v>
      </c>
      <c r="M87" t="n">
        <v>2161.417589</v>
      </c>
      <c r="N87" t="n">
        <v>2161.417589</v>
      </c>
      <c r="O87" t="n">
        <v>1596.841335</v>
      </c>
      <c r="P87" t="n">
        <v>484.191698</v>
      </c>
      <c r="Q87" t="n">
        <v>2161.417589</v>
      </c>
      <c r="R87" t="n">
        <v>-1566538.678845</v>
      </c>
      <c r="S87" t="n">
        <v>1596.841335</v>
      </c>
      <c r="T87" t="n">
        <v>18720614.545483</v>
      </c>
      <c r="U87" t="n">
        <v>484.191698</v>
      </c>
      <c r="V87" t="n">
        <v>-729589570.314726</v>
      </c>
      <c r="W87" t="n">
        <v>2521.687387</v>
      </c>
      <c r="X87" t="n">
        <v>2846.929567</v>
      </c>
      <c r="Y87" t="n">
        <v>132.205276</v>
      </c>
      <c r="Z87" t="n">
        <v>267.422877</v>
      </c>
    </row>
    <row r="88" ht="21" customHeight="1">
      <c r="A88" t="inlineStr">
        <is>
          <t>Auxis</t>
        </is>
      </c>
      <c r="B88" t="n">
        <v>4.24</v>
      </c>
      <c r="C88" t="n">
        <v>1737.800829</v>
      </c>
      <c r="D88" s="10" t="inlineStr">
        <is>
          <t>Coastal scombrids</t>
        </is>
      </c>
      <c r="E88" t="n">
        <v>276.665746</v>
      </c>
      <c r="F88" t="n">
        <v>2151.411916</v>
      </c>
      <c r="G88" t="n">
        <v>1228.563684</v>
      </c>
      <c r="H88" t="n">
        <v>5446.035641</v>
      </c>
      <c r="I88" t="n">
        <v>1745.735548</v>
      </c>
      <c r="J88" t="n">
        <v>2057.857337</v>
      </c>
      <c r="K88" t="n">
        <v>1230.598688</v>
      </c>
      <c r="L88" t="n">
        <v>5797.992045</v>
      </c>
      <c r="M88" t="n">
        <v>5797.992045</v>
      </c>
      <c r="N88" t="n">
        <v>5797.992045</v>
      </c>
      <c r="O88" t="n">
        <v>2888.86016</v>
      </c>
      <c r="P88" t="n">
        <v>773.406711</v>
      </c>
      <c r="Q88" t="n">
        <v>5797.992045</v>
      </c>
      <c r="R88" t="n">
        <v>16253842.87507</v>
      </c>
      <c r="S88" t="n">
        <v>2888.86016</v>
      </c>
      <c r="T88" t="n">
        <v>-18404050.091193</v>
      </c>
      <c r="U88" t="n">
        <v>773.406711</v>
      </c>
      <c r="V88" t="n">
        <v>4.487680113340224e+16</v>
      </c>
      <c r="W88" t="n">
        <v>4648.847098</v>
      </c>
      <c r="X88" t="n">
        <v>7907.299162</v>
      </c>
      <c r="Y88" t="n">
        <v>241.012964</v>
      </c>
      <c r="Z88" t="n">
        <v>536.33742</v>
      </c>
    </row>
    <row r="89" ht="21" customHeight="1">
      <c r="A89" t="inlineStr">
        <is>
          <t>Lactarius lactarius</t>
        </is>
      </c>
      <c r="B89" t="n">
        <v>3.97</v>
      </c>
      <c r="C89" t="n">
        <v>933.2543010000001</v>
      </c>
      <c r="D89" s="10" t="inlineStr">
        <is>
          <t>2 S pelagics | 3 S pelagics</t>
        </is>
      </c>
      <c r="E89" t="n">
        <v>276.665746</v>
      </c>
      <c r="F89" t="n">
        <v>140.109476</v>
      </c>
      <c r="G89" t="n">
        <v>97.63290000000001</v>
      </c>
      <c r="H89" t="n">
        <v>192.530385</v>
      </c>
      <c r="I89" t="n">
        <v>80.840119</v>
      </c>
      <c r="J89" t="n">
        <v>105.744532</v>
      </c>
      <c r="K89" t="n">
        <v>98.71770100000001</v>
      </c>
      <c r="L89" t="n">
        <v>234.01812</v>
      </c>
      <c r="M89" t="n">
        <v>234.01812</v>
      </c>
      <c r="N89" t="n">
        <v>234.01812</v>
      </c>
      <c r="O89" t="n">
        <v>202.793183</v>
      </c>
      <c r="P89" t="n">
        <v>80.12592100000001</v>
      </c>
      <c r="Q89" t="n">
        <v>234.01812</v>
      </c>
      <c r="R89" t="n">
        <v>-33882.555745</v>
      </c>
      <c r="S89" t="n">
        <v>202.793183</v>
      </c>
      <c r="T89" t="n">
        <v>227994.620435</v>
      </c>
      <c r="U89" t="n">
        <v>80.12592100000001</v>
      </c>
      <c r="V89" t="n">
        <v>-5095004.477163</v>
      </c>
      <c r="W89" t="n">
        <v>296.324343</v>
      </c>
      <c r="X89" t="n">
        <v>299.160007</v>
      </c>
      <c r="Y89" t="n">
        <v>34.1744</v>
      </c>
      <c r="Z89" t="n">
        <v>48.359224</v>
      </c>
    </row>
    <row r="90" ht="21" customHeight="1">
      <c r="A90" t="inlineStr">
        <is>
          <t>Himantura</t>
        </is>
      </c>
      <c r="B90" t="n">
        <v>3.85</v>
      </c>
      <c r="C90" t="n">
        <v>707.945784</v>
      </c>
      <c r="D90" s="10" t="inlineStr">
        <is>
          <t>Coastal elasmobranch</t>
        </is>
      </c>
      <c r="E90" t="n">
        <v>276.665746</v>
      </c>
      <c r="F90" t="n">
        <v>1214.104792</v>
      </c>
      <c r="G90" t="n">
        <v>722.888243</v>
      </c>
      <c r="H90" t="n">
        <v>10114.101338</v>
      </c>
      <c r="I90" t="n">
        <v>2494.37346</v>
      </c>
      <c r="J90" t="n">
        <v>2719.859382</v>
      </c>
      <c r="K90" t="n">
        <v>2567.547256</v>
      </c>
      <c r="L90" t="n">
        <v>16997.641054</v>
      </c>
      <c r="M90" t="n">
        <v>16997.641054</v>
      </c>
      <c r="N90" t="n">
        <v>16997.641054</v>
      </c>
      <c r="O90" t="n">
        <v>9182.663503</v>
      </c>
      <c r="P90" t="n">
        <v>1862.532494</v>
      </c>
      <c r="Q90" t="n">
        <v>16997.641054</v>
      </c>
      <c r="R90" t="n">
        <v>95398056.213283</v>
      </c>
      <c r="S90" t="n">
        <v>9182.663503</v>
      </c>
      <c r="T90" t="n">
        <v>-5392414.250181</v>
      </c>
      <c r="U90" t="n">
        <v>1862.532494</v>
      </c>
      <c r="V90" t="n">
        <v>-8.614472647464927e+19</v>
      </c>
      <c r="W90" t="n">
        <v>15254.347201</v>
      </c>
      <c r="X90" t="n">
        <v>23723.705808</v>
      </c>
      <c r="Y90" t="n">
        <v>160.121668</v>
      </c>
      <c r="Z90" t="n">
        <v>657.545035</v>
      </c>
    </row>
    <row r="91" ht="21" customHeight="1">
      <c r="A91" t="inlineStr">
        <is>
          <t>Cynoglossus cynoglossus</t>
        </is>
      </c>
      <c r="B91" t="n">
        <v>3.5</v>
      </c>
      <c r="C91" t="n">
        <v>316.227766</v>
      </c>
      <c r="D91" s="10" t="inlineStr">
        <is>
          <t>2 SM inv | 3 SM inv</t>
        </is>
      </c>
      <c r="E91" t="n">
        <v>276.665746</v>
      </c>
      <c r="F91" t="n">
        <v>195.237034</v>
      </c>
      <c r="G91" t="n">
        <v>132.430212</v>
      </c>
      <c r="H91" t="n">
        <v>264.43232</v>
      </c>
      <c r="I91" t="n">
        <v>118.903546</v>
      </c>
      <c r="J91" t="n">
        <v>136.120138</v>
      </c>
      <c r="K91" t="n">
        <v>127.344134</v>
      </c>
      <c r="L91" t="n">
        <v>358.382548</v>
      </c>
      <c r="M91" t="n">
        <v>358.382548</v>
      </c>
      <c r="N91" t="n">
        <v>358.382548</v>
      </c>
      <c r="O91" t="n">
        <v>341.399299</v>
      </c>
      <c r="P91" t="n">
        <v>140.115469</v>
      </c>
      <c r="Q91" t="n">
        <v>358.382548</v>
      </c>
      <c r="R91" t="n">
        <v>6457.458436</v>
      </c>
      <c r="S91" t="n">
        <v>341.399299</v>
      </c>
      <c r="T91" t="n">
        <v>179529.737596</v>
      </c>
      <c r="U91" t="n">
        <v>140.115469</v>
      </c>
      <c r="V91" t="n">
        <v>-303793.842089</v>
      </c>
      <c r="W91" t="n">
        <v>574.006718</v>
      </c>
      <c r="X91" t="n">
        <v>502.703783</v>
      </c>
      <c r="Y91" t="n">
        <v>42.955466</v>
      </c>
      <c r="Z91" t="n">
        <v>65.030467</v>
      </c>
    </row>
    <row r="92" ht="21" customHeight="1">
      <c r="A92" t="inlineStr">
        <is>
          <t>Pampus</t>
        </is>
      </c>
      <c r="B92" t="n">
        <v>3.41</v>
      </c>
      <c r="C92" t="n">
        <v>257.039578</v>
      </c>
      <c r="D92" s="10" t="inlineStr">
        <is>
          <t>2 SM inv | 3 SM inv</t>
        </is>
      </c>
      <c r="E92" t="n">
        <v>276.665746</v>
      </c>
      <c r="F92" t="n">
        <v>195.237034</v>
      </c>
      <c r="G92" t="n">
        <v>132.430212</v>
      </c>
      <c r="H92" t="n">
        <v>264.43232</v>
      </c>
      <c r="I92" t="n">
        <v>118.903546</v>
      </c>
      <c r="J92" t="n">
        <v>136.120138</v>
      </c>
      <c r="K92" t="n">
        <v>127.344134</v>
      </c>
      <c r="L92" t="n">
        <v>358.382548</v>
      </c>
      <c r="M92" t="n">
        <v>358.382548</v>
      </c>
      <c r="N92" t="n">
        <v>358.382548</v>
      </c>
      <c r="O92" t="n">
        <v>341.399299</v>
      </c>
      <c r="P92" t="n">
        <v>140.115469</v>
      </c>
      <c r="Q92" t="n">
        <v>358.382548</v>
      </c>
      <c r="R92" t="n">
        <v>6457.458436</v>
      </c>
      <c r="S92" t="n">
        <v>341.399299</v>
      </c>
      <c r="T92" t="n">
        <v>179529.737596</v>
      </c>
      <c r="U92" t="n">
        <v>140.115469</v>
      </c>
      <c r="V92" t="n">
        <v>-303793.842089</v>
      </c>
      <c r="W92" t="n">
        <v>574.006718</v>
      </c>
      <c r="X92" t="n">
        <v>502.703783</v>
      </c>
      <c r="Y92" t="n">
        <v>42.955466</v>
      </c>
      <c r="Z92" t="n">
        <v>65.030467</v>
      </c>
    </row>
    <row r="93" ht="21" customHeight="1">
      <c r="A93" t="inlineStr">
        <is>
          <t>Thunnus tonggol</t>
        </is>
      </c>
      <c r="B93" t="n">
        <v>4.5</v>
      </c>
      <c r="C93" t="n">
        <v>3162.27766</v>
      </c>
      <c r="D93" s="10" t="inlineStr">
        <is>
          <t>Coastal scombrids</t>
        </is>
      </c>
      <c r="E93" t="n">
        <v>276.665746</v>
      </c>
      <c r="F93" t="n">
        <v>2151.411916</v>
      </c>
      <c r="G93" t="n">
        <v>1228.563684</v>
      </c>
      <c r="H93" t="n">
        <v>5446.035641</v>
      </c>
      <c r="I93" t="n">
        <v>1745.735548</v>
      </c>
      <c r="J93" t="n">
        <v>2057.857337</v>
      </c>
      <c r="K93" t="n">
        <v>1230.598688</v>
      </c>
      <c r="L93" t="n">
        <v>5797.992045</v>
      </c>
      <c r="M93" t="n">
        <v>5797.992045</v>
      </c>
      <c r="N93" t="n">
        <v>5797.992045</v>
      </c>
      <c r="O93" t="n">
        <v>2888.86016</v>
      </c>
      <c r="P93" t="n">
        <v>773.406711</v>
      </c>
      <c r="Q93" t="n">
        <v>5797.992045</v>
      </c>
      <c r="R93" t="n">
        <v>16253842.87507</v>
      </c>
      <c r="S93" t="n">
        <v>2888.86016</v>
      </c>
      <c r="T93" t="n">
        <v>-18404050.091193</v>
      </c>
      <c r="U93" t="n">
        <v>773.406711</v>
      </c>
      <c r="V93" t="n">
        <v>4.487680113340224e+16</v>
      </c>
      <c r="W93" t="n">
        <v>4648.847098</v>
      </c>
      <c r="X93" t="n">
        <v>7907.299162</v>
      </c>
      <c r="Y93" t="n">
        <v>241.012964</v>
      </c>
      <c r="Z93" t="n">
        <v>536.33742</v>
      </c>
    </row>
    <row r="94" ht="21" customHeight="1">
      <c r="A94" t="inlineStr">
        <is>
          <t>Pomadasys</t>
        </is>
      </c>
      <c r="B94" t="n">
        <v>3.59</v>
      </c>
      <c r="C94" t="n">
        <v>389.045145</v>
      </c>
      <c r="D94" s="10" t="inlineStr">
        <is>
          <t>2 SM pisc | 3 SM pisc</t>
        </is>
      </c>
      <c r="E94" t="n">
        <v>276.665746</v>
      </c>
      <c r="F94" t="n">
        <v>735.917019</v>
      </c>
      <c r="G94" t="n">
        <v>452.492682</v>
      </c>
      <c r="H94" t="n">
        <v>682.111639</v>
      </c>
      <c r="I94" t="n">
        <v>235.466475</v>
      </c>
      <c r="J94" t="n">
        <v>314.21941</v>
      </c>
      <c r="K94" t="n">
        <v>298.50844</v>
      </c>
      <c r="L94" t="n">
        <v>954.7607</v>
      </c>
      <c r="M94" t="n">
        <v>954.7607</v>
      </c>
      <c r="N94" t="n">
        <v>954.7607</v>
      </c>
      <c r="O94" t="n">
        <v>843.56575</v>
      </c>
      <c r="P94" t="n">
        <v>294.060389</v>
      </c>
      <c r="Q94" t="n">
        <v>954.7607</v>
      </c>
      <c r="R94" t="n">
        <v>9873.492876</v>
      </c>
      <c r="S94" t="n">
        <v>843.56575</v>
      </c>
      <c r="T94" t="n">
        <v>671288.666809</v>
      </c>
      <c r="U94" t="n">
        <v>294.060389</v>
      </c>
      <c r="V94" t="n">
        <v>-16862660.627203</v>
      </c>
      <c r="W94" t="n">
        <v>1324.31138</v>
      </c>
      <c r="X94" t="n">
        <v>1272.066649</v>
      </c>
      <c r="Y94" t="n">
        <v>110.428635</v>
      </c>
      <c r="Z94" t="n">
        <v>131.682702</v>
      </c>
    </row>
    <row r="95" ht="21" customHeight="1">
      <c r="A95" t="inlineStr">
        <is>
          <t>Lepturacanthus savala</t>
        </is>
      </c>
      <c r="B95" t="n">
        <v>4.31</v>
      </c>
      <c r="C95" t="n">
        <v>2041.737945</v>
      </c>
      <c r="D95" s="10" t="inlineStr">
        <is>
          <t>2 L pisc | 3 L pisc</t>
        </is>
      </c>
      <c r="E95" t="n">
        <v>276.665746</v>
      </c>
      <c r="F95" t="n">
        <v>1671.644897</v>
      </c>
      <c r="G95" t="n">
        <v>968.768055</v>
      </c>
      <c r="H95" t="n">
        <v>4318.024466</v>
      </c>
      <c r="I95" t="n">
        <v>1003.379133</v>
      </c>
      <c r="J95" t="n">
        <v>1189.735453</v>
      </c>
      <c r="K95" t="n">
        <v>1070.761907</v>
      </c>
      <c r="L95" t="n">
        <v>3541.417618</v>
      </c>
      <c r="M95" t="n">
        <v>3541.417618</v>
      </c>
      <c r="N95" t="n">
        <v>3541.417618</v>
      </c>
      <c r="O95" t="n">
        <v>2538.082167</v>
      </c>
      <c r="P95" t="n">
        <v>681.673862</v>
      </c>
      <c r="Q95" t="n">
        <v>3541.417618</v>
      </c>
      <c r="R95" t="n">
        <v>62682.288429</v>
      </c>
      <c r="S95" t="n">
        <v>2538.082167</v>
      </c>
      <c r="T95" t="n">
        <v>4712584.866078</v>
      </c>
      <c r="U95" t="n">
        <v>681.673862</v>
      </c>
      <c r="V95" t="n">
        <v>8783084984.919691</v>
      </c>
      <c r="W95" t="n">
        <v>4084.080603</v>
      </c>
      <c r="X95" t="n">
        <v>4708.141648</v>
      </c>
      <c r="Y95" t="n">
        <v>198.988407</v>
      </c>
      <c r="Z95" t="n">
        <v>443.151943</v>
      </c>
    </row>
    <row r="96" ht="21" customHeight="1">
      <c r="A96" t="inlineStr">
        <is>
          <t>Upeneus</t>
        </is>
      </c>
      <c r="B96" t="n">
        <v>3.54</v>
      </c>
      <c r="C96" t="n">
        <v>346.73685</v>
      </c>
      <c r="D96" s="10" t="inlineStr">
        <is>
          <t>2 SM inv | 3 SM inv</t>
        </is>
      </c>
      <c r="E96" t="n">
        <v>276.665746</v>
      </c>
      <c r="F96" t="n">
        <v>195.237034</v>
      </c>
      <c r="G96" t="n">
        <v>132.430212</v>
      </c>
      <c r="H96" t="n">
        <v>264.43232</v>
      </c>
      <c r="I96" t="n">
        <v>118.903546</v>
      </c>
      <c r="J96" t="n">
        <v>136.120138</v>
      </c>
      <c r="K96" t="n">
        <v>127.344134</v>
      </c>
      <c r="L96" t="n">
        <v>358.382548</v>
      </c>
      <c r="M96" t="n">
        <v>358.382548</v>
      </c>
      <c r="N96" t="n">
        <v>358.382548</v>
      </c>
      <c r="O96" t="n">
        <v>341.399299</v>
      </c>
      <c r="P96" t="n">
        <v>140.115469</v>
      </c>
      <c r="Q96" t="n">
        <v>358.382548</v>
      </c>
      <c r="R96" t="n">
        <v>6457.458436</v>
      </c>
      <c r="S96" t="n">
        <v>341.399299</v>
      </c>
      <c r="T96" t="n">
        <v>179529.737596</v>
      </c>
      <c r="U96" t="n">
        <v>140.115469</v>
      </c>
      <c r="V96" t="n">
        <v>-303793.842089</v>
      </c>
      <c r="W96" t="n">
        <v>574.006718</v>
      </c>
      <c r="X96" t="n">
        <v>502.703783</v>
      </c>
      <c r="Y96" t="n">
        <v>42.955466</v>
      </c>
      <c r="Z96" t="n">
        <v>65.030467</v>
      </c>
    </row>
    <row r="97" ht="21" customHeight="1">
      <c r="A97" t="inlineStr">
        <is>
          <t>Sardinella lemuru</t>
        </is>
      </c>
      <c r="B97" t="n">
        <v>2.48</v>
      </c>
      <c r="C97" t="n">
        <v>30.199517</v>
      </c>
      <c r="D97" s="10" t="inlineStr">
        <is>
          <t>2 S pelagics | 3 S pelagics</t>
        </is>
      </c>
      <c r="E97" t="n">
        <v>276.665746</v>
      </c>
      <c r="F97" t="n">
        <v>140.109476</v>
      </c>
      <c r="G97" t="n">
        <v>97.63290000000001</v>
      </c>
      <c r="H97" t="n">
        <v>192.530385</v>
      </c>
      <c r="I97" t="n">
        <v>80.840119</v>
      </c>
      <c r="J97" t="n">
        <v>105.744532</v>
      </c>
      <c r="K97" t="n">
        <v>98.71770100000001</v>
      </c>
      <c r="L97" t="n">
        <v>234.01812</v>
      </c>
      <c r="M97" t="n">
        <v>234.01812</v>
      </c>
      <c r="N97" t="n">
        <v>234.01812</v>
      </c>
      <c r="O97" t="n">
        <v>202.793183</v>
      </c>
      <c r="P97" t="n">
        <v>80.12592100000001</v>
      </c>
      <c r="Q97" t="n">
        <v>234.01812</v>
      </c>
      <c r="R97" t="n">
        <v>-33882.555745</v>
      </c>
      <c r="S97" t="n">
        <v>202.793183</v>
      </c>
      <c r="T97" t="n">
        <v>227994.620435</v>
      </c>
      <c r="U97" t="n">
        <v>80.12592100000001</v>
      </c>
      <c r="V97" t="n">
        <v>-5095004.477163</v>
      </c>
      <c r="W97" t="n">
        <v>296.324343</v>
      </c>
      <c r="X97" t="n">
        <v>299.160007</v>
      </c>
      <c r="Y97" t="n">
        <v>34.1744</v>
      </c>
      <c r="Z97" t="n">
        <v>48.359224</v>
      </c>
    </row>
    <row r="98" ht="21" customHeight="1">
      <c r="A98" t="inlineStr">
        <is>
          <t>Epinephelus</t>
        </is>
      </c>
      <c r="B98" t="n">
        <v>3.84</v>
      </c>
      <c r="C98" t="n">
        <v>691.830971</v>
      </c>
      <c r="D98" s="10" t="inlineStr">
        <is>
          <t>2 L pisc comm | 3 L pisc comm</t>
        </is>
      </c>
      <c r="E98" t="n">
        <v>276.665746</v>
      </c>
      <c r="F98" t="n">
        <v>942.008432</v>
      </c>
      <c r="G98" t="n">
        <v>569.455705</v>
      </c>
      <c r="H98" t="n">
        <v>2133.059221</v>
      </c>
      <c r="I98" t="n">
        <v>640.2845610000001</v>
      </c>
      <c r="J98" t="n">
        <v>809.484635</v>
      </c>
      <c r="K98" t="n">
        <v>735.551234</v>
      </c>
      <c r="L98" t="n">
        <v>2161.417589</v>
      </c>
      <c r="M98" t="n">
        <v>2161.417589</v>
      </c>
      <c r="N98" t="n">
        <v>2161.417589</v>
      </c>
      <c r="O98" t="n">
        <v>1596.841335</v>
      </c>
      <c r="P98" t="n">
        <v>484.191698</v>
      </c>
      <c r="Q98" t="n">
        <v>2161.417589</v>
      </c>
      <c r="R98" t="n">
        <v>-1566538.678845</v>
      </c>
      <c r="S98" t="n">
        <v>1596.841335</v>
      </c>
      <c r="T98" t="n">
        <v>18720614.545483</v>
      </c>
      <c r="U98" t="n">
        <v>484.191698</v>
      </c>
      <c r="V98" t="n">
        <v>-729589570.314726</v>
      </c>
      <c r="W98" t="n">
        <v>2521.687387</v>
      </c>
      <c r="X98" t="n">
        <v>2846.929567</v>
      </c>
      <c r="Y98" t="n">
        <v>132.205276</v>
      </c>
      <c r="Z98" t="n">
        <v>267.422877</v>
      </c>
    </row>
    <row r="99" ht="21" customHeight="1">
      <c r="A99" t="inlineStr">
        <is>
          <t>Sphyraenidae</t>
        </is>
      </c>
      <c r="B99" t="n">
        <v>4.4</v>
      </c>
      <c r="C99" t="n">
        <v>2511.886432</v>
      </c>
      <c r="D99" s="10" t="inlineStr">
        <is>
          <t>2 L pisc | 3 L pisc</t>
        </is>
      </c>
      <c r="E99" t="n">
        <v>276.665746</v>
      </c>
      <c r="F99" t="n">
        <v>1671.644897</v>
      </c>
      <c r="G99" t="n">
        <v>968.768055</v>
      </c>
      <c r="H99" t="n">
        <v>4318.024466</v>
      </c>
      <c r="I99" t="n">
        <v>1003.379133</v>
      </c>
      <c r="J99" t="n">
        <v>1189.735453</v>
      </c>
      <c r="K99" t="n">
        <v>1070.761907</v>
      </c>
      <c r="L99" t="n">
        <v>3541.417618</v>
      </c>
      <c r="M99" t="n">
        <v>3541.417618</v>
      </c>
      <c r="N99" t="n">
        <v>3541.417618</v>
      </c>
      <c r="O99" t="n">
        <v>2538.082167</v>
      </c>
      <c r="P99" t="n">
        <v>681.673862</v>
      </c>
      <c r="Q99" t="n">
        <v>3541.417618</v>
      </c>
      <c r="R99" t="n">
        <v>62682.288429</v>
      </c>
      <c r="S99" t="n">
        <v>2538.082167</v>
      </c>
      <c r="T99" t="n">
        <v>4712584.866078</v>
      </c>
      <c r="U99" t="n">
        <v>681.673862</v>
      </c>
      <c r="V99" t="n">
        <v>8783084984.919691</v>
      </c>
      <c r="W99" t="n">
        <v>4084.080603</v>
      </c>
      <c r="X99" t="n">
        <v>4708.141648</v>
      </c>
      <c r="Y99" t="n">
        <v>198.988407</v>
      </c>
      <c r="Z99" t="n">
        <v>443.151943</v>
      </c>
    </row>
    <row r="100" ht="21" customHeight="1">
      <c r="A100" t="inlineStr">
        <is>
          <t>Coilia dussumieri</t>
        </is>
      </c>
      <c r="B100" t="n">
        <v>3.3</v>
      </c>
      <c r="C100" t="n">
        <v>199.526231</v>
      </c>
      <c r="D100" s="10" t="inlineStr">
        <is>
          <t>2 S pelagics | 3 S pelagics</t>
        </is>
      </c>
      <c r="E100" t="n">
        <v>276.665746</v>
      </c>
      <c r="F100" t="n">
        <v>140.109476</v>
      </c>
      <c r="G100" t="n">
        <v>97.63290000000001</v>
      </c>
      <c r="H100" t="n">
        <v>192.530385</v>
      </c>
      <c r="I100" t="n">
        <v>80.840119</v>
      </c>
      <c r="J100" t="n">
        <v>105.744532</v>
      </c>
      <c r="K100" t="n">
        <v>98.71770100000001</v>
      </c>
      <c r="L100" t="n">
        <v>234.01812</v>
      </c>
      <c r="M100" t="n">
        <v>234.01812</v>
      </c>
      <c r="N100" t="n">
        <v>234.01812</v>
      </c>
      <c r="O100" t="n">
        <v>202.793183</v>
      </c>
      <c r="P100" t="n">
        <v>80.12592100000001</v>
      </c>
      <c r="Q100" t="n">
        <v>234.01812</v>
      </c>
      <c r="R100" t="n">
        <v>-33882.555745</v>
      </c>
      <c r="S100" t="n">
        <v>202.793183</v>
      </c>
      <c r="T100" t="n">
        <v>227994.620435</v>
      </c>
      <c r="U100" t="n">
        <v>80.12592100000001</v>
      </c>
      <c r="V100" t="n">
        <v>-5095004.477163</v>
      </c>
      <c r="W100" t="n">
        <v>296.324343</v>
      </c>
      <c r="X100" t="n">
        <v>299.160007</v>
      </c>
      <c r="Y100" t="n">
        <v>34.1744</v>
      </c>
      <c r="Z100" t="n">
        <v>48.359224</v>
      </c>
    </row>
    <row r="101" ht="21" customHeight="1">
      <c r="A101" t="inlineStr">
        <is>
          <t>Cynoglossus</t>
        </is>
      </c>
      <c r="B101" t="n">
        <v>3.36</v>
      </c>
      <c r="C101" t="n">
        <v>229.086765</v>
      </c>
      <c r="D101" s="10" t="inlineStr">
        <is>
          <t>2 SM inv | 3 SM inv</t>
        </is>
      </c>
      <c r="E101" t="n">
        <v>276.665746</v>
      </c>
      <c r="F101" t="n">
        <v>195.237034</v>
      </c>
      <c r="G101" t="n">
        <v>132.430212</v>
      </c>
      <c r="H101" t="n">
        <v>264.43232</v>
      </c>
      <c r="I101" t="n">
        <v>118.903546</v>
      </c>
      <c r="J101" t="n">
        <v>136.120138</v>
      </c>
      <c r="K101" t="n">
        <v>127.344134</v>
      </c>
      <c r="L101" t="n">
        <v>358.382548</v>
      </c>
      <c r="M101" t="n">
        <v>358.382548</v>
      </c>
      <c r="N101" t="n">
        <v>358.382548</v>
      </c>
      <c r="O101" t="n">
        <v>341.399299</v>
      </c>
      <c r="P101" t="n">
        <v>140.115469</v>
      </c>
      <c r="Q101" t="n">
        <v>358.382548</v>
      </c>
      <c r="R101" t="n">
        <v>6457.458436</v>
      </c>
      <c r="S101" t="n">
        <v>341.399299</v>
      </c>
      <c r="T101" t="n">
        <v>179529.737596</v>
      </c>
      <c r="U101" t="n">
        <v>140.115469</v>
      </c>
      <c r="V101" t="n">
        <v>-303793.842089</v>
      </c>
      <c r="W101" t="n">
        <v>574.006718</v>
      </c>
      <c r="X101" t="n">
        <v>502.703783</v>
      </c>
      <c r="Y101" t="n">
        <v>42.955466</v>
      </c>
      <c r="Z101" t="n">
        <v>65.030467</v>
      </c>
    </row>
    <row r="102" ht="21" customHeight="1">
      <c r="A102" t="inlineStr">
        <is>
          <t>Chirocentrus dorab</t>
        </is>
      </c>
      <c r="B102" t="n">
        <v>4.2</v>
      </c>
      <c r="C102" t="n">
        <v>1584.893192</v>
      </c>
      <c r="D102" s="10" t="inlineStr">
        <is>
          <t>2 L pisc | 3 L pisc</t>
        </is>
      </c>
      <c r="E102" t="n">
        <v>276.665746</v>
      </c>
      <c r="F102" t="n">
        <v>1671.644897</v>
      </c>
      <c r="G102" t="n">
        <v>968.768055</v>
      </c>
      <c r="H102" t="n">
        <v>4318.024466</v>
      </c>
      <c r="I102" t="n">
        <v>1003.379133</v>
      </c>
      <c r="J102" t="n">
        <v>1189.735453</v>
      </c>
      <c r="K102" t="n">
        <v>1070.761907</v>
      </c>
      <c r="L102" t="n">
        <v>3541.417618</v>
      </c>
      <c r="M102" t="n">
        <v>3541.417618</v>
      </c>
      <c r="N102" t="n">
        <v>3541.417618</v>
      </c>
      <c r="O102" t="n">
        <v>2538.082167</v>
      </c>
      <c r="P102" t="n">
        <v>681.673862</v>
      </c>
      <c r="Q102" t="n">
        <v>3541.417618</v>
      </c>
      <c r="R102" t="n">
        <v>62682.288429</v>
      </c>
      <c r="S102" t="n">
        <v>2538.082167</v>
      </c>
      <c r="T102" t="n">
        <v>4712584.866078</v>
      </c>
      <c r="U102" t="n">
        <v>681.673862</v>
      </c>
      <c r="V102" t="n">
        <v>8783084984.919691</v>
      </c>
      <c r="W102" t="n">
        <v>4084.080603</v>
      </c>
      <c r="X102" t="n">
        <v>4708.141648</v>
      </c>
      <c r="Y102" t="n">
        <v>198.988407</v>
      </c>
      <c r="Z102" t="n">
        <v>443.151943</v>
      </c>
    </row>
    <row r="103" ht="21" customHeight="1">
      <c r="A103" t="inlineStr">
        <is>
          <t>Amblygaster sirm</t>
        </is>
      </c>
      <c r="B103" t="n">
        <v>3.2</v>
      </c>
      <c r="C103" t="n">
        <v>158.489319</v>
      </c>
      <c r="D103" s="10" t="inlineStr">
        <is>
          <t>2 S pelagics | 3 S pelagics</t>
        </is>
      </c>
      <c r="E103" t="n">
        <v>276.665746</v>
      </c>
      <c r="F103" t="n">
        <v>140.109476</v>
      </c>
      <c r="G103" t="n">
        <v>97.63290000000001</v>
      </c>
      <c r="H103" t="n">
        <v>192.530385</v>
      </c>
      <c r="I103" t="n">
        <v>80.840119</v>
      </c>
      <c r="J103" t="n">
        <v>105.744532</v>
      </c>
      <c r="K103" t="n">
        <v>98.71770100000001</v>
      </c>
      <c r="L103" t="n">
        <v>234.01812</v>
      </c>
      <c r="M103" t="n">
        <v>234.01812</v>
      </c>
      <c r="N103" t="n">
        <v>234.01812</v>
      </c>
      <c r="O103" t="n">
        <v>202.793183</v>
      </c>
      <c r="P103" t="n">
        <v>80.12592100000001</v>
      </c>
      <c r="Q103" t="n">
        <v>234.01812</v>
      </c>
      <c r="R103" t="n">
        <v>-33882.555745</v>
      </c>
      <c r="S103" t="n">
        <v>202.793183</v>
      </c>
      <c r="T103" t="n">
        <v>227994.620435</v>
      </c>
      <c r="U103" t="n">
        <v>80.12592100000001</v>
      </c>
      <c r="V103" t="n">
        <v>-5095004.477163</v>
      </c>
      <c r="W103" t="n">
        <v>296.324343</v>
      </c>
      <c r="X103" t="n">
        <v>299.160007</v>
      </c>
      <c r="Y103" t="n">
        <v>34.1744</v>
      </c>
      <c r="Z103" t="n">
        <v>48.359224</v>
      </c>
    </row>
    <row r="104" ht="21" customHeight="1">
      <c r="A104" t="inlineStr">
        <is>
          <t>Sardinella gibbosa</t>
        </is>
      </c>
      <c r="B104" t="n">
        <v>2.85</v>
      </c>
      <c r="C104" t="n">
        <v>70.794578</v>
      </c>
      <c r="D104" s="10" t="inlineStr">
        <is>
          <t>2 S pelagics | 3 S pelagics</t>
        </is>
      </c>
      <c r="E104" t="n">
        <v>276.665746</v>
      </c>
      <c r="F104" t="n">
        <v>140.109476</v>
      </c>
      <c r="G104" t="n">
        <v>97.63290000000001</v>
      </c>
      <c r="H104" t="n">
        <v>192.530385</v>
      </c>
      <c r="I104" t="n">
        <v>80.840119</v>
      </c>
      <c r="J104" t="n">
        <v>105.744532</v>
      </c>
      <c r="K104" t="n">
        <v>98.71770100000001</v>
      </c>
      <c r="L104" t="n">
        <v>234.01812</v>
      </c>
      <c r="M104" t="n">
        <v>234.01812</v>
      </c>
      <c r="N104" t="n">
        <v>234.01812</v>
      </c>
      <c r="O104" t="n">
        <v>202.793183</v>
      </c>
      <c r="P104" t="n">
        <v>80.12592100000001</v>
      </c>
      <c r="Q104" t="n">
        <v>234.01812</v>
      </c>
      <c r="R104" t="n">
        <v>-33882.555745</v>
      </c>
      <c r="S104" t="n">
        <v>202.793183</v>
      </c>
      <c r="T104" t="n">
        <v>227994.620435</v>
      </c>
      <c r="U104" t="n">
        <v>80.12592100000001</v>
      </c>
      <c r="V104" t="n">
        <v>-5095004.477163</v>
      </c>
      <c r="W104" t="n">
        <v>296.324343</v>
      </c>
      <c r="X104" t="n">
        <v>299.160007</v>
      </c>
      <c r="Y104" t="n">
        <v>34.1744</v>
      </c>
      <c r="Z104" t="n">
        <v>48.359224</v>
      </c>
    </row>
    <row r="105" ht="21" customHeight="1">
      <c r="A105" t="inlineStr">
        <is>
          <t>Netuma thalassina</t>
        </is>
      </c>
      <c r="B105" t="n">
        <v>3.54</v>
      </c>
      <c r="C105" t="n">
        <v>346.73685</v>
      </c>
      <c r="D105" s="10" t="inlineStr">
        <is>
          <t>2 Milkfish plus | 3 Milkfish plus</t>
        </is>
      </c>
      <c r="E105" t="n">
        <v>276.665746</v>
      </c>
      <c r="F105" t="n">
        <v>485.961749</v>
      </c>
      <c r="G105" t="n">
        <v>307.552703</v>
      </c>
      <c r="H105" t="n">
        <v>638.1912</v>
      </c>
      <c r="I105" t="n">
        <v>251.090454</v>
      </c>
      <c r="J105" t="n">
        <v>374.669413</v>
      </c>
      <c r="K105" t="n">
        <v>344.965812</v>
      </c>
      <c r="L105" t="n">
        <v>956.244957</v>
      </c>
      <c r="M105" t="n">
        <v>956.244957</v>
      </c>
      <c r="N105" t="n">
        <v>956.244957</v>
      </c>
      <c r="O105" t="n">
        <v>803.1636130000001</v>
      </c>
      <c r="P105" t="n">
        <v>289.848216</v>
      </c>
      <c r="Q105" t="n">
        <v>956.244957</v>
      </c>
      <c r="R105" t="n">
        <v>162224.021457</v>
      </c>
      <c r="S105" t="n">
        <v>803.1636130000001</v>
      </c>
      <c r="T105" t="n">
        <v>1575532.887009</v>
      </c>
      <c r="U105" t="n">
        <v>289.848216</v>
      </c>
      <c r="V105" t="n">
        <v>-39620823.323941</v>
      </c>
      <c r="W105" t="n">
        <v>1316.228439</v>
      </c>
      <c r="X105" t="n">
        <v>1317.325725</v>
      </c>
      <c r="Y105" t="n">
        <v>81.736492</v>
      </c>
      <c r="Z105" t="n">
        <v>114.066854</v>
      </c>
    </row>
    <row r="106" ht="21" customHeight="1">
      <c r="A106" t="inlineStr">
        <is>
          <t>Lates calcarifer</t>
        </is>
      </c>
      <c r="B106" t="n">
        <v>4.35</v>
      </c>
      <c r="C106" t="n">
        <v>2238.721139</v>
      </c>
      <c r="D106" s="10" t="inlineStr">
        <is>
          <t>2 L pisc | 3 L pisc</t>
        </is>
      </c>
      <c r="E106" t="n">
        <v>276.665746</v>
      </c>
      <c r="F106" t="n">
        <v>1671.644897</v>
      </c>
      <c r="G106" t="n">
        <v>968.768055</v>
      </c>
      <c r="H106" t="n">
        <v>4318.024466</v>
      </c>
      <c r="I106" t="n">
        <v>1003.379133</v>
      </c>
      <c r="J106" t="n">
        <v>1189.735453</v>
      </c>
      <c r="K106" t="n">
        <v>1070.761907</v>
      </c>
      <c r="L106" t="n">
        <v>3541.417618</v>
      </c>
      <c r="M106" t="n">
        <v>3541.417618</v>
      </c>
      <c r="N106" t="n">
        <v>3541.417618</v>
      </c>
      <c r="O106" t="n">
        <v>2538.082167</v>
      </c>
      <c r="P106" t="n">
        <v>681.673862</v>
      </c>
      <c r="Q106" t="n">
        <v>3541.417618</v>
      </c>
      <c r="R106" t="n">
        <v>62682.288429</v>
      </c>
      <c r="S106" t="n">
        <v>2538.082167</v>
      </c>
      <c r="T106" t="n">
        <v>4712584.866078</v>
      </c>
      <c r="U106" t="n">
        <v>681.673862</v>
      </c>
      <c r="V106" t="n">
        <v>8783084984.919691</v>
      </c>
      <c r="W106" t="n">
        <v>4084.080603</v>
      </c>
      <c r="X106" t="n">
        <v>4708.141648</v>
      </c>
      <c r="Y106" t="n">
        <v>198.988407</v>
      </c>
      <c r="Z106" t="n">
        <v>443.151943</v>
      </c>
    </row>
    <row r="107" ht="36" customHeight="1">
      <c r="A107" t="inlineStr">
        <is>
          <t>Carcharhinus</t>
        </is>
      </c>
      <c r="B107" t="n">
        <v>4.26</v>
      </c>
      <c r="C107" t="n">
        <v>1819.700859</v>
      </c>
      <c r="D107" s="10" t="inlineStr">
        <is>
          <t>Oceanic sharks | Coastal elasmobranch</t>
        </is>
      </c>
      <c r="E107" t="n">
        <v>276.665746</v>
      </c>
      <c r="F107" t="n">
        <v>1380.156554</v>
      </c>
      <c r="G107" t="n">
        <v>813.237349</v>
      </c>
      <c r="H107" t="n">
        <v>11688.066786</v>
      </c>
      <c r="I107" t="n">
        <v>3302.11378</v>
      </c>
      <c r="J107" t="n">
        <v>3753.764115</v>
      </c>
      <c r="K107" t="n">
        <v>2868.260753</v>
      </c>
      <c r="L107" t="n">
        <v>18853.580958</v>
      </c>
      <c r="M107" t="n">
        <v>18853.580958</v>
      </c>
      <c r="N107" t="n">
        <v>18853.580958</v>
      </c>
      <c r="O107" t="n">
        <v>9040.533485</v>
      </c>
      <c r="P107" t="n">
        <v>1862.18019</v>
      </c>
      <c r="Q107" t="n">
        <v>18853.580958</v>
      </c>
      <c r="R107" t="n">
        <v>94943203.22682799</v>
      </c>
      <c r="S107" t="n">
        <v>9040.533485</v>
      </c>
      <c r="T107" t="n">
        <v>-4557941.960348</v>
      </c>
      <c r="U107" t="n">
        <v>1862.18019</v>
      </c>
      <c r="V107" t="n">
        <v>-7.861118488044005e+19</v>
      </c>
      <c r="W107" t="n">
        <v>14987.301255</v>
      </c>
      <c r="X107" t="n">
        <v>26157.019993</v>
      </c>
      <c r="Y107" t="n">
        <v>174.929003</v>
      </c>
      <c r="Z107" t="n">
        <v>765.3479139999999</v>
      </c>
    </row>
    <row r="108" ht="21" customHeight="1">
      <c r="A108" t="inlineStr">
        <is>
          <t>Haemulidae</t>
        </is>
      </c>
      <c r="B108" t="n">
        <v>3.36</v>
      </c>
      <c r="C108" t="n">
        <v>229.086765</v>
      </c>
      <c r="D108" s="10" t="inlineStr">
        <is>
          <t>2 SM pisc | 3 SM pisc</t>
        </is>
      </c>
      <c r="E108" t="n">
        <v>276.665746</v>
      </c>
      <c r="F108" t="n">
        <v>735.917019</v>
      </c>
      <c r="G108" t="n">
        <v>452.492682</v>
      </c>
      <c r="H108" t="n">
        <v>682.111639</v>
      </c>
      <c r="I108" t="n">
        <v>235.466475</v>
      </c>
      <c r="J108" t="n">
        <v>314.21941</v>
      </c>
      <c r="K108" t="n">
        <v>298.50844</v>
      </c>
      <c r="L108" t="n">
        <v>954.7607</v>
      </c>
      <c r="M108" t="n">
        <v>954.7607</v>
      </c>
      <c r="N108" t="n">
        <v>954.7607</v>
      </c>
      <c r="O108" t="n">
        <v>843.56575</v>
      </c>
      <c r="P108" t="n">
        <v>294.060389</v>
      </c>
      <c r="Q108" t="n">
        <v>954.7607</v>
      </c>
      <c r="R108" t="n">
        <v>9873.492876</v>
      </c>
      <c r="S108" t="n">
        <v>843.56575</v>
      </c>
      <c r="T108" t="n">
        <v>671288.666809</v>
      </c>
      <c r="U108" t="n">
        <v>294.060389</v>
      </c>
      <c r="V108" t="n">
        <v>-16862660.627203</v>
      </c>
      <c r="W108" t="n">
        <v>1324.31138</v>
      </c>
      <c r="X108" t="n">
        <v>1272.066649</v>
      </c>
      <c r="Y108" t="n">
        <v>110.428635</v>
      </c>
      <c r="Z108" t="n">
        <v>131.682702</v>
      </c>
    </row>
    <row r="109" ht="21" customHeight="1">
      <c r="A109" t="inlineStr">
        <is>
          <t>Leptomelanosoma indicum</t>
        </is>
      </c>
      <c r="B109" t="n">
        <v>3.86</v>
      </c>
      <c r="C109" t="n">
        <v>724.43596</v>
      </c>
      <c r="D109" s="10" t="inlineStr">
        <is>
          <t>2 L pisc | 3 L pisc</t>
        </is>
      </c>
      <c r="E109" t="n">
        <v>276.665746</v>
      </c>
      <c r="F109" t="n">
        <v>1671.644897</v>
      </c>
      <c r="G109" t="n">
        <v>968.768055</v>
      </c>
      <c r="H109" t="n">
        <v>4318.024466</v>
      </c>
      <c r="I109" t="n">
        <v>1003.379133</v>
      </c>
      <c r="J109" t="n">
        <v>1189.735453</v>
      </c>
      <c r="K109" t="n">
        <v>1070.761907</v>
      </c>
      <c r="L109" t="n">
        <v>3541.417618</v>
      </c>
      <c r="M109" t="n">
        <v>3541.417618</v>
      </c>
      <c r="N109" t="n">
        <v>3541.417618</v>
      </c>
      <c r="O109" t="n">
        <v>2538.082167</v>
      </c>
      <c r="P109" t="n">
        <v>681.673862</v>
      </c>
      <c r="Q109" t="n">
        <v>3541.417618</v>
      </c>
      <c r="R109" t="n">
        <v>62682.288429</v>
      </c>
      <c r="S109" t="n">
        <v>2538.082167</v>
      </c>
      <c r="T109" t="n">
        <v>4712584.866078</v>
      </c>
      <c r="U109" t="n">
        <v>681.673862</v>
      </c>
      <c r="V109" t="n">
        <v>8783084984.919691</v>
      </c>
      <c r="W109" t="n">
        <v>4084.080603</v>
      </c>
      <c r="X109" t="n">
        <v>4708.141648</v>
      </c>
      <c r="Y109" t="n">
        <v>198.988407</v>
      </c>
      <c r="Z109" t="n">
        <v>443.151943</v>
      </c>
    </row>
    <row r="110" ht="21" customHeight="1">
      <c r="A110" t="inlineStr">
        <is>
          <t>Scylla serrata</t>
        </is>
      </c>
      <c r="B110" t="n">
        <v>3.17</v>
      </c>
      <c r="C110" t="n">
        <v>147.910839</v>
      </c>
      <c r="D110" s="10" t="inlineStr">
        <is>
          <t>2 Crustaceans | 3 Crustaceans</t>
        </is>
      </c>
      <c r="E110" t="n">
        <v>276.665746</v>
      </c>
      <c r="F110" t="n">
        <v>87.346446</v>
      </c>
      <c r="G110" t="n">
        <v>62.825827</v>
      </c>
      <c r="H110" t="n">
        <v>62.583797</v>
      </c>
      <c r="I110" t="n">
        <v>49.059783</v>
      </c>
      <c r="J110" t="n">
        <v>49.059783</v>
      </c>
      <c r="K110" t="n">
        <v>45.848307</v>
      </c>
      <c r="L110" t="n">
        <v>88.61683499999999</v>
      </c>
      <c r="M110" t="n">
        <v>88.61683499999999</v>
      </c>
      <c r="N110" t="n">
        <v>88.61683499999999</v>
      </c>
      <c r="O110" t="n">
        <v>112.736869</v>
      </c>
      <c r="P110" t="n">
        <v>69.749027</v>
      </c>
      <c r="Q110" t="n">
        <v>88.61683499999999</v>
      </c>
      <c r="R110" t="n">
        <v>88.61683499999999</v>
      </c>
      <c r="S110" t="n">
        <v>112.736869</v>
      </c>
      <c r="T110" t="n">
        <v>18.000131</v>
      </c>
      <c r="U110" t="n">
        <v>69.749027</v>
      </c>
      <c r="V110" t="n">
        <v>77.336753</v>
      </c>
      <c r="W110" t="n">
        <v>138.030843</v>
      </c>
      <c r="X110" t="n">
        <v>98.46392899999999</v>
      </c>
      <c r="Y110" t="n">
        <v>24.163479</v>
      </c>
      <c r="Z110" t="n">
        <v>23.495104</v>
      </c>
    </row>
    <row r="111" ht="21" customHeight="1">
      <c r="A111" t="inlineStr">
        <is>
          <t>Thunnus obesus</t>
        </is>
      </c>
      <c r="B111" t="n">
        <v>4.49</v>
      </c>
      <c r="C111" t="n">
        <v>3090.295433</v>
      </c>
      <c r="D111" s="10" t="inlineStr">
        <is>
          <t>Bigeye tuna</t>
        </is>
      </c>
      <c r="E111" t="n">
        <v>276.665746</v>
      </c>
      <c r="F111" t="n">
        <v>2885.425513</v>
      </c>
      <c r="G111" t="n">
        <v>1612.783432</v>
      </c>
      <c r="H111" t="n">
        <v>11850.013629</v>
      </c>
      <c r="I111" t="n">
        <v>2418.799147</v>
      </c>
      <c r="J111" t="n">
        <v>2791.092986</v>
      </c>
      <c r="K111" t="n">
        <v>2511.983687</v>
      </c>
      <c r="L111" t="n">
        <v>7862.361226</v>
      </c>
      <c r="M111" t="n">
        <v>7862.361226</v>
      </c>
      <c r="N111" t="n">
        <v>7862.361226</v>
      </c>
      <c r="O111" t="n">
        <v>4617.23174</v>
      </c>
      <c r="P111" t="n">
        <v>1061.368447</v>
      </c>
      <c r="Q111" t="n">
        <v>7862.361226</v>
      </c>
      <c r="R111" t="n">
        <v>13665142.266123</v>
      </c>
      <c r="S111" t="n">
        <v>4617.23174</v>
      </c>
      <c r="T111" t="n">
        <v>-6211619.824496</v>
      </c>
      <c r="U111" t="n">
        <v>1061.368447</v>
      </c>
      <c r="V111" t="n">
        <v>-1.092439683643117e+19</v>
      </c>
      <c r="W111" t="n">
        <v>7725.436807</v>
      </c>
      <c r="X111" t="n">
        <v>10226.970845</v>
      </c>
      <c r="Y111" t="n">
        <v>297.276327</v>
      </c>
      <c r="Z111" t="n">
        <v>849.94041</v>
      </c>
    </row>
    <row r="112" ht="21" customHeight="1">
      <c r="A112" t="inlineStr">
        <is>
          <t>Octopodidae</t>
        </is>
      </c>
      <c r="B112" t="n">
        <v>3.59</v>
      </c>
      <c r="C112" t="n">
        <v>389.045145</v>
      </c>
      <c r="D112" s="10" t="inlineStr">
        <is>
          <t>Cephalopods</t>
        </is>
      </c>
      <c r="E112" t="n">
        <v>276.665746</v>
      </c>
      <c r="F112" t="n">
        <v>990.119511</v>
      </c>
      <c r="G112" t="n">
        <v>598.369015</v>
      </c>
      <c r="H112" t="n">
        <v>1346.233095</v>
      </c>
      <c r="I112" t="n">
        <v>376.93677</v>
      </c>
      <c r="J112" t="n">
        <v>457.544762</v>
      </c>
      <c r="K112" t="n">
        <v>411.790286</v>
      </c>
      <c r="L112" t="n">
        <v>1154.79452</v>
      </c>
      <c r="M112" t="n">
        <v>1154.79452</v>
      </c>
      <c r="N112" t="n">
        <v>1154.79452</v>
      </c>
      <c r="O112" t="n">
        <v>883.361743</v>
      </c>
      <c r="P112" t="n">
        <v>288.682294</v>
      </c>
      <c r="Q112" t="n">
        <v>1154.79452</v>
      </c>
      <c r="R112" t="n">
        <v>-29810.748817</v>
      </c>
      <c r="S112" t="n">
        <v>883.361743</v>
      </c>
      <c r="T112" t="n">
        <v>-4388.856367</v>
      </c>
      <c r="U112" t="n">
        <v>288.682294</v>
      </c>
      <c r="V112" t="n">
        <v>-67924.848461</v>
      </c>
      <c r="W112" t="n">
        <v>1393.755014</v>
      </c>
      <c r="X112" t="n">
        <v>1512.277541</v>
      </c>
      <c r="Y112" t="n">
        <v>138.403273</v>
      </c>
      <c r="Z112" t="n">
        <v>209.32439</v>
      </c>
    </row>
    <row r="113" ht="21" customHeight="1">
      <c r="A113" t="inlineStr">
        <is>
          <t>Lutjanus</t>
        </is>
      </c>
      <c r="B113" t="n">
        <v>4.02</v>
      </c>
      <c r="C113" t="n">
        <v>1047.128548</v>
      </c>
      <c r="D113" s="10" t="inlineStr">
        <is>
          <t>2 L pisc comm | 3 L pisc comm</t>
        </is>
      </c>
      <c r="E113" t="n">
        <v>276.665746</v>
      </c>
      <c r="F113" t="n">
        <v>942.008432</v>
      </c>
      <c r="G113" t="n">
        <v>569.455705</v>
      </c>
      <c r="H113" t="n">
        <v>2133.059221</v>
      </c>
      <c r="I113" t="n">
        <v>640.2845610000001</v>
      </c>
      <c r="J113" t="n">
        <v>809.484635</v>
      </c>
      <c r="K113" t="n">
        <v>735.551234</v>
      </c>
      <c r="L113" t="n">
        <v>2161.417589</v>
      </c>
      <c r="M113" t="n">
        <v>2161.417589</v>
      </c>
      <c r="N113" t="n">
        <v>2161.417589</v>
      </c>
      <c r="O113" t="n">
        <v>1596.841335</v>
      </c>
      <c r="P113" t="n">
        <v>484.191698</v>
      </c>
      <c r="Q113" t="n">
        <v>2161.417589</v>
      </c>
      <c r="R113" t="n">
        <v>-1566538.678845</v>
      </c>
      <c r="S113" t="n">
        <v>1596.841335</v>
      </c>
      <c r="T113" t="n">
        <v>18720614.545483</v>
      </c>
      <c r="U113" t="n">
        <v>484.191698</v>
      </c>
      <c r="V113" t="n">
        <v>-729589570.314726</v>
      </c>
      <c r="W113" t="n">
        <v>2521.687387</v>
      </c>
      <c r="X113" t="n">
        <v>2846.929567</v>
      </c>
      <c r="Y113" t="n">
        <v>132.205276</v>
      </c>
      <c r="Z113" t="n">
        <v>267.422877</v>
      </c>
    </row>
    <row r="114" ht="21" customHeight="1">
      <c r="A114" t="inlineStr">
        <is>
          <t>Monacanthidae</t>
        </is>
      </c>
      <c r="B114" t="n">
        <v>3</v>
      </c>
      <c r="C114" t="n">
        <v>100</v>
      </c>
      <c r="D114" s="10" t="inlineStr">
        <is>
          <t>2 SM inv | 3 SM inv</t>
        </is>
      </c>
      <c r="E114" t="n">
        <v>276.665746</v>
      </c>
      <c r="F114" t="n">
        <v>195.237034</v>
      </c>
      <c r="G114" t="n">
        <v>132.430212</v>
      </c>
      <c r="H114" t="n">
        <v>264.43232</v>
      </c>
      <c r="I114" t="n">
        <v>118.903546</v>
      </c>
      <c r="J114" t="n">
        <v>136.120138</v>
      </c>
      <c r="K114" t="n">
        <v>127.344134</v>
      </c>
      <c r="L114" t="n">
        <v>358.382548</v>
      </c>
      <c r="M114" t="n">
        <v>358.382548</v>
      </c>
      <c r="N114" t="n">
        <v>358.382548</v>
      </c>
      <c r="O114" t="n">
        <v>341.399299</v>
      </c>
      <c r="P114" t="n">
        <v>140.115469</v>
      </c>
      <c r="Q114" t="n">
        <v>358.382548</v>
      </c>
      <c r="R114" t="n">
        <v>6457.458436</v>
      </c>
      <c r="S114" t="n">
        <v>341.399299</v>
      </c>
      <c r="T114" t="n">
        <v>179529.737596</v>
      </c>
      <c r="U114" t="n">
        <v>140.115469</v>
      </c>
      <c r="V114" t="n">
        <v>-303793.842089</v>
      </c>
      <c r="W114" t="n">
        <v>574.006718</v>
      </c>
      <c r="X114" t="n">
        <v>502.703783</v>
      </c>
      <c r="Y114" t="n">
        <v>42.955466</v>
      </c>
      <c r="Z114" t="n">
        <v>65.030467</v>
      </c>
    </row>
    <row r="115" ht="21" customHeight="1">
      <c r="A115" t="inlineStr">
        <is>
          <t>Mugil</t>
        </is>
      </c>
      <c r="B115" t="n">
        <v>2.26</v>
      </c>
      <c r="C115" t="n">
        <v>18.197009</v>
      </c>
      <c r="D115" s="10" t="inlineStr">
        <is>
          <t>2 SM inv | 3 SM inv</t>
        </is>
      </c>
      <c r="E115" t="n">
        <v>276.665746</v>
      </c>
      <c r="F115" t="n">
        <v>195.237034</v>
      </c>
      <c r="G115" t="n">
        <v>132.430212</v>
      </c>
      <c r="H115" t="n">
        <v>264.43232</v>
      </c>
      <c r="I115" t="n">
        <v>118.903546</v>
      </c>
      <c r="J115" t="n">
        <v>136.120138</v>
      </c>
      <c r="K115" t="n">
        <v>127.344134</v>
      </c>
      <c r="L115" t="n">
        <v>358.382548</v>
      </c>
      <c r="M115" t="n">
        <v>358.382548</v>
      </c>
      <c r="N115" t="n">
        <v>358.382548</v>
      </c>
      <c r="O115" t="n">
        <v>341.399299</v>
      </c>
      <c r="P115" t="n">
        <v>140.115469</v>
      </c>
      <c r="Q115" t="n">
        <v>358.382548</v>
      </c>
      <c r="R115" t="n">
        <v>6457.458436</v>
      </c>
      <c r="S115" t="n">
        <v>341.399299</v>
      </c>
      <c r="T115" t="n">
        <v>179529.737596</v>
      </c>
      <c r="U115" t="n">
        <v>140.115469</v>
      </c>
      <c r="V115" t="n">
        <v>-303793.842089</v>
      </c>
      <c r="W115" t="n">
        <v>574.006718</v>
      </c>
      <c r="X115" t="n">
        <v>502.703783</v>
      </c>
      <c r="Y115" t="n">
        <v>42.955466</v>
      </c>
      <c r="Z115" t="n">
        <v>65.030467</v>
      </c>
    </row>
    <row r="116" ht="21" customHeight="1">
      <c r="A116" t="inlineStr">
        <is>
          <t>Escualosa thoracata</t>
        </is>
      </c>
      <c r="B116" t="n">
        <v>3.16</v>
      </c>
      <c r="C116" t="n">
        <v>144.543977</v>
      </c>
      <c r="D116" s="10" t="inlineStr">
        <is>
          <t>2 S pelagics | 3 S pelagics</t>
        </is>
      </c>
      <c r="E116" t="n">
        <v>276.665746</v>
      </c>
      <c r="F116" t="n">
        <v>140.109476</v>
      </c>
      <c r="G116" t="n">
        <v>97.63290000000001</v>
      </c>
      <c r="H116" t="n">
        <v>192.530385</v>
      </c>
      <c r="I116" t="n">
        <v>80.840119</v>
      </c>
      <c r="J116" t="n">
        <v>105.744532</v>
      </c>
      <c r="K116" t="n">
        <v>98.71770100000001</v>
      </c>
      <c r="L116" t="n">
        <v>234.01812</v>
      </c>
      <c r="M116" t="n">
        <v>234.01812</v>
      </c>
      <c r="N116" t="n">
        <v>234.01812</v>
      </c>
      <c r="O116" t="n">
        <v>202.793183</v>
      </c>
      <c r="P116" t="n">
        <v>80.12592100000001</v>
      </c>
      <c r="Q116" t="n">
        <v>234.01812</v>
      </c>
      <c r="R116" t="n">
        <v>-33882.555745</v>
      </c>
      <c r="S116" t="n">
        <v>202.793183</v>
      </c>
      <c r="T116" t="n">
        <v>227994.620435</v>
      </c>
      <c r="U116" t="n">
        <v>80.12592100000001</v>
      </c>
      <c r="V116" t="n">
        <v>-5095004.477163</v>
      </c>
      <c r="W116" t="n">
        <v>296.324343</v>
      </c>
      <c r="X116" t="n">
        <v>299.160007</v>
      </c>
      <c r="Y116" t="n">
        <v>34.1744</v>
      </c>
      <c r="Z116" t="n">
        <v>48.359224</v>
      </c>
    </row>
    <row r="117" ht="21" customHeight="1">
      <c r="A117" t="inlineStr">
        <is>
          <t>Terapon</t>
        </is>
      </c>
      <c r="B117" t="n">
        <v>3.5</v>
      </c>
      <c r="C117" t="n">
        <v>316.227766</v>
      </c>
      <c r="D117" s="10" t="inlineStr">
        <is>
          <t>2 SM pisc | 3 SM pisc</t>
        </is>
      </c>
      <c r="E117" t="n">
        <v>276.665746</v>
      </c>
      <c r="F117" t="n">
        <v>735.917019</v>
      </c>
      <c r="G117" t="n">
        <v>452.492682</v>
      </c>
      <c r="H117" t="n">
        <v>682.111639</v>
      </c>
      <c r="I117" t="n">
        <v>235.466475</v>
      </c>
      <c r="J117" t="n">
        <v>314.21941</v>
      </c>
      <c r="K117" t="n">
        <v>298.50844</v>
      </c>
      <c r="L117" t="n">
        <v>954.7607</v>
      </c>
      <c r="M117" t="n">
        <v>954.7607</v>
      </c>
      <c r="N117" t="n">
        <v>954.7607</v>
      </c>
      <c r="O117" t="n">
        <v>843.56575</v>
      </c>
      <c r="P117" t="n">
        <v>294.060389</v>
      </c>
      <c r="Q117" t="n">
        <v>954.7607</v>
      </c>
      <c r="R117" t="n">
        <v>9873.492876</v>
      </c>
      <c r="S117" t="n">
        <v>843.56575</v>
      </c>
      <c r="T117" t="n">
        <v>671288.666809</v>
      </c>
      <c r="U117" t="n">
        <v>294.060389</v>
      </c>
      <c r="V117" t="n">
        <v>-16862660.627203</v>
      </c>
      <c r="W117" t="n">
        <v>1324.31138</v>
      </c>
      <c r="X117" t="n">
        <v>1272.066649</v>
      </c>
      <c r="Y117" t="n">
        <v>110.428635</v>
      </c>
      <c r="Z117" t="n">
        <v>131.682702</v>
      </c>
    </row>
    <row r="118" ht="21" customHeight="1">
      <c r="A118" t="inlineStr">
        <is>
          <t>Parapenaeopsis stylifera</t>
        </is>
      </c>
      <c r="B118" t="n">
        <v>2.66</v>
      </c>
      <c r="C118" t="n">
        <v>45.708819</v>
      </c>
      <c r="D118" s="10" t="inlineStr">
        <is>
          <t>2 Crustaceans | 3 Crustaceans</t>
        </is>
      </c>
      <c r="E118" t="n">
        <v>276.665746</v>
      </c>
      <c r="F118" t="n">
        <v>87.346446</v>
      </c>
      <c r="G118" t="n">
        <v>62.825827</v>
      </c>
      <c r="H118" t="n">
        <v>62.583797</v>
      </c>
      <c r="I118" t="n">
        <v>49.059783</v>
      </c>
      <c r="J118" t="n">
        <v>49.059783</v>
      </c>
      <c r="K118" t="n">
        <v>45.848307</v>
      </c>
      <c r="L118" t="n">
        <v>88.61683499999999</v>
      </c>
      <c r="M118" t="n">
        <v>88.61683499999999</v>
      </c>
      <c r="N118" t="n">
        <v>88.61683499999999</v>
      </c>
      <c r="O118" t="n">
        <v>112.736869</v>
      </c>
      <c r="P118" t="n">
        <v>69.749027</v>
      </c>
      <c r="Q118" t="n">
        <v>88.61683499999999</v>
      </c>
      <c r="R118" t="n">
        <v>88.61683499999999</v>
      </c>
      <c r="S118" t="n">
        <v>112.736869</v>
      </c>
      <c r="T118" t="n">
        <v>18.000131</v>
      </c>
      <c r="U118" t="n">
        <v>69.749027</v>
      </c>
      <c r="V118" t="n">
        <v>77.336753</v>
      </c>
      <c r="W118" t="n">
        <v>138.030843</v>
      </c>
      <c r="X118" t="n">
        <v>98.46392899999999</v>
      </c>
      <c r="Y118" t="n">
        <v>24.163479</v>
      </c>
      <c r="Z118" t="n">
        <v>23.495104</v>
      </c>
    </row>
    <row r="119" ht="21" customHeight="1">
      <c r="A119" t="inlineStr">
        <is>
          <t>Metapenaeus tenuipes</t>
        </is>
      </c>
      <c r="B119" t="n">
        <v>3.39</v>
      </c>
      <c r="C119" t="n">
        <v>245.470892</v>
      </c>
      <c r="D119" s="10" t="inlineStr">
        <is>
          <t>2 Crustaceans | 3 Crustaceans</t>
        </is>
      </c>
      <c r="E119" t="n">
        <v>276.665746</v>
      </c>
      <c r="F119" t="n">
        <v>87.346446</v>
      </c>
      <c r="G119" t="n">
        <v>62.825827</v>
      </c>
      <c r="H119" t="n">
        <v>62.583797</v>
      </c>
      <c r="I119" t="n">
        <v>49.059783</v>
      </c>
      <c r="J119" t="n">
        <v>49.059783</v>
      </c>
      <c r="K119" t="n">
        <v>45.848307</v>
      </c>
      <c r="L119" t="n">
        <v>88.61683499999999</v>
      </c>
      <c r="M119" t="n">
        <v>88.61683499999999</v>
      </c>
      <c r="N119" t="n">
        <v>88.61683499999999</v>
      </c>
      <c r="O119" t="n">
        <v>112.736869</v>
      </c>
      <c r="P119" t="n">
        <v>69.749027</v>
      </c>
      <c r="Q119" t="n">
        <v>88.61683499999999</v>
      </c>
      <c r="R119" t="n">
        <v>88.61683499999999</v>
      </c>
      <c r="S119" t="n">
        <v>112.736869</v>
      </c>
      <c r="T119" t="n">
        <v>18.000131</v>
      </c>
      <c r="U119" t="n">
        <v>69.749027</v>
      </c>
      <c r="V119" t="n">
        <v>77.336753</v>
      </c>
      <c r="W119" t="n">
        <v>138.030843</v>
      </c>
      <c r="X119" t="n">
        <v>98.46392899999999</v>
      </c>
      <c r="Y119" t="n">
        <v>24.163479</v>
      </c>
      <c r="Z119" t="n">
        <v>23.495104</v>
      </c>
    </row>
    <row r="120" ht="21" customHeight="1">
      <c r="A120" t="inlineStr">
        <is>
          <t>Penaeus monodon</t>
        </is>
      </c>
      <c r="B120" t="n">
        <v>2.6</v>
      </c>
      <c r="C120" t="n">
        <v>39.810717</v>
      </c>
      <c r="D120" s="10" t="inlineStr">
        <is>
          <t>2 Crustaceans | 3 Crustaceans</t>
        </is>
      </c>
      <c r="E120" t="n">
        <v>276.665746</v>
      </c>
      <c r="F120" t="n">
        <v>87.346446</v>
      </c>
      <c r="G120" t="n">
        <v>62.825827</v>
      </c>
      <c r="H120" t="n">
        <v>62.583797</v>
      </c>
      <c r="I120" t="n">
        <v>49.059783</v>
      </c>
      <c r="J120" t="n">
        <v>49.059783</v>
      </c>
      <c r="K120" t="n">
        <v>45.848307</v>
      </c>
      <c r="L120" t="n">
        <v>88.61683499999999</v>
      </c>
      <c r="M120" t="n">
        <v>88.61683499999999</v>
      </c>
      <c r="N120" t="n">
        <v>88.61683499999999</v>
      </c>
      <c r="O120" t="n">
        <v>112.736869</v>
      </c>
      <c r="P120" t="n">
        <v>69.749027</v>
      </c>
      <c r="Q120" t="n">
        <v>88.61683499999999</v>
      </c>
      <c r="R120" t="n">
        <v>88.61683499999999</v>
      </c>
      <c r="S120" t="n">
        <v>112.736869</v>
      </c>
      <c r="T120" t="n">
        <v>18.000131</v>
      </c>
      <c r="U120" t="n">
        <v>69.749027</v>
      </c>
      <c r="V120" t="n">
        <v>77.336753</v>
      </c>
      <c r="W120" t="n">
        <v>138.030843</v>
      </c>
      <c r="X120" t="n">
        <v>98.46392899999999</v>
      </c>
      <c r="Y120" t="n">
        <v>24.163479</v>
      </c>
      <c r="Z120" t="n">
        <v>23.495104</v>
      </c>
    </row>
    <row r="121" ht="21" customHeight="1">
      <c r="A121" t="inlineStr">
        <is>
          <t>Lutjanus malabaricus</t>
        </is>
      </c>
      <c r="D121" s="10" t="inlineStr">
        <is>
          <t>2 L pisc comm | 3 L pisc comm</t>
        </is>
      </c>
      <c r="E121" t="n">
        <v>276.665746</v>
      </c>
      <c r="F121" t="n">
        <v>942.008432</v>
      </c>
      <c r="G121" t="n">
        <v>569.455705</v>
      </c>
      <c r="H121" t="n">
        <v>2133.059221</v>
      </c>
      <c r="I121" t="n">
        <v>640.2845610000001</v>
      </c>
      <c r="J121" t="n">
        <v>809.484635</v>
      </c>
      <c r="K121" t="n">
        <v>735.551234</v>
      </c>
      <c r="L121" t="n">
        <v>2161.417589</v>
      </c>
      <c r="M121" t="n">
        <v>2161.417589</v>
      </c>
      <c r="N121" t="n">
        <v>2161.417589</v>
      </c>
      <c r="O121" t="n">
        <v>1596.841335</v>
      </c>
      <c r="P121" t="n">
        <v>484.191698</v>
      </c>
      <c r="Q121" t="n">
        <v>2161.417589</v>
      </c>
      <c r="R121" t="n">
        <v>-1566538.678845</v>
      </c>
      <c r="S121" t="n">
        <v>1596.841335</v>
      </c>
      <c r="T121" t="n">
        <v>18720614.545483</v>
      </c>
      <c r="U121" t="n">
        <v>484.191698</v>
      </c>
      <c r="V121" t="n">
        <v>-729589570.314726</v>
      </c>
      <c r="W121" t="n">
        <v>2521.687387</v>
      </c>
      <c r="X121" t="n">
        <v>2846.929567</v>
      </c>
      <c r="Y121" t="n">
        <v>132.205276</v>
      </c>
      <c r="Z121" t="n">
        <v>267.422877</v>
      </c>
    </row>
    <row r="122" ht="21" customHeight="1">
      <c r="A122" t="inlineStr">
        <is>
          <t>Anodontostoma chacunda</t>
        </is>
      </c>
      <c r="B122" t="n">
        <v>2.84</v>
      </c>
      <c r="C122" t="n">
        <v>69.183097</v>
      </c>
      <c r="D122" s="10" t="inlineStr">
        <is>
          <t>2 S pelagics | 3 S pelagics</t>
        </is>
      </c>
      <c r="E122" t="n">
        <v>276.665746</v>
      </c>
      <c r="F122" t="n">
        <v>140.109476</v>
      </c>
      <c r="G122" t="n">
        <v>97.63290000000001</v>
      </c>
      <c r="H122" t="n">
        <v>192.530385</v>
      </c>
      <c r="I122" t="n">
        <v>80.840119</v>
      </c>
      <c r="J122" t="n">
        <v>105.744532</v>
      </c>
      <c r="K122" t="n">
        <v>98.71770100000001</v>
      </c>
      <c r="L122" t="n">
        <v>234.01812</v>
      </c>
      <c r="M122" t="n">
        <v>234.01812</v>
      </c>
      <c r="N122" t="n">
        <v>234.01812</v>
      </c>
      <c r="O122" t="n">
        <v>202.793183</v>
      </c>
      <c r="P122" t="n">
        <v>80.12592100000001</v>
      </c>
      <c r="Q122" t="n">
        <v>234.01812</v>
      </c>
      <c r="R122" t="n">
        <v>-33882.555745</v>
      </c>
      <c r="S122" t="n">
        <v>202.793183</v>
      </c>
      <c r="T122" t="n">
        <v>227994.620435</v>
      </c>
      <c r="U122" t="n">
        <v>80.12592100000001</v>
      </c>
      <c r="V122" t="n">
        <v>-5095004.477163</v>
      </c>
      <c r="W122" t="n">
        <v>296.324343</v>
      </c>
      <c r="X122" t="n">
        <v>299.160007</v>
      </c>
      <c r="Y122" t="n">
        <v>34.1744</v>
      </c>
      <c r="Z122" t="n">
        <v>48.359224</v>
      </c>
    </row>
    <row r="123" ht="21" customHeight="1">
      <c r="A123" t="inlineStr">
        <is>
          <t>Prionace glauca</t>
        </is>
      </c>
      <c r="B123" t="n">
        <v>4.35</v>
      </c>
      <c r="C123" t="n">
        <v>2238.721139</v>
      </c>
      <c r="D123" s="10" t="inlineStr">
        <is>
          <t>Oceanic sharks</t>
        </is>
      </c>
      <c r="E123" t="n">
        <v>276.665746</v>
      </c>
      <c r="F123" t="n">
        <v>1757.235698</v>
      </c>
      <c r="G123" t="n">
        <v>1018.406889</v>
      </c>
      <c r="H123" t="n">
        <v>15262.31097</v>
      </c>
      <c r="I123" t="n">
        <v>5136.373322</v>
      </c>
      <c r="J123" t="n">
        <v>6101.609798</v>
      </c>
      <c r="K123" t="n">
        <v>3551.136902</v>
      </c>
      <c r="L123" t="n">
        <v>23068.147688</v>
      </c>
      <c r="M123" t="n">
        <v>23068.147688</v>
      </c>
      <c r="N123" t="n">
        <v>23068.147688</v>
      </c>
      <c r="O123" t="n">
        <v>8717.777107</v>
      </c>
      <c r="P123" t="n">
        <v>1861.38016</v>
      </c>
      <c r="Q123" t="n">
        <v>23068.147688</v>
      </c>
      <c r="R123" t="n">
        <v>93910298.950615</v>
      </c>
      <c r="S123" t="n">
        <v>8717.777107</v>
      </c>
      <c r="T123" t="n">
        <v>-2662978.044058</v>
      </c>
      <c r="U123" t="n">
        <v>1861.38016</v>
      </c>
      <c r="V123" t="n">
        <v>-6.150361922865892e+19</v>
      </c>
      <c r="W123" t="n">
        <v>14380.879162</v>
      </c>
      <c r="X123" t="n">
        <v>31682.718847</v>
      </c>
      <c r="Y123" t="n">
        <v>208.554284</v>
      </c>
      <c r="Z123" t="n">
        <v>1010.152404</v>
      </c>
    </row>
    <row r="124" ht="21" customHeight="1">
      <c r="A124" t="inlineStr">
        <is>
          <t>Nemipterus hexodon</t>
        </is>
      </c>
      <c r="B124" t="n">
        <v>3.93</v>
      </c>
      <c r="C124" t="n">
        <v>851.1380380000001</v>
      </c>
      <c r="D124" s="10" t="inlineStr">
        <is>
          <t>2 SM pisc | 3 SM pisc</t>
        </is>
      </c>
      <c r="E124" t="n">
        <v>276.665746</v>
      </c>
      <c r="F124" t="n">
        <v>735.917019</v>
      </c>
      <c r="G124" t="n">
        <v>452.492682</v>
      </c>
      <c r="H124" t="n">
        <v>682.111639</v>
      </c>
      <c r="I124" t="n">
        <v>235.466475</v>
      </c>
      <c r="J124" t="n">
        <v>314.21941</v>
      </c>
      <c r="K124" t="n">
        <v>298.50844</v>
      </c>
      <c r="L124" t="n">
        <v>954.7607</v>
      </c>
      <c r="M124" t="n">
        <v>954.7607</v>
      </c>
      <c r="N124" t="n">
        <v>954.7607</v>
      </c>
      <c r="O124" t="n">
        <v>843.56575</v>
      </c>
      <c r="P124" t="n">
        <v>294.060389</v>
      </c>
      <c r="Q124" t="n">
        <v>954.7607</v>
      </c>
      <c r="R124" t="n">
        <v>9873.492876</v>
      </c>
      <c r="S124" t="n">
        <v>843.56575</v>
      </c>
      <c r="T124" t="n">
        <v>671288.666809</v>
      </c>
      <c r="U124" t="n">
        <v>294.060389</v>
      </c>
      <c r="V124" t="n">
        <v>-16862660.627203</v>
      </c>
      <c r="W124" t="n">
        <v>1324.31138</v>
      </c>
      <c r="X124" t="n">
        <v>1272.066649</v>
      </c>
      <c r="Y124" t="n">
        <v>110.428635</v>
      </c>
      <c r="Z124" t="n">
        <v>131.682702</v>
      </c>
    </row>
    <row r="125" ht="21" customHeight="1">
      <c r="A125" t="inlineStr">
        <is>
          <t>Sillaginidae</t>
        </is>
      </c>
      <c r="B125" t="n">
        <v>3.25</v>
      </c>
      <c r="C125" t="n">
        <v>177.827941</v>
      </c>
      <c r="D125" s="10" t="inlineStr">
        <is>
          <t>2 SM inv | 3 SM inv</t>
        </is>
      </c>
      <c r="E125" t="n">
        <v>276.665746</v>
      </c>
      <c r="F125" t="n">
        <v>195.237034</v>
      </c>
      <c r="G125" t="n">
        <v>132.430212</v>
      </c>
      <c r="H125" t="n">
        <v>264.43232</v>
      </c>
      <c r="I125" t="n">
        <v>118.903546</v>
      </c>
      <c r="J125" t="n">
        <v>136.120138</v>
      </c>
      <c r="K125" t="n">
        <v>127.344134</v>
      </c>
      <c r="L125" t="n">
        <v>358.382548</v>
      </c>
      <c r="M125" t="n">
        <v>358.382548</v>
      </c>
      <c r="N125" t="n">
        <v>358.382548</v>
      </c>
      <c r="O125" t="n">
        <v>341.399299</v>
      </c>
      <c r="P125" t="n">
        <v>140.115469</v>
      </c>
      <c r="Q125" t="n">
        <v>358.382548</v>
      </c>
      <c r="R125" t="n">
        <v>6457.458436</v>
      </c>
      <c r="S125" t="n">
        <v>341.399299</v>
      </c>
      <c r="T125" t="n">
        <v>179529.737596</v>
      </c>
      <c r="U125" t="n">
        <v>140.115469</v>
      </c>
      <c r="V125" t="n">
        <v>-303793.842089</v>
      </c>
      <c r="W125" t="n">
        <v>574.006718</v>
      </c>
      <c r="X125" t="n">
        <v>502.703783</v>
      </c>
      <c r="Y125" t="n">
        <v>42.955466</v>
      </c>
      <c r="Z125" t="n">
        <v>65.030467</v>
      </c>
    </row>
    <row r="126" ht="21" customHeight="1">
      <c r="A126" t="inlineStr">
        <is>
          <t>Placuna placenta</t>
        </is>
      </c>
      <c r="B126" t="n">
        <v>2.41</v>
      </c>
      <c r="C126" t="n">
        <v>25.703958</v>
      </c>
      <c r="D126" s="10" t="inlineStr">
        <is>
          <t>2 Macrobenthos | 3 Macrobenthos</t>
        </is>
      </c>
      <c r="E126" t="n">
        <v>276.665746</v>
      </c>
      <c r="F126" t="n">
        <v>43.212782</v>
      </c>
      <c r="G126" t="n">
        <v>32.623281</v>
      </c>
      <c r="H126" t="n">
        <v>41.368719</v>
      </c>
      <c r="I126" t="n">
        <v>34.461512</v>
      </c>
      <c r="J126" t="n">
        <v>34.461512</v>
      </c>
      <c r="K126" t="n">
        <v>31.432014</v>
      </c>
      <c r="L126" t="n">
        <v>106.719149</v>
      </c>
      <c r="M126" t="n">
        <v>106.719149</v>
      </c>
      <c r="N126" t="n">
        <v>106.719149</v>
      </c>
      <c r="O126" t="n">
        <v>113.412456</v>
      </c>
      <c r="P126" t="n">
        <v>57.717594</v>
      </c>
      <c r="Q126" t="n">
        <v>106.719149</v>
      </c>
      <c r="R126" t="n">
        <v>106.719149</v>
      </c>
      <c r="S126" t="n">
        <v>113.412456</v>
      </c>
      <c r="T126" t="n">
        <v>25.029149</v>
      </c>
      <c r="U126" t="n">
        <v>57.717594</v>
      </c>
      <c r="V126" t="n">
        <v>63.584441</v>
      </c>
      <c r="W126" t="n">
        <v>206.884057</v>
      </c>
      <c r="X126" t="n">
        <v>165.070073</v>
      </c>
      <c r="Y126" t="n">
        <v>14.477738</v>
      </c>
      <c r="Z126" t="n">
        <v>16.337529</v>
      </c>
    </row>
    <row r="127" ht="36" customHeight="1">
      <c r="A127" t="inlineStr">
        <is>
          <t>Chondrichthyes</t>
        </is>
      </c>
      <c r="B127" t="n">
        <v>4</v>
      </c>
      <c r="C127" t="n">
        <v>1000</v>
      </c>
      <c r="D127" s="10" t="inlineStr">
        <is>
          <t>Oceanic sharks | Coastal elasmobranch</t>
        </is>
      </c>
      <c r="E127" t="n">
        <v>276.665746</v>
      </c>
      <c r="F127" t="n">
        <v>1380.156554</v>
      </c>
      <c r="G127" t="n">
        <v>813.237349</v>
      </c>
      <c r="H127" t="n">
        <v>11688.066786</v>
      </c>
      <c r="I127" t="n">
        <v>3302.11378</v>
      </c>
      <c r="J127" t="n">
        <v>3753.764115</v>
      </c>
      <c r="K127" t="n">
        <v>2868.260753</v>
      </c>
      <c r="L127" t="n">
        <v>18853.580958</v>
      </c>
      <c r="M127" t="n">
        <v>18853.580958</v>
      </c>
      <c r="N127" t="n">
        <v>18853.580958</v>
      </c>
      <c r="O127" t="n">
        <v>9040.533485</v>
      </c>
      <c r="P127" t="n">
        <v>1862.18019</v>
      </c>
      <c r="Q127" t="n">
        <v>18853.580958</v>
      </c>
      <c r="R127" t="n">
        <v>94943203.22682799</v>
      </c>
      <c r="S127" t="n">
        <v>9040.533485</v>
      </c>
      <c r="T127" t="n">
        <v>-4557941.960348</v>
      </c>
      <c r="U127" t="n">
        <v>1862.18019</v>
      </c>
      <c r="V127" t="n">
        <v>-7.861118488044005e+19</v>
      </c>
      <c r="W127" t="n">
        <v>14987.301255</v>
      </c>
      <c r="X127" t="n">
        <v>26157.019993</v>
      </c>
      <c r="Y127" t="n">
        <v>174.929003</v>
      </c>
      <c r="Z127" t="n">
        <v>765.3479139999999</v>
      </c>
    </row>
    <row r="128" ht="21" customHeight="1">
      <c r="A128" t="inlineStr">
        <is>
          <t>Terapon jarbua</t>
        </is>
      </c>
      <c r="B128" t="n">
        <v>3.93</v>
      </c>
      <c r="C128" t="n">
        <v>851.1380380000001</v>
      </c>
      <c r="D128" s="10" t="inlineStr">
        <is>
          <t>2 SM pisc | 3 SM pisc</t>
        </is>
      </c>
      <c r="E128" t="n">
        <v>276.665746</v>
      </c>
      <c r="F128" t="n">
        <v>735.917019</v>
      </c>
      <c r="G128" t="n">
        <v>452.492682</v>
      </c>
      <c r="H128" t="n">
        <v>682.111639</v>
      </c>
      <c r="I128" t="n">
        <v>235.466475</v>
      </c>
      <c r="J128" t="n">
        <v>314.21941</v>
      </c>
      <c r="K128" t="n">
        <v>298.50844</v>
      </c>
      <c r="L128" t="n">
        <v>954.7607</v>
      </c>
      <c r="M128" t="n">
        <v>954.7607</v>
      </c>
      <c r="N128" t="n">
        <v>954.7607</v>
      </c>
      <c r="O128" t="n">
        <v>843.56575</v>
      </c>
      <c r="P128" t="n">
        <v>294.060389</v>
      </c>
      <c r="Q128" t="n">
        <v>954.7607</v>
      </c>
      <c r="R128" t="n">
        <v>9873.492876</v>
      </c>
      <c r="S128" t="n">
        <v>843.56575</v>
      </c>
      <c r="T128" t="n">
        <v>671288.666809</v>
      </c>
      <c r="U128" t="n">
        <v>294.060389</v>
      </c>
      <c r="V128" t="n">
        <v>-16862660.627203</v>
      </c>
      <c r="W128" t="n">
        <v>1324.31138</v>
      </c>
      <c r="X128" t="n">
        <v>1272.066649</v>
      </c>
      <c r="Y128" t="n">
        <v>110.428635</v>
      </c>
      <c r="Z128" t="n">
        <v>131.682702</v>
      </c>
    </row>
    <row r="129" ht="21" customHeight="1">
      <c r="A129" t="inlineStr">
        <is>
          <t>Upeneus vittatus</t>
        </is>
      </c>
      <c r="B129" t="n">
        <v>3.62</v>
      </c>
      <c r="C129" t="n">
        <v>416.869383</v>
      </c>
      <c r="D129" s="10" t="inlineStr">
        <is>
          <t>2 SM inv | 3 SM inv</t>
        </is>
      </c>
      <c r="E129" t="n">
        <v>276.665746</v>
      </c>
      <c r="F129" t="n">
        <v>195.237034</v>
      </c>
      <c r="G129" t="n">
        <v>132.430212</v>
      </c>
      <c r="H129" t="n">
        <v>264.43232</v>
      </c>
      <c r="I129" t="n">
        <v>118.903546</v>
      </c>
      <c r="J129" t="n">
        <v>136.120138</v>
      </c>
      <c r="K129" t="n">
        <v>127.344134</v>
      </c>
      <c r="L129" t="n">
        <v>358.382548</v>
      </c>
      <c r="M129" t="n">
        <v>358.382548</v>
      </c>
      <c r="N129" t="n">
        <v>358.382548</v>
      </c>
      <c r="O129" t="n">
        <v>341.399299</v>
      </c>
      <c r="P129" t="n">
        <v>140.115469</v>
      </c>
      <c r="Q129" t="n">
        <v>358.382548</v>
      </c>
      <c r="R129" t="n">
        <v>6457.458436</v>
      </c>
      <c r="S129" t="n">
        <v>341.399299</v>
      </c>
      <c r="T129" t="n">
        <v>179529.737596</v>
      </c>
      <c r="U129" t="n">
        <v>140.115469</v>
      </c>
      <c r="V129" t="n">
        <v>-303793.842089</v>
      </c>
      <c r="W129" t="n">
        <v>574.006718</v>
      </c>
      <c r="X129" t="n">
        <v>502.703783</v>
      </c>
      <c r="Y129" t="n">
        <v>42.955466</v>
      </c>
      <c r="Z129" t="n">
        <v>65.030467</v>
      </c>
    </row>
    <row r="130" ht="21" customHeight="1">
      <c r="A130" t="inlineStr">
        <is>
          <t>Teuthida</t>
        </is>
      </c>
      <c r="B130" t="n">
        <v>4.13</v>
      </c>
      <c r="C130" t="n">
        <v>1348.962883</v>
      </c>
      <c r="D130" s="10" t="inlineStr">
        <is>
          <t>Cephalopods</t>
        </is>
      </c>
      <c r="E130" t="n">
        <v>276.665746</v>
      </c>
      <c r="F130" t="n">
        <v>990.119511</v>
      </c>
      <c r="G130" t="n">
        <v>598.369015</v>
      </c>
      <c r="H130" t="n">
        <v>1346.233095</v>
      </c>
      <c r="I130" t="n">
        <v>376.93677</v>
      </c>
      <c r="J130" t="n">
        <v>457.544762</v>
      </c>
      <c r="K130" t="n">
        <v>411.790286</v>
      </c>
      <c r="L130" t="n">
        <v>1154.79452</v>
      </c>
      <c r="M130" t="n">
        <v>1154.79452</v>
      </c>
      <c r="N130" t="n">
        <v>1154.79452</v>
      </c>
      <c r="O130" t="n">
        <v>883.361743</v>
      </c>
      <c r="P130" t="n">
        <v>288.682294</v>
      </c>
      <c r="Q130" t="n">
        <v>1154.79452</v>
      </c>
      <c r="R130" t="n">
        <v>-29810.748817</v>
      </c>
      <c r="S130" t="n">
        <v>883.361743</v>
      </c>
      <c r="T130" t="n">
        <v>-4388.856367</v>
      </c>
      <c r="U130" t="n">
        <v>288.682294</v>
      </c>
      <c r="V130" t="n">
        <v>-67924.848461</v>
      </c>
      <c r="W130" t="n">
        <v>1393.755014</v>
      </c>
      <c r="X130" t="n">
        <v>1512.277541</v>
      </c>
      <c r="Y130" t="n">
        <v>138.403273</v>
      </c>
      <c r="Z130" t="n">
        <v>209.32439</v>
      </c>
    </row>
    <row r="131" ht="21" customHeight="1">
      <c r="A131" t="inlineStr">
        <is>
          <t>Psettodidae</t>
        </is>
      </c>
      <c r="B131" t="n">
        <v>3.83</v>
      </c>
      <c r="C131" t="n">
        <v>676.082975</v>
      </c>
      <c r="D131" s="10" t="inlineStr">
        <is>
          <t>2 SM pisc | 3 SM pisc</t>
        </is>
      </c>
      <c r="E131" t="n">
        <v>276.665746</v>
      </c>
      <c r="F131" t="n">
        <v>735.917019</v>
      </c>
      <c r="G131" t="n">
        <v>452.492682</v>
      </c>
      <c r="H131" t="n">
        <v>682.111639</v>
      </c>
      <c r="I131" t="n">
        <v>235.466475</v>
      </c>
      <c r="J131" t="n">
        <v>314.21941</v>
      </c>
      <c r="K131" t="n">
        <v>298.50844</v>
      </c>
      <c r="L131" t="n">
        <v>954.7607</v>
      </c>
      <c r="M131" t="n">
        <v>954.7607</v>
      </c>
      <c r="N131" t="n">
        <v>954.7607</v>
      </c>
      <c r="O131" t="n">
        <v>843.56575</v>
      </c>
      <c r="P131" t="n">
        <v>294.060389</v>
      </c>
      <c r="Q131" t="n">
        <v>954.7607</v>
      </c>
      <c r="R131" t="n">
        <v>9873.492876</v>
      </c>
      <c r="S131" t="n">
        <v>843.56575</v>
      </c>
      <c r="T131" t="n">
        <v>671288.666809</v>
      </c>
      <c r="U131" t="n">
        <v>294.060389</v>
      </c>
      <c r="V131" t="n">
        <v>-16862660.627203</v>
      </c>
      <c r="W131" t="n">
        <v>1324.31138</v>
      </c>
      <c r="X131" t="n">
        <v>1272.066649</v>
      </c>
      <c r="Y131" t="n">
        <v>110.428635</v>
      </c>
      <c r="Z131" t="n">
        <v>131.682702</v>
      </c>
    </row>
    <row r="132" ht="36" customHeight="1">
      <c r="A132" t="inlineStr">
        <is>
          <t>Tetraodontidae</t>
        </is>
      </c>
      <c r="B132" t="n">
        <v>3.5</v>
      </c>
      <c r="C132" t="n">
        <v>316.227766</v>
      </c>
      <c r="D132" s="10" t="inlineStr">
        <is>
          <t>2 Milkfish plus | 3 Milkfish plus | 2 SM inv | 3 SM inv</t>
        </is>
      </c>
      <c r="E132" t="n">
        <v>276.665746</v>
      </c>
      <c r="F132" t="n">
        <v>252.303891</v>
      </c>
      <c r="G132" t="n">
        <v>166.805309</v>
      </c>
      <c r="H132" t="n">
        <v>337.798098</v>
      </c>
      <c r="I132" t="n">
        <v>144.850743</v>
      </c>
      <c r="J132" t="n">
        <v>182.945389</v>
      </c>
      <c r="K132" t="n">
        <v>170.06147</v>
      </c>
      <c r="L132" t="n">
        <v>475.737996</v>
      </c>
      <c r="M132" t="n">
        <v>475.737996</v>
      </c>
      <c r="N132" t="n">
        <v>475.737996</v>
      </c>
      <c r="O132" t="n">
        <v>432.039816</v>
      </c>
      <c r="P132" t="n">
        <v>169.50677</v>
      </c>
      <c r="Q132" t="n">
        <v>475.737996</v>
      </c>
      <c r="R132" t="n">
        <v>37033.14682</v>
      </c>
      <c r="S132" t="n">
        <v>432.039816</v>
      </c>
      <c r="T132" t="n">
        <v>453553.613137</v>
      </c>
      <c r="U132" t="n">
        <v>169.50677</v>
      </c>
      <c r="V132" t="n">
        <v>-8021401.641126</v>
      </c>
      <c r="W132" t="n">
        <v>719.698705</v>
      </c>
      <c r="X132" t="n">
        <v>662.607335</v>
      </c>
      <c r="Y132" t="n">
        <v>50.567861</v>
      </c>
      <c r="Z132" t="n">
        <v>74.65590400000001</v>
      </c>
    </row>
    <row r="133" ht="21" customHeight="1">
      <c r="A133" t="inlineStr">
        <is>
          <t>Cephalopholis boenak</t>
        </is>
      </c>
      <c r="B133" t="n">
        <v>4.07</v>
      </c>
      <c r="C133" t="n">
        <v>1174.897555</v>
      </c>
      <c r="D133" s="10" t="inlineStr">
        <is>
          <t>2 L pisc comm | 3 L pisc comm</t>
        </is>
      </c>
      <c r="E133" t="n">
        <v>276.665746</v>
      </c>
      <c r="F133" t="n">
        <v>942.008432</v>
      </c>
      <c r="G133" t="n">
        <v>569.455705</v>
      </c>
      <c r="H133" t="n">
        <v>2133.059221</v>
      </c>
      <c r="I133" t="n">
        <v>640.2845610000001</v>
      </c>
      <c r="J133" t="n">
        <v>809.484635</v>
      </c>
      <c r="K133" t="n">
        <v>735.551234</v>
      </c>
      <c r="L133" t="n">
        <v>2161.417589</v>
      </c>
      <c r="M133" t="n">
        <v>2161.417589</v>
      </c>
      <c r="N133" t="n">
        <v>2161.417589</v>
      </c>
      <c r="O133" t="n">
        <v>1596.841335</v>
      </c>
      <c r="P133" t="n">
        <v>484.191698</v>
      </c>
      <c r="Q133" t="n">
        <v>2161.417589</v>
      </c>
      <c r="R133" t="n">
        <v>-1566538.678845</v>
      </c>
      <c r="S133" t="n">
        <v>1596.841335</v>
      </c>
      <c r="T133" t="n">
        <v>18720614.545483</v>
      </c>
      <c r="U133" t="n">
        <v>484.191698</v>
      </c>
      <c r="V133" t="n">
        <v>-729589570.314726</v>
      </c>
      <c r="W133" t="n">
        <v>2521.687387</v>
      </c>
      <c r="X133" t="n">
        <v>2846.929567</v>
      </c>
      <c r="Y133" t="n">
        <v>132.205276</v>
      </c>
      <c r="Z133" t="n">
        <v>267.422877</v>
      </c>
    </row>
    <row r="134" ht="21" customHeight="1">
      <c r="A134" t="inlineStr">
        <is>
          <t>Muraenesox</t>
        </is>
      </c>
      <c r="B134" t="n">
        <v>3.99</v>
      </c>
      <c r="C134" t="n">
        <v>977.237221</v>
      </c>
      <c r="D134" s="10" t="inlineStr">
        <is>
          <t>2 L pisc | 3 L pisc</t>
        </is>
      </c>
      <c r="E134" t="n">
        <v>276.665746</v>
      </c>
      <c r="F134" t="n">
        <v>1671.644897</v>
      </c>
      <c r="G134" t="n">
        <v>968.768055</v>
      </c>
      <c r="H134" t="n">
        <v>4318.024466</v>
      </c>
      <c r="I134" t="n">
        <v>1003.379133</v>
      </c>
      <c r="J134" t="n">
        <v>1189.735453</v>
      </c>
      <c r="K134" t="n">
        <v>1070.761907</v>
      </c>
      <c r="L134" t="n">
        <v>3541.417618</v>
      </c>
      <c r="M134" t="n">
        <v>3541.417618</v>
      </c>
      <c r="N134" t="n">
        <v>3541.417618</v>
      </c>
      <c r="O134" t="n">
        <v>2538.082167</v>
      </c>
      <c r="P134" t="n">
        <v>681.673862</v>
      </c>
      <c r="Q134" t="n">
        <v>3541.417618</v>
      </c>
      <c r="R134" t="n">
        <v>62682.288429</v>
      </c>
      <c r="S134" t="n">
        <v>2538.082167</v>
      </c>
      <c r="T134" t="n">
        <v>4712584.866078</v>
      </c>
      <c r="U134" t="n">
        <v>681.673862</v>
      </c>
      <c r="V134" t="n">
        <v>8783084984.919691</v>
      </c>
      <c r="W134" t="n">
        <v>4084.080603</v>
      </c>
      <c r="X134" t="n">
        <v>4708.141648</v>
      </c>
      <c r="Y134" t="n">
        <v>198.988407</v>
      </c>
      <c r="Z134" t="n">
        <v>443.151943</v>
      </c>
    </row>
    <row r="135" ht="21" customHeight="1">
      <c r="A135" t="inlineStr">
        <is>
          <t>Selar crumenophthalmus</t>
        </is>
      </c>
      <c r="B135" t="n">
        <v>3.81</v>
      </c>
      <c r="C135" t="n">
        <v>645.654229</v>
      </c>
      <c r="D135" s="10" t="inlineStr">
        <is>
          <t>2 Carangids | 3 Carangids</t>
        </is>
      </c>
      <c r="E135" t="n">
        <v>276.665746</v>
      </c>
      <c r="F135" t="n">
        <v>1047.559324</v>
      </c>
      <c r="G135" t="n">
        <v>629.821299</v>
      </c>
      <c r="H135" t="n">
        <v>2236.955926</v>
      </c>
      <c r="I135" t="n">
        <v>640.844159</v>
      </c>
      <c r="J135" t="n">
        <v>754.590569</v>
      </c>
      <c r="K135" t="n">
        <v>726.430521</v>
      </c>
      <c r="L135" t="n">
        <v>2160.134294</v>
      </c>
      <c r="M135" t="n">
        <v>2160.134294</v>
      </c>
      <c r="N135" t="n">
        <v>2160.134294</v>
      </c>
      <c r="O135" t="n">
        <v>1714.41623</v>
      </c>
      <c r="P135" t="n">
        <v>507.780375</v>
      </c>
      <c r="Q135" t="n">
        <v>2160.134294</v>
      </c>
      <c r="R135" t="n">
        <v>1795384.471462</v>
      </c>
      <c r="S135" t="n">
        <v>1714.41623</v>
      </c>
      <c r="T135" t="n">
        <v>15523021.978962</v>
      </c>
      <c r="U135" t="n">
        <v>507.780375</v>
      </c>
      <c r="V135" t="n">
        <v>361623540.311127</v>
      </c>
      <c r="W135" t="n">
        <v>2798.965662</v>
      </c>
      <c r="X135" t="n">
        <v>2890.070964</v>
      </c>
      <c r="Y135" t="n">
        <v>143.6356</v>
      </c>
      <c r="Z135" t="n">
        <v>293.771321</v>
      </c>
    </row>
    <row r="136" ht="36" customHeight="1">
      <c r="A136" t="inlineStr">
        <is>
          <t>Soleidae</t>
        </is>
      </c>
      <c r="B136" t="n">
        <v>3.15</v>
      </c>
      <c r="C136" t="n">
        <v>141.253754</v>
      </c>
      <c r="D136" s="10" t="inlineStr">
        <is>
          <t>2 SM inv | 3 SM inv | 2 SM pisc | 3 SM pisc</t>
        </is>
      </c>
      <c r="E136" t="n">
        <v>276.665746</v>
      </c>
      <c r="F136" t="n">
        <v>427.369702</v>
      </c>
      <c r="G136" t="n">
        <v>269.84413</v>
      </c>
      <c r="H136" t="n">
        <v>443.756536</v>
      </c>
      <c r="I136" t="n">
        <v>168.948054</v>
      </c>
      <c r="J136" t="n">
        <v>212.584332</v>
      </c>
      <c r="K136" t="n">
        <v>200.830906</v>
      </c>
      <c r="L136" t="n">
        <v>614.42837</v>
      </c>
      <c r="M136" t="n">
        <v>614.42837</v>
      </c>
      <c r="N136" t="n">
        <v>614.42837</v>
      </c>
      <c r="O136" t="n">
        <v>556.996771</v>
      </c>
      <c r="P136" t="n">
        <v>206.209362</v>
      </c>
      <c r="Q136" t="n">
        <v>614.42837</v>
      </c>
      <c r="R136" t="n">
        <v>7924.080486</v>
      </c>
      <c r="S136" t="n">
        <v>556.996771</v>
      </c>
      <c r="T136" t="n">
        <v>390658.899708</v>
      </c>
      <c r="U136" t="n">
        <v>206.209362</v>
      </c>
      <c r="V136" t="n">
        <v>-7413089.601009</v>
      </c>
      <c r="W136" t="n">
        <v>896.1385289999999</v>
      </c>
      <c r="X136" t="n">
        <v>833.0179419999999</v>
      </c>
      <c r="Y136" t="n">
        <v>71.924037</v>
      </c>
      <c r="Z136" t="n">
        <v>93.64658300000001</v>
      </c>
    </row>
    <row r="137" ht="21" customHeight="1">
      <c r="A137" t="inlineStr">
        <is>
          <t>Sillago</t>
        </is>
      </c>
      <c r="B137" t="n">
        <v>3.33</v>
      </c>
      <c r="C137" t="n">
        <v>213.796209</v>
      </c>
      <c r="D137" s="10" t="inlineStr">
        <is>
          <t>2 SM inv | 3 SM inv</t>
        </is>
      </c>
      <c r="E137" t="n">
        <v>276.665746</v>
      </c>
      <c r="F137" t="n">
        <v>195.237034</v>
      </c>
      <c r="G137" t="n">
        <v>132.430212</v>
      </c>
      <c r="H137" t="n">
        <v>264.43232</v>
      </c>
      <c r="I137" t="n">
        <v>118.903546</v>
      </c>
      <c r="J137" t="n">
        <v>136.120138</v>
      </c>
      <c r="K137" t="n">
        <v>127.344134</v>
      </c>
      <c r="L137" t="n">
        <v>358.382548</v>
      </c>
      <c r="M137" t="n">
        <v>358.382548</v>
      </c>
      <c r="N137" t="n">
        <v>358.382548</v>
      </c>
      <c r="O137" t="n">
        <v>341.399299</v>
      </c>
      <c r="P137" t="n">
        <v>140.115469</v>
      </c>
      <c r="Q137" t="n">
        <v>358.382548</v>
      </c>
      <c r="R137" t="n">
        <v>6457.458436</v>
      </c>
      <c r="S137" t="n">
        <v>341.399299</v>
      </c>
      <c r="T137" t="n">
        <v>179529.737596</v>
      </c>
      <c r="U137" t="n">
        <v>140.115469</v>
      </c>
      <c r="V137" t="n">
        <v>-303793.842089</v>
      </c>
      <c r="W137" t="n">
        <v>574.006718</v>
      </c>
      <c r="X137" t="n">
        <v>502.703783</v>
      </c>
      <c r="Y137" t="n">
        <v>42.955466</v>
      </c>
      <c r="Z137" t="n">
        <v>65.030467</v>
      </c>
    </row>
    <row r="138" ht="21" customHeight="1">
      <c r="A138" t="inlineStr">
        <is>
          <t>Veneridae</t>
        </is>
      </c>
      <c r="B138" t="n">
        <v>2</v>
      </c>
      <c r="C138" t="n">
        <v>10</v>
      </c>
      <c r="D138" s="10" t="inlineStr">
        <is>
          <t>2 Macrobenthos | 3 Macrobenthos</t>
        </is>
      </c>
      <c r="E138" t="n">
        <v>276.665746</v>
      </c>
      <c r="F138" t="n">
        <v>43.212782</v>
      </c>
      <c r="G138" t="n">
        <v>32.623281</v>
      </c>
      <c r="H138" t="n">
        <v>41.368719</v>
      </c>
      <c r="I138" t="n">
        <v>34.461512</v>
      </c>
      <c r="J138" t="n">
        <v>34.461512</v>
      </c>
      <c r="K138" t="n">
        <v>31.432014</v>
      </c>
      <c r="L138" t="n">
        <v>106.719149</v>
      </c>
      <c r="M138" t="n">
        <v>106.719149</v>
      </c>
      <c r="N138" t="n">
        <v>106.719149</v>
      </c>
      <c r="O138" t="n">
        <v>113.412456</v>
      </c>
      <c r="P138" t="n">
        <v>57.717594</v>
      </c>
      <c r="Q138" t="n">
        <v>106.719149</v>
      </c>
      <c r="R138" t="n">
        <v>106.719149</v>
      </c>
      <c r="S138" t="n">
        <v>113.412456</v>
      </c>
      <c r="T138" t="n">
        <v>25.029149</v>
      </c>
      <c r="U138" t="n">
        <v>57.717594</v>
      </c>
      <c r="V138" t="n">
        <v>63.584441</v>
      </c>
      <c r="W138" t="n">
        <v>206.884057</v>
      </c>
      <c r="X138" t="n">
        <v>165.070073</v>
      </c>
      <c r="Y138" t="n">
        <v>14.477738</v>
      </c>
      <c r="Z138" t="n">
        <v>16.337529</v>
      </c>
    </row>
    <row r="139" ht="21" customHeight="1">
      <c r="A139" t="inlineStr">
        <is>
          <t>Pampus chinensis</t>
        </is>
      </c>
      <c r="B139" t="n">
        <v>3.6</v>
      </c>
      <c r="C139" t="n">
        <v>398.107171</v>
      </c>
      <c r="D139" s="10" t="inlineStr">
        <is>
          <t>2 SM inv | 3 SM inv</t>
        </is>
      </c>
      <c r="E139" t="n">
        <v>276.665746</v>
      </c>
      <c r="F139" t="n">
        <v>195.237034</v>
      </c>
      <c r="G139" t="n">
        <v>132.430212</v>
      </c>
      <c r="H139" t="n">
        <v>264.43232</v>
      </c>
      <c r="I139" t="n">
        <v>118.903546</v>
      </c>
      <c r="J139" t="n">
        <v>136.120138</v>
      </c>
      <c r="K139" t="n">
        <v>127.344134</v>
      </c>
      <c r="L139" t="n">
        <v>358.382548</v>
      </c>
      <c r="M139" t="n">
        <v>358.382548</v>
      </c>
      <c r="N139" t="n">
        <v>358.382548</v>
      </c>
      <c r="O139" t="n">
        <v>341.399299</v>
      </c>
      <c r="P139" t="n">
        <v>140.115469</v>
      </c>
      <c r="Q139" t="n">
        <v>358.382548</v>
      </c>
      <c r="R139" t="n">
        <v>6457.458436</v>
      </c>
      <c r="S139" t="n">
        <v>341.399299</v>
      </c>
      <c r="T139" t="n">
        <v>179529.737596</v>
      </c>
      <c r="U139" t="n">
        <v>140.115469</v>
      </c>
      <c r="V139" t="n">
        <v>-303793.842089</v>
      </c>
      <c r="W139" t="n">
        <v>574.006718</v>
      </c>
      <c r="X139" t="n">
        <v>502.703783</v>
      </c>
      <c r="Y139" t="n">
        <v>42.955466</v>
      </c>
      <c r="Z139" t="n">
        <v>65.030467</v>
      </c>
    </row>
    <row r="140" ht="21" customHeight="1">
      <c r="A140" t="inlineStr">
        <is>
          <t>Hemiramphus</t>
        </is>
      </c>
      <c r="B140" t="n">
        <v>3.05</v>
      </c>
      <c r="C140" t="n">
        <v>112.201845</v>
      </c>
      <c r="D140" s="10" t="inlineStr">
        <is>
          <t>2 S pelagics | 3 S pelagics</t>
        </is>
      </c>
      <c r="E140" t="n">
        <v>276.665746</v>
      </c>
      <c r="F140" t="n">
        <v>140.109476</v>
      </c>
      <c r="G140" t="n">
        <v>97.63290000000001</v>
      </c>
      <c r="H140" t="n">
        <v>192.530385</v>
      </c>
      <c r="I140" t="n">
        <v>80.840119</v>
      </c>
      <c r="J140" t="n">
        <v>105.744532</v>
      </c>
      <c r="K140" t="n">
        <v>98.71770100000001</v>
      </c>
      <c r="L140" t="n">
        <v>234.01812</v>
      </c>
      <c r="M140" t="n">
        <v>234.01812</v>
      </c>
      <c r="N140" t="n">
        <v>234.01812</v>
      </c>
      <c r="O140" t="n">
        <v>202.793183</v>
      </c>
      <c r="P140" t="n">
        <v>80.12592100000001</v>
      </c>
      <c r="Q140" t="n">
        <v>234.01812</v>
      </c>
      <c r="R140" t="n">
        <v>-33882.555745</v>
      </c>
      <c r="S140" t="n">
        <v>202.793183</v>
      </c>
      <c r="T140" t="n">
        <v>227994.620435</v>
      </c>
      <c r="U140" t="n">
        <v>80.12592100000001</v>
      </c>
      <c r="V140" t="n">
        <v>-5095004.477163</v>
      </c>
      <c r="W140" t="n">
        <v>296.324343</v>
      </c>
      <c r="X140" t="n">
        <v>299.160007</v>
      </c>
      <c r="Y140" t="n">
        <v>34.1744</v>
      </c>
      <c r="Z140" t="n">
        <v>48.359224</v>
      </c>
    </row>
    <row r="141" ht="21" customHeight="1">
      <c r="A141" t="inlineStr">
        <is>
          <t>Carcharhinus falciformis</t>
        </is>
      </c>
      <c r="B141" t="n">
        <v>4.51</v>
      </c>
      <c r="C141" t="n">
        <v>3235.936569</v>
      </c>
      <c r="D141" s="10" t="inlineStr">
        <is>
          <t>Oceanic sharks</t>
        </is>
      </c>
      <c r="E141" t="n">
        <v>276.665746</v>
      </c>
      <c r="F141" t="n">
        <v>1757.235698</v>
      </c>
      <c r="G141" t="n">
        <v>1018.406889</v>
      </c>
      <c r="H141" t="n">
        <v>15262.31097</v>
      </c>
      <c r="I141" t="n">
        <v>5136.373322</v>
      </c>
      <c r="J141" t="n">
        <v>6101.609798</v>
      </c>
      <c r="K141" t="n">
        <v>3551.136902</v>
      </c>
      <c r="L141" t="n">
        <v>23068.147688</v>
      </c>
      <c r="M141" t="n">
        <v>23068.147688</v>
      </c>
      <c r="N141" t="n">
        <v>23068.147688</v>
      </c>
      <c r="O141" t="n">
        <v>8717.777107</v>
      </c>
      <c r="P141" t="n">
        <v>1861.38016</v>
      </c>
      <c r="Q141" t="n">
        <v>23068.147688</v>
      </c>
      <c r="R141" t="n">
        <v>93910298.950615</v>
      </c>
      <c r="S141" t="n">
        <v>8717.777107</v>
      </c>
      <c r="T141" t="n">
        <v>-2662978.044058</v>
      </c>
      <c r="U141" t="n">
        <v>1861.38016</v>
      </c>
      <c r="V141" t="n">
        <v>-6.150361922865892e+19</v>
      </c>
      <c r="W141" t="n">
        <v>14380.879162</v>
      </c>
      <c r="X141" t="n">
        <v>31682.718847</v>
      </c>
      <c r="Y141" t="n">
        <v>208.554284</v>
      </c>
      <c r="Z141" t="n">
        <v>1010.152404</v>
      </c>
    </row>
    <row r="142" ht="21" customHeight="1">
      <c r="A142" t="inlineStr">
        <is>
          <t>Metapenaeus brevicornis</t>
        </is>
      </c>
      <c r="B142" t="n">
        <v>3.39</v>
      </c>
      <c r="C142" t="n">
        <v>245.470892</v>
      </c>
      <c r="D142" s="10" t="inlineStr">
        <is>
          <t>2 Crustaceans | 3 Crustaceans</t>
        </is>
      </c>
      <c r="E142" t="n">
        <v>276.665746</v>
      </c>
      <c r="F142" t="n">
        <v>87.346446</v>
      </c>
      <c r="G142" t="n">
        <v>62.825827</v>
      </c>
      <c r="H142" t="n">
        <v>62.583797</v>
      </c>
      <c r="I142" t="n">
        <v>49.059783</v>
      </c>
      <c r="J142" t="n">
        <v>49.059783</v>
      </c>
      <c r="K142" t="n">
        <v>45.848307</v>
      </c>
      <c r="L142" t="n">
        <v>88.61683499999999</v>
      </c>
      <c r="M142" t="n">
        <v>88.61683499999999</v>
      </c>
      <c r="N142" t="n">
        <v>88.61683499999999</v>
      </c>
      <c r="O142" t="n">
        <v>112.736869</v>
      </c>
      <c r="P142" t="n">
        <v>69.749027</v>
      </c>
      <c r="Q142" t="n">
        <v>88.61683499999999</v>
      </c>
      <c r="R142" t="n">
        <v>88.61683499999999</v>
      </c>
      <c r="S142" t="n">
        <v>112.736869</v>
      </c>
      <c r="T142" t="n">
        <v>18.000131</v>
      </c>
      <c r="U142" t="n">
        <v>69.749027</v>
      </c>
      <c r="V142" t="n">
        <v>77.336753</v>
      </c>
      <c r="W142" t="n">
        <v>138.030843</v>
      </c>
      <c r="X142" t="n">
        <v>98.46392899999999</v>
      </c>
      <c r="Y142" t="n">
        <v>24.163479</v>
      </c>
      <c r="Z142" t="n">
        <v>23.495104</v>
      </c>
    </row>
    <row r="143" ht="21" customHeight="1">
      <c r="A143" t="inlineStr">
        <is>
          <t>Psettodes erumei</t>
        </is>
      </c>
      <c r="B143" t="n">
        <v>4.39</v>
      </c>
      <c r="C143" t="n">
        <v>2454.708916</v>
      </c>
      <c r="D143" s="10" t="inlineStr">
        <is>
          <t>2 SM pisc | 3 SM pisc</t>
        </is>
      </c>
      <c r="E143" t="n">
        <v>276.665746</v>
      </c>
      <c r="F143" t="n">
        <v>735.917019</v>
      </c>
      <c r="G143" t="n">
        <v>452.492682</v>
      </c>
      <c r="H143" t="n">
        <v>682.111639</v>
      </c>
      <c r="I143" t="n">
        <v>235.466475</v>
      </c>
      <c r="J143" t="n">
        <v>314.21941</v>
      </c>
      <c r="K143" t="n">
        <v>298.50844</v>
      </c>
      <c r="L143" t="n">
        <v>954.7607</v>
      </c>
      <c r="M143" t="n">
        <v>954.7607</v>
      </c>
      <c r="N143" t="n">
        <v>954.7607</v>
      </c>
      <c r="O143" t="n">
        <v>843.56575</v>
      </c>
      <c r="P143" t="n">
        <v>294.060389</v>
      </c>
      <c r="Q143" t="n">
        <v>954.7607</v>
      </c>
      <c r="R143" t="n">
        <v>9873.492876</v>
      </c>
      <c r="S143" t="n">
        <v>843.56575</v>
      </c>
      <c r="T143" t="n">
        <v>671288.666809</v>
      </c>
      <c r="U143" t="n">
        <v>294.060389</v>
      </c>
      <c r="V143" t="n">
        <v>-16862660.627203</v>
      </c>
      <c r="W143" t="n">
        <v>1324.31138</v>
      </c>
      <c r="X143" t="n">
        <v>1272.066649</v>
      </c>
      <c r="Y143" t="n">
        <v>110.428635</v>
      </c>
      <c r="Z143" t="n">
        <v>131.682702</v>
      </c>
    </row>
    <row r="144" ht="21" customHeight="1">
      <c r="A144" t="inlineStr">
        <is>
          <t>Myliobatidae</t>
        </is>
      </c>
      <c r="B144" t="n">
        <v>3.36</v>
      </c>
      <c r="C144" t="n">
        <v>229.086765</v>
      </c>
      <c r="D144" s="10" t="inlineStr">
        <is>
          <t>Coastal elasmobranch</t>
        </is>
      </c>
      <c r="E144" t="n">
        <v>276.665746</v>
      </c>
      <c r="F144" t="n">
        <v>1214.104792</v>
      </c>
      <c r="G144" t="n">
        <v>722.888243</v>
      </c>
      <c r="H144" t="n">
        <v>10114.101338</v>
      </c>
      <c r="I144" t="n">
        <v>2494.37346</v>
      </c>
      <c r="J144" t="n">
        <v>2719.859382</v>
      </c>
      <c r="K144" t="n">
        <v>2567.547256</v>
      </c>
      <c r="L144" t="n">
        <v>16997.641054</v>
      </c>
      <c r="M144" t="n">
        <v>16997.641054</v>
      </c>
      <c r="N144" t="n">
        <v>16997.641054</v>
      </c>
      <c r="O144" t="n">
        <v>9182.663503</v>
      </c>
      <c r="P144" t="n">
        <v>1862.532494</v>
      </c>
      <c r="Q144" t="n">
        <v>16997.641054</v>
      </c>
      <c r="R144" t="n">
        <v>95398056.213283</v>
      </c>
      <c r="S144" t="n">
        <v>9182.663503</v>
      </c>
      <c r="T144" t="n">
        <v>-5392414.250181</v>
      </c>
      <c r="U144" t="n">
        <v>1862.532494</v>
      </c>
      <c r="V144" t="n">
        <v>-8.614472647464927e+19</v>
      </c>
      <c r="W144" t="n">
        <v>15254.347201</v>
      </c>
      <c r="X144" t="n">
        <v>23723.705808</v>
      </c>
      <c r="Y144" t="n">
        <v>160.121668</v>
      </c>
      <c r="Z144" t="n">
        <v>657.545035</v>
      </c>
    </row>
    <row r="145" ht="21" customHeight="1">
      <c r="A145" t="inlineStr">
        <is>
          <t>Acanthuridae</t>
        </is>
      </c>
      <c r="B145" t="n">
        <v>2.28</v>
      </c>
      <c r="C145" t="n">
        <v>19.054607</v>
      </c>
      <c r="D145" s="10" t="inlineStr">
        <is>
          <t>2 SM inv | 3 SM inv</t>
        </is>
      </c>
      <c r="E145" t="n">
        <v>276.665746</v>
      </c>
      <c r="F145" t="n">
        <v>195.237034</v>
      </c>
      <c r="G145" t="n">
        <v>132.430212</v>
      </c>
      <c r="H145" t="n">
        <v>264.43232</v>
      </c>
      <c r="I145" t="n">
        <v>118.903546</v>
      </c>
      <c r="J145" t="n">
        <v>136.120138</v>
      </c>
      <c r="K145" t="n">
        <v>127.344134</v>
      </c>
      <c r="L145" t="n">
        <v>358.382548</v>
      </c>
      <c r="M145" t="n">
        <v>358.382548</v>
      </c>
      <c r="N145" t="n">
        <v>358.382548</v>
      </c>
      <c r="O145" t="n">
        <v>341.399299</v>
      </c>
      <c r="P145" t="n">
        <v>140.115469</v>
      </c>
      <c r="Q145" t="n">
        <v>358.382548</v>
      </c>
      <c r="R145" t="n">
        <v>6457.458436</v>
      </c>
      <c r="S145" t="n">
        <v>341.399299</v>
      </c>
      <c r="T145" t="n">
        <v>179529.737596</v>
      </c>
      <c r="U145" t="n">
        <v>140.115469</v>
      </c>
      <c r="V145" t="n">
        <v>-303793.842089</v>
      </c>
      <c r="W145" t="n">
        <v>574.006718</v>
      </c>
      <c r="X145" t="n">
        <v>502.703783</v>
      </c>
      <c r="Y145" t="n">
        <v>42.955466</v>
      </c>
      <c r="Z145" t="n">
        <v>65.030467</v>
      </c>
    </row>
    <row r="146" ht="21" customHeight="1">
      <c r="A146" t="inlineStr">
        <is>
          <t>Caranx sexfasciatus</t>
        </is>
      </c>
      <c r="B146" t="n">
        <v>4.5</v>
      </c>
      <c r="C146" t="n">
        <v>3162.27766</v>
      </c>
      <c r="D146" s="10" t="inlineStr">
        <is>
          <t>2 Carangids | 3 Carangids</t>
        </is>
      </c>
      <c r="E146" t="n">
        <v>276.665746</v>
      </c>
      <c r="F146" t="n">
        <v>1047.559324</v>
      </c>
      <c r="G146" t="n">
        <v>629.821299</v>
      </c>
      <c r="H146" t="n">
        <v>2236.955926</v>
      </c>
      <c r="I146" t="n">
        <v>640.844159</v>
      </c>
      <c r="J146" t="n">
        <v>754.590569</v>
      </c>
      <c r="K146" t="n">
        <v>726.430521</v>
      </c>
      <c r="L146" t="n">
        <v>2160.134294</v>
      </c>
      <c r="M146" t="n">
        <v>2160.134294</v>
      </c>
      <c r="N146" t="n">
        <v>2160.134294</v>
      </c>
      <c r="O146" t="n">
        <v>1714.41623</v>
      </c>
      <c r="P146" t="n">
        <v>507.780375</v>
      </c>
      <c r="Q146" t="n">
        <v>2160.134294</v>
      </c>
      <c r="R146" t="n">
        <v>1795384.471462</v>
      </c>
      <c r="S146" t="n">
        <v>1714.41623</v>
      </c>
      <c r="T146" t="n">
        <v>15523021.978962</v>
      </c>
      <c r="U146" t="n">
        <v>507.780375</v>
      </c>
      <c r="V146" t="n">
        <v>361623540.311127</v>
      </c>
      <c r="W146" t="n">
        <v>2798.965662</v>
      </c>
      <c r="X146" t="n">
        <v>2890.070964</v>
      </c>
      <c r="Y146" t="n">
        <v>143.6356</v>
      </c>
      <c r="Z146" t="n">
        <v>293.771321</v>
      </c>
    </row>
    <row r="147" ht="21" customHeight="1">
      <c r="A147" t="inlineStr">
        <is>
          <t>Polynemus paradiseus</t>
        </is>
      </c>
      <c r="B147" t="n">
        <v>3.86</v>
      </c>
      <c r="C147" t="n">
        <v>724.43596</v>
      </c>
      <c r="D147" s="10" t="inlineStr">
        <is>
          <t>2 SM pisc | 3 SM pisc</t>
        </is>
      </c>
      <c r="E147" t="n">
        <v>276.665746</v>
      </c>
      <c r="F147" t="n">
        <v>735.917019</v>
      </c>
      <c r="G147" t="n">
        <v>452.492682</v>
      </c>
      <c r="H147" t="n">
        <v>682.111639</v>
      </c>
      <c r="I147" t="n">
        <v>235.466475</v>
      </c>
      <c r="J147" t="n">
        <v>314.21941</v>
      </c>
      <c r="K147" t="n">
        <v>298.50844</v>
      </c>
      <c r="L147" t="n">
        <v>954.7607</v>
      </c>
      <c r="M147" t="n">
        <v>954.7607</v>
      </c>
      <c r="N147" t="n">
        <v>954.7607</v>
      </c>
      <c r="O147" t="n">
        <v>843.56575</v>
      </c>
      <c r="P147" t="n">
        <v>294.060389</v>
      </c>
      <c r="Q147" t="n">
        <v>954.7607</v>
      </c>
      <c r="R147" t="n">
        <v>9873.492876</v>
      </c>
      <c r="S147" t="n">
        <v>843.56575</v>
      </c>
      <c r="T147" t="n">
        <v>671288.666809</v>
      </c>
      <c r="U147" t="n">
        <v>294.060389</v>
      </c>
      <c r="V147" t="n">
        <v>-16862660.627203</v>
      </c>
      <c r="W147" t="n">
        <v>1324.31138</v>
      </c>
      <c r="X147" t="n">
        <v>1272.066649</v>
      </c>
      <c r="Y147" t="n">
        <v>110.428635</v>
      </c>
      <c r="Z147" t="n">
        <v>131.682702</v>
      </c>
    </row>
    <row r="148" ht="21" customHeight="1">
      <c r="A148" t="inlineStr">
        <is>
          <t>Bramidae</t>
        </is>
      </c>
      <c r="D148" s="10" t="inlineStr">
        <is>
          <t>2 SM pisc | 3 SM pisc</t>
        </is>
      </c>
      <c r="E148" t="n">
        <v>276.665746</v>
      </c>
      <c r="F148" t="n">
        <v>735.917019</v>
      </c>
      <c r="G148" t="n">
        <v>452.492682</v>
      </c>
      <c r="H148" t="n">
        <v>682.111639</v>
      </c>
      <c r="I148" t="n">
        <v>235.466475</v>
      </c>
      <c r="J148" t="n">
        <v>314.21941</v>
      </c>
      <c r="K148" t="n">
        <v>298.50844</v>
      </c>
      <c r="L148" t="n">
        <v>954.7607</v>
      </c>
      <c r="M148" t="n">
        <v>954.7607</v>
      </c>
      <c r="N148" t="n">
        <v>954.7607</v>
      </c>
      <c r="O148" t="n">
        <v>843.56575</v>
      </c>
      <c r="P148" t="n">
        <v>294.060389</v>
      </c>
      <c r="Q148" t="n">
        <v>954.7607</v>
      </c>
      <c r="R148" t="n">
        <v>9873.492876</v>
      </c>
      <c r="S148" t="n">
        <v>843.56575</v>
      </c>
      <c r="T148" t="n">
        <v>671288.666809</v>
      </c>
      <c r="U148" t="n">
        <v>294.060389</v>
      </c>
      <c r="V148" t="n">
        <v>-16862660.627203</v>
      </c>
      <c r="W148" t="n">
        <v>1324.31138</v>
      </c>
      <c r="X148" t="n">
        <v>1272.066649</v>
      </c>
      <c r="Y148" t="n">
        <v>110.428635</v>
      </c>
      <c r="Z148" t="n">
        <v>131.682702</v>
      </c>
    </row>
    <row r="149" ht="21" customHeight="1">
      <c r="A149" t="inlineStr">
        <is>
          <t>Lethrinus nebulosus</t>
        </is>
      </c>
      <c r="B149" t="n">
        <v>3.76</v>
      </c>
      <c r="C149" t="n">
        <v>575.439937</v>
      </c>
      <c r="D149" s="10" t="inlineStr">
        <is>
          <t>2 L pisc comm | 3 L pisc comm</t>
        </is>
      </c>
      <c r="E149" t="n">
        <v>276.665746</v>
      </c>
      <c r="F149" t="n">
        <v>942.008432</v>
      </c>
      <c r="G149" t="n">
        <v>569.455705</v>
      </c>
      <c r="H149" t="n">
        <v>2133.059221</v>
      </c>
      <c r="I149" t="n">
        <v>640.2845610000001</v>
      </c>
      <c r="J149" t="n">
        <v>809.484635</v>
      </c>
      <c r="K149" t="n">
        <v>735.551234</v>
      </c>
      <c r="L149" t="n">
        <v>2161.417589</v>
      </c>
      <c r="M149" t="n">
        <v>2161.417589</v>
      </c>
      <c r="N149" t="n">
        <v>2161.417589</v>
      </c>
      <c r="O149" t="n">
        <v>1596.841335</v>
      </c>
      <c r="P149" t="n">
        <v>484.191698</v>
      </c>
      <c r="Q149" t="n">
        <v>2161.417589</v>
      </c>
      <c r="R149" t="n">
        <v>-1566538.678845</v>
      </c>
      <c r="S149" t="n">
        <v>1596.841335</v>
      </c>
      <c r="T149" t="n">
        <v>18720614.545483</v>
      </c>
      <c r="U149" t="n">
        <v>484.191698</v>
      </c>
      <c r="V149" t="n">
        <v>-729589570.314726</v>
      </c>
      <c r="W149" t="n">
        <v>2521.687387</v>
      </c>
      <c r="X149" t="n">
        <v>2846.929567</v>
      </c>
      <c r="Y149" t="n">
        <v>132.205276</v>
      </c>
      <c r="Z149" t="n">
        <v>267.422877</v>
      </c>
    </row>
    <row r="150" ht="21" customHeight="1">
      <c r="A150" t="inlineStr">
        <is>
          <t>Caranx ignobilis</t>
        </is>
      </c>
      <c r="B150" t="n">
        <v>4.22</v>
      </c>
      <c r="C150" t="n">
        <v>1659.586907</v>
      </c>
      <c r="D150" s="10" t="inlineStr">
        <is>
          <t>2 Carangids | 3 Carangids</t>
        </is>
      </c>
      <c r="E150" t="n">
        <v>276.665746</v>
      </c>
      <c r="F150" t="n">
        <v>1047.559324</v>
      </c>
      <c r="G150" t="n">
        <v>629.821299</v>
      </c>
      <c r="H150" t="n">
        <v>2236.955926</v>
      </c>
      <c r="I150" t="n">
        <v>640.844159</v>
      </c>
      <c r="J150" t="n">
        <v>754.590569</v>
      </c>
      <c r="K150" t="n">
        <v>726.430521</v>
      </c>
      <c r="L150" t="n">
        <v>2160.134294</v>
      </c>
      <c r="M150" t="n">
        <v>2160.134294</v>
      </c>
      <c r="N150" t="n">
        <v>2160.134294</v>
      </c>
      <c r="O150" t="n">
        <v>1714.41623</v>
      </c>
      <c r="P150" t="n">
        <v>507.780375</v>
      </c>
      <c r="Q150" t="n">
        <v>2160.134294</v>
      </c>
      <c r="R150" t="n">
        <v>1795384.471462</v>
      </c>
      <c r="S150" t="n">
        <v>1714.41623</v>
      </c>
      <c r="T150" t="n">
        <v>15523021.978962</v>
      </c>
      <c r="U150" t="n">
        <v>507.780375</v>
      </c>
      <c r="V150" t="n">
        <v>361623540.311127</v>
      </c>
      <c r="W150" t="n">
        <v>2798.965662</v>
      </c>
      <c r="X150" t="n">
        <v>2890.070964</v>
      </c>
      <c r="Y150" t="n">
        <v>143.6356</v>
      </c>
      <c r="Z150" t="n">
        <v>293.771321</v>
      </c>
    </row>
    <row r="151" ht="21" customHeight="1">
      <c r="A151" t="inlineStr">
        <is>
          <t>Caranx melampygus</t>
        </is>
      </c>
      <c r="B151" t="n">
        <v>4.49</v>
      </c>
      <c r="C151" t="n">
        <v>3090.295433</v>
      </c>
      <c r="D151" s="10" t="inlineStr">
        <is>
          <t>2 Carangids | 3 Carangids</t>
        </is>
      </c>
      <c r="E151" t="n">
        <v>276.665746</v>
      </c>
      <c r="F151" t="n">
        <v>1047.559324</v>
      </c>
      <c r="G151" t="n">
        <v>629.821299</v>
      </c>
      <c r="H151" t="n">
        <v>2236.955926</v>
      </c>
      <c r="I151" t="n">
        <v>640.844159</v>
      </c>
      <c r="J151" t="n">
        <v>754.590569</v>
      </c>
      <c r="K151" t="n">
        <v>726.430521</v>
      </c>
      <c r="L151" t="n">
        <v>2160.134294</v>
      </c>
      <c r="M151" t="n">
        <v>2160.134294</v>
      </c>
      <c r="N151" t="n">
        <v>2160.134294</v>
      </c>
      <c r="O151" t="n">
        <v>1714.41623</v>
      </c>
      <c r="P151" t="n">
        <v>507.780375</v>
      </c>
      <c r="Q151" t="n">
        <v>2160.134294</v>
      </c>
      <c r="R151" t="n">
        <v>1795384.471462</v>
      </c>
      <c r="S151" t="n">
        <v>1714.41623</v>
      </c>
      <c r="T151" t="n">
        <v>15523021.978962</v>
      </c>
      <c r="U151" t="n">
        <v>507.780375</v>
      </c>
      <c r="V151" t="n">
        <v>361623540.311127</v>
      </c>
      <c r="W151" t="n">
        <v>2798.965662</v>
      </c>
      <c r="X151" t="n">
        <v>2890.070964</v>
      </c>
      <c r="Y151" t="n">
        <v>143.6356</v>
      </c>
      <c r="Z151" t="n">
        <v>293.771321</v>
      </c>
    </row>
    <row r="152" ht="21" customHeight="1">
      <c r="A152" t="inlineStr">
        <is>
          <t>Penaeus semisulcatus</t>
        </is>
      </c>
      <c r="B152" t="n">
        <v>2</v>
      </c>
      <c r="C152" t="n">
        <v>10</v>
      </c>
      <c r="D152" s="10" t="inlineStr">
        <is>
          <t>2 Crustaceans | 3 Crustaceans</t>
        </is>
      </c>
      <c r="E152" t="n">
        <v>276.665746</v>
      </c>
      <c r="F152" t="n">
        <v>87.346446</v>
      </c>
      <c r="G152" t="n">
        <v>62.825827</v>
      </c>
      <c r="H152" t="n">
        <v>62.583797</v>
      </c>
      <c r="I152" t="n">
        <v>49.059783</v>
      </c>
      <c r="J152" t="n">
        <v>49.059783</v>
      </c>
      <c r="K152" t="n">
        <v>45.848307</v>
      </c>
      <c r="L152" t="n">
        <v>88.61683499999999</v>
      </c>
      <c r="M152" t="n">
        <v>88.61683499999999</v>
      </c>
      <c r="N152" t="n">
        <v>88.61683499999999</v>
      </c>
      <c r="O152" t="n">
        <v>112.736869</v>
      </c>
      <c r="P152" t="n">
        <v>69.749027</v>
      </c>
      <c r="Q152" t="n">
        <v>88.61683499999999</v>
      </c>
      <c r="R152" t="n">
        <v>88.61683499999999</v>
      </c>
      <c r="S152" t="n">
        <v>112.736869</v>
      </c>
      <c r="T152" t="n">
        <v>18.000131</v>
      </c>
      <c r="U152" t="n">
        <v>69.749027</v>
      </c>
      <c r="V152" t="n">
        <v>77.336753</v>
      </c>
      <c r="W152" t="n">
        <v>138.030843</v>
      </c>
      <c r="X152" t="n">
        <v>98.46392899999999</v>
      </c>
      <c r="Y152" t="n">
        <v>24.163479</v>
      </c>
      <c r="Z152" t="n">
        <v>23.495104</v>
      </c>
    </row>
    <row r="153" ht="21" customHeight="1">
      <c r="A153" t="inlineStr">
        <is>
          <t>Isurus</t>
        </is>
      </c>
      <c r="B153" t="n">
        <v>4.5</v>
      </c>
      <c r="C153" t="n">
        <v>3162.27766</v>
      </c>
      <c r="D153" s="10" t="inlineStr">
        <is>
          <t>Oceanic sharks</t>
        </is>
      </c>
      <c r="E153" t="n">
        <v>276.665746</v>
      </c>
      <c r="F153" t="n">
        <v>1757.235698</v>
      </c>
      <c r="G153" t="n">
        <v>1018.406889</v>
      </c>
      <c r="H153" t="n">
        <v>15262.31097</v>
      </c>
      <c r="I153" t="n">
        <v>5136.373322</v>
      </c>
      <c r="J153" t="n">
        <v>6101.609798</v>
      </c>
      <c r="K153" t="n">
        <v>3551.136902</v>
      </c>
      <c r="L153" t="n">
        <v>23068.147688</v>
      </c>
      <c r="M153" t="n">
        <v>23068.147688</v>
      </c>
      <c r="N153" t="n">
        <v>23068.147688</v>
      </c>
      <c r="O153" t="n">
        <v>8717.777107</v>
      </c>
      <c r="P153" t="n">
        <v>1861.38016</v>
      </c>
      <c r="Q153" t="n">
        <v>23068.147688</v>
      </c>
      <c r="R153" t="n">
        <v>93910298.950615</v>
      </c>
      <c r="S153" t="n">
        <v>8717.777107</v>
      </c>
      <c r="T153" t="n">
        <v>-2662978.044058</v>
      </c>
      <c r="U153" t="n">
        <v>1861.38016</v>
      </c>
      <c r="V153" t="n">
        <v>-6.150361922865892e+19</v>
      </c>
      <c r="W153" t="n">
        <v>14380.879162</v>
      </c>
      <c r="X153" t="n">
        <v>31682.718847</v>
      </c>
      <c r="Y153" t="n">
        <v>208.554284</v>
      </c>
      <c r="Z153" t="n">
        <v>1010.152404</v>
      </c>
    </row>
    <row r="154" ht="21" customHeight="1">
      <c r="A154" t="inlineStr">
        <is>
          <t>Nemipterus japonicus</t>
        </is>
      </c>
      <c r="B154" t="n">
        <v>3.77</v>
      </c>
      <c r="C154" t="n">
        <v>588.843655</v>
      </c>
      <c r="D154" s="10" t="inlineStr">
        <is>
          <t>2 SM pisc | 3 SM pisc</t>
        </is>
      </c>
      <c r="E154" t="n">
        <v>276.665746</v>
      </c>
      <c r="F154" t="n">
        <v>735.917019</v>
      </c>
      <c r="G154" t="n">
        <v>452.492682</v>
      </c>
      <c r="H154" t="n">
        <v>682.111639</v>
      </c>
      <c r="I154" t="n">
        <v>235.466475</v>
      </c>
      <c r="J154" t="n">
        <v>314.21941</v>
      </c>
      <c r="K154" t="n">
        <v>298.50844</v>
      </c>
      <c r="L154" t="n">
        <v>954.7607</v>
      </c>
      <c r="M154" t="n">
        <v>954.7607</v>
      </c>
      <c r="N154" t="n">
        <v>954.7607</v>
      </c>
      <c r="O154" t="n">
        <v>843.56575</v>
      </c>
      <c r="P154" t="n">
        <v>294.060389</v>
      </c>
      <c r="Q154" t="n">
        <v>954.7607</v>
      </c>
      <c r="R154" t="n">
        <v>9873.492876</v>
      </c>
      <c r="S154" t="n">
        <v>843.56575</v>
      </c>
      <c r="T154" t="n">
        <v>671288.666809</v>
      </c>
      <c r="U154" t="n">
        <v>294.060389</v>
      </c>
      <c r="V154" t="n">
        <v>-16862660.627203</v>
      </c>
      <c r="W154" t="n">
        <v>1324.31138</v>
      </c>
      <c r="X154" t="n">
        <v>1272.066649</v>
      </c>
      <c r="Y154" t="n">
        <v>110.428635</v>
      </c>
      <c r="Z154" t="n">
        <v>131.682702</v>
      </c>
    </row>
    <row r="155" ht="21" customHeight="1">
      <c r="A155" t="inlineStr">
        <is>
          <t>Penaeus latisulcatus</t>
        </is>
      </c>
      <c r="B155" t="n">
        <v>2.7</v>
      </c>
      <c r="C155" t="n">
        <v>50.118723</v>
      </c>
      <c r="D155" s="10" t="inlineStr">
        <is>
          <t>2 Crustaceans | 3 Crustaceans</t>
        </is>
      </c>
      <c r="E155" t="n">
        <v>276.665746</v>
      </c>
      <c r="F155" t="n">
        <v>87.346446</v>
      </c>
      <c r="G155" t="n">
        <v>62.825827</v>
      </c>
      <c r="H155" t="n">
        <v>62.583797</v>
      </c>
      <c r="I155" t="n">
        <v>49.059783</v>
      </c>
      <c r="J155" t="n">
        <v>49.059783</v>
      </c>
      <c r="K155" t="n">
        <v>45.848307</v>
      </c>
      <c r="L155" t="n">
        <v>88.61683499999999</v>
      </c>
      <c r="M155" t="n">
        <v>88.61683499999999</v>
      </c>
      <c r="N155" t="n">
        <v>88.61683499999999</v>
      </c>
      <c r="O155" t="n">
        <v>112.736869</v>
      </c>
      <c r="P155" t="n">
        <v>69.749027</v>
      </c>
      <c r="Q155" t="n">
        <v>88.61683499999999</v>
      </c>
      <c r="R155" t="n">
        <v>88.61683499999999</v>
      </c>
      <c r="S155" t="n">
        <v>112.736869</v>
      </c>
      <c r="T155" t="n">
        <v>18.000131</v>
      </c>
      <c r="U155" t="n">
        <v>69.749027</v>
      </c>
      <c r="V155" t="n">
        <v>77.336753</v>
      </c>
      <c r="W155" t="n">
        <v>138.030843</v>
      </c>
      <c r="X155" t="n">
        <v>98.46392899999999</v>
      </c>
      <c r="Y155" t="n">
        <v>24.163479</v>
      </c>
      <c r="Z155" t="n">
        <v>23.495104</v>
      </c>
    </row>
    <row r="156" ht="21" customHeight="1">
      <c r="A156" t="inlineStr">
        <is>
          <t>Caesio cuning</t>
        </is>
      </c>
      <c r="B156" t="n">
        <v>3.4</v>
      </c>
      <c r="C156" t="n">
        <v>251.188643</v>
      </c>
      <c r="D156" s="10" t="inlineStr">
        <is>
          <t>2 SM inv | 3 SM inv</t>
        </is>
      </c>
      <c r="E156" t="n">
        <v>276.665746</v>
      </c>
      <c r="F156" t="n">
        <v>195.237034</v>
      </c>
      <c r="G156" t="n">
        <v>132.430212</v>
      </c>
      <c r="H156" t="n">
        <v>264.43232</v>
      </c>
      <c r="I156" t="n">
        <v>118.903546</v>
      </c>
      <c r="J156" t="n">
        <v>136.120138</v>
      </c>
      <c r="K156" t="n">
        <v>127.344134</v>
      </c>
      <c r="L156" t="n">
        <v>358.382548</v>
      </c>
      <c r="M156" t="n">
        <v>358.382548</v>
      </c>
      <c r="N156" t="n">
        <v>358.382548</v>
      </c>
      <c r="O156" t="n">
        <v>341.399299</v>
      </c>
      <c r="P156" t="n">
        <v>140.115469</v>
      </c>
      <c r="Q156" t="n">
        <v>358.382548</v>
      </c>
      <c r="R156" t="n">
        <v>6457.458436</v>
      </c>
      <c r="S156" t="n">
        <v>341.399299</v>
      </c>
      <c r="T156" t="n">
        <v>179529.737596</v>
      </c>
      <c r="U156" t="n">
        <v>140.115469</v>
      </c>
      <c r="V156" t="n">
        <v>-303793.842089</v>
      </c>
      <c r="W156" t="n">
        <v>574.006718</v>
      </c>
      <c r="X156" t="n">
        <v>502.703783</v>
      </c>
      <c r="Y156" t="n">
        <v>42.955466</v>
      </c>
      <c r="Z156" t="n">
        <v>65.030467</v>
      </c>
    </row>
    <row r="157" ht="21" customHeight="1">
      <c r="A157" t="inlineStr">
        <is>
          <t>Stromateidae</t>
        </is>
      </c>
      <c r="B157" t="n">
        <v>3.62</v>
      </c>
      <c r="C157" t="n">
        <v>416.869383</v>
      </c>
      <c r="D157" s="10" t="inlineStr">
        <is>
          <t>2 SM inv | 3 SM inv</t>
        </is>
      </c>
      <c r="E157" t="n">
        <v>276.665746</v>
      </c>
      <c r="F157" t="n">
        <v>195.237034</v>
      </c>
      <c r="G157" t="n">
        <v>132.430212</v>
      </c>
      <c r="H157" t="n">
        <v>264.43232</v>
      </c>
      <c r="I157" t="n">
        <v>118.903546</v>
      </c>
      <c r="J157" t="n">
        <v>136.120138</v>
      </c>
      <c r="K157" t="n">
        <v>127.344134</v>
      </c>
      <c r="L157" t="n">
        <v>358.382548</v>
      </c>
      <c r="M157" t="n">
        <v>358.382548</v>
      </c>
      <c r="N157" t="n">
        <v>358.382548</v>
      </c>
      <c r="O157" t="n">
        <v>341.399299</v>
      </c>
      <c r="P157" t="n">
        <v>140.115469</v>
      </c>
      <c r="Q157" t="n">
        <v>358.382548</v>
      </c>
      <c r="R157" t="n">
        <v>6457.458436</v>
      </c>
      <c r="S157" t="n">
        <v>341.399299</v>
      </c>
      <c r="T157" t="n">
        <v>179529.737596</v>
      </c>
      <c r="U157" t="n">
        <v>140.115469</v>
      </c>
      <c r="V157" t="n">
        <v>-303793.842089</v>
      </c>
      <c r="W157" t="n">
        <v>574.006718</v>
      </c>
      <c r="X157" t="n">
        <v>502.703783</v>
      </c>
      <c r="Y157" t="n">
        <v>42.955466</v>
      </c>
      <c r="Z157" t="n">
        <v>65.030467</v>
      </c>
    </row>
    <row r="158" ht="36" customHeight="1">
      <c r="A158" t="inlineStr">
        <is>
          <t>Gobiidae</t>
        </is>
      </c>
      <c r="B158" t="n">
        <v>3.11</v>
      </c>
      <c r="C158" t="n">
        <v>128.824955</v>
      </c>
      <c r="D158" s="10" t="inlineStr">
        <is>
          <t>2 SM inv | 3 SM inv | 2 SM pisc | 3 SM pisc</t>
        </is>
      </c>
      <c r="E158" t="n">
        <v>276.665746</v>
      </c>
      <c r="F158" t="n">
        <v>427.369702</v>
      </c>
      <c r="G158" t="n">
        <v>269.84413</v>
      </c>
      <c r="H158" t="n">
        <v>443.756536</v>
      </c>
      <c r="I158" t="n">
        <v>168.948054</v>
      </c>
      <c r="J158" t="n">
        <v>212.584332</v>
      </c>
      <c r="K158" t="n">
        <v>200.830906</v>
      </c>
      <c r="L158" t="n">
        <v>614.42837</v>
      </c>
      <c r="M158" t="n">
        <v>614.42837</v>
      </c>
      <c r="N158" t="n">
        <v>614.42837</v>
      </c>
      <c r="O158" t="n">
        <v>556.996771</v>
      </c>
      <c r="P158" t="n">
        <v>206.209362</v>
      </c>
      <c r="Q158" t="n">
        <v>614.42837</v>
      </c>
      <c r="R158" t="n">
        <v>7924.080486</v>
      </c>
      <c r="S158" t="n">
        <v>556.996771</v>
      </c>
      <c r="T158" t="n">
        <v>390658.899708</v>
      </c>
      <c r="U158" t="n">
        <v>206.209362</v>
      </c>
      <c r="V158" t="n">
        <v>-7413089.601009</v>
      </c>
      <c r="W158" t="n">
        <v>896.1385289999999</v>
      </c>
      <c r="X158" t="n">
        <v>833.0179419999999</v>
      </c>
      <c r="Y158" t="n">
        <v>71.924037</v>
      </c>
      <c r="Z158" t="n">
        <v>93.64658300000001</v>
      </c>
    </row>
    <row r="159" ht="21" customHeight="1">
      <c r="A159" t="inlineStr">
        <is>
          <t>Deveximentum insidiator</t>
        </is>
      </c>
      <c r="B159" t="n">
        <v>2.86</v>
      </c>
      <c r="C159" t="n">
        <v>72.443596</v>
      </c>
      <c r="D159" s="10" t="inlineStr">
        <is>
          <t>2 SM inv | 3 SM inv</t>
        </is>
      </c>
      <c r="E159" t="n">
        <v>276.665746</v>
      </c>
      <c r="F159" t="n">
        <v>195.237034</v>
      </c>
      <c r="G159" t="n">
        <v>132.430212</v>
      </c>
      <c r="H159" t="n">
        <v>264.43232</v>
      </c>
      <c r="I159" t="n">
        <v>118.903546</v>
      </c>
      <c r="J159" t="n">
        <v>136.120138</v>
      </c>
      <c r="K159" t="n">
        <v>127.344134</v>
      </c>
      <c r="L159" t="n">
        <v>358.382548</v>
      </c>
      <c r="M159" t="n">
        <v>358.382548</v>
      </c>
      <c r="N159" t="n">
        <v>358.382548</v>
      </c>
      <c r="O159" t="n">
        <v>341.399299</v>
      </c>
      <c r="P159" t="n">
        <v>140.115469</v>
      </c>
      <c r="Q159" t="n">
        <v>358.382548</v>
      </c>
      <c r="R159" t="n">
        <v>6457.458436</v>
      </c>
      <c r="S159" t="n">
        <v>341.399299</v>
      </c>
      <c r="T159" t="n">
        <v>179529.737596</v>
      </c>
      <c r="U159" t="n">
        <v>140.115469</v>
      </c>
      <c r="V159" t="n">
        <v>-303793.842089</v>
      </c>
      <c r="W159" t="n">
        <v>574.006718</v>
      </c>
      <c r="X159" t="n">
        <v>502.703783</v>
      </c>
      <c r="Y159" t="n">
        <v>42.955466</v>
      </c>
      <c r="Z159" t="n">
        <v>65.030467</v>
      </c>
    </row>
    <row r="160" ht="21" customHeight="1">
      <c r="A160" t="inlineStr">
        <is>
          <t>Plotosidae</t>
        </is>
      </c>
      <c r="B160" t="n">
        <v>3.49</v>
      </c>
      <c r="C160" t="n">
        <v>309.029543</v>
      </c>
      <c r="D160" s="10" t="inlineStr">
        <is>
          <t>2 L pisc | 3 L pisc</t>
        </is>
      </c>
      <c r="E160" t="n">
        <v>276.665746</v>
      </c>
      <c r="F160" t="n">
        <v>1671.644897</v>
      </c>
      <c r="G160" t="n">
        <v>968.768055</v>
      </c>
      <c r="H160" t="n">
        <v>4318.024466</v>
      </c>
      <c r="I160" t="n">
        <v>1003.379133</v>
      </c>
      <c r="J160" t="n">
        <v>1189.735453</v>
      </c>
      <c r="K160" t="n">
        <v>1070.761907</v>
      </c>
      <c r="L160" t="n">
        <v>3541.417618</v>
      </c>
      <c r="M160" t="n">
        <v>3541.417618</v>
      </c>
      <c r="N160" t="n">
        <v>3541.417618</v>
      </c>
      <c r="O160" t="n">
        <v>2538.082167</v>
      </c>
      <c r="P160" t="n">
        <v>681.673862</v>
      </c>
      <c r="Q160" t="n">
        <v>3541.417618</v>
      </c>
      <c r="R160" t="n">
        <v>62682.288429</v>
      </c>
      <c r="S160" t="n">
        <v>2538.082167</v>
      </c>
      <c r="T160" t="n">
        <v>4712584.866078</v>
      </c>
      <c r="U160" t="n">
        <v>681.673862</v>
      </c>
      <c r="V160" t="n">
        <v>8783084984.919691</v>
      </c>
      <c r="W160" t="n">
        <v>4084.080603</v>
      </c>
      <c r="X160" t="n">
        <v>4708.141648</v>
      </c>
      <c r="Y160" t="n">
        <v>198.988407</v>
      </c>
      <c r="Z160" t="n">
        <v>443.151943</v>
      </c>
    </row>
    <row r="161" ht="21" customHeight="1">
      <c r="A161" t="inlineStr">
        <is>
          <t>Xiphias gladius</t>
        </is>
      </c>
      <c r="B161" t="n">
        <v>4.53</v>
      </c>
      <c r="C161" t="n">
        <v>3388.441561</v>
      </c>
      <c r="D161" s="10" t="inlineStr">
        <is>
          <t>Tuna-like</t>
        </is>
      </c>
      <c r="E161" t="n">
        <v>276.665746</v>
      </c>
      <c r="F161" t="n">
        <v>3650.332839</v>
      </c>
      <c r="G161" t="n">
        <v>2005.591894</v>
      </c>
      <c r="H161" t="n">
        <v>10195.617489</v>
      </c>
      <c r="I161" t="n">
        <v>2102.414308</v>
      </c>
      <c r="J161" t="n">
        <v>2472.563272</v>
      </c>
      <c r="K161" t="n">
        <v>2210.471565</v>
      </c>
      <c r="L161" t="n">
        <v>8472.950376000001</v>
      </c>
      <c r="M161" t="n">
        <v>8472.950376000001</v>
      </c>
      <c r="N161" t="n">
        <v>8472.950376000001</v>
      </c>
      <c r="O161" t="n">
        <v>5373.396262</v>
      </c>
      <c r="P161" t="n">
        <v>1271.175154</v>
      </c>
      <c r="Q161" t="n">
        <v>8472.950376000001</v>
      </c>
      <c r="R161" t="n">
        <v>11625502.426924</v>
      </c>
      <c r="S161" t="n">
        <v>5373.396262</v>
      </c>
      <c r="T161" t="n">
        <v>-571718.054743</v>
      </c>
      <c r="U161" t="n">
        <v>1271.175154</v>
      </c>
      <c r="V161" t="n">
        <v>-2164067390.718938</v>
      </c>
      <c r="W161" t="n">
        <v>8901.765899</v>
      </c>
      <c r="X161" t="n">
        <v>11377.133687</v>
      </c>
      <c r="Y161" t="n">
        <v>351.683283</v>
      </c>
      <c r="Z161" t="n">
        <v>848.5746820000001</v>
      </c>
    </row>
    <row r="162" ht="21" customHeight="1">
      <c r="A162" t="inlineStr">
        <is>
          <t>Malacostraca</t>
        </is>
      </c>
      <c r="B162" t="n">
        <v>3</v>
      </c>
      <c r="C162" t="n">
        <v>100</v>
      </c>
      <c r="D162" s="10" t="inlineStr">
        <is>
          <t>2 Crustaceans | 3 Crustaceans</t>
        </is>
      </c>
      <c r="E162" t="n">
        <v>276.665746</v>
      </c>
      <c r="F162" t="n">
        <v>87.346446</v>
      </c>
      <c r="G162" t="n">
        <v>62.825827</v>
      </c>
      <c r="H162" t="n">
        <v>62.583797</v>
      </c>
      <c r="I162" t="n">
        <v>49.059783</v>
      </c>
      <c r="J162" t="n">
        <v>49.059783</v>
      </c>
      <c r="K162" t="n">
        <v>45.848307</v>
      </c>
      <c r="L162" t="n">
        <v>88.61683499999999</v>
      </c>
      <c r="M162" t="n">
        <v>88.61683499999999</v>
      </c>
      <c r="N162" t="n">
        <v>88.61683499999999</v>
      </c>
      <c r="O162" t="n">
        <v>112.736869</v>
      </c>
      <c r="P162" t="n">
        <v>69.749027</v>
      </c>
      <c r="Q162" t="n">
        <v>88.61683499999999</v>
      </c>
      <c r="R162" t="n">
        <v>88.61683499999999</v>
      </c>
      <c r="S162" t="n">
        <v>112.736869</v>
      </c>
      <c r="T162" t="n">
        <v>18.000131</v>
      </c>
      <c r="U162" t="n">
        <v>69.749027</v>
      </c>
      <c r="V162" t="n">
        <v>77.336753</v>
      </c>
      <c r="W162" t="n">
        <v>138.030843</v>
      </c>
      <c r="X162" t="n">
        <v>98.46392899999999</v>
      </c>
      <c r="Y162" t="n">
        <v>24.163479</v>
      </c>
      <c r="Z162" t="n">
        <v>23.495104</v>
      </c>
    </row>
    <row r="163" ht="21" customHeight="1">
      <c r="A163" t="inlineStr">
        <is>
          <t>Sparidae</t>
        </is>
      </c>
      <c r="B163" t="n">
        <v>3.31</v>
      </c>
      <c r="C163" t="n">
        <v>204.173794</v>
      </c>
      <c r="D163" s="10" t="inlineStr">
        <is>
          <t>2 SM inv | 3 SM inv</t>
        </is>
      </c>
      <c r="E163" t="n">
        <v>276.665746</v>
      </c>
      <c r="F163" t="n">
        <v>195.237034</v>
      </c>
      <c r="G163" t="n">
        <v>132.430212</v>
      </c>
      <c r="H163" t="n">
        <v>264.43232</v>
      </c>
      <c r="I163" t="n">
        <v>118.903546</v>
      </c>
      <c r="J163" t="n">
        <v>136.120138</v>
      </c>
      <c r="K163" t="n">
        <v>127.344134</v>
      </c>
      <c r="L163" t="n">
        <v>358.382548</v>
      </c>
      <c r="M163" t="n">
        <v>358.382548</v>
      </c>
      <c r="N163" t="n">
        <v>358.382548</v>
      </c>
      <c r="O163" t="n">
        <v>341.399299</v>
      </c>
      <c r="P163" t="n">
        <v>140.115469</v>
      </c>
      <c r="Q163" t="n">
        <v>358.382548</v>
      </c>
      <c r="R163" t="n">
        <v>6457.458436</v>
      </c>
      <c r="S163" t="n">
        <v>341.399299</v>
      </c>
      <c r="T163" t="n">
        <v>179529.737596</v>
      </c>
      <c r="U163" t="n">
        <v>140.115469</v>
      </c>
      <c r="V163" t="n">
        <v>-303793.842089</v>
      </c>
      <c r="W163" t="n">
        <v>574.006718</v>
      </c>
      <c r="X163" t="n">
        <v>502.703783</v>
      </c>
      <c r="Y163" t="n">
        <v>42.955466</v>
      </c>
      <c r="Z163" t="n">
        <v>65.030467</v>
      </c>
    </row>
    <row r="164" ht="21" customHeight="1">
      <c r="A164" t="inlineStr">
        <is>
          <t>Bothidae</t>
        </is>
      </c>
      <c r="B164" t="n">
        <v>3.77</v>
      </c>
      <c r="C164" t="n">
        <v>588.843655</v>
      </c>
      <c r="D164" s="10" t="inlineStr">
        <is>
          <t>2 SM inv | 3 SM inv</t>
        </is>
      </c>
      <c r="E164" t="n">
        <v>276.665746</v>
      </c>
      <c r="F164" t="n">
        <v>195.237034</v>
      </c>
      <c r="G164" t="n">
        <v>132.430212</v>
      </c>
      <c r="H164" t="n">
        <v>264.43232</v>
      </c>
      <c r="I164" t="n">
        <v>118.903546</v>
      </c>
      <c r="J164" t="n">
        <v>136.120138</v>
      </c>
      <c r="K164" t="n">
        <v>127.344134</v>
      </c>
      <c r="L164" t="n">
        <v>358.382548</v>
      </c>
      <c r="M164" t="n">
        <v>358.382548</v>
      </c>
      <c r="N164" t="n">
        <v>358.382548</v>
      </c>
      <c r="O164" t="n">
        <v>341.399299</v>
      </c>
      <c r="P164" t="n">
        <v>140.115469</v>
      </c>
      <c r="Q164" t="n">
        <v>358.382548</v>
      </c>
      <c r="R164" t="n">
        <v>6457.458436</v>
      </c>
      <c r="S164" t="n">
        <v>341.399299</v>
      </c>
      <c r="T164" t="n">
        <v>179529.737596</v>
      </c>
      <c r="U164" t="n">
        <v>140.115469</v>
      </c>
      <c r="V164" t="n">
        <v>-303793.842089</v>
      </c>
      <c r="W164" t="n">
        <v>574.006718</v>
      </c>
      <c r="X164" t="n">
        <v>502.703783</v>
      </c>
      <c r="Y164" t="n">
        <v>42.955466</v>
      </c>
      <c r="Z164" t="n">
        <v>65.030467</v>
      </c>
    </row>
    <row r="165" ht="21" customHeight="1">
      <c r="A165" t="inlineStr">
        <is>
          <t>Ganjampenaeopsis uncta</t>
        </is>
      </c>
      <c r="B165" t="n">
        <v>3.01</v>
      </c>
      <c r="C165" t="n">
        <v>102.329299</v>
      </c>
      <c r="D165" s="10" t="inlineStr">
        <is>
          <t>2 Crustaceans | 3 Crustaceans</t>
        </is>
      </c>
      <c r="E165" t="n">
        <v>276.665746</v>
      </c>
      <c r="F165" t="n">
        <v>87.346446</v>
      </c>
      <c r="G165" t="n">
        <v>62.825827</v>
      </c>
      <c r="H165" t="n">
        <v>62.583797</v>
      </c>
      <c r="I165" t="n">
        <v>49.059783</v>
      </c>
      <c r="J165" t="n">
        <v>49.059783</v>
      </c>
      <c r="K165" t="n">
        <v>45.848307</v>
      </c>
      <c r="L165" t="n">
        <v>88.61683499999999</v>
      </c>
      <c r="M165" t="n">
        <v>88.61683499999999</v>
      </c>
      <c r="N165" t="n">
        <v>88.61683499999999</v>
      </c>
      <c r="O165" t="n">
        <v>112.736869</v>
      </c>
      <c r="P165" t="n">
        <v>69.749027</v>
      </c>
      <c r="Q165" t="n">
        <v>88.61683499999999</v>
      </c>
      <c r="R165" t="n">
        <v>88.61683499999999</v>
      </c>
      <c r="S165" t="n">
        <v>112.736869</v>
      </c>
      <c r="T165" t="n">
        <v>18.000131</v>
      </c>
      <c r="U165" t="n">
        <v>69.749027</v>
      </c>
      <c r="V165" t="n">
        <v>77.336753</v>
      </c>
      <c r="W165" t="n">
        <v>138.030843</v>
      </c>
      <c r="X165" t="n">
        <v>98.46392899999999</v>
      </c>
      <c r="Y165" t="n">
        <v>24.163479</v>
      </c>
      <c r="Z165" t="n">
        <v>23.495104</v>
      </c>
    </row>
    <row r="166" ht="21" customHeight="1">
      <c r="A166" t="inlineStr">
        <is>
          <t>Mierspenaeopsis hardwickii</t>
        </is>
      </c>
      <c r="B166" t="n">
        <v>2.71</v>
      </c>
      <c r="C166" t="n">
        <v>51.286138</v>
      </c>
      <c r="D166" s="10" t="inlineStr">
        <is>
          <t>2 Crustaceans | 3 Crustaceans</t>
        </is>
      </c>
      <c r="E166" t="n">
        <v>276.665746</v>
      </c>
      <c r="F166" t="n">
        <v>87.346446</v>
      </c>
      <c r="G166" t="n">
        <v>62.825827</v>
      </c>
      <c r="H166" t="n">
        <v>62.583797</v>
      </c>
      <c r="I166" t="n">
        <v>49.059783</v>
      </c>
      <c r="J166" t="n">
        <v>49.059783</v>
      </c>
      <c r="K166" t="n">
        <v>45.848307</v>
      </c>
      <c r="L166" t="n">
        <v>88.61683499999999</v>
      </c>
      <c r="M166" t="n">
        <v>88.61683499999999</v>
      </c>
      <c r="N166" t="n">
        <v>88.61683499999999</v>
      </c>
      <c r="O166" t="n">
        <v>112.736869</v>
      </c>
      <c r="P166" t="n">
        <v>69.749027</v>
      </c>
      <c r="Q166" t="n">
        <v>88.61683499999999</v>
      </c>
      <c r="R166" t="n">
        <v>88.61683499999999</v>
      </c>
      <c r="S166" t="n">
        <v>112.736869</v>
      </c>
      <c r="T166" t="n">
        <v>18.000131</v>
      </c>
      <c r="U166" t="n">
        <v>69.749027</v>
      </c>
      <c r="V166" t="n">
        <v>77.336753</v>
      </c>
      <c r="W166" t="n">
        <v>138.030843</v>
      </c>
      <c r="X166" t="n">
        <v>98.46392899999999</v>
      </c>
      <c r="Y166" t="n">
        <v>24.163479</v>
      </c>
      <c r="Z166" t="n">
        <v>23.495104</v>
      </c>
    </row>
    <row r="167" ht="21" customHeight="1">
      <c r="A167" t="inlineStr">
        <is>
          <t>Lutjanus johnii</t>
        </is>
      </c>
      <c r="B167" t="n">
        <v>4.2</v>
      </c>
      <c r="C167" t="n">
        <v>1584.893192</v>
      </c>
      <c r="D167" s="10" t="inlineStr">
        <is>
          <t>2 L pisc comm | 3 L pisc comm</t>
        </is>
      </c>
      <c r="E167" t="n">
        <v>276.665746</v>
      </c>
      <c r="F167" t="n">
        <v>942.008432</v>
      </c>
      <c r="G167" t="n">
        <v>569.455705</v>
      </c>
      <c r="H167" t="n">
        <v>2133.059221</v>
      </c>
      <c r="I167" t="n">
        <v>640.2845610000001</v>
      </c>
      <c r="J167" t="n">
        <v>809.484635</v>
      </c>
      <c r="K167" t="n">
        <v>735.551234</v>
      </c>
      <c r="L167" t="n">
        <v>2161.417589</v>
      </c>
      <c r="M167" t="n">
        <v>2161.417589</v>
      </c>
      <c r="N167" t="n">
        <v>2161.417589</v>
      </c>
      <c r="O167" t="n">
        <v>1596.841335</v>
      </c>
      <c r="P167" t="n">
        <v>484.191698</v>
      </c>
      <c r="Q167" t="n">
        <v>2161.417589</v>
      </c>
      <c r="R167" t="n">
        <v>-1566538.678845</v>
      </c>
      <c r="S167" t="n">
        <v>1596.841335</v>
      </c>
      <c r="T167" t="n">
        <v>18720614.545483</v>
      </c>
      <c r="U167" t="n">
        <v>484.191698</v>
      </c>
      <c r="V167" t="n">
        <v>-729589570.314726</v>
      </c>
      <c r="W167" t="n">
        <v>2521.687387</v>
      </c>
      <c r="X167" t="n">
        <v>2846.929567</v>
      </c>
      <c r="Y167" t="n">
        <v>132.205276</v>
      </c>
      <c r="Z167" t="n">
        <v>267.422877</v>
      </c>
    </row>
    <row r="168" ht="21" customHeight="1">
      <c r="A168" t="inlineStr">
        <is>
          <t>Istiophoridae</t>
        </is>
      </c>
      <c r="B168" t="n">
        <v>4.48</v>
      </c>
      <c r="C168" t="n">
        <v>3019.95172</v>
      </c>
      <c r="D168" s="10" t="inlineStr">
        <is>
          <t>Tuna-like</t>
        </is>
      </c>
      <c r="E168" t="n">
        <v>276.665746</v>
      </c>
      <c r="F168" t="n">
        <v>3650.332839</v>
      </c>
      <c r="G168" t="n">
        <v>2005.591894</v>
      </c>
      <c r="H168" t="n">
        <v>10195.617489</v>
      </c>
      <c r="I168" t="n">
        <v>2102.414308</v>
      </c>
      <c r="J168" t="n">
        <v>2472.563272</v>
      </c>
      <c r="K168" t="n">
        <v>2210.471565</v>
      </c>
      <c r="L168" t="n">
        <v>8472.950376000001</v>
      </c>
      <c r="M168" t="n">
        <v>8472.950376000001</v>
      </c>
      <c r="N168" t="n">
        <v>8472.950376000001</v>
      </c>
      <c r="O168" t="n">
        <v>5373.396262</v>
      </c>
      <c r="P168" t="n">
        <v>1271.175154</v>
      </c>
      <c r="Q168" t="n">
        <v>8472.950376000001</v>
      </c>
      <c r="R168" t="n">
        <v>11625502.426924</v>
      </c>
      <c r="S168" t="n">
        <v>5373.396262</v>
      </c>
      <c r="T168" t="n">
        <v>-571718.054743</v>
      </c>
      <c r="U168" t="n">
        <v>1271.175154</v>
      </c>
      <c r="V168" t="n">
        <v>-2164067390.718938</v>
      </c>
      <c r="W168" t="n">
        <v>8901.765899</v>
      </c>
      <c r="X168" t="n">
        <v>11377.133687</v>
      </c>
      <c r="Y168" t="n">
        <v>351.683283</v>
      </c>
      <c r="Z168" t="n">
        <v>848.5746820000001</v>
      </c>
    </row>
    <row r="169" ht="21" customHeight="1">
      <c r="A169" t="inlineStr">
        <is>
          <t>Thunnus</t>
        </is>
      </c>
      <c r="B169" t="n">
        <v>4.34</v>
      </c>
      <c r="C169" t="n">
        <v>2187.761624</v>
      </c>
      <c r="D169" s="10" t="inlineStr">
        <is>
          <t>Tuna-like</t>
        </is>
      </c>
      <c r="E169" t="n">
        <v>276.665746</v>
      </c>
      <c r="F169" t="n">
        <v>3650.332839</v>
      </c>
      <c r="G169" t="n">
        <v>2005.591894</v>
      </c>
      <c r="H169" t="n">
        <v>10195.617489</v>
      </c>
      <c r="I169" t="n">
        <v>2102.414308</v>
      </c>
      <c r="J169" t="n">
        <v>2472.563272</v>
      </c>
      <c r="K169" t="n">
        <v>2210.471565</v>
      </c>
      <c r="L169" t="n">
        <v>8472.950376000001</v>
      </c>
      <c r="M169" t="n">
        <v>8472.950376000001</v>
      </c>
      <c r="N169" t="n">
        <v>8472.950376000001</v>
      </c>
      <c r="O169" t="n">
        <v>5373.396262</v>
      </c>
      <c r="P169" t="n">
        <v>1271.175154</v>
      </c>
      <c r="Q169" t="n">
        <v>8472.950376000001</v>
      </c>
      <c r="R169" t="n">
        <v>11625502.426924</v>
      </c>
      <c r="S169" t="n">
        <v>5373.396262</v>
      </c>
      <c r="T169" t="n">
        <v>-571718.054743</v>
      </c>
      <c r="U169" t="n">
        <v>1271.175154</v>
      </c>
      <c r="V169" t="n">
        <v>-2164067390.718938</v>
      </c>
      <c r="W169" t="n">
        <v>8901.765899</v>
      </c>
      <c r="X169" t="n">
        <v>11377.133687</v>
      </c>
      <c r="Y169" t="n">
        <v>351.683283</v>
      </c>
      <c r="Z169" t="n">
        <v>848.5746820000001</v>
      </c>
    </row>
    <row r="170" ht="21" customHeight="1">
      <c r="A170" t="inlineStr">
        <is>
          <t>Sergestidae</t>
        </is>
      </c>
      <c r="B170" t="n">
        <v>2.93</v>
      </c>
      <c r="C170" t="n">
        <v>85.113804</v>
      </c>
      <c r="D170" s="10" t="inlineStr">
        <is>
          <t>2 Crustaceans | 3 Crustaceans</t>
        </is>
      </c>
      <c r="E170" t="n">
        <v>276.665746</v>
      </c>
      <c r="F170" t="n">
        <v>87.346446</v>
      </c>
      <c r="G170" t="n">
        <v>62.825827</v>
      </c>
      <c r="H170" t="n">
        <v>62.583797</v>
      </c>
      <c r="I170" t="n">
        <v>49.059783</v>
      </c>
      <c r="J170" t="n">
        <v>49.059783</v>
      </c>
      <c r="K170" t="n">
        <v>45.848307</v>
      </c>
      <c r="L170" t="n">
        <v>88.61683499999999</v>
      </c>
      <c r="M170" t="n">
        <v>88.61683499999999</v>
      </c>
      <c r="N170" t="n">
        <v>88.61683499999999</v>
      </c>
      <c r="O170" t="n">
        <v>112.736869</v>
      </c>
      <c r="P170" t="n">
        <v>69.749027</v>
      </c>
      <c r="Q170" t="n">
        <v>88.61683499999999</v>
      </c>
      <c r="R170" t="n">
        <v>88.61683499999999</v>
      </c>
      <c r="S170" t="n">
        <v>112.736869</v>
      </c>
      <c r="T170" t="n">
        <v>18.000131</v>
      </c>
      <c r="U170" t="n">
        <v>69.749027</v>
      </c>
      <c r="V170" t="n">
        <v>77.336753</v>
      </c>
      <c r="W170" t="n">
        <v>138.030843</v>
      </c>
      <c r="X170" t="n">
        <v>98.46392899999999</v>
      </c>
      <c r="Y170" t="n">
        <v>24.163479</v>
      </c>
      <c r="Z170" t="n">
        <v>23.495104</v>
      </c>
    </row>
    <row r="171" ht="21" customHeight="1">
      <c r="A171" t="inlineStr">
        <is>
          <t>Siganus</t>
        </is>
      </c>
      <c r="B171" t="n">
        <v>2.11</v>
      </c>
      <c r="C171" t="n">
        <v>12.882496</v>
      </c>
      <c r="D171" s="10" t="inlineStr">
        <is>
          <t>2 SM inv | 3 SM inv</t>
        </is>
      </c>
      <c r="E171" t="n">
        <v>276.665746</v>
      </c>
      <c r="F171" t="n">
        <v>195.237034</v>
      </c>
      <c r="G171" t="n">
        <v>132.430212</v>
      </c>
      <c r="H171" t="n">
        <v>264.43232</v>
      </c>
      <c r="I171" t="n">
        <v>118.903546</v>
      </c>
      <c r="J171" t="n">
        <v>136.120138</v>
      </c>
      <c r="K171" t="n">
        <v>127.344134</v>
      </c>
      <c r="L171" t="n">
        <v>358.382548</v>
      </c>
      <c r="M171" t="n">
        <v>358.382548</v>
      </c>
      <c r="N171" t="n">
        <v>358.382548</v>
      </c>
      <c r="O171" t="n">
        <v>341.399299</v>
      </c>
      <c r="P171" t="n">
        <v>140.115469</v>
      </c>
      <c r="Q171" t="n">
        <v>358.382548</v>
      </c>
      <c r="R171" t="n">
        <v>6457.458436</v>
      </c>
      <c r="S171" t="n">
        <v>341.399299</v>
      </c>
      <c r="T171" t="n">
        <v>179529.737596</v>
      </c>
      <c r="U171" t="n">
        <v>140.115469</v>
      </c>
      <c r="V171" t="n">
        <v>-303793.842089</v>
      </c>
      <c r="W171" t="n">
        <v>574.006718</v>
      </c>
      <c r="X171" t="n">
        <v>502.703783</v>
      </c>
      <c r="Y171" t="n">
        <v>42.955466</v>
      </c>
      <c r="Z171" t="n">
        <v>65.030467</v>
      </c>
    </row>
    <row r="172" ht="21" customHeight="1">
      <c r="A172" t="inlineStr">
        <is>
          <t>Ilisha elongata</t>
        </is>
      </c>
      <c r="B172" t="n">
        <v>3.79</v>
      </c>
      <c r="C172" t="n">
        <v>616.595002</v>
      </c>
      <c r="D172" s="10" t="inlineStr">
        <is>
          <t>2-3 Hilsa</t>
        </is>
      </c>
      <c r="E172" t="n">
        <v>276.665746</v>
      </c>
      <c r="F172" t="n">
        <v>19.832171</v>
      </c>
      <c r="G172" t="n">
        <v>15.945855</v>
      </c>
      <c r="H172" t="n">
        <v>25.651793</v>
      </c>
      <c r="I172" t="n">
        <v>23.183612</v>
      </c>
      <c r="J172" t="n">
        <v>23.183612</v>
      </c>
      <c r="K172" t="n">
        <v>21.676677</v>
      </c>
      <c r="L172" t="n">
        <v>22.758135</v>
      </c>
      <c r="M172" t="n">
        <v>22.758135</v>
      </c>
      <c r="N172" t="n">
        <v>22.758135</v>
      </c>
      <c r="O172" t="n">
        <v>8.006830000000001</v>
      </c>
      <c r="P172" t="n">
        <v>5.581875</v>
      </c>
      <c r="Q172" t="n">
        <v>22.758135</v>
      </c>
      <c r="R172" t="n">
        <v>22.758135</v>
      </c>
      <c r="S172" t="n">
        <v>8.006830000000001</v>
      </c>
      <c r="T172" t="n">
        <v>7.117514</v>
      </c>
      <c r="U172" t="n">
        <v>5.581875</v>
      </c>
      <c r="V172" t="n">
        <v>5.668962</v>
      </c>
      <c r="W172" t="n">
        <v>8.464467000000001</v>
      </c>
      <c r="X172" t="n">
        <v>22.474002</v>
      </c>
      <c r="Y172" t="n">
        <v>8.458360000000001</v>
      </c>
      <c r="Z172" t="n">
        <v>10.696986</v>
      </c>
    </row>
    <row r="173" ht="21" customHeight="1">
      <c r="A173" t="inlineStr">
        <is>
          <t>Plotosus</t>
        </is>
      </c>
      <c r="B173" t="n">
        <v>3.49</v>
      </c>
      <c r="C173" t="n">
        <v>309.029543</v>
      </c>
      <c r="D173" s="10" t="inlineStr">
        <is>
          <t>2 L pisc | 3 L pisc</t>
        </is>
      </c>
      <c r="E173" t="n">
        <v>276.665746</v>
      </c>
      <c r="F173" t="n">
        <v>1671.644897</v>
      </c>
      <c r="G173" t="n">
        <v>968.768055</v>
      </c>
      <c r="H173" t="n">
        <v>4318.024466</v>
      </c>
      <c r="I173" t="n">
        <v>1003.379133</v>
      </c>
      <c r="J173" t="n">
        <v>1189.735453</v>
      </c>
      <c r="K173" t="n">
        <v>1070.761907</v>
      </c>
      <c r="L173" t="n">
        <v>3541.417618</v>
      </c>
      <c r="M173" t="n">
        <v>3541.417618</v>
      </c>
      <c r="N173" t="n">
        <v>3541.417618</v>
      </c>
      <c r="O173" t="n">
        <v>2538.082167</v>
      </c>
      <c r="P173" t="n">
        <v>681.673862</v>
      </c>
      <c r="Q173" t="n">
        <v>3541.417618</v>
      </c>
      <c r="R173" t="n">
        <v>62682.288429</v>
      </c>
      <c r="S173" t="n">
        <v>2538.082167</v>
      </c>
      <c r="T173" t="n">
        <v>4712584.866078</v>
      </c>
      <c r="U173" t="n">
        <v>681.673862</v>
      </c>
      <c r="V173" t="n">
        <v>8783084984.919691</v>
      </c>
      <c r="W173" t="n">
        <v>4084.080603</v>
      </c>
      <c r="X173" t="n">
        <v>4708.141648</v>
      </c>
      <c r="Y173" t="n">
        <v>198.988407</v>
      </c>
      <c r="Z173" t="n">
        <v>443.151943</v>
      </c>
    </row>
    <row r="174" ht="21" customHeight="1">
      <c r="A174" t="inlineStr">
        <is>
          <t>Caranx</t>
        </is>
      </c>
      <c r="B174" t="n">
        <v>4.12</v>
      </c>
      <c r="C174" t="n">
        <v>1318.256739</v>
      </c>
      <c r="D174" s="10" t="inlineStr">
        <is>
          <t>2 Carangids | 3 Carangids</t>
        </is>
      </c>
      <c r="E174" t="n">
        <v>276.665746</v>
      </c>
      <c r="F174" t="n">
        <v>1047.559324</v>
      </c>
      <c r="G174" t="n">
        <v>629.821299</v>
      </c>
      <c r="H174" t="n">
        <v>2236.955926</v>
      </c>
      <c r="I174" t="n">
        <v>640.844159</v>
      </c>
      <c r="J174" t="n">
        <v>754.590569</v>
      </c>
      <c r="K174" t="n">
        <v>726.430521</v>
      </c>
      <c r="L174" t="n">
        <v>2160.134294</v>
      </c>
      <c r="M174" t="n">
        <v>2160.134294</v>
      </c>
      <c r="N174" t="n">
        <v>2160.134294</v>
      </c>
      <c r="O174" t="n">
        <v>1714.41623</v>
      </c>
      <c r="P174" t="n">
        <v>507.780375</v>
      </c>
      <c r="Q174" t="n">
        <v>2160.134294</v>
      </c>
      <c r="R174" t="n">
        <v>1795384.471462</v>
      </c>
      <c r="S174" t="n">
        <v>1714.41623</v>
      </c>
      <c r="T174" t="n">
        <v>15523021.978962</v>
      </c>
      <c r="U174" t="n">
        <v>507.780375</v>
      </c>
      <c r="V174" t="n">
        <v>361623540.311127</v>
      </c>
      <c r="W174" t="n">
        <v>2798.965662</v>
      </c>
      <c r="X174" t="n">
        <v>2890.070964</v>
      </c>
      <c r="Y174" t="n">
        <v>143.6356</v>
      </c>
      <c r="Z174" t="n">
        <v>293.771321</v>
      </c>
    </row>
    <row r="175" ht="21" customHeight="1">
      <c r="A175" t="inlineStr">
        <is>
          <t>Carangoides</t>
        </is>
      </c>
      <c r="B175" t="n">
        <v>4.34</v>
      </c>
      <c r="C175" t="n">
        <v>2187.761624</v>
      </c>
      <c r="D175" s="10" t="inlineStr">
        <is>
          <t>2 Carangids | 3 Carangids</t>
        </is>
      </c>
      <c r="E175" t="n">
        <v>276.665746</v>
      </c>
      <c r="F175" t="n">
        <v>1047.559324</v>
      </c>
      <c r="G175" t="n">
        <v>629.821299</v>
      </c>
      <c r="H175" t="n">
        <v>2236.955926</v>
      </c>
      <c r="I175" t="n">
        <v>640.844159</v>
      </c>
      <c r="J175" t="n">
        <v>754.590569</v>
      </c>
      <c r="K175" t="n">
        <v>726.430521</v>
      </c>
      <c r="L175" t="n">
        <v>2160.134294</v>
      </c>
      <c r="M175" t="n">
        <v>2160.134294</v>
      </c>
      <c r="N175" t="n">
        <v>2160.134294</v>
      </c>
      <c r="O175" t="n">
        <v>1714.41623</v>
      </c>
      <c r="P175" t="n">
        <v>507.780375</v>
      </c>
      <c r="Q175" t="n">
        <v>2160.134294</v>
      </c>
      <c r="R175" t="n">
        <v>1795384.471462</v>
      </c>
      <c r="S175" t="n">
        <v>1714.41623</v>
      </c>
      <c r="T175" t="n">
        <v>15523021.978962</v>
      </c>
      <c r="U175" t="n">
        <v>507.780375</v>
      </c>
      <c r="V175" t="n">
        <v>361623540.311127</v>
      </c>
      <c r="W175" t="n">
        <v>2798.965662</v>
      </c>
      <c r="X175" t="n">
        <v>2890.070964</v>
      </c>
      <c r="Y175" t="n">
        <v>143.6356</v>
      </c>
      <c r="Z175" t="n">
        <v>293.771321</v>
      </c>
    </row>
    <row r="176" ht="21" customHeight="1">
      <c r="A176" t="inlineStr">
        <is>
          <t>Penaeus indicus</t>
        </is>
      </c>
      <c r="B176" t="n">
        <v>2.7</v>
      </c>
      <c r="C176" t="n">
        <v>50.118723</v>
      </c>
      <c r="D176" s="10" t="inlineStr">
        <is>
          <t>2 Crustaceans | 3 Crustaceans</t>
        </is>
      </c>
      <c r="E176" t="n">
        <v>276.665746</v>
      </c>
      <c r="F176" t="n">
        <v>87.346446</v>
      </c>
      <c r="G176" t="n">
        <v>62.825827</v>
      </c>
      <c r="H176" t="n">
        <v>62.583797</v>
      </c>
      <c r="I176" t="n">
        <v>49.059783</v>
      </c>
      <c r="J176" t="n">
        <v>49.059783</v>
      </c>
      <c r="K176" t="n">
        <v>45.848307</v>
      </c>
      <c r="L176" t="n">
        <v>88.61683499999999</v>
      </c>
      <c r="M176" t="n">
        <v>88.61683499999999</v>
      </c>
      <c r="N176" t="n">
        <v>88.61683499999999</v>
      </c>
      <c r="O176" t="n">
        <v>112.736869</v>
      </c>
      <c r="P176" t="n">
        <v>69.749027</v>
      </c>
      <c r="Q176" t="n">
        <v>88.61683499999999</v>
      </c>
      <c r="R176" t="n">
        <v>88.61683499999999</v>
      </c>
      <c r="S176" t="n">
        <v>112.736869</v>
      </c>
      <c r="T176" t="n">
        <v>18.000131</v>
      </c>
      <c r="U176" t="n">
        <v>69.749027</v>
      </c>
      <c r="V176" t="n">
        <v>77.336753</v>
      </c>
      <c r="W176" t="n">
        <v>138.030843</v>
      </c>
      <c r="X176" t="n">
        <v>98.46392899999999</v>
      </c>
      <c r="Y176" t="n">
        <v>24.163479</v>
      </c>
      <c r="Z176" t="n">
        <v>23.495104</v>
      </c>
    </row>
    <row r="177" ht="21" customHeight="1">
      <c r="A177" t="inlineStr">
        <is>
          <t>Gudusia chapra</t>
        </is>
      </c>
      <c r="B177" t="n">
        <v>2.31</v>
      </c>
      <c r="C177" t="n">
        <v>20.417379</v>
      </c>
      <c r="D177" s="10" t="inlineStr">
        <is>
          <t>2-3 Hilsa</t>
        </is>
      </c>
      <c r="E177" t="n">
        <v>276.665746</v>
      </c>
      <c r="F177" t="n">
        <v>19.832171</v>
      </c>
      <c r="G177" t="n">
        <v>15.945855</v>
      </c>
      <c r="H177" t="n">
        <v>25.651793</v>
      </c>
      <c r="I177" t="n">
        <v>23.183612</v>
      </c>
      <c r="J177" t="n">
        <v>23.183612</v>
      </c>
      <c r="K177" t="n">
        <v>21.676677</v>
      </c>
      <c r="L177" t="n">
        <v>22.758135</v>
      </c>
      <c r="M177" t="n">
        <v>22.758135</v>
      </c>
      <c r="N177" t="n">
        <v>22.758135</v>
      </c>
      <c r="O177" t="n">
        <v>8.006830000000001</v>
      </c>
      <c r="P177" t="n">
        <v>5.581875</v>
      </c>
      <c r="Q177" t="n">
        <v>22.758135</v>
      </c>
      <c r="R177" t="n">
        <v>22.758135</v>
      </c>
      <c r="S177" t="n">
        <v>8.006830000000001</v>
      </c>
      <c r="T177" t="n">
        <v>7.117514</v>
      </c>
      <c r="U177" t="n">
        <v>5.581875</v>
      </c>
      <c r="V177" t="n">
        <v>5.668962</v>
      </c>
      <c r="W177" t="n">
        <v>8.464467000000001</v>
      </c>
      <c r="X177" t="n">
        <v>22.474002</v>
      </c>
      <c r="Y177" t="n">
        <v>8.458360000000001</v>
      </c>
      <c r="Z177" t="n">
        <v>10.696986</v>
      </c>
    </row>
    <row r="178" ht="21" customHeight="1">
      <c r="A178" t="inlineStr">
        <is>
          <t>Portunus</t>
        </is>
      </c>
      <c r="B178" t="n">
        <v>3.26</v>
      </c>
      <c r="C178" t="n">
        <v>181.970086</v>
      </c>
      <c r="D178" s="10" t="inlineStr">
        <is>
          <t>2 Crustaceans | 3 Crustaceans</t>
        </is>
      </c>
      <c r="E178" t="n">
        <v>276.665746</v>
      </c>
      <c r="F178" t="n">
        <v>87.346446</v>
      </c>
      <c r="G178" t="n">
        <v>62.825827</v>
      </c>
      <c r="H178" t="n">
        <v>62.583797</v>
      </c>
      <c r="I178" t="n">
        <v>49.059783</v>
      </c>
      <c r="J178" t="n">
        <v>49.059783</v>
      </c>
      <c r="K178" t="n">
        <v>45.848307</v>
      </c>
      <c r="L178" t="n">
        <v>88.61683499999999</v>
      </c>
      <c r="M178" t="n">
        <v>88.61683499999999</v>
      </c>
      <c r="N178" t="n">
        <v>88.61683499999999</v>
      </c>
      <c r="O178" t="n">
        <v>112.736869</v>
      </c>
      <c r="P178" t="n">
        <v>69.749027</v>
      </c>
      <c r="Q178" t="n">
        <v>88.61683499999999</v>
      </c>
      <c r="R178" t="n">
        <v>88.61683499999999</v>
      </c>
      <c r="S178" t="n">
        <v>112.736869</v>
      </c>
      <c r="T178" t="n">
        <v>18.000131</v>
      </c>
      <c r="U178" t="n">
        <v>69.749027</v>
      </c>
      <c r="V178" t="n">
        <v>77.336753</v>
      </c>
      <c r="W178" t="n">
        <v>138.030843</v>
      </c>
      <c r="X178" t="n">
        <v>98.46392899999999</v>
      </c>
      <c r="Y178" t="n">
        <v>24.163479</v>
      </c>
      <c r="Z178" t="n">
        <v>23.495104</v>
      </c>
    </row>
    <row r="179" ht="21" customHeight="1">
      <c r="A179" t="inlineStr">
        <is>
          <t>Metapenaeus monoceros</t>
        </is>
      </c>
      <c r="B179" t="n">
        <v>2.7</v>
      </c>
      <c r="C179" t="n">
        <v>50.118723</v>
      </c>
      <c r="D179" s="10" t="inlineStr">
        <is>
          <t>2 Crustaceans | 3 Crustaceans</t>
        </is>
      </c>
      <c r="E179" t="n">
        <v>276.665746</v>
      </c>
      <c r="F179" t="n">
        <v>87.346446</v>
      </c>
      <c r="G179" t="n">
        <v>62.825827</v>
      </c>
      <c r="H179" t="n">
        <v>62.583797</v>
      </c>
      <c r="I179" t="n">
        <v>49.059783</v>
      </c>
      <c r="J179" t="n">
        <v>49.059783</v>
      </c>
      <c r="K179" t="n">
        <v>45.848307</v>
      </c>
      <c r="L179" t="n">
        <v>88.61683499999999</v>
      </c>
      <c r="M179" t="n">
        <v>88.61683499999999</v>
      </c>
      <c r="N179" t="n">
        <v>88.61683499999999</v>
      </c>
      <c r="O179" t="n">
        <v>112.736869</v>
      </c>
      <c r="P179" t="n">
        <v>69.749027</v>
      </c>
      <c r="Q179" t="n">
        <v>88.61683499999999</v>
      </c>
      <c r="R179" t="n">
        <v>88.61683499999999</v>
      </c>
      <c r="S179" t="n">
        <v>112.736869</v>
      </c>
      <c r="T179" t="n">
        <v>18.000131</v>
      </c>
      <c r="U179" t="n">
        <v>69.749027</v>
      </c>
      <c r="V179" t="n">
        <v>77.336753</v>
      </c>
      <c r="W179" t="n">
        <v>138.030843</v>
      </c>
      <c r="X179" t="n">
        <v>98.46392899999999</v>
      </c>
      <c r="Y179" t="n">
        <v>24.163479</v>
      </c>
      <c r="Z179" t="n">
        <v>23.495104</v>
      </c>
    </row>
    <row r="180" ht="21" customHeight="1">
      <c r="A180" t="inlineStr">
        <is>
          <t>Palinuridae</t>
        </is>
      </c>
      <c r="B180" t="n">
        <v>3.14</v>
      </c>
      <c r="C180" t="n">
        <v>138.038426</v>
      </c>
      <c r="D180" s="10" t="inlineStr">
        <is>
          <t>2 Crustaceans | 3 Crustaceans</t>
        </is>
      </c>
      <c r="E180" t="n">
        <v>276.665746</v>
      </c>
      <c r="F180" t="n">
        <v>87.346446</v>
      </c>
      <c r="G180" t="n">
        <v>62.825827</v>
      </c>
      <c r="H180" t="n">
        <v>62.583797</v>
      </c>
      <c r="I180" t="n">
        <v>49.059783</v>
      </c>
      <c r="J180" t="n">
        <v>49.059783</v>
      </c>
      <c r="K180" t="n">
        <v>45.848307</v>
      </c>
      <c r="L180" t="n">
        <v>88.61683499999999</v>
      </c>
      <c r="M180" t="n">
        <v>88.61683499999999</v>
      </c>
      <c r="N180" t="n">
        <v>88.61683499999999</v>
      </c>
      <c r="O180" t="n">
        <v>112.736869</v>
      </c>
      <c r="P180" t="n">
        <v>69.749027</v>
      </c>
      <c r="Q180" t="n">
        <v>88.61683499999999</v>
      </c>
      <c r="R180" t="n">
        <v>88.61683499999999</v>
      </c>
      <c r="S180" t="n">
        <v>112.736869</v>
      </c>
      <c r="T180" t="n">
        <v>18.000131</v>
      </c>
      <c r="U180" t="n">
        <v>69.749027</v>
      </c>
      <c r="V180" t="n">
        <v>77.336753</v>
      </c>
      <c r="W180" t="n">
        <v>138.030843</v>
      </c>
      <c r="X180" t="n">
        <v>98.46392899999999</v>
      </c>
      <c r="Y180" t="n">
        <v>24.163479</v>
      </c>
      <c r="Z180" t="n">
        <v>23.495104</v>
      </c>
    </row>
    <row r="181" ht="21" customHeight="1">
      <c r="A181" t="inlineStr">
        <is>
          <t>Dussumieria</t>
        </is>
      </c>
      <c r="B181" t="n">
        <v>3.4</v>
      </c>
      <c r="C181" t="n">
        <v>251.188643</v>
      </c>
      <c r="D181" s="10" t="inlineStr">
        <is>
          <t>2 S pelagics | 3 S pelagics</t>
        </is>
      </c>
      <c r="E181" t="n">
        <v>276.665746</v>
      </c>
      <c r="F181" t="n">
        <v>140.109476</v>
      </c>
      <c r="G181" t="n">
        <v>97.63290000000001</v>
      </c>
      <c r="H181" t="n">
        <v>192.530385</v>
      </c>
      <c r="I181" t="n">
        <v>80.840119</v>
      </c>
      <c r="J181" t="n">
        <v>105.744532</v>
      </c>
      <c r="K181" t="n">
        <v>98.71770100000001</v>
      </c>
      <c r="L181" t="n">
        <v>234.01812</v>
      </c>
      <c r="M181" t="n">
        <v>234.01812</v>
      </c>
      <c r="N181" t="n">
        <v>234.01812</v>
      </c>
      <c r="O181" t="n">
        <v>202.793183</v>
      </c>
      <c r="P181" t="n">
        <v>80.12592100000001</v>
      </c>
      <c r="Q181" t="n">
        <v>234.01812</v>
      </c>
      <c r="R181" t="n">
        <v>-33882.555745</v>
      </c>
      <c r="S181" t="n">
        <v>202.793183</v>
      </c>
      <c r="T181" t="n">
        <v>227994.620435</v>
      </c>
      <c r="U181" t="n">
        <v>80.12592100000001</v>
      </c>
      <c r="V181" t="n">
        <v>-5095004.477163</v>
      </c>
      <c r="W181" t="n">
        <v>296.324343</v>
      </c>
      <c r="X181" t="n">
        <v>299.160007</v>
      </c>
      <c r="Y181" t="n">
        <v>34.1744</v>
      </c>
      <c r="Z181" t="n">
        <v>48.359224</v>
      </c>
    </row>
    <row r="182" ht="21" customHeight="1">
      <c r="A182" t="inlineStr">
        <is>
          <t>Sepioteuthis lessoniana</t>
        </is>
      </c>
      <c r="B182" t="n">
        <v>3.98</v>
      </c>
      <c r="C182" t="n">
        <v>954.992586</v>
      </c>
      <c r="D182" s="10" t="inlineStr">
        <is>
          <t>Cephalopods</t>
        </is>
      </c>
      <c r="E182" t="n">
        <v>276.665746</v>
      </c>
      <c r="F182" t="n">
        <v>990.119511</v>
      </c>
      <c r="G182" t="n">
        <v>598.369015</v>
      </c>
      <c r="H182" t="n">
        <v>1346.233095</v>
      </c>
      <c r="I182" t="n">
        <v>376.93677</v>
      </c>
      <c r="J182" t="n">
        <v>457.544762</v>
      </c>
      <c r="K182" t="n">
        <v>411.790286</v>
      </c>
      <c r="L182" t="n">
        <v>1154.79452</v>
      </c>
      <c r="M182" t="n">
        <v>1154.79452</v>
      </c>
      <c r="N182" t="n">
        <v>1154.79452</v>
      </c>
      <c r="O182" t="n">
        <v>883.361743</v>
      </c>
      <c r="P182" t="n">
        <v>288.682294</v>
      </c>
      <c r="Q182" t="n">
        <v>1154.79452</v>
      </c>
      <c r="R182" t="n">
        <v>-29810.748817</v>
      </c>
      <c r="S182" t="n">
        <v>883.361743</v>
      </c>
      <c r="T182" t="n">
        <v>-4388.856367</v>
      </c>
      <c r="U182" t="n">
        <v>288.682294</v>
      </c>
      <c r="V182" t="n">
        <v>-67924.848461</v>
      </c>
      <c r="W182" t="n">
        <v>1393.755014</v>
      </c>
      <c r="X182" t="n">
        <v>1512.277541</v>
      </c>
      <c r="Y182" t="n">
        <v>138.403273</v>
      </c>
      <c r="Z182" t="n">
        <v>209.32439</v>
      </c>
    </row>
    <row r="183" ht="21" customHeight="1">
      <c r="A183" t="inlineStr">
        <is>
          <t>Seriolina nigrofasciata</t>
        </is>
      </c>
      <c r="B183" t="n">
        <v>4.17</v>
      </c>
      <c r="C183" t="n">
        <v>1479.108388</v>
      </c>
      <c r="D183" s="10" t="inlineStr">
        <is>
          <t>2 Carangids | 3 Carangids</t>
        </is>
      </c>
      <c r="E183" t="n">
        <v>276.665746</v>
      </c>
      <c r="F183" t="n">
        <v>1047.559324</v>
      </c>
      <c r="G183" t="n">
        <v>629.821299</v>
      </c>
      <c r="H183" t="n">
        <v>2236.955926</v>
      </c>
      <c r="I183" t="n">
        <v>640.844159</v>
      </c>
      <c r="J183" t="n">
        <v>754.590569</v>
      </c>
      <c r="K183" t="n">
        <v>726.430521</v>
      </c>
      <c r="L183" t="n">
        <v>2160.134294</v>
      </c>
      <c r="M183" t="n">
        <v>2160.134294</v>
      </c>
      <c r="N183" t="n">
        <v>2160.134294</v>
      </c>
      <c r="O183" t="n">
        <v>1714.41623</v>
      </c>
      <c r="P183" t="n">
        <v>507.780375</v>
      </c>
      <c r="Q183" t="n">
        <v>2160.134294</v>
      </c>
      <c r="R183" t="n">
        <v>1795384.471462</v>
      </c>
      <c r="S183" t="n">
        <v>1714.41623</v>
      </c>
      <c r="T183" t="n">
        <v>15523021.978962</v>
      </c>
      <c r="U183" t="n">
        <v>507.780375</v>
      </c>
      <c r="V183" t="n">
        <v>361623540.311127</v>
      </c>
      <c r="W183" t="n">
        <v>2798.965662</v>
      </c>
      <c r="X183" t="n">
        <v>2890.070964</v>
      </c>
      <c r="Y183" t="n">
        <v>143.6356</v>
      </c>
      <c r="Z183" t="n">
        <v>293.771321</v>
      </c>
    </row>
    <row r="184" ht="21" customHeight="1">
      <c r="A184" t="inlineStr">
        <is>
          <t>Scorpaenidae</t>
        </is>
      </c>
      <c r="B184" t="n">
        <v>3.92</v>
      </c>
      <c r="C184" t="n">
        <v>831.763771</v>
      </c>
      <c r="D184" s="10" t="inlineStr">
        <is>
          <t>2 SM pisc | 3 SM pisc</t>
        </is>
      </c>
      <c r="E184" t="n">
        <v>276.665746</v>
      </c>
      <c r="F184" t="n">
        <v>735.917019</v>
      </c>
      <c r="G184" t="n">
        <v>452.492682</v>
      </c>
      <c r="H184" t="n">
        <v>682.111639</v>
      </c>
      <c r="I184" t="n">
        <v>235.466475</v>
      </c>
      <c r="J184" t="n">
        <v>314.21941</v>
      </c>
      <c r="K184" t="n">
        <v>298.50844</v>
      </c>
      <c r="L184" t="n">
        <v>954.7607</v>
      </c>
      <c r="M184" t="n">
        <v>954.7607</v>
      </c>
      <c r="N184" t="n">
        <v>954.7607</v>
      </c>
      <c r="O184" t="n">
        <v>843.56575</v>
      </c>
      <c r="P184" t="n">
        <v>294.060389</v>
      </c>
      <c r="Q184" t="n">
        <v>954.7607</v>
      </c>
      <c r="R184" t="n">
        <v>9873.492876</v>
      </c>
      <c r="S184" t="n">
        <v>843.56575</v>
      </c>
      <c r="T184" t="n">
        <v>671288.666809</v>
      </c>
      <c r="U184" t="n">
        <v>294.060389</v>
      </c>
      <c r="V184" t="n">
        <v>-16862660.627203</v>
      </c>
      <c r="W184" t="n">
        <v>1324.31138</v>
      </c>
      <c r="X184" t="n">
        <v>1272.066649</v>
      </c>
      <c r="Y184" t="n">
        <v>110.428635</v>
      </c>
      <c r="Z184" t="n">
        <v>131.682702</v>
      </c>
    </row>
    <row r="185" ht="21" customHeight="1">
      <c r="A185" t="inlineStr">
        <is>
          <t>Muraenesox cinereus</t>
        </is>
      </c>
      <c r="B185" t="n">
        <v>4.38</v>
      </c>
      <c r="C185" t="n">
        <v>2398.832919</v>
      </c>
      <c r="D185" s="10" t="inlineStr">
        <is>
          <t>2 L pisc | 3 L pisc</t>
        </is>
      </c>
      <c r="E185" t="n">
        <v>276.665746</v>
      </c>
      <c r="F185" t="n">
        <v>1671.644897</v>
      </c>
      <c r="G185" t="n">
        <v>968.768055</v>
      </c>
      <c r="H185" t="n">
        <v>4318.024466</v>
      </c>
      <c r="I185" t="n">
        <v>1003.379133</v>
      </c>
      <c r="J185" t="n">
        <v>1189.735453</v>
      </c>
      <c r="K185" t="n">
        <v>1070.761907</v>
      </c>
      <c r="L185" t="n">
        <v>3541.417618</v>
      </c>
      <c r="M185" t="n">
        <v>3541.417618</v>
      </c>
      <c r="N185" t="n">
        <v>3541.417618</v>
      </c>
      <c r="O185" t="n">
        <v>2538.082167</v>
      </c>
      <c r="P185" t="n">
        <v>681.673862</v>
      </c>
      <c r="Q185" t="n">
        <v>3541.417618</v>
      </c>
      <c r="R185" t="n">
        <v>62682.288429</v>
      </c>
      <c r="S185" t="n">
        <v>2538.082167</v>
      </c>
      <c r="T185" t="n">
        <v>4712584.866078</v>
      </c>
      <c r="U185" t="n">
        <v>681.673862</v>
      </c>
      <c r="V185" t="n">
        <v>8783084984.919691</v>
      </c>
      <c r="W185" t="n">
        <v>4084.080603</v>
      </c>
      <c r="X185" t="n">
        <v>4708.141648</v>
      </c>
      <c r="Y185" t="n">
        <v>198.988407</v>
      </c>
      <c r="Z185" t="n">
        <v>443.151943</v>
      </c>
    </row>
    <row r="186" ht="21" customHeight="1">
      <c r="A186" t="inlineStr">
        <is>
          <t>Balistidae</t>
        </is>
      </c>
      <c r="B186" t="n">
        <v>3.25</v>
      </c>
      <c r="C186" t="n">
        <v>177.827941</v>
      </c>
      <c r="D186" s="10" t="inlineStr">
        <is>
          <t>2 SM pisc | 3 SM pisc</t>
        </is>
      </c>
      <c r="E186" t="n">
        <v>276.665746</v>
      </c>
      <c r="F186" t="n">
        <v>735.917019</v>
      </c>
      <c r="G186" t="n">
        <v>452.492682</v>
      </c>
      <c r="H186" t="n">
        <v>682.111639</v>
      </c>
      <c r="I186" t="n">
        <v>235.466475</v>
      </c>
      <c r="J186" t="n">
        <v>314.21941</v>
      </c>
      <c r="K186" t="n">
        <v>298.50844</v>
      </c>
      <c r="L186" t="n">
        <v>954.7607</v>
      </c>
      <c r="M186" t="n">
        <v>954.7607</v>
      </c>
      <c r="N186" t="n">
        <v>954.7607</v>
      </c>
      <c r="O186" t="n">
        <v>843.56575</v>
      </c>
      <c r="P186" t="n">
        <v>294.060389</v>
      </c>
      <c r="Q186" t="n">
        <v>954.7607</v>
      </c>
      <c r="R186" t="n">
        <v>9873.492876</v>
      </c>
      <c r="S186" t="n">
        <v>843.56575</v>
      </c>
      <c r="T186" t="n">
        <v>671288.666809</v>
      </c>
      <c r="U186" t="n">
        <v>294.060389</v>
      </c>
      <c r="V186" t="n">
        <v>-16862660.627203</v>
      </c>
      <c r="W186" t="n">
        <v>1324.31138</v>
      </c>
      <c r="X186" t="n">
        <v>1272.066649</v>
      </c>
      <c r="Y186" t="n">
        <v>110.428635</v>
      </c>
      <c r="Z186" t="n">
        <v>131.682702</v>
      </c>
    </row>
    <row r="187" ht="21" customHeight="1">
      <c r="A187" t="inlineStr">
        <is>
          <t>Coryphaena</t>
        </is>
      </c>
      <c r="B187" t="n">
        <v>4.49</v>
      </c>
      <c r="C187" t="n">
        <v>3090.295433</v>
      </c>
      <c r="D187" s="10" t="inlineStr">
        <is>
          <t>2 L pisc | 3 L pisc</t>
        </is>
      </c>
      <c r="E187" t="n">
        <v>276.665746</v>
      </c>
      <c r="F187" t="n">
        <v>1671.644897</v>
      </c>
      <c r="G187" t="n">
        <v>968.768055</v>
      </c>
      <c r="H187" t="n">
        <v>4318.024466</v>
      </c>
      <c r="I187" t="n">
        <v>1003.379133</v>
      </c>
      <c r="J187" t="n">
        <v>1189.735453</v>
      </c>
      <c r="K187" t="n">
        <v>1070.761907</v>
      </c>
      <c r="L187" t="n">
        <v>3541.417618</v>
      </c>
      <c r="M187" t="n">
        <v>3541.417618</v>
      </c>
      <c r="N187" t="n">
        <v>3541.417618</v>
      </c>
      <c r="O187" t="n">
        <v>2538.082167</v>
      </c>
      <c r="P187" t="n">
        <v>681.673862</v>
      </c>
      <c r="Q187" t="n">
        <v>3541.417618</v>
      </c>
      <c r="R187" t="n">
        <v>62682.288429</v>
      </c>
      <c r="S187" t="n">
        <v>2538.082167</v>
      </c>
      <c r="T187" t="n">
        <v>4712584.866078</v>
      </c>
      <c r="U187" t="n">
        <v>681.673862</v>
      </c>
      <c r="V187" t="n">
        <v>8783084984.919691</v>
      </c>
      <c r="W187" t="n">
        <v>4084.080603</v>
      </c>
      <c r="X187" t="n">
        <v>4708.141648</v>
      </c>
      <c r="Y187" t="n">
        <v>198.988407</v>
      </c>
      <c r="Z187" t="n">
        <v>443.151943</v>
      </c>
    </row>
    <row r="188" ht="21" customHeight="1">
      <c r="A188" t="inlineStr">
        <is>
          <t>Gerreidae</t>
        </is>
      </c>
      <c r="B188" t="n">
        <v>3.03</v>
      </c>
      <c r="C188" t="n">
        <v>107.151931</v>
      </c>
      <c r="D188" s="10" t="inlineStr">
        <is>
          <t>2 SM inv | 3 SM inv</t>
        </is>
      </c>
      <c r="E188" t="n">
        <v>276.665746</v>
      </c>
      <c r="F188" t="n">
        <v>195.237034</v>
      </c>
      <c r="G188" t="n">
        <v>132.430212</v>
      </c>
      <c r="H188" t="n">
        <v>264.43232</v>
      </c>
      <c r="I188" t="n">
        <v>118.903546</v>
      </c>
      <c r="J188" t="n">
        <v>136.120138</v>
      </c>
      <c r="K188" t="n">
        <v>127.344134</v>
      </c>
      <c r="L188" t="n">
        <v>358.382548</v>
      </c>
      <c r="M188" t="n">
        <v>358.382548</v>
      </c>
      <c r="N188" t="n">
        <v>358.382548</v>
      </c>
      <c r="O188" t="n">
        <v>341.399299</v>
      </c>
      <c r="P188" t="n">
        <v>140.115469</v>
      </c>
      <c r="Q188" t="n">
        <v>358.382548</v>
      </c>
      <c r="R188" t="n">
        <v>6457.458436</v>
      </c>
      <c r="S188" t="n">
        <v>341.399299</v>
      </c>
      <c r="T188" t="n">
        <v>179529.737596</v>
      </c>
      <c r="U188" t="n">
        <v>140.115469</v>
      </c>
      <c r="V188" t="n">
        <v>-303793.842089</v>
      </c>
      <c r="W188" t="n">
        <v>574.006718</v>
      </c>
      <c r="X188" t="n">
        <v>502.703783</v>
      </c>
      <c r="Y188" t="n">
        <v>42.955466</v>
      </c>
      <c r="Z188" t="n">
        <v>65.030467</v>
      </c>
    </row>
    <row r="189" ht="21" customHeight="1">
      <c r="A189" t="inlineStr">
        <is>
          <t>Alopias</t>
        </is>
      </c>
      <c r="B189" t="n">
        <v>4.5</v>
      </c>
      <c r="C189" t="n">
        <v>3162.27766</v>
      </c>
      <c r="D189" s="10" t="inlineStr">
        <is>
          <t>Oceanic sharks</t>
        </is>
      </c>
      <c r="E189" t="n">
        <v>276.665746</v>
      </c>
      <c r="F189" t="n">
        <v>1757.235698</v>
      </c>
      <c r="G189" t="n">
        <v>1018.406889</v>
      </c>
      <c r="H189" t="n">
        <v>15262.31097</v>
      </c>
      <c r="I189" t="n">
        <v>5136.373322</v>
      </c>
      <c r="J189" t="n">
        <v>6101.609798</v>
      </c>
      <c r="K189" t="n">
        <v>3551.136902</v>
      </c>
      <c r="L189" t="n">
        <v>23068.147688</v>
      </c>
      <c r="M189" t="n">
        <v>23068.147688</v>
      </c>
      <c r="N189" t="n">
        <v>23068.147688</v>
      </c>
      <c r="O189" t="n">
        <v>8717.777107</v>
      </c>
      <c r="P189" t="n">
        <v>1861.38016</v>
      </c>
      <c r="Q189" t="n">
        <v>23068.147688</v>
      </c>
      <c r="R189" t="n">
        <v>93910298.950615</v>
      </c>
      <c r="S189" t="n">
        <v>8717.777107</v>
      </c>
      <c r="T189" t="n">
        <v>-2662978.044058</v>
      </c>
      <c r="U189" t="n">
        <v>1861.38016</v>
      </c>
      <c r="V189" t="n">
        <v>-6.150361922865892e+19</v>
      </c>
      <c r="W189" t="n">
        <v>14380.879162</v>
      </c>
      <c r="X189" t="n">
        <v>31682.718847</v>
      </c>
      <c r="Y189" t="n">
        <v>208.554284</v>
      </c>
      <c r="Z189" t="n">
        <v>1010.152404</v>
      </c>
    </row>
    <row r="190" ht="21" customHeight="1">
      <c r="A190" t="inlineStr">
        <is>
          <t>Pristipomoides</t>
        </is>
      </c>
      <c r="B190" t="n">
        <v>3.91</v>
      </c>
      <c r="C190" t="n">
        <v>812.830516</v>
      </c>
      <c r="D190" s="10" t="inlineStr">
        <is>
          <t>2 L pisc comm | 3 L pisc comm</t>
        </is>
      </c>
      <c r="E190" t="n">
        <v>276.665746</v>
      </c>
      <c r="F190" t="n">
        <v>942.008432</v>
      </c>
      <c r="G190" t="n">
        <v>569.455705</v>
      </c>
      <c r="H190" t="n">
        <v>2133.059221</v>
      </c>
      <c r="I190" t="n">
        <v>640.2845610000001</v>
      </c>
      <c r="J190" t="n">
        <v>809.484635</v>
      </c>
      <c r="K190" t="n">
        <v>735.551234</v>
      </c>
      <c r="L190" t="n">
        <v>2161.417589</v>
      </c>
      <c r="M190" t="n">
        <v>2161.417589</v>
      </c>
      <c r="N190" t="n">
        <v>2161.417589</v>
      </c>
      <c r="O190" t="n">
        <v>1596.841335</v>
      </c>
      <c r="P190" t="n">
        <v>484.191698</v>
      </c>
      <c r="Q190" t="n">
        <v>2161.417589</v>
      </c>
      <c r="R190" t="n">
        <v>-1566538.678845</v>
      </c>
      <c r="S190" t="n">
        <v>1596.841335</v>
      </c>
      <c r="T190" t="n">
        <v>18720614.545483</v>
      </c>
      <c r="U190" t="n">
        <v>484.191698</v>
      </c>
      <c r="V190" t="n">
        <v>-729589570.314726</v>
      </c>
      <c r="W190" t="n">
        <v>2521.687387</v>
      </c>
      <c r="X190" t="n">
        <v>2846.929567</v>
      </c>
      <c r="Y190" t="n">
        <v>132.205276</v>
      </c>
      <c r="Z190" t="n">
        <v>267.422877</v>
      </c>
    </row>
    <row r="191" ht="21" customHeight="1">
      <c r="A191" t="inlineStr">
        <is>
          <t>Kajikia audax</t>
        </is>
      </c>
      <c r="B191" t="n">
        <v>4.58</v>
      </c>
      <c r="C191" t="n">
        <v>3801.893963</v>
      </c>
      <c r="D191" s="10" t="inlineStr">
        <is>
          <t>Marlins</t>
        </is>
      </c>
      <c r="E191" t="n">
        <v>276.665746</v>
      </c>
      <c r="F191" t="n">
        <v>4151.453096</v>
      </c>
      <c r="G191" t="n">
        <v>2259.598482</v>
      </c>
      <c r="H191" t="n">
        <v>15243.038933</v>
      </c>
      <c r="I191" t="n">
        <v>2731.92174</v>
      </c>
      <c r="J191" t="n">
        <v>3164.112203</v>
      </c>
      <c r="K191" t="n">
        <v>2847.700982</v>
      </c>
      <c r="L191" t="n">
        <v>9568.973695000001</v>
      </c>
      <c r="M191" t="n">
        <v>9568.973695000001</v>
      </c>
      <c r="N191" t="n">
        <v>9568.973695000001</v>
      </c>
      <c r="O191" t="n">
        <v>5874.059979</v>
      </c>
      <c r="P191" t="n">
        <v>1361.646526</v>
      </c>
      <c r="Q191" t="n">
        <v>9568.973695000001</v>
      </c>
      <c r="R191" t="n">
        <v>24020418.685781</v>
      </c>
      <c r="S191" t="n">
        <v>5874.059979</v>
      </c>
      <c r="T191" t="n">
        <v>-14247357.811831</v>
      </c>
      <c r="U191" t="n">
        <v>1361.646526</v>
      </c>
      <c r="V191" t="n">
        <v>-1.251009800378702e+19</v>
      </c>
      <c r="W191" t="n">
        <v>9477.851414000001</v>
      </c>
      <c r="X191" t="n">
        <v>12972.629142</v>
      </c>
      <c r="Y191" t="n">
        <v>385.551808</v>
      </c>
      <c r="Z191" t="n">
        <v>1104.537342</v>
      </c>
    </row>
    <row r="192" ht="21" customHeight="1">
      <c r="A192" t="inlineStr">
        <is>
          <t>Modiolus</t>
        </is>
      </c>
      <c r="D192" s="10" t="inlineStr">
        <is>
          <t>2 Macrobenthos | 3 Macrobenthos</t>
        </is>
      </c>
      <c r="E192" t="n">
        <v>276.665746</v>
      </c>
      <c r="F192" t="n">
        <v>43.212782</v>
      </c>
      <c r="G192" t="n">
        <v>32.623281</v>
      </c>
      <c r="H192" t="n">
        <v>41.368719</v>
      </c>
      <c r="I192" t="n">
        <v>34.461512</v>
      </c>
      <c r="J192" t="n">
        <v>34.461512</v>
      </c>
      <c r="K192" t="n">
        <v>31.432014</v>
      </c>
      <c r="L192" t="n">
        <v>106.719149</v>
      </c>
      <c r="M192" t="n">
        <v>106.719149</v>
      </c>
      <c r="N192" t="n">
        <v>106.719149</v>
      </c>
      <c r="O192" t="n">
        <v>113.412456</v>
      </c>
      <c r="P192" t="n">
        <v>57.717594</v>
      </c>
      <c r="Q192" t="n">
        <v>106.719149</v>
      </c>
      <c r="R192" t="n">
        <v>106.719149</v>
      </c>
      <c r="S192" t="n">
        <v>113.412456</v>
      </c>
      <c r="T192" t="n">
        <v>25.029149</v>
      </c>
      <c r="U192" t="n">
        <v>57.717594</v>
      </c>
      <c r="V192" t="n">
        <v>63.584441</v>
      </c>
      <c r="W192" t="n">
        <v>206.884057</v>
      </c>
      <c r="X192" t="n">
        <v>165.070073</v>
      </c>
      <c r="Y192" t="n">
        <v>14.477738</v>
      </c>
      <c r="Z192" t="n">
        <v>16.337529</v>
      </c>
    </row>
    <row r="193" ht="21" customHeight="1">
      <c r="A193" t="inlineStr">
        <is>
          <t>Scomberoides</t>
        </is>
      </c>
      <c r="B193" t="n">
        <v>4.47</v>
      </c>
      <c r="C193" t="n">
        <v>2951.209227</v>
      </c>
      <c r="D193" s="10" t="inlineStr">
        <is>
          <t>2 Carangids | 3 Carangids</t>
        </is>
      </c>
      <c r="E193" t="n">
        <v>276.665746</v>
      </c>
      <c r="F193" t="n">
        <v>1047.559324</v>
      </c>
      <c r="G193" t="n">
        <v>629.821299</v>
      </c>
      <c r="H193" t="n">
        <v>2236.955926</v>
      </c>
      <c r="I193" t="n">
        <v>640.844159</v>
      </c>
      <c r="J193" t="n">
        <v>754.590569</v>
      </c>
      <c r="K193" t="n">
        <v>726.430521</v>
      </c>
      <c r="L193" t="n">
        <v>2160.134294</v>
      </c>
      <c r="M193" t="n">
        <v>2160.134294</v>
      </c>
      <c r="N193" t="n">
        <v>2160.134294</v>
      </c>
      <c r="O193" t="n">
        <v>1714.41623</v>
      </c>
      <c r="P193" t="n">
        <v>507.780375</v>
      </c>
      <c r="Q193" t="n">
        <v>2160.134294</v>
      </c>
      <c r="R193" t="n">
        <v>1795384.471462</v>
      </c>
      <c r="S193" t="n">
        <v>1714.41623</v>
      </c>
      <c r="T193" t="n">
        <v>15523021.978962</v>
      </c>
      <c r="U193" t="n">
        <v>507.780375</v>
      </c>
      <c r="V193" t="n">
        <v>361623540.311127</v>
      </c>
      <c r="W193" t="n">
        <v>2798.965662</v>
      </c>
      <c r="X193" t="n">
        <v>2890.070964</v>
      </c>
      <c r="Y193" t="n">
        <v>143.6356</v>
      </c>
      <c r="Z193" t="n">
        <v>293.771321</v>
      </c>
    </row>
    <row r="194" ht="21" customHeight="1">
      <c r="A194" t="inlineStr">
        <is>
          <t>Octopus</t>
        </is>
      </c>
      <c r="B194" t="n">
        <v>3.8</v>
      </c>
      <c r="C194" t="n">
        <v>630.957344</v>
      </c>
      <c r="D194" s="10" t="inlineStr">
        <is>
          <t>Cephalopods</t>
        </is>
      </c>
      <c r="E194" t="n">
        <v>276.665746</v>
      </c>
      <c r="F194" t="n">
        <v>990.119511</v>
      </c>
      <c r="G194" t="n">
        <v>598.369015</v>
      </c>
      <c r="H194" t="n">
        <v>1346.233095</v>
      </c>
      <c r="I194" t="n">
        <v>376.93677</v>
      </c>
      <c r="J194" t="n">
        <v>457.544762</v>
      </c>
      <c r="K194" t="n">
        <v>411.790286</v>
      </c>
      <c r="L194" t="n">
        <v>1154.79452</v>
      </c>
      <c r="M194" t="n">
        <v>1154.79452</v>
      </c>
      <c r="N194" t="n">
        <v>1154.79452</v>
      </c>
      <c r="O194" t="n">
        <v>883.361743</v>
      </c>
      <c r="P194" t="n">
        <v>288.682294</v>
      </c>
      <c r="Q194" t="n">
        <v>1154.79452</v>
      </c>
      <c r="R194" t="n">
        <v>-29810.748817</v>
      </c>
      <c r="S194" t="n">
        <v>883.361743</v>
      </c>
      <c r="T194" t="n">
        <v>-4388.856367</v>
      </c>
      <c r="U194" t="n">
        <v>288.682294</v>
      </c>
      <c r="V194" t="n">
        <v>-67924.848461</v>
      </c>
      <c r="W194" t="n">
        <v>1393.755014</v>
      </c>
      <c r="X194" t="n">
        <v>1512.277541</v>
      </c>
      <c r="Y194" t="n">
        <v>138.403273</v>
      </c>
      <c r="Z194" t="n">
        <v>209.32439</v>
      </c>
    </row>
    <row r="195" ht="21" customHeight="1">
      <c r="A195" t="inlineStr">
        <is>
          <t>Penaeus japonicus</t>
        </is>
      </c>
      <c r="B195" t="n">
        <v>2.7</v>
      </c>
      <c r="C195" t="n">
        <v>50.118723</v>
      </c>
      <c r="D195" s="10" t="inlineStr">
        <is>
          <t>2 Crustaceans | 3 Crustaceans</t>
        </is>
      </c>
      <c r="E195" t="n">
        <v>276.665746</v>
      </c>
      <c r="F195" t="n">
        <v>87.346446</v>
      </c>
      <c r="G195" t="n">
        <v>62.825827</v>
      </c>
      <c r="H195" t="n">
        <v>62.583797</v>
      </c>
      <c r="I195" t="n">
        <v>49.059783</v>
      </c>
      <c r="J195" t="n">
        <v>49.059783</v>
      </c>
      <c r="K195" t="n">
        <v>45.848307</v>
      </c>
      <c r="L195" t="n">
        <v>88.61683499999999</v>
      </c>
      <c r="M195" t="n">
        <v>88.61683499999999</v>
      </c>
      <c r="N195" t="n">
        <v>88.61683499999999</v>
      </c>
      <c r="O195" t="n">
        <v>112.736869</v>
      </c>
      <c r="P195" t="n">
        <v>69.749027</v>
      </c>
      <c r="Q195" t="n">
        <v>88.61683499999999</v>
      </c>
      <c r="R195" t="n">
        <v>88.61683499999999</v>
      </c>
      <c r="S195" t="n">
        <v>112.736869</v>
      </c>
      <c r="T195" t="n">
        <v>18.000131</v>
      </c>
      <c r="U195" t="n">
        <v>69.749027</v>
      </c>
      <c r="V195" t="n">
        <v>77.336753</v>
      </c>
      <c r="W195" t="n">
        <v>138.030843</v>
      </c>
      <c r="X195" t="n">
        <v>98.46392899999999</v>
      </c>
      <c r="Y195" t="n">
        <v>24.163479</v>
      </c>
      <c r="Z195" t="n">
        <v>23.495104</v>
      </c>
    </row>
    <row r="196" ht="21" customHeight="1">
      <c r="A196" t="inlineStr">
        <is>
          <t>Anchoviella</t>
        </is>
      </c>
      <c r="B196" t="n">
        <v>3.18</v>
      </c>
      <c r="C196" t="n">
        <v>151.356125</v>
      </c>
      <c r="D196" s="10" t="inlineStr">
        <is>
          <t>2 S pelagics | 3 S pelagics</t>
        </is>
      </c>
      <c r="E196" t="n">
        <v>276.665746</v>
      </c>
      <c r="F196" t="n">
        <v>140.109476</v>
      </c>
      <c r="G196" t="n">
        <v>97.63290000000001</v>
      </c>
      <c r="H196" t="n">
        <v>192.530385</v>
      </c>
      <c r="I196" t="n">
        <v>80.840119</v>
      </c>
      <c r="J196" t="n">
        <v>105.744532</v>
      </c>
      <c r="K196" t="n">
        <v>98.71770100000001</v>
      </c>
      <c r="L196" t="n">
        <v>234.01812</v>
      </c>
      <c r="M196" t="n">
        <v>234.01812</v>
      </c>
      <c r="N196" t="n">
        <v>234.01812</v>
      </c>
      <c r="O196" t="n">
        <v>202.793183</v>
      </c>
      <c r="P196" t="n">
        <v>80.12592100000001</v>
      </c>
      <c r="Q196" t="n">
        <v>234.01812</v>
      </c>
      <c r="R196" t="n">
        <v>-33882.555745</v>
      </c>
      <c r="S196" t="n">
        <v>202.793183</v>
      </c>
      <c r="T196" t="n">
        <v>227994.620435</v>
      </c>
      <c r="U196" t="n">
        <v>80.12592100000001</v>
      </c>
      <c r="V196" t="n">
        <v>-5095004.477163</v>
      </c>
      <c r="W196" t="n">
        <v>296.324343</v>
      </c>
      <c r="X196" t="n">
        <v>299.160007</v>
      </c>
      <c r="Y196" t="n">
        <v>34.1744</v>
      </c>
      <c r="Z196" t="n">
        <v>48.359224</v>
      </c>
    </row>
    <row r="197" ht="21" customHeight="1">
      <c r="A197" t="inlineStr">
        <is>
          <t>Mierspenaeopsis sculptilis</t>
        </is>
      </c>
      <c r="B197" t="n">
        <v>2.71</v>
      </c>
      <c r="C197" t="n">
        <v>51.286138</v>
      </c>
      <c r="D197" s="10" t="inlineStr">
        <is>
          <t>2 Crustaceans | 3 Crustaceans</t>
        </is>
      </c>
      <c r="E197" t="n">
        <v>276.665746</v>
      </c>
      <c r="F197" t="n">
        <v>87.346446</v>
      </c>
      <c r="G197" t="n">
        <v>62.825827</v>
      </c>
      <c r="H197" t="n">
        <v>62.583797</v>
      </c>
      <c r="I197" t="n">
        <v>49.059783</v>
      </c>
      <c r="J197" t="n">
        <v>49.059783</v>
      </c>
      <c r="K197" t="n">
        <v>45.848307</v>
      </c>
      <c r="L197" t="n">
        <v>88.61683499999999</v>
      </c>
      <c r="M197" t="n">
        <v>88.61683499999999</v>
      </c>
      <c r="N197" t="n">
        <v>88.61683499999999</v>
      </c>
      <c r="O197" t="n">
        <v>112.736869</v>
      </c>
      <c r="P197" t="n">
        <v>69.749027</v>
      </c>
      <c r="Q197" t="n">
        <v>88.61683499999999</v>
      </c>
      <c r="R197" t="n">
        <v>88.61683499999999</v>
      </c>
      <c r="S197" t="n">
        <v>112.736869</v>
      </c>
      <c r="T197" t="n">
        <v>18.000131</v>
      </c>
      <c r="U197" t="n">
        <v>69.749027</v>
      </c>
      <c r="V197" t="n">
        <v>77.336753</v>
      </c>
      <c r="W197" t="n">
        <v>138.030843</v>
      </c>
      <c r="X197" t="n">
        <v>98.46392899999999</v>
      </c>
      <c r="Y197" t="n">
        <v>24.163479</v>
      </c>
      <c r="Z197" t="n">
        <v>23.495104</v>
      </c>
    </row>
    <row r="198" ht="21" customHeight="1">
      <c r="A198" t="inlineStr">
        <is>
          <t>Holothuroidea</t>
        </is>
      </c>
      <c r="B198" t="n">
        <v>2</v>
      </c>
      <c r="C198" t="n">
        <v>10</v>
      </c>
      <c r="D198" s="10" t="inlineStr">
        <is>
          <t>2 Macrobenthos | 3 Macrobenthos</t>
        </is>
      </c>
      <c r="E198" t="n">
        <v>276.665746</v>
      </c>
      <c r="F198" t="n">
        <v>43.212782</v>
      </c>
      <c r="G198" t="n">
        <v>32.623281</v>
      </c>
      <c r="H198" t="n">
        <v>41.368719</v>
      </c>
      <c r="I198" t="n">
        <v>34.461512</v>
      </c>
      <c r="J198" t="n">
        <v>34.461512</v>
      </c>
      <c r="K198" t="n">
        <v>31.432014</v>
      </c>
      <c r="L198" t="n">
        <v>106.719149</v>
      </c>
      <c r="M198" t="n">
        <v>106.719149</v>
      </c>
      <c r="N198" t="n">
        <v>106.719149</v>
      </c>
      <c r="O198" t="n">
        <v>113.412456</v>
      </c>
      <c r="P198" t="n">
        <v>57.717594</v>
      </c>
      <c r="Q198" t="n">
        <v>106.719149</v>
      </c>
      <c r="R198" t="n">
        <v>106.719149</v>
      </c>
      <c r="S198" t="n">
        <v>113.412456</v>
      </c>
      <c r="T198" t="n">
        <v>25.029149</v>
      </c>
      <c r="U198" t="n">
        <v>57.717594</v>
      </c>
      <c r="V198" t="n">
        <v>63.584441</v>
      </c>
      <c r="W198" t="n">
        <v>206.884057</v>
      </c>
      <c r="X198" t="n">
        <v>165.070073</v>
      </c>
      <c r="Y198" t="n">
        <v>14.477738</v>
      </c>
      <c r="Z198" t="n">
        <v>16.337529</v>
      </c>
    </row>
    <row r="199" ht="21" customHeight="1">
      <c r="A199" t="inlineStr">
        <is>
          <t>Octopoda</t>
        </is>
      </c>
      <c r="B199" t="n">
        <v>3.58</v>
      </c>
      <c r="C199" t="n">
        <v>380.189396</v>
      </c>
      <c r="D199" s="10" t="inlineStr">
        <is>
          <t>Cephalopods</t>
        </is>
      </c>
      <c r="E199" t="n">
        <v>276.665746</v>
      </c>
      <c r="F199" t="n">
        <v>990.119511</v>
      </c>
      <c r="G199" t="n">
        <v>598.369015</v>
      </c>
      <c r="H199" t="n">
        <v>1346.233095</v>
      </c>
      <c r="I199" t="n">
        <v>376.93677</v>
      </c>
      <c r="J199" t="n">
        <v>457.544762</v>
      </c>
      <c r="K199" t="n">
        <v>411.790286</v>
      </c>
      <c r="L199" t="n">
        <v>1154.79452</v>
      </c>
      <c r="M199" t="n">
        <v>1154.79452</v>
      </c>
      <c r="N199" t="n">
        <v>1154.79452</v>
      </c>
      <c r="O199" t="n">
        <v>883.361743</v>
      </c>
      <c r="P199" t="n">
        <v>288.682294</v>
      </c>
      <c r="Q199" t="n">
        <v>1154.79452</v>
      </c>
      <c r="R199" t="n">
        <v>-29810.748817</v>
      </c>
      <c r="S199" t="n">
        <v>883.361743</v>
      </c>
      <c r="T199" t="n">
        <v>-4388.856367</v>
      </c>
      <c r="U199" t="n">
        <v>288.682294</v>
      </c>
      <c r="V199" t="n">
        <v>-67924.848461</v>
      </c>
      <c r="W199" t="n">
        <v>1393.755014</v>
      </c>
      <c r="X199" t="n">
        <v>1512.277541</v>
      </c>
      <c r="Y199" t="n">
        <v>138.403273</v>
      </c>
      <c r="Z199" t="n">
        <v>209.32439</v>
      </c>
    </row>
    <row r="200" ht="21" customHeight="1">
      <c r="A200" t="inlineStr">
        <is>
          <t>Scyphozoa</t>
        </is>
      </c>
      <c r="D200" s="10" t="inlineStr">
        <is>
          <t>Jellyfish</t>
        </is>
      </c>
      <c r="E200" t="n">
        <v>276.665746</v>
      </c>
      <c r="F200" t="n">
        <v>100</v>
      </c>
      <c r="G200" t="n">
        <v>71.445972</v>
      </c>
      <c r="H200" t="n">
        <v>71.445972</v>
      </c>
      <c r="I200" t="n">
        <v>392.817059</v>
      </c>
      <c r="J200" t="n">
        <v>392.817059</v>
      </c>
      <c r="K200" t="n">
        <v>25.925926</v>
      </c>
      <c r="L200" t="n">
        <v>392.817059</v>
      </c>
      <c r="M200" t="n">
        <v>392.817059</v>
      </c>
      <c r="N200" t="n">
        <v>392.817059</v>
      </c>
      <c r="O200" t="n">
        <v>15.555556</v>
      </c>
      <c r="P200" t="n">
        <v>9.955556</v>
      </c>
      <c r="Q200" t="n">
        <v>392.817059</v>
      </c>
      <c r="R200" t="n">
        <v>392.817059</v>
      </c>
      <c r="S200" t="n">
        <v>15.555556</v>
      </c>
      <c r="T200" t="n">
        <v>15.555556</v>
      </c>
      <c r="U200" t="n">
        <v>9.955556</v>
      </c>
      <c r="V200" t="n">
        <v>9.955556</v>
      </c>
      <c r="W200" t="n">
        <v>15.908519</v>
      </c>
      <c r="X200" t="n">
        <v>405.819791</v>
      </c>
      <c r="Y200" t="n">
        <v>26.883496</v>
      </c>
      <c r="Z200" t="n">
        <v>26.883496</v>
      </c>
    </row>
    <row r="201" ht="21" customHeight="1">
      <c r="A201" t="inlineStr">
        <is>
          <t>Siganus canaliculatus</t>
        </is>
      </c>
      <c r="B201" t="n">
        <v>2.76</v>
      </c>
      <c r="C201" t="n">
        <v>57.543994</v>
      </c>
      <c r="D201" s="10" t="inlineStr">
        <is>
          <t>2 SM inv | 3 SM inv</t>
        </is>
      </c>
      <c r="E201" t="n">
        <v>276.665746</v>
      </c>
      <c r="F201" t="n">
        <v>195.237034</v>
      </c>
      <c r="G201" t="n">
        <v>132.430212</v>
      </c>
      <c r="H201" t="n">
        <v>264.43232</v>
      </c>
      <c r="I201" t="n">
        <v>118.903546</v>
      </c>
      <c r="J201" t="n">
        <v>136.120138</v>
      </c>
      <c r="K201" t="n">
        <v>127.344134</v>
      </c>
      <c r="L201" t="n">
        <v>358.382548</v>
      </c>
      <c r="M201" t="n">
        <v>358.382548</v>
      </c>
      <c r="N201" t="n">
        <v>358.382548</v>
      </c>
      <c r="O201" t="n">
        <v>341.399299</v>
      </c>
      <c r="P201" t="n">
        <v>140.115469</v>
      </c>
      <c r="Q201" t="n">
        <v>358.382548</v>
      </c>
      <c r="R201" t="n">
        <v>6457.458436</v>
      </c>
      <c r="S201" t="n">
        <v>341.399299</v>
      </c>
      <c r="T201" t="n">
        <v>179529.737596</v>
      </c>
      <c r="U201" t="n">
        <v>140.115469</v>
      </c>
      <c r="V201" t="n">
        <v>-303793.842089</v>
      </c>
      <c r="W201" t="n">
        <v>574.006718</v>
      </c>
      <c r="X201" t="n">
        <v>502.703783</v>
      </c>
      <c r="Y201" t="n">
        <v>42.955466</v>
      </c>
      <c r="Z201" t="n">
        <v>65.030467</v>
      </c>
    </row>
    <row r="202" ht="21" customHeight="1">
      <c r="A202" t="inlineStr">
        <is>
          <t>Chirocentrus nudus</t>
        </is>
      </c>
      <c r="B202" t="n">
        <v>4.19</v>
      </c>
      <c r="C202" t="n">
        <v>1548.816619</v>
      </c>
      <c r="D202" s="10" t="inlineStr">
        <is>
          <t>2 L pisc | 3 L pisc</t>
        </is>
      </c>
      <c r="E202" t="n">
        <v>276.665746</v>
      </c>
      <c r="F202" t="n">
        <v>1671.644897</v>
      </c>
      <c r="G202" t="n">
        <v>968.768055</v>
      </c>
      <c r="H202" t="n">
        <v>4318.024466</v>
      </c>
      <c r="I202" t="n">
        <v>1003.379133</v>
      </c>
      <c r="J202" t="n">
        <v>1189.735453</v>
      </c>
      <c r="K202" t="n">
        <v>1070.761907</v>
      </c>
      <c r="L202" t="n">
        <v>3541.417618</v>
      </c>
      <c r="M202" t="n">
        <v>3541.417618</v>
      </c>
      <c r="N202" t="n">
        <v>3541.417618</v>
      </c>
      <c r="O202" t="n">
        <v>2538.082167</v>
      </c>
      <c r="P202" t="n">
        <v>681.673862</v>
      </c>
      <c r="Q202" t="n">
        <v>3541.417618</v>
      </c>
      <c r="R202" t="n">
        <v>62682.288429</v>
      </c>
      <c r="S202" t="n">
        <v>2538.082167</v>
      </c>
      <c r="T202" t="n">
        <v>4712584.866078</v>
      </c>
      <c r="U202" t="n">
        <v>681.673862</v>
      </c>
      <c r="V202" t="n">
        <v>8783084984.919691</v>
      </c>
      <c r="W202" t="n">
        <v>4084.080603</v>
      </c>
      <c r="X202" t="n">
        <v>4708.141648</v>
      </c>
      <c r="Y202" t="n">
        <v>198.988407</v>
      </c>
      <c r="Z202" t="n">
        <v>443.151943</v>
      </c>
    </row>
    <row r="203" ht="36" customHeight="1">
      <c r="A203" t="inlineStr">
        <is>
          <t>Pleuronectiformes</t>
        </is>
      </c>
      <c r="B203" t="n">
        <v>3.57</v>
      </c>
      <c r="C203" t="n">
        <v>371.535229</v>
      </c>
      <c r="D203" s="10" t="inlineStr">
        <is>
          <t>2 SM inv | 3 SM inv | 2 SM pisc | 3 SM pisc</t>
        </is>
      </c>
      <c r="E203" t="n">
        <v>276.665746</v>
      </c>
      <c r="F203" t="n">
        <v>427.369702</v>
      </c>
      <c r="G203" t="n">
        <v>269.84413</v>
      </c>
      <c r="H203" t="n">
        <v>443.756536</v>
      </c>
      <c r="I203" t="n">
        <v>168.948054</v>
      </c>
      <c r="J203" t="n">
        <v>212.584332</v>
      </c>
      <c r="K203" t="n">
        <v>200.830906</v>
      </c>
      <c r="L203" t="n">
        <v>614.42837</v>
      </c>
      <c r="M203" t="n">
        <v>614.42837</v>
      </c>
      <c r="N203" t="n">
        <v>614.42837</v>
      </c>
      <c r="O203" t="n">
        <v>556.996771</v>
      </c>
      <c r="P203" t="n">
        <v>206.209362</v>
      </c>
      <c r="Q203" t="n">
        <v>614.42837</v>
      </c>
      <c r="R203" t="n">
        <v>7924.080486</v>
      </c>
      <c r="S203" t="n">
        <v>556.996771</v>
      </c>
      <c r="T203" t="n">
        <v>390658.899708</v>
      </c>
      <c r="U203" t="n">
        <v>206.209362</v>
      </c>
      <c r="V203" t="n">
        <v>-7413089.601009</v>
      </c>
      <c r="W203" t="n">
        <v>896.1385289999999</v>
      </c>
      <c r="X203" t="n">
        <v>833.0179419999999</v>
      </c>
      <c r="Y203" t="n">
        <v>71.924037</v>
      </c>
      <c r="Z203" t="n">
        <v>93.64658300000001</v>
      </c>
    </row>
    <row r="204" ht="21" customHeight="1">
      <c r="A204" t="inlineStr">
        <is>
          <t>Elagatis bipinnulata</t>
        </is>
      </c>
      <c r="B204" t="n">
        <v>4.27</v>
      </c>
      <c r="C204" t="n">
        <v>1862.087137</v>
      </c>
      <c r="D204" s="10" t="inlineStr">
        <is>
          <t>2 Carangids | 3 Carangids</t>
        </is>
      </c>
      <c r="E204" t="n">
        <v>276.665746</v>
      </c>
      <c r="F204" t="n">
        <v>1047.559324</v>
      </c>
      <c r="G204" t="n">
        <v>629.821299</v>
      </c>
      <c r="H204" t="n">
        <v>2236.955926</v>
      </c>
      <c r="I204" t="n">
        <v>640.844159</v>
      </c>
      <c r="J204" t="n">
        <v>754.590569</v>
      </c>
      <c r="K204" t="n">
        <v>726.430521</v>
      </c>
      <c r="L204" t="n">
        <v>2160.134294</v>
      </c>
      <c r="M204" t="n">
        <v>2160.134294</v>
      </c>
      <c r="N204" t="n">
        <v>2160.134294</v>
      </c>
      <c r="O204" t="n">
        <v>1714.41623</v>
      </c>
      <c r="P204" t="n">
        <v>507.780375</v>
      </c>
      <c r="Q204" t="n">
        <v>2160.134294</v>
      </c>
      <c r="R204" t="n">
        <v>1795384.471462</v>
      </c>
      <c r="S204" t="n">
        <v>1714.41623</v>
      </c>
      <c r="T204" t="n">
        <v>15523021.978962</v>
      </c>
      <c r="U204" t="n">
        <v>507.780375</v>
      </c>
      <c r="V204" t="n">
        <v>361623540.311127</v>
      </c>
      <c r="W204" t="n">
        <v>2798.965662</v>
      </c>
      <c r="X204" t="n">
        <v>2890.070964</v>
      </c>
      <c r="Y204" t="n">
        <v>143.6356</v>
      </c>
      <c r="Z204" t="n">
        <v>293.771321</v>
      </c>
    </row>
    <row r="205" ht="21" customHeight="1">
      <c r="A205" t="inlineStr">
        <is>
          <t>Gerres</t>
        </is>
      </c>
      <c r="B205" t="n">
        <v>3.27</v>
      </c>
      <c r="C205" t="n">
        <v>186.208714</v>
      </c>
      <c r="D205" s="10" t="inlineStr">
        <is>
          <t>2 SM inv | 3 SM inv</t>
        </is>
      </c>
      <c r="E205" t="n">
        <v>276.665746</v>
      </c>
      <c r="F205" t="n">
        <v>195.237034</v>
      </c>
      <c r="G205" t="n">
        <v>132.430212</v>
      </c>
      <c r="H205" t="n">
        <v>264.43232</v>
      </c>
      <c r="I205" t="n">
        <v>118.903546</v>
      </c>
      <c r="J205" t="n">
        <v>136.120138</v>
      </c>
      <c r="K205" t="n">
        <v>127.344134</v>
      </c>
      <c r="L205" t="n">
        <v>358.382548</v>
      </c>
      <c r="M205" t="n">
        <v>358.382548</v>
      </c>
      <c r="N205" t="n">
        <v>358.382548</v>
      </c>
      <c r="O205" t="n">
        <v>341.399299</v>
      </c>
      <c r="P205" t="n">
        <v>140.115469</v>
      </c>
      <c r="Q205" t="n">
        <v>358.382548</v>
      </c>
      <c r="R205" t="n">
        <v>6457.458436</v>
      </c>
      <c r="S205" t="n">
        <v>341.399299</v>
      </c>
      <c r="T205" t="n">
        <v>179529.737596</v>
      </c>
      <c r="U205" t="n">
        <v>140.115469</v>
      </c>
      <c r="V205" t="n">
        <v>-303793.842089</v>
      </c>
      <c r="W205" t="n">
        <v>574.006718</v>
      </c>
      <c r="X205" t="n">
        <v>502.703783</v>
      </c>
      <c r="Y205" t="n">
        <v>42.955466</v>
      </c>
      <c r="Z205" t="n">
        <v>65.030467</v>
      </c>
    </row>
    <row r="206" ht="21" customHeight="1">
      <c r="A206" t="inlineStr">
        <is>
          <t>Perna viridis</t>
        </is>
      </c>
      <c r="B206" t="n">
        <v>2</v>
      </c>
      <c r="C206" t="n">
        <v>10</v>
      </c>
      <c r="D206" s="10" t="inlineStr">
        <is>
          <t>2 Macrobenthos | 3 Macrobenthos</t>
        </is>
      </c>
      <c r="E206" t="n">
        <v>276.665746</v>
      </c>
      <c r="F206" t="n">
        <v>43.212782</v>
      </c>
      <c r="G206" t="n">
        <v>32.623281</v>
      </c>
      <c r="H206" t="n">
        <v>41.368719</v>
      </c>
      <c r="I206" t="n">
        <v>34.461512</v>
      </c>
      <c r="J206" t="n">
        <v>34.461512</v>
      </c>
      <c r="K206" t="n">
        <v>31.432014</v>
      </c>
      <c r="L206" t="n">
        <v>106.719149</v>
      </c>
      <c r="M206" t="n">
        <v>106.719149</v>
      </c>
      <c r="N206" t="n">
        <v>106.719149</v>
      </c>
      <c r="O206" t="n">
        <v>113.412456</v>
      </c>
      <c r="P206" t="n">
        <v>57.717594</v>
      </c>
      <c r="Q206" t="n">
        <v>106.719149</v>
      </c>
      <c r="R206" t="n">
        <v>106.719149</v>
      </c>
      <c r="S206" t="n">
        <v>113.412456</v>
      </c>
      <c r="T206" t="n">
        <v>25.029149</v>
      </c>
      <c r="U206" t="n">
        <v>57.717594</v>
      </c>
      <c r="V206" t="n">
        <v>63.584441</v>
      </c>
      <c r="W206" t="n">
        <v>206.884057</v>
      </c>
      <c r="X206" t="n">
        <v>165.070073</v>
      </c>
      <c r="Y206" t="n">
        <v>14.477738</v>
      </c>
      <c r="Z206" t="n">
        <v>16.337529</v>
      </c>
    </row>
    <row r="207" ht="21" customHeight="1">
      <c r="A207" t="inlineStr">
        <is>
          <t>Solenocera crassicornis</t>
        </is>
      </c>
      <c r="B207" t="n">
        <v>2.2</v>
      </c>
      <c r="C207" t="n">
        <v>15.848932</v>
      </c>
      <c r="D207" s="10" t="inlineStr">
        <is>
          <t>2 Crustaceans | 3 Crustaceans</t>
        </is>
      </c>
      <c r="E207" t="n">
        <v>276.665746</v>
      </c>
      <c r="F207" t="n">
        <v>87.346446</v>
      </c>
      <c r="G207" t="n">
        <v>62.825827</v>
      </c>
      <c r="H207" t="n">
        <v>62.583797</v>
      </c>
      <c r="I207" t="n">
        <v>49.059783</v>
      </c>
      <c r="J207" t="n">
        <v>49.059783</v>
      </c>
      <c r="K207" t="n">
        <v>45.848307</v>
      </c>
      <c r="L207" t="n">
        <v>88.61683499999999</v>
      </c>
      <c r="M207" t="n">
        <v>88.61683499999999</v>
      </c>
      <c r="N207" t="n">
        <v>88.61683499999999</v>
      </c>
      <c r="O207" t="n">
        <v>112.736869</v>
      </c>
      <c r="P207" t="n">
        <v>69.749027</v>
      </c>
      <c r="Q207" t="n">
        <v>88.61683499999999</v>
      </c>
      <c r="R207" t="n">
        <v>88.61683499999999</v>
      </c>
      <c r="S207" t="n">
        <v>112.736869</v>
      </c>
      <c r="T207" t="n">
        <v>18.000131</v>
      </c>
      <c r="U207" t="n">
        <v>69.749027</v>
      </c>
      <c r="V207" t="n">
        <v>77.336753</v>
      </c>
      <c r="W207" t="n">
        <v>138.030843</v>
      </c>
      <c r="X207" t="n">
        <v>98.46392899999999</v>
      </c>
      <c r="Y207" t="n">
        <v>24.163479</v>
      </c>
      <c r="Z207" t="n">
        <v>23.495104</v>
      </c>
    </row>
    <row r="208" ht="21" customHeight="1">
      <c r="A208" t="inlineStr">
        <is>
          <t>Platycephalus indicus</t>
        </is>
      </c>
      <c r="B208" t="n">
        <v>3.6</v>
      </c>
      <c r="C208" t="n">
        <v>398.107171</v>
      </c>
      <c r="D208" s="10" t="inlineStr">
        <is>
          <t>2 L pisc | 3 L pisc</t>
        </is>
      </c>
      <c r="E208" t="n">
        <v>276.665746</v>
      </c>
      <c r="F208" t="n">
        <v>1671.644897</v>
      </c>
      <c r="G208" t="n">
        <v>968.768055</v>
      </c>
      <c r="H208" t="n">
        <v>4318.024466</v>
      </c>
      <c r="I208" t="n">
        <v>1003.379133</v>
      </c>
      <c r="J208" t="n">
        <v>1189.735453</v>
      </c>
      <c r="K208" t="n">
        <v>1070.761907</v>
      </c>
      <c r="L208" t="n">
        <v>3541.417618</v>
      </c>
      <c r="M208" t="n">
        <v>3541.417618</v>
      </c>
      <c r="N208" t="n">
        <v>3541.417618</v>
      </c>
      <c r="O208" t="n">
        <v>2538.082167</v>
      </c>
      <c r="P208" t="n">
        <v>681.673862</v>
      </c>
      <c r="Q208" t="n">
        <v>3541.417618</v>
      </c>
      <c r="R208" t="n">
        <v>62682.288429</v>
      </c>
      <c r="S208" t="n">
        <v>2538.082167</v>
      </c>
      <c r="T208" t="n">
        <v>4712584.866078</v>
      </c>
      <c r="U208" t="n">
        <v>681.673862</v>
      </c>
      <c r="V208" t="n">
        <v>8783084984.919691</v>
      </c>
      <c r="W208" t="n">
        <v>4084.080603</v>
      </c>
      <c r="X208" t="n">
        <v>4708.141648</v>
      </c>
      <c r="Y208" t="n">
        <v>198.988407</v>
      </c>
      <c r="Z208" t="n">
        <v>443.151943</v>
      </c>
    </row>
    <row r="209" ht="21" customHeight="1">
      <c r="A209" t="inlineStr">
        <is>
          <t>Scombroidei</t>
        </is>
      </c>
      <c r="B209" t="n">
        <v>4.2</v>
      </c>
      <c r="C209" t="n">
        <v>1584.893192</v>
      </c>
      <c r="D209" s="10" t="inlineStr">
        <is>
          <t>Tuna-like | Coastal scombrids</t>
        </is>
      </c>
      <c r="E209" t="n">
        <v>276.665746</v>
      </c>
      <c r="F209" t="n">
        <v>2361.691329</v>
      </c>
      <c r="G209" t="n">
        <v>1337.570793</v>
      </c>
      <c r="H209" t="n">
        <v>6112.341157</v>
      </c>
      <c r="I209" t="n">
        <v>1795.773011</v>
      </c>
      <c r="J209" t="n">
        <v>2116.03527</v>
      </c>
      <c r="K209" t="n">
        <v>1368.062305</v>
      </c>
      <c r="L209" t="n">
        <v>6173.254447</v>
      </c>
      <c r="M209" t="n">
        <v>6173.254447</v>
      </c>
      <c r="N209" t="n">
        <v>6173.254447</v>
      </c>
      <c r="O209" t="n">
        <v>3237.408762</v>
      </c>
      <c r="P209" t="n">
        <v>843.23725</v>
      </c>
      <c r="Q209" t="n">
        <v>6173.254447</v>
      </c>
      <c r="R209" t="n">
        <v>15604545.974131</v>
      </c>
      <c r="S209" t="n">
        <v>3237.408762</v>
      </c>
      <c r="T209" t="n">
        <v>-15902402.241927</v>
      </c>
      <c r="U209" t="n">
        <v>843.23725</v>
      </c>
      <c r="V209" t="n">
        <v>3.858116025919952e+16</v>
      </c>
      <c r="W209" t="n">
        <v>5245.477149</v>
      </c>
      <c r="X209" t="n">
        <v>8394.072516</v>
      </c>
      <c r="Y209" t="n">
        <v>256.538593</v>
      </c>
      <c r="Z209" t="n">
        <v>580.14031</v>
      </c>
    </row>
    <row r="210" ht="21" customHeight="1">
      <c r="A210" t="inlineStr">
        <is>
          <t>Dasyatidae</t>
        </is>
      </c>
      <c r="B210" t="n">
        <v>3.38</v>
      </c>
      <c r="C210" t="n">
        <v>239.883292</v>
      </c>
      <c r="D210" s="10" t="inlineStr">
        <is>
          <t>Coastal elasmobranch</t>
        </is>
      </c>
      <c r="E210" t="n">
        <v>276.665746</v>
      </c>
      <c r="F210" t="n">
        <v>1214.104792</v>
      </c>
      <c r="G210" t="n">
        <v>722.888243</v>
      </c>
      <c r="H210" t="n">
        <v>10114.101338</v>
      </c>
      <c r="I210" t="n">
        <v>2494.37346</v>
      </c>
      <c r="J210" t="n">
        <v>2719.859382</v>
      </c>
      <c r="K210" t="n">
        <v>2567.547256</v>
      </c>
      <c r="L210" t="n">
        <v>16997.641054</v>
      </c>
      <c r="M210" t="n">
        <v>16997.641054</v>
      </c>
      <c r="N210" t="n">
        <v>16997.641054</v>
      </c>
      <c r="O210" t="n">
        <v>9182.663503</v>
      </c>
      <c r="P210" t="n">
        <v>1862.532494</v>
      </c>
      <c r="Q210" t="n">
        <v>16997.641054</v>
      </c>
      <c r="R210" t="n">
        <v>95398056.213283</v>
      </c>
      <c r="S210" t="n">
        <v>9182.663503</v>
      </c>
      <c r="T210" t="n">
        <v>-5392414.250181</v>
      </c>
      <c r="U210" t="n">
        <v>1862.532494</v>
      </c>
      <c r="V210" t="n">
        <v>-8.614472647464927e+19</v>
      </c>
      <c r="W210" t="n">
        <v>15254.347201</v>
      </c>
      <c r="X210" t="n">
        <v>23723.705808</v>
      </c>
      <c r="Y210" t="n">
        <v>160.121668</v>
      </c>
      <c r="Z210" t="n">
        <v>657.545035</v>
      </c>
    </row>
    <row r="211" ht="36" customHeight="1">
      <c r="A211" t="inlineStr">
        <is>
          <t>Carcharhinidae</t>
        </is>
      </c>
      <c r="B211" t="n">
        <v>4.24</v>
      </c>
      <c r="C211" t="n">
        <v>1737.800829</v>
      </c>
      <c r="D211" s="10" t="inlineStr">
        <is>
          <t>Oceanic sharks | Coastal elasmobranch</t>
        </is>
      </c>
      <c r="E211" t="n">
        <v>276.665746</v>
      </c>
      <c r="F211" t="n">
        <v>1380.156554</v>
      </c>
      <c r="G211" t="n">
        <v>813.237349</v>
      </c>
      <c r="H211" t="n">
        <v>11688.066786</v>
      </c>
      <c r="I211" t="n">
        <v>3302.11378</v>
      </c>
      <c r="J211" t="n">
        <v>3753.764115</v>
      </c>
      <c r="K211" t="n">
        <v>2868.260753</v>
      </c>
      <c r="L211" t="n">
        <v>18853.580958</v>
      </c>
      <c r="M211" t="n">
        <v>18853.580958</v>
      </c>
      <c r="N211" t="n">
        <v>18853.580958</v>
      </c>
      <c r="O211" t="n">
        <v>9040.533485</v>
      </c>
      <c r="P211" t="n">
        <v>1862.18019</v>
      </c>
      <c r="Q211" t="n">
        <v>18853.580958</v>
      </c>
      <c r="R211" t="n">
        <v>94943203.22682799</v>
      </c>
      <c r="S211" t="n">
        <v>9040.533485</v>
      </c>
      <c r="T211" t="n">
        <v>-4557941.960348</v>
      </c>
      <c r="U211" t="n">
        <v>1862.18019</v>
      </c>
      <c r="V211" t="n">
        <v>-7.861118488044005e+19</v>
      </c>
      <c r="W211" t="n">
        <v>14987.301255</v>
      </c>
      <c r="X211" t="n">
        <v>26157.019993</v>
      </c>
      <c r="Y211" t="n">
        <v>174.929003</v>
      </c>
      <c r="Z211" t="n">
        <v>765.3479139999999</v>
      </c>
    </row>
    <row r="212" ht="36" customHeight="1">
      <c r="A212" t="inlineStr">
        <is>
          <t>Holocentridae</t>
        </is>
      </c>
      <c r="B212" t="n">
        <v>3.49</v>
      </c>
      <c r="C212" t="n">
        <v>309.029543</v>
      </c>
      <c r="D212" s="10" t="inlineStr">
        <is>
          <t>2 SM inv | 3 SM inv | 2 SM pisc | 3 SM pisc</t>
        </is>
      </c>
      <c r="E212" t="n">
        <v>276.665746</v>
      </c>
      <c r="F212" t="n">
        <v>427.369702</v>
      </c>
      <c r="G212" t="n">
        <v>269.84413</v>
      </c>
      <c r="H212" t="n">
        <v>443.756536</v>
      </c>
      <c r="I212" t="n">
        <v>168.948054</v>
      </c>
      <c r="J212" t="n">
        <v>212.584332</v>
      </c>
      <c r="K212" t="n">
        <v>200.830906</v>
      </c>
      <c r="L212" t="n">
        <v>614.42837</v>
      </c>
      <c r="M212" t="n">
        <v>614.42837</v>
      </c>
      <c r="N212" t="n">
        <v>614.42837</v>
      </c>
      <c r="O212" t="n">
        <v>556.996771</v>
      </c>
      <c r="P212" t="n">
        <v>206.209362</v>
      </c>
      <c r="Q212" t="n">
        <v>614.42837</v>
      </c>
      <c r="R212" t="n">
        <v>7924.080486</v>
      </c>
      <c r="S212" t="n">
        <v>556.996771</v>
      </c>
      <c r="T212" t="n">
        <v>390658.899708</v>
      </c>
      <c r="U212" t="n">
        <v>206.209362</v>
      </c>
      <c r="V212" t="n">
        <v>-7413089.601009</v>
      </c>
      <c r="W212" t="n">
        <v>896.1385289999999</v>
      </c>
      <c r="X212" t="n">
        <v>833.0179419999999</v>
      </c>
      <c r="Y212" t="n">
        <v>71.924037</v>
      </c>
      <c r="Z212" t="n">
        <v>93.64658300000001</v>
      </c>
    </row>
    <row r="213" ht="21" customHeight="1">
      <c r="A213" t="inlineStr">
        <is>
          <t>Scolopsis</t>
        </is>
      </c>
      <c r="B213" t="n">
        <v>3.3</v>
      </c>
      <c r="C213" t="n">
        <v>199.526231</v>
      </c>
      <c r="D213" s="10" t="inlineStr">
        <is>
          <t>2 SM pisc | 3 SM pisc</t>
        </is>
      </c>
      <c r="E213" t="n">
        <v>276.665746</v>
      </c>
      <c r="F213" t="n">
        <v>735.917019</v>
      </c>
      <c r="G213" t="n">
        <v>452.492682</v>
      </c>
      <c r="H213" t="n">
        <v>682.111639</v>
      </c>
      <c r="I213" t="n">
        <v>235.466475</v>
      </c>
      <c r="J213" t="n">
        <v>314.21941</v>
      </c>
      <c r="K213" t="n">
        <v>298.50844</v>
      </c>
      <c r="L213" t="n">
        <v>954.7607</v>
      </c>
      <c r="M213" t="n">
        <v>954.7607</v>
      </c>
      <c r="N213" t="n">
        <v>954.7607</v>
      </c>
      <c r="O213" t="n">
        <v>843.56575</v>
      </c>
      <c r="P213" t="n">
        <v>294.060389</v>
      </c>
      <c r="Q213" t="n">
        <v>954.7607</v>
      </c>
      <c r="R213" t="n">
        <v>9873.492876</v>
      </c>
      <c r="S213" t="n">
        <v>843.56575</v>
      </c>
      <c r="T213" t="n">
        <v>671288.666809</v>
      </c>
      <c r="U213" t="n">
        <v>294.060389</v>
      </c>
      <c r="V213" t="n">
        <v>-16862660.627203</v>
      </c>
      <c r="W213" t="n">
        <v>1324.31138</v>
      </c>
      <c r="X213" t="n">
        <v>1272.066649</v>
      </c>
      <c r="Y213" t="n">
        <v>110.428635</v>
      </c>
      <c r="Z213" t="n">
        <v>131.682702</v>
      </c>
    </row>
    <row r="214" ht="21" customHeight="1">
      <c r="A214" t="inlineStr">
        <is>
          <t>Paphia</t>
        </is>
      </c>
      <c r="B214" t="n">
        <v>2</v>
      </c>
      <c r="C214" t="n">
        <v>10</v>
      </c>
      <c r="D214" s="10" t="inlineStr">
        <is>
          <t>2 Macrobenthos | 3 Macrobenthos</t>
        </is>
      </c>
      <c r="E214" t="n">
        <v>276.665746</v>
      </c>
      <c r="F214" t="n">
        <v>43.212782</v>
      </c>
      <c r="G214" t="n">
        <v>32.623281</v>
      </c>
      <c r="H214" t="n">
        <v>41.368719</v>
      </c>
      <c r="I214" t="n">
        <v>34.461512</v>
      </c>
      <c r="J214" t="n">
        <v>34.461512</v>
      </c>
      <c r="K214" t="n">
        <v>31.432014</v>
      </c>
      <c r="L214" t="n">
        <v>106.719149</v>
      </c>
      <c r="M214" t="n">
        <v>106.719149</v>
      </c>
      <c r="N214" t="n">
        <v>106.719149</v>
      </c>
      <c r="O214" t="n">
        <v>113.412456</v>
      </c>
      <c r="P214" t="n">
        <v>57.717594</v>
      </c>
      <c r="Q214" t="n">
        <v>106.719149</v>
      </c>
      <c r="R214" t="n">
        <v>106.719149</v>
      </c>
      <c r="S214" t="n">
        <v>113.412456</v>
      </c>
      <c r="T214" t="n">
        <v>25.029149</v>
      </c>
      <c r="U214" t="n">
        <v>57.717594</v>
      </c>
      <c r="V214" t="n">
        <v>63.584441</v>
      </c>
      <c r="W214" t="n">
        <v>206.884057</v>
      </c>
      <c r="X214" t="n">
        <v>165.070073</v>
      </c>
      <c r="Y214" t="n">
        <v>14.477738</v>
      </c>
      <c r="Z214" t="n">
        <v>16.337529</v>
      </c>
    </row>
    <row r="215" ht="21" customHeight="1">
      <c r="A215" t="inlineStr">
        <is>
          <t>Mytilidae</t>
        </is>
      </c>
      <c r="B215" t="n">
        <v>2</v>
      </c>
      <c r="C215" t="n">
        <v>10</v>
      </c>
      <c r="D215" s="10" t="inlineStr">
        <is>
          <t>2 Macrobenthos | 3 Macrobenthos</t>
        </is>
      </c>
      <c r="E215" t="n">
        <v>276.665746</v>
      </c>
      <c r="F215" t="n">
        <v>43.212782</v>
      </c>
      <c r="G215" t="n">
        <v>32.623281</v>
      </c>
      <c r="H215" t="n">
        <v>41.368719</v>
      </c>
      <c r="I215" t="n">
        <v>34.461512</v>
      </c>
      <c r="J215" t="n">
        <v>34.461512</v>
      </c>
      <c r="K215" t="n">
        <v>31.432014</v>
      </c>
      <c r="L215" t="n">
        <v>106.719149</v>
      </c>
      <c r="M215" t="n">
        <v>106.719149</v>
      </c>
      <c r="N215" t="n">
        <v>106.719149</v>
      </c>
      <c r="O215" t="n">
        <v>113.412456</v>
      </c>
      <c r="P215" t="n">
        <v>57.717594</v>
      </c>
      <c r="Q215" t="n">
        <v>106.719149</v>
      </c>
      <c r="R215" t="n">
        <v>106.719149</v>
      </c>
      <c r="S215" t="n">
        <v>113.412456</v>
      </c>
      <c r="T215" t="n">
        <v>25.029149</v>
      </c>
      <c r="U215" t="n">
        <v>57.717594</v>
      </c>
      <c r="V215" t="n">
        <v>63.584441</v>
      </c>
      <c r="W215" t="n">
        <v>206.884057</v>
      </c>
      <c r="X215" t="n">
        <v>165.070073</v>
      </c>
      <c r="Y215" t="n">
        <v>14.477738</v>
      </c>
      <c r="Z215" t="n">
        <v>16.337529</v>
      </c>
    </row>
    <row r="216" ht="21" customHeight="1">
      <c r="A216" t="inlineStr">
        <is>
          <t>Gastropoda</t>
        </is>
      </c>
      <c r="B216" t="n">
        <v>3.06</v>
      </c>
      <c r="C216" t="n">
        <v>114.815362</v>
      </c>
      <c r="D216" s="10" t="inlineStr">
        <is>
          <t>2 Macrobenthos | 3 Macrobenthos</t>
        </is>
      </c>
      <c r="E216" t="n">
        <v>276.665746</v>
      </c>
      <c r="F216" t="n">
        <v>43.212782</v>
      </c>
      <c r="G216" t="n">
        <v>32.623281</v>
      </c>
      <c r="H216" t="n">
        <v>41.368719</v>
      </c>
      <c r="I216" t="n">
        <v>34.461512</v>
      </c>
      <c r="J216" t="n">
        <v>34.461512</v>
      </c>
      <c r="K216" t="n">
        <v>31.432014</v>
      </c>
      <c r="L216" t="n">
        <v>106.719149</v>
      </c>
      <c r="M216" t="n">
        <v>106.719149</v>
      </c>
      <c r="N216" t="n">
        <v>106.719149</v>
      </c>
      <c r="O216" t="n">
        <v>113.412456</v>
      </c>
      <c r="P216" t="n">
        <v>57.717594</v>
      </c>
      <c r="Q216" t="n">
        <v>106.719149</v>
      </c>
      <c r="R216" t="n">
        <v>106.719149</v>
      </c>
      <c r="S216" t="n">
        <v>113.412456</v>
      </c>
      <c r="T216" t="n">
        <v>25.029149</v>
      </c>
      <c r="U216" t="n">
        <v>57.717594</v>
      </c>
      <c r="V216" t="n">
        <v>63.584441</v>
      </c>
      <c r="W216" t="n">
        <v>206.884057</v>
      </c>
      <c r="X216" t="n">
        <v>165.070073</v>
      </c>
      <c r="Y216" t="n">
        <v>14.477738</v>
      </c>
      <c r="Z216" t="n">
        <v>16.337529</v>
      </c>
    </row>
    <row r="217" ht="21" customHeight="1">
      <c r="A217" t="inlineStr">
        <is>
          <t>Eleutheronema tetradactylum</t>
        </is>
      </c>
      <c r="B217" t="n">
        <v>4.06</v>
      </c>
      <c r="C217" t="n">
        <v>1148.153621</v>
      </c>
      <c r="D217" s="10" t="inlineStr">
        <is>
          <t>2 L pisc | 3 L pisc</t>
        </is>
      </c>
      <c r="E217" t="n">
        <v>276.665746</v>
      </c>
      <c r="F217" t="n">
        <v>1671.644897</v>
      </c>
      <c r="G217" t="n">
        <v>968.768055</v>
      </c>
      <c r="H217" t="n">
        <v>4318.024466</v>
      </c>
      <c r="I217" t="n">
        <v>1003.379133</v>
      </c>
      <c r="J217" t="n">
        <v>1189.735453</v>
      </c>
      <c r="K217" t="n">
        <v>1070.761907</v>
      </c>
      <c r="L217" t="n">
        <v>3541.417618</v>
      </c>
      <c r="M217" t="n">
        <v>3541.417618</v>
      </c>
      <c r="N217" t="n">
        <v>3541.417618</v>
      </c>
      <c r="O217" t="n">
        <v>2538.082167</v>
      </c>
      <c r="P217" t="n">
        <v>681.673862</v>
      </c>
      <c r="Q217" t="n">
        <v>3541.417618</v>
      </c>
      <c r="R217" t="n">
        <v>62682.288429</v>
      </c>
      <c r="S217" t="n">
        <v>2538.082167</v>
      </c>
      <c r="T217" t="n">
        <v>4712584.866078</v>
      </c>
      <c r="U217" t="n">
        <v>681.673862</v>
      </c>
      <c r="V217" t="n">
        <v>8783084984.919691</v>
      </c>
      <c r="W217" t="n">
        <v>4084.080603</v>
      </c>
      <c r="X217" t="n">
        <v>4708.141648</v>
      </c>
      <c r="Y217" t="n">
        <v>198.988407</v>
      </c>
      <c r="Z217" t="n">
        <v>443.151943</v>
      </c>
    </row>
    <row r="218" ht="21" customHeight="1">
      <c r="A218" t="inlineStr">
        <is>
          <t>Sphyrna</t>
        </is>
      </c>
      <c r="B218" t="n">
        <v>4.2</v>
      </c>
      <c r="C218" t="n">
        <v>1584.893192</v>
      </c>
      <c r="D218" s="10" t="inlineStr">
        <is>
          <t>Oceanic sharks</t>
        </is>
      </c>
      <c r="E218" t="n">
        <v>276.665746</v>
      </c>
      <c r="F218" t="n">
        <v>1757.235698</v>
      </c>
      <c r="G218" t="n">
        <v>1018.406889</v>
      </c>
      <c r="H218" t="n">
        <v>15262.31097</v>
      </c>
      <c r="I218" t="n">
        <v>5136.373322</v>
      </c>
      <c r="J218" t="n">
        <v>6101.609798</v>
      </c>
      <c r="K218" t="n">
        <v>3551.136902</v>
      </c>
      <c r="L218" t="n">
        <v>23068.147688</v>
      </c>
      <c r="M218" t="n">
        <v>23068.147688</v>
      </c>
      <c r="N218" t="n">
        <v>23068.147688</v>
      </c>
      <c r="O218" t="n">
        <v>8717.777107</v>
      </c>
      <c r="P218" t="n">
        <v>1861.38016</v>
      </c>
      <c r="Q218" t="n">
        <v>23068.147688</v>
      </c>
      <c r="R218" t="n">
        <v>93910298.950615</v>
      </c>
      <c r="S218" t="n">
        <v>8717.777107</v>
      </c>
      <c r="T218" t="n">
        <v>-2662978.044058</v>
      </c>
      <c r="U218" t="n">
        <v>1861.38016</v>
      </c>
      <c r="V218" t="n">
        <v>-6.150361922865892e+19</v>
      </c>
      <c r="W218" t="n">
        <v>14380.879162</v>
      </c>
      <c r="X218" t="n">
        <v>31682.718847</v>
      </c>
      <c r="Y218" t="n">
        <v>208.554284</v>
      </c>
      <c r="Z218" t="n">
        <v>1010.152404</v>
      </c>
    </row>
    <row r="219" ht="21" customHeight="1">
      <c r="A219" t="inlineStr">
        <is>
          <t>Thunnus alalunga</t>
        </is>
      </c>
      <c r="B219" t="n">
        <v>4.3</v>
      </c>
      <c r="C219" t="n">
        <v>1995.262315</v>
      </c>
      <c r="D219" s="10" t="inlineStr">
        <is>
          <t>Tuna-like</t>
        </is>
      </c>
      <c r="E219" t="n">
        <v>276.665746</v>
      </c>
      <c r="F219" t="n">
        <v>3650.332839</v>
      </c>
      <c r="G219" t="n">
        <v>2005.591894</v>
      </c>
      <c r="H219" t="n">
        <v>10195.617489</v>
      </c>
      <c r="I219" t="n">
        <v>2102.414308</v>
      </c>
      <c r="J219" t="n">
        <v>2472.563272</v>
      </c>
      <c r="K219" t="n">
        <v>2210.471565</v>
      </c>
      <c r="L219" t="n">
        <v>8472.950376000001</v>
      </c>
      <c r="M219" t="n">
        <v>8472.950376000001</v>
      </c>
      <c r="N219" t="n">
        <v>8472.950376000001</v>
      </c>
      <c r="O219" t="n">
        <v>5373.396262</v>
      </c>
      <c r="P219" t="n">
        <v>1271.175154</v>
      </c>
      <c r="Q219" t="n">
        <v>8472.950376000001</v>
      </c>
      <c r="R219" t="n">
        <v>11625502.426924</v>
      </c>
      <c r="S219" t="n">
        <v>5373.396262</v>
      </c>
      <c r="T219" t="n">
        <v>-571718.054743</v>
      </c>
      <c r="U219" t="n">
        <v>1271.175154</v>
      </c>
      <c r="V219" t="n">
        <v>-2164067390.718938</v>
      </c>
      <c r="W219" t="n">
        <v>8901.765899</v>
      </c>
      <c r="X219" t="n">
        <v>11377.133687</v>
      </c>
      <c r="Y219" t="n">
        <v>351.683283</v>
      </c>
      <c r="Z219" t="n">
        <v>848.5746820000001</v>
      </c>
    </row>
    <row r="220" ht="21" customHeight="1">
      <c r="A220" t="inlineStr">
        <is>
          <t>Caesio</t>
        </is>
      </c>
      <c r="B220" t="n">
        <v>3.4</v>
      </c>
      <c r="C220" t="n">
        <v>251.188643</v>
      </c>
      <c r="D220" s="10" t="inlineStr">
        <is>
          <t>2 SM inv | 3 SM inv</t>
        </is>
      </c>
      <c r="E220" t="n">
        <v>276.665746</v>
      </c>
      <c r="F220" t="n">
        <v>195.237034</v>
      </c>
      <c r="G220" t="n">
        <v>132.430212</v>
      </c>
      <c r="H220" t="n">
        <v>264.43232</v>
      </c>
      <c r="I220" t="n">
        <v>118.903546</v>
      </c>
      <c r="J220" t="n">
        <v>136.120138</v>
      </c>
      <c r="K220" t="n">
        <v>127.344134</v>
      </c>
      <c r="L220" t="n">
        <v>358.382548</v>
      </c>
      <c r="M220" t="n">
        <v>358.382548</v>
      </c>
      <c r="N220" t="n">
        <v>358.382548</v>
      </c>
      <c r="O220" t="n">
        <v>341.399299</v>
      </c>
      <c r="P220" t="n">
        <v>140.115469</v>
      </c>
      <c r="Q220" t="n">
        <v>358.382548</v>
      </c>
      <c r="R220" t="n">
        <v>6457.458436</v>
      </c>
      <c r="S220" t="n">
        <v>341.399299</v>
      </c>
      <c r="T220" t="n">
        <v>179529.737596</v>
      </c>
      <c r="U220" t="n">
        <v>140.115469</v>
      </c>
      <c r="V220" t="n">
        <v>-303793.842089</v>
      </c>
      <c r="W220" t="n">
        <v>574.006718</v>
      </c>
      <c r="X220" t="n">
        <v>502.703783</v>
      </c>
      <c r="Y220" t="n">
        <v>42.955466</v>
      </c>
      <c r="Z220" t="n">
        <v>65.030467</v>
      </c>
    </row>
    <row r="221" ht="21" customHeight="1">
      <c r="A221" t="inlineStr">
        <is>
          <t>Plectorhinchus</t>
        </is>
      </c>
      <c r="B221" t="n">
        <v>3.43</v>
      </c>
      <c r="C221" t="n">
        <v>269.15348</v>
      </c>
      <c r="D221" s="10" t="inlineStr">
        <is>
          <t>2 SM pisc | 3 SM pisc</t>
        </is>
      </c>
      <c r="E221" t="n">
        <v>276.665746</v>
      </c>
      <c r="F221" t="n">
        <v>735.917019</v>
      </c>
      <c r="G221" t="n">
        <v>452.492682</v>
      </c>
      <c r="H221" t="n">
        <v>682.111639</v>
      </c>
      <c r="I221" t="n">
        <v>235.466475</v>
      </c>
      <c r="J221" t="n">
        <v>314.21941</v>
      </c>
      <c r="K221" t="n">
        <v>298.50844</v>
      </c>
      <c r="L221" t="n">
        <v>954.7607</v>
      </c>
      <c r="M221" t="n">
        <v>954.7607</v>
      </c>
      <c r="N221" t="n">
        <v>954.7607</v>
      </c>
      <c r="O221" t="n">
        <v>843.56575</v>
      </c>
      <c r="P221" t="n">
        <v>294.060389</v>
      </c>
      <c r="Q221" t="n">
        <v>954.7607</v>
      </c>
      <c r="R221" t="n">
        <v>9873.492876</v>
      </c>
      <c r="S221" t="n">
        <v>843.56575</v>
      </c>
      <c r="T221" t="n">
        <v>671288.666809</v>
      </c>
      <c r="U221" t="n">
        <v>294.060389</v>
      </c>
      <c r="V221" t="n">
        <v>-16862660.627203</v>
      </c>
      <c r="W221" t="n">
        <v>1324.31138</v>
      </c>
      <c r="X221" t="n">
        <v>1272.066649</v>
      </c>
      <c r="Y221" t="n">
        <v>110.428635</v>
      </c>
      <c r="Z221" t="n">
        <v>131.682702</v>
      </c>
    </row>
    <row r="222" ht="21" customHeight="1">
      <c r="A222" t="inlineStr">
        <is>
          <t>Dussumieria elopsoides</t>
        </is>
      </c>
      <c r="B222" t="n">
        <v>3.4</v>
      </c>
      <c r="C222" t="n">
        <v>251.188643</v>
      </c>
      <c r="D222" s="10" t="inlineStr">
        <is>
          <t>2 S pelagics | 3 S pelagics</t>
        </is>
      </c>
      <c r="E222" t="n">
        <v>276.665746</v>
      </c>
      <c r="F222" t="n">
        <v>140.109476</v>
      </c>
      <c r="G222" t="n">
        <v>97.63290000000001</v>
      </c>
      <c r="H222" t="n">
        <v>192.530385</v>
      </c>
      <c r="I222" t="n">
        <v>80.840119</v>
      </c>
      <c r="J222" t="n">
        <v>105.744532</v>
      </c>
      <c r="K222" t="n">
        <v>98.71770100000001</v>
      </c>
      <c r="L222" t="n">
        <v>234.01812</v>
      </c>
      <c r="M222" t="n">
        <v>234.01812</v>
      </c>
      <c r="N222" t="n">
        <v>234.01812</v>
      </c>
      <c r="O222" t="n">
        <v>202.793183</v>
      </c>
      <c r="P222" t="n">
        <v>80.12592100000001</v>
      </c>
      <c r="Q222" t="n">
        <v>234.01812</v>
      </c>
      <c r="R222" t="n">
        <v>-33882.555745</v>
      </c>
      <c r="S222" t="n">
        <v>202.793183</v>
      </c>
      <c r="T222" t="n">
        <v>227994.620435</v>
      </c>
      <c r="U222" t="n">
        <v>80.12592100000001</v>
      </c>
      <c r="V222" t="n">
        <v>-5095004.477163</v>
      </c>
      <c r="W222" t="n">
        <v>296.324343</v>
      </c>
      <c r="X222" t="n">
        <v>299.160007</v>
      </c>
      <c r="Y222" t="n">
        <v>34.1744</v>
      </c>
      <c r="Z222" t="n">
        <v>48.359224</v>
      </c>
    </row>
    <row r="223" ht="21" customHeight="1">
      <c r="A223" t="inlineStr">
        <is>
          <t>Panulirus longipes</t>
        </is>
      </c>
      <c r="B223" t="n">
        <v>2.6</v>
      </c>
      <c r="C223" t="n">
        <v>39.810717</v>
      </c>
      <c r="D223" s="10" t="inlineStr">
        <is>
          <t>2 Crustaceans | 3 Crustaceans</t>
        </is>
      </c>
      <c r="E223" t="n">
        <v>276.665746</v>
      </c>
      <c r="F223" t="n">
        <v>87.346446</v>
      </c>
      <c r="G223" t="n">
        <v>62.825827</v>
      </c>
      <c r="H223" t="n">
        <v>62.583797</v>
      </c>
      <c r="I223" t="n">
        <v>49.059783</v>
      </c>
      <c r="J223" t="n">
        <v>49.059783</v>
      </c>
      <c r="K223" t="n">
        <v>45.848307</v>
      </c>
      <c r="L223" t="n">
        <v>88.61683499999999</v>
      </c>
      <c r="M223" t="n">
        <v>88.61683499999999</v>
      </c>
      <c r="N223" t="n">
        <v>88.61683499999999</v>
      </c>
      <c r="O223" t="n">
        <v>112.736869</v>
      </c>
      <c r="P223" t="n">
        <v>69.749027</v>
      </c>
      <c r="Q223" t="n">
        <v>88.61683499999999</v>
      </c>
      <c r="R223" t="n">
        <v>88.61683499999999</v>
      </c>
      <c r="S223" t="n">
        <v>112.736869</v>
      </c>
      <c r="T223" t="n">
        <v>18.000131</v>
      </c>
      <c r="U223" t="n">
        <v>69.749027</v>
      </c>
      <c r="V223" t="n">
        <v>77.336753</v>
      </c>
      <c r="W223" t="n">
        <v>138.030843</v>
      </c>
      <c r="X223" t="n">
        <v>98.46392899999999</v>
      </c>
      <c r="Y223" t="n">
        <v>24.163479</v>
      </c>
      <c r="Z223" t="n">
        <v>23.495104</v>
      </c>
    </row>
    <row r="224" ht="21" customHeight="1">
      <c r="A224" t="inlineStr">
        <is>
          <t>Pteriomorphia</t>
        </is>
      </c>
      <c r="B224" t="n">
        <v>2.27</v>
      </c>
      <c r="C224" t="n">
        <v>18.620871</v>
      </c>
      <c r="D224" s="10" t="inlineStr">
        <is>
          <t>2 Macrobenthos | 3 Macrobenthos</t>
        </is>
      </c>
      <c r="E224" t="n">
        <v>276.665746</v>
      </c>
      <c r="F224" t="n">
        <v>43.212782</v>
      </c>
      <c r="G224" t="n">
        <v>32.623281</v>
      </c>
      <c r="H224" t="n">
        <v>41.368719</v>
      </c>
      <c r="I224" t="n">
        <v>34.461512</v>
      </c>
      <c r="J224" t="n">
        <v>34.461512</v>
      </c>
      <c r="K224" t="n">
        <v>31.432014</v>
      </c>
      <c r="L224" t="n">
        <v>106.719149</v>
      </c>
      <c r="M224" t="n">
        <v>106.719149</v>
      </c>
      <c r="N224" t="n">
        <v>106.719149</v>
      </c>
      <c r="O224" t="n">
        <v>113.412456</v>
      </c>
      <c r="P224" t="n">
        <v>57.717594</v>
      </c>
      <c r="Q224" t="n">
        <v>106.719149</v>
      </c>
      <c r="R224" t="n">
        <v>106.719149</v>
      </c>
      <c r="S224" t="n">
        <v>113.412456</v>
      </c>
      <c r="T224" t="n">
        <v>25.029149</v>
      </c>
      <c r="U224" t="n">
        <v>57.717594</v>
      </c>
      <c r="V224" t="n">
        <v>63.584441</v>
      </c>
      <c r="W224" t="n">
        <v>206.884057</v>
      </c>
      <c r="X224" t="n">
        <v>165.070073</v>
      </c>
      <c r="Y224" t="n">
        <v>14.477738</v>
      </c>
      <c r="Z224" t="n">
        <v>16.337529</v>
      </c>
    </row>
    <row r="225" ht="21" customHeight="1">
      <c r="A225" t="inlineStr">
        <is>
          <t>Lutjanus quinquelineatus</t>
        </is>
      </c>
      <c r="B225" t="n">
        <v>3.68</v>
      </c>
      <c r="C225" t="n">
        <v>478.630092</v>
      </c>
      <c r="D225" s="10" t="inlineStr">
        <is>
          <t>2 L pisc comm | 3 L pisc comm</t>
        </is>
      </c>
      <c r="E225" t="n">
        <v>276.665746</v>
      </c>
      <c r="F225" t="n">
        <v>942.008432</v>
      </c>
      <c r="G225" t="n">
        <v>569.455705</v>
      </c>
      <c r="H225" t="n">
        <v>2133.059221</v>
      </c>
      <c r="I225" t="n">
        <v>640.2845610000001</v>
      </c>
      <c r="J225" t="n">
        <v>809.484635</v>
      </c>
      <c r="K225" t="n">
        <v>735.551234</v>
      </c>
      <c r="L225" t="n">
        <v>2161.417589</v>
      </c>
      <c r="M225" t="n">
        <v>2161.417589</v>
      </c>
      <c r="N225" t="n">
        <v>2161.417589</v>
      </c>
      <c r="O225" t="n">
        <v>1596.841335</v>
      </c>
      <c r="P225" t="n">
        <v>484.191698</v>
      </c>
      <c r="Q225" t="n">
        <v>2161.417589</v>
      </c>
      <c r="R225" t="n">
        <v>-1566538.678845</v>
      </c>
      <c r="S225" t="n">
        <v>1596.841335</v>
      </c>
      <c r="T225" t="n">
        <v>18720614.545483</v>
      </c>
      <c r="U225" t="n">
        <v>484.191698</v>
      </c>
      <c r="V225" t="n">
        <v>-729589570.314726</v>
      </c>
      <c r="W225" t="n">
        <v>2521.687387</v>
      </c>
      <c r="X225" t="n">
        <v>2846.929567</v>
      </c>
      <c r="Y225" t="n">
        <v>132.205276</v>
      </c>
      <c r="Z225" t="n">
        <v>267.422877</v>
      </c>
    </row>
    <row r="226" ht="21" customHeight="1">
      <c r="A226" t="inlineStr">
        <is>
          <t>Arcidae</t>
        </is>
      </c>
      <c r="B226" t="n">
        <v>2</v>
      </c>
      <c r="C226" t="n">
        <v>10</v>
      </c>
      <c r="D226" s="10" t="inlineStr">
        <is>
          <t>2 Macrobenthos | 3 Macrobenthos</t>
        </is>
      </c>
      <c r="E226" t="n">
        <v>276.665746</v>
      </c>
      <c r="F226" t="n">
        <v>43.212782</v>
      </c>
      <c r="G226" t="n">
        <v>32.623281</v>
      </c>
      <c r="H226" t="n">
        <v>41.368719</v>
      </c>
      <c r="I226" t="n">
        <v>34.461512</v>
      </c>
      <c r="J226" t="n">
        <v>34.461512</v>
      </c>
      <c r="K226" t="n">
        <v>31.432014</v>
      </c>
      <c r="L226" t="n">
        <v>106.719149</v>
      </c>
      <c r="M226" t="n">
        <v>106.719149</v>
      </c>
      <c r="N226" t="n">
        <v>106.719149</v>
      </c>
      <c r="O226" t="n">
        <v>113.412456</v>
      </c>
      <c r="P226" t="n">
        <v>57.717594</v>
      </c>
      <c r="Q226" t="n">
        <v>106.719149</v>
      </c>
      <c r="R226" t="n">
        <v>106.719149</v>
      </c>
      <c r="S226" t="n">
        <v>113.412456</v>
      </c>
      <c r="T226" t="n">
        <v>25.029149</v>
      </c>
      <c r="U226" t="n">
        <v>57.717594</v>
      </c>
      <c r="V226" t="n">
        <v>63.584441</v>
      </c>
      <c r="W226" t="n">
        <v>206.884057</v>
      </c>
      <c r="X226" t="n">
        <v>165.070073</v>
      </c>
      <c r="Y226" t="n">
        <v>14.477738</v>
      </c>
      <c r="Z226" t="n">
        <v>16.337529</v>
      </c>
    </row>
    <row r="227" ht="21" customHeight="1">
      <c r="A227" t="inlineStr">
        <is>
          <t>Rachycentron canadum</t>
        </is>
      </c>
      <c r="B227" t="n">
        <v>3.96</v>
      </c>
      <c r="C227" t="n">
        <v>912.010839</v>
      </c>
      <c r="D227" s="10" t="inlineStr">
        <is>
          <t>2 L pisc | 3 L pisc</t>
        </is>
      </c>
      <c r="E227" t="n">
        <v>276.665746</v>
      </c>
      <c r="F227" t="n">
        <v>1671.644897</v>
      </c>
      <c r="G227" t="n">
        <v>968.768055</v>
      </c>
      <c r="H227" t="n">
        <v>4318.024466</v>
      </c>
      <c r="I227" t="n">
        <v>1003.379133</v>
      </c>
      <c r="J227" t="n">
        <v>1189.735453</v>
      </c>
      <c r="K227" t="n">
        <v>1070.761907</v>
      </c>
      <c r="L227" t="n">
        <v>3541.417618</v>
      </c>
      <c r="M227" t="n">
        <v>3541.417618</v>
      </c>
      <c r="N227" t="n">
        <v>3541.417618</v>
      </c>
      <c r="O227" t="n">
        <v>2538.082167</v>
      </c>
      <c r="P227" t="n">
        <v>681.673862</v>
      </c>
      <c r="Q227" t="n">
        <v>3541.417618</v>
      </c>
      <c r="R227" t="n">
        <v>62682.288429</v>
      </c>
      <c r="S227" t="n">
        <v>2538.082167</v>
      </c>
      <c r="T227" t="n">
        <v>4712584.866078</v>
      </c>
      <c r="U227" t="n">
        <v>681.673862</v>
      </c>
      <c r="V227" t="n">
        <v>8783084984.919691</v>
      </c>
      <c r="W227" t="n">
        <v>4084.080603</v>
      </c>
      <c r="X227" t="n">
        <v>4708.141648</v>
      </c>
      <c r="Y227" t="n">
        <v>198.988407</v>
      </c>
      <c r="Z227" t="n">
        <v>443.151943</v>
      </c>
    </row>
    <row r="228" ht="21" customHeight="1">
      <c r="A228" t="inlineStr">
        <is>
          <t>Istiompax indica</t>
        </is>
      </c>
      <c r="B228" t="n">
        <v>4.5</v>
      </c>
      <c r="C228" t="n">
        <v>3162.27766</v>
      </c>
      <c r="D228" s="10" t="inlineStr">
        <is>
          <t>Tuna-like</t>
        </is>
      </c>
      <c r="E228" t="n">
        <v>276.665746</v>
      </c>
      <c r="F228" t="n">
        <v>3650.332839</v>
      </c>
      <c r="G228" t="n">
        <v>2005.591894</v>
      </c>
      <c r="H228" t="n">
        <v>10195.617489</v>
      </c>
      <c r="I228" t="n">
        <v>2102.414308</v>
      </c>
      <c r="J228" t="n">
        <v>2472.563272</v>
      </c>
      <c r="K228" t="n">
        <v>2210.471565</v>
      </c>
      <c r="L228" t="n">
        <v>8472.950376000001</v>
      </c>
      <c r="M228" t="n">
        <v>8472.950376000001</v>
      </c>
      <c r="N228" t="n">
        <v>8472.950376000001</v>
      </c>
      <c r="O228" t="n">
        <v>5373.396262</v>
      </c>
      <c r="P228" t="n">
        <v>1271.175154</v>
      </c>
      <c r="Q228" t="n">
        <v>8472.950376000001</v>
      </c>
      <c r="R228" t="n">
        <v>11625502.426924</v>
      </c>
      <c r="S228" t="n">
        <v>5373.396262</v>
      </c>
      <c r="T228" t="n">
        <v>-571718.054743</v>
      </c>
      <c r="U228" t="n">
        <v>1271.175154</v>
      </c>
      <c r="V228" t="n">
        <v>-2164067390.718938</v>
      </c>
      <c r="W228" t="n">
        <v>8901.765899</v>
      </c>
      <c r="X228" t="n">
        <v>11377.133687</v>
      </c>
      <c r="Y228" t="n">
        <v>351.683283</v>
      </c>
      <c r="Z228" t="n">
        <v>848.5746820000001</v>
      </c>
    </row>
    <row r="229" ht="21" customHeight="1">
      <c r="A229" t="inlineStr">
        <is>
          <t>Auxis rochei</t>
        </is>
      </c>
      <c r="B229" t="n">
        <v>4.13</v>
      </c>
      <c r="C229" t="n">
        <v>1348.962883</v>
      </c>
      <c r="D229" s="10" t="inlineStr">
        <is>
          <t>Coastal scombrids</t>
        </is>
      </c>
      <c r="E229" t="n">
        <v>276.665746</v>
      </c>
      <c r="F229" t="n">
        <v>2151.411916</v>
      </c>
      <c r="G229" t="n">
        <v>1228.563684</v>
      </c>
      <c r="H229" t="n">
        <v>5446.035641</v>
      </c>
      <c r="I229" t="n">
        <v>1745.735548</v>
      </c>
      <c r="J229" t="n">
        <v>2057.857337</v>
      </c>
      <c r="K229" t="n">
        <v>1230.598688</v>
      </c>
      <c r="L229" t="n">
        <v>5797.992045</v>
      </c>
      <c r="M229" t="n">
        <v>5797.992045</v>
      </c>
      <c r="N229" t="n">
        <v>5797.992045</v>
      </c>
      <c r="O229" t="n">
        <v>2888.86016</v>
      </c>
      <c r="P229" t="n">
        <v>773.406711</v>
      </c>
      <c r="Q229" t="n">
        <v>5797.992045</v>
      </c>
      <c r="R229" t="n">
        <v>16253842.87507</v>
      </c>
      <c r="S229" t="n">
        <v>2888.86016</v>
      </c>
      <c r="T229" t="n">
        <v>-18404050.091193</v>
      </c>
      <c r="U229" t="n">
        <v>773.406711</v>
      </c>
      <c r="V229" t="n">
        <v>4.487680113340224e+16</v>
      </c>
      <c r="W229" t="n">
        <v>4648.847098</v>
      </c>
      <c r="X229" t="n">
        <v>7907.299162</v>
      </c>
      <c r="Y229" t="n">
        <v>241.012964</v>
      </c>
      <c r="Z229" t="n">
        <v>536.33742</v>
      </c>
    </row>
    <row r="230" ht="21" customHeight="1">
      <c r="A230" t="inlineStr">
        <is>
          <t>Acanthocybium solandri</t>
        </is>
      </c>
      <c r="B230" t="n">
        <v>4.26</v>
      </c>
      <c r="C230" t="n">
        <v>1819.700859</v>
      </c>
      <c r="D230" s="10" t="inlineStr">
        <is>
          <t>Tuna-like</t>
        </is>
      </c>
      <c r="E230" t="n">
        <v>276.665746</v>
      </c>
      <c r="F230" t="n">
        <v>3650.332839</v>
      </c>
      <c r="G230" t="n">
        <v>2005.591894</v>
      </c>
      <c r="H230" t="n">
        <v>10195.617489</v>
      </c>
      <c r="I230" t="n">
        <v>2102.414308</v>
      </c>
      <c r="J230" t="n">
        <v>2472.563272</v>
      </c>
      <c r="K230" t="n">
        <v>2210.471565</v>
      </c>
      <c r="L230" t="n">
        <v>8472.950376000001</v>
      </c>
      <c r="M230" t="n">
        <v>8472.950376000001</v>
      </c>
      <c r="N230" t="n">
        <v>8472.950376000001</v>
      </c>
      <c r="O230" t="n">
        <v>5373.396262</v>
      </c>
      <c r="P230" t="n">
        <v>1271.175154</v>
      </c>
      <c r="Q230" t="n">
        <v>8472.950376000001</v>
      </c>
      <c r="R230" t="n">
        <v>11625502.426924</v>
      </c>
      <c r="S230" t="n">
        <v>5373.396262</v>
      </c>
      <c r="T230" t="n">
        <v>-571718.054743</v>
      </c>
      <c r="U230" t="n">
        <v>1271.175154</v>
      </c>
      <c r="V230" t="n">
        <v>-2164067390.718938</v>
      </c>
      <c r="W230" t="n">
        <v>8901.765899</v>
      </c>
      <c r="X230" t="n">
        <v>11377.133687</v>
      </c>
      <c r="Y230" t="n">
        <v>351.683283</v>
      </c>
      <c r="Z230" t="n">
        <v>848.5746820000001</v>
      </c>
    </row>
    <row r="231" ht="21" customHeight="1">
      <c r="A231" t="inlineStr">
        <is>
          <t>Sarda orientalis</t>
        </is>
      </c>
      <c r="B231" t="n">
        <v>4.21</v>
      </c>
      <c r="C231" t="n">
        <v>1621.810097</v>
      </c>
      <c r="D231" s="10" t="inlineStr">
        <is>
          <t>Coastal scombrids</t>
        </is>
      </c>
      <c r="E231" t="n">
        <v>276.665746</v>
      </c>
      <c r="F231" t="n">
        <v>2151.411916</v>
      </c>
      <c r="G231" t="n">
        <v>1228.563684</v>
      </c>
      <c r="H231" t="n">
        <v>5446.035641</v>
      </c>
      <c r="I231" t="n">
        <v>1745.735548</v>
      </c>
      <c r="J231" t="n">
        <v>2057.857337</v>
      </c>
      <c r="K231" t="n">
        <v>1230.598688</v>
      </c>
      <c r="L231" t="n">
        <v>5797.992045</v>
      </c>
      <c r="M231" t="n">
        <v>5797.992045</v>
      </c>
      <c r="N231" t="n">
        <v>5797.992045</v>
      </c>
      <c r="O231" t="n">
        <v>2888.86016</v>
      </c>
      <c r="P231" t="n">
        <v>773.406711</v>
      </c>
      <c r="Q231" t="n">
        <v>5797.992045</v>
      </c>
      <c r="R231" t="n">
        <v>16253842.87507</v>
      </c>
      <c r="S231" t="n">
        <v>2888.86016</v>
      </c>
      <c r="T231" t="n">
        <v>-18404050.091193</v>
      </c>
      <c r="U231" t="n">
        <v>773.406711</v>
      </c>
      <c r="V231" t="n">
        <v>4.487680113340224e+16</v>
      </c>
      <c r="W231" t="n">
        <v>4648.847098</v>
      </c>
      <c r="X231" t="n">
        <v>7907.299162</v>
      </c>
      <c r="Y231" t="n">
        <v>241.012964</v>
      </c>
      <c r="Z231" t="n">
        <v>536.33742</v>
      </c>
    </row>
    <row r="232" ht="21" customHeight="1">
      <c r="A232" t="inlineStr">
        <is>
          <t>Sardinella fimbriata</t>
        </is>
      </c>
      <c r="B232" t="n">
        <v>2.7</v>
      </c>
      <c r="C232" t="n">
        <v>50.118723</v>
      </c>
      <c r="D232" s="10" t="inlineStr">
        <is>
          <t>2 S pelagics | 3 S pelagics</t>
        </is>
      </c>
      <c r="E232" t="n">
        <v>276.665746</v>
      </c>
      <c r="F232" t="n">
        <v>140.109476</v>
      </c>
      <c r="G232" t="n">
        <v>97.63290000000001</v>
      </c>
      <c r="H232" t="n">
        <v>192.530385</v>
      </c>
      <c r="I232" t="n">
        <v>80.840119</v>
      </c>
      <c r="J232" t="n">
        <v>105.744532</v>
      </c>
      <c r="K232" t="n">
        <v>98.71770100000001</v>
      </c>
      <c r="L232" t="n">
        <v>234.01812</v>
      </c>
      <c r="M232" t="n">
        <v>234.01812</v>
      </c>
      <c r="N232" t="n">
        <v>234.01812</v>
      </c>
      <c r="O232" t="n">
        <v>202.793183</v>
      </c>
      <c r="P232" t="n">
        <v>80.12592100000001</v>
      </c>
      <c r="Q232" t="n">
        <v>234.01812</v>
      </c>
      <c r="R232" t="n">
        <v>-33882.555745</v>
      </c>
      <c r="S232" t="n">
        <v>202.793183</v>
      </c>
      <c r="T232" t="n">
        <v>227994.620435</v>
      </c>
      <c r="U232" t="n">
        <v>80.12592100000001</v>
      </c>
      <c r="V232" t="n">
        <v>-5095004.477163</v>
      </c>
      <c r="W232" t="n">
        <v>296.324343</v>
      </c>
      <c r="X232" t="n">
        <v>299.160007</v>
      </c>
      <c r="Y232" t="n">
        <v>34.1744</v>
      </c>
      <c r="Z232" t="n">
        <v>48.359224</v>
      </c>
    </row>
    <row r="233" ht="21" customHeight="1">
      <c r="A233" t="inlineStr">
        <is>
          <t>Gazza minuta</t>
        </is>
      </c>
      <c r="B233" t="n">
        <v>4.19</v>
      </c>
      <c r="C233" t="n">
        <v>1548.816619</v>
      </c>
      <c r="D233" s="10" t="inlineStr">
        <is>
          <t>2 SM inv | 3 SM inv</t>
        </is>
      </c>
      <c r="E233" t="n">
        <v>276.665746</v>
      </c>
      <c r="F233" t="n">
        <v>195.237034</v>
      </c>
      <c r="G233" t="n">
        <v>132.430212</v>
      </c>
      <c r="H233" t="n">
        <v>264.43232</v>
      </c>
      <c r="I233" t="n">
        <v>118.903546</v>
      </c>
      <c r="J233" t="n">
        <v>136.120138</v>
      </c>
      <c r="K233" t="n">
        <v>127.344134</v>
      </c>
      <c r="L233" t="n">
        <v>358.382548</v>
      </c>
      <c r="M233" t="n">
        <v>358.382548</v>
      </c>
      <c r="N233" t="n">
        <v>358.382548</v>
      </c>
      <c r="O233" t="n">
        <v>341.399299</v>
      </c>
      <c r="P233" t="n">
        <v>140.115469</v>
      </c>
      <c r="Q233" t="n">
        <v>358.382548</v>
      </c>
      <c r="R233" t="n">
        <v>6457.458436</v>
      </c>
      <c r="S233" t="n">
        <v>341.399299</v>
      </c>
      <c r="T233" t="n">
        <v>179529.737596</v>
      </c>
      <c r="U233" t="n">
        <v>140.115469</v>
      </c>
      <c r="V233" t="n">
        <v>-303793.842089</v>
      </c>
      <c r="W233" t="n">
        <v>574.006718</v>
      </c>
      <c r="X233" t="n">
        <v>502.703783</v>
      </c>
      <c r="Y233" t="n">
        <v>42.955466</v>
      </c>
      <c r="Z233" t="n">
        <v>65.030467</v>
      </c>
    </row>
    <row r="234" ht="21" customHeight="1">
      <c r="A234" t="inlineStr">
        <is>
          <t>Panulirus homarus</t>
        </is>
      </c>
      <c r="B234" t="n">
        <v>3.33</v>
      </c>
      <c r="C234" t="n">
        <v>213.796209</v>
      </c>
      <c r="D234" s="10" t="inlineStr">
        <is>
          <t>2 Crustaceans | 3 Crustaceans</t>
        </is>
      </c>
      <c r="E234" t="n">
        <v>276.665746</v>
      </c>
      <c r="F234" t="n">
        <v>87.346446</v>
      </c>
      <c r="G234" t="n">
        <v>62.825827</v>
      </c>
      <c r="H234" t="n">
        <v>62.583797</v>
      </c>
      <c r="I234" t="n">
        <v>49.059783</v>
      </c>
      <c r="J234" t="n">
        <v>49.059783</v>
      </c>
      <c r="K234" t="n">
        <v>45.848307</v>
      </c>
      <c r="L234" t="n">
        <v>88.61683499999999</v>
      </c>
      <c r="M234" t="n">
        <v>88.61683499999999</v>
      </c>
      <c r="N234" t="n">
        <v>88.61683499999999</v>
      </c>
      <c r="O234" t="n">
        <v>112.736869</v>
      </c>
      <c r="P234" t="n">
        <v>69.749027</v>
      </c>
      <c r="Q234" t="n">
        <v>88.61683499999999</v>
      </c>
      <c r="R234" t="n">
        <v>88.61683499999999</v>
      </c>
      <c r="S234" t="n">
        <v>112.736869</v>
      </c>
      <c r="T234" t="n">
        <v>18.000131</v>
      </c>
      <c r="U234" t="n">
        <v>69.749027</v>
      </c>
      <c r="V234" t="n">
        <v>77.336753</v>
      </c>
      <c r="W234" t="n">
        <v>138.030843</v>
      </c>
      <c r="X234" t="n">
        <v>98.46392899999999</v>
      </c>
      <c r="Y234" t="n">
        <v>24.163479</v>
      </c>
      <c r="Z234" t="n">
        <v>23.495104</v>
      </c>
    </row>
    <row r="235" ht="21" customHeight="1">
      <c r="A235" t="inlineStr">
        <is>
          <t>Crassostrea</t>
        </is>
      </c>
      <c r="D235" s="10" t="inlineStr">
        <is>
          <t>2 Macrobenthos | 3 Macrobenthos</t>
        </is>
      </c>
      <c r="E235" t="n">
        <v>276.665746</v>
      </c>
      <c r="F235" t="n">
        <v>43.212782</v>
      </c>
      <c r="G235" t="n">
        <v>32.623281</v>
      </c>
      <c r="H235" t="n">
        <v>41.368719</v>
      </c>
      <c r="I235" t="n">
        <v>34.461512</v>
      </c>
      <c r="J235" t="n">
        <v>34.461512</v>
      </c>
      <c r="K235" t="n">
        <v>31.432014</v>
      </c>
      <c r="L235" t="n">
        <v>106.719149</v>
      </c>
      <c r="M235" t="n">
        <v>106.719149</v>
      </c>
      <c r="N235" t="n">
        <v>106.719149</v>
      </c>
      <c r="O235" t="n">
        <v>113.412456</v>
      </c>
      <c r="P235" t="n">
        <v>57.717594</v>
      </c>
      <c r="Q235" t="n">
        <v>106.719149</v>
      </c>
      <c r="R235" t="n">
        <v>106.719149</v>
      </c>
      <c r="S235" t="n">
        <v>113.412456</v>
      </c>
      <c r="T235" t="n">
        <v>25.029149</v>
      </c>
      <c r="U235" t="n">
        <v>57.717594</v>
      </c>
      <c r="V235" t="n">
        <v>63.584441</v>
      </c>
      <c r="W235" t="n">
        <v>206.884057</v>
      </c>
      <c r="X235" t="n">
        <v>165.070073</v>
      </c>
      <c r="Y235" t="n">
        <v>14.477738</v>
      </c>
      <c r="Z235" t="n">
        <v>16.337529</v>
      </c>
    </row>
    <row r="236" ht="21" customHeight="1">
      <c r="A236" t="inlineStr">
        <is>
          <t>Drepane</t>
        </is>
      </c>
      <c r="B236" t="n">
        <v>3.32</v>
      </c>
      <c r="C236" t="n">
        <v>208.929613</v>
      </c>
      <c r="D236" s="10" t="inlineStr">
        <is>
          <t>2 SM pisc | 3 SM pisc</t>
        </is>
      </c>
      <c r="E236" t="n">
        <v>276.665746</v>
      </c>
      <c r="F236" t="n">
        <v>735.917019</v>
      </c>
      <c r="G236" t="n">
        <v>452.492682</v>
      </c>
      <c r="H236" t="n">
        <v>682.111639</v>
      </c>
      <c r="I236" t="n">
        <v>235.466475</v>
      </c>
      <c r="J236" t="n">
        <v>314.21941</v>
      </c>
      <c r="K236" t="n">
        <v>298.50844</v>
      </c>
      <c r="L236" t="n">
        <v>954.7607</v>
      </c>
      <c r="M236" t="n">
        <v>954.7607</v>
      </c>
      <c r="N236" t="n">
        <v>954.7607</v>
      </c>
      <c r="O236" t="n">
        <v>843.56575</v>
      </c>
      <c r="P236" t="n">
        <v>294.060389</v>
      </c>
      <c r="Q236" t="n">
        <v>954.7607</v>
      </c>
      <c r="R236" t="n">
        <v>9873.492876</v>
      </c>
      <c r="S236" t="n">
        <v>843.56575</v>
      </c>
      <c r="T236" t="n">
        <v>671288.666809</v>
      </c>
      <c r="U236" t="n">
        <v>294.060389</v>
      </c>
      <c r="V236" t="n">
        <v>-16862660.627203</v>
      </c>
      <c r="W236" t="n">
        <v>1324.31138</v>
      </c>
      <c r="X236" t="n">
        <v>1272.066649</v>
      </c>
      <c r="Y236" t="n">
        <v>110.428635</v>
      </c>
      <c r="Z236" t="n">
        <v>131.682702</v>
      </c>
    </row>
    <row r="237" ht="21" customHeight="1">
      <c r="A237" t="inlineStr">
        <is>
          <t>Coryphaena hippurus</t>
        </is>
      </c>
      <c r="B237" t="n">
        <v>4.37</v>
      </c>
      <c r="C237" t="n">
        <v>2344.228815</v>
      </c>
      <c r="D237" s="10" t="inlineStr">
        <is>
          <t>2 L pisc | 3 L pisc</t>
        </is>
      </c>
      <c r="E237" t="n">
        <v>276.665746</v>
      </c>
      <c r="F237" t="n">
        <v>1671.644897</v>
      </c>
      <c r="G237" t="n">
        <v>968.768055</v>
      </c>
      <c r="H237" t="n">
        <v>4318.024466</v>
      </c>
      <c r="I237" t="n">
        <v>1003.379133</v>
      </c>
      <c r="J237" t="n">
        <v>1189.735453</v>
      </c>
      <c r="K237" t="n">
        <v>1070.761907</v>
      </c>
      <c r="L237" t="n">
        <v>3541.417618</v>
      </c>
      <c r="M237" t="n">
        <v>3541.417618</v>
      </c>
      <c r="N237" t="n">
        <v>3541.417618</v>
      </c>
      <c r="O237" t="n">
        <v>2538.082167</v>
      </c>
      <c r="P237" t="n">
        <v>681.673862</v>
      </c>
      <c r="Q237" t="n">
        <v>3541.417618</v>
      </c>
      <c r="R237" t="n">
        <v>62682.288429</v>
      </c>
      <c r="S237" t="n">
        <v>2538.082167</v>
      </c>
      <c r="T237" t="n">
        <v>4712584.866078</v>
      </c>
      <c r="U237" t="n">
        <v>681.673862</v>
      </c>
      <c r="V237" t="n">
        <v>8783084984.919691</v>
      </c>
      <c r="W237" t="n">
        <v>4084.080603</v>
      </c>
      <c r="X237" t="n">
        <v>4708.141648</v>
      </c>
      <c r="Y237" t="n">
        <v>198.988407</v>
      </c>
      <c r="Z237" t="n">
        <v>443.151943</v>
      </c>
    </row>
    <row r="238" ht="21" customHeight="1">
      <c r="A238" t="inlineStr">
        <is>
          <t>Latidae</t>
        </is>
      </c>
      <c r="B238" t="n">
        <v>4.35</v>
      </c>
      <c r="C238" t="n">
        <v>2238.721139</v>
      </c>
      <c r="D238" s="10" t="inlineStr">
        <is>
          <t>2 L pisc | 3 L pisc</t>
        </is>
      </c>
      <c r="E238" t="n">
        <v>276.665746</v>
      </c>
      <c r="F238" t="n">
        <v>1671.644897</v>
      </c>
      <c r="G238" t="n">
        <v>968.768055</v>
      </c>
      <c r="H238" t="n">
        <v>4318.024466</v>
      </c>
      <c r="I238" t="n">
        <v>1003.379133</v>
      </c>
      <c r="J238" t="n">
        <v>1189.735453</v>
      </c>
      <c r="K238" t="n">
        <v>1070.761907</v>
      </c>
      <c r="L238" t="n">
        <v>3541.417618</v>
      </c>
      <c r="M238" t="n">
        <v>3541.417618</v>
      </c>
      <c r="N238" t="n">
        <v>3541.417618</v>
      </c>
      <c r="O238" t="n">
        <v>2538.082167</v>
      </c>
      <c r="P238" t="n">
        <v>681.673862</v>
      </c>
      <c r="Q238" t="n">
        <v>3541.417618</v>
      </c>
      <c r="R238" t="n">
        <v>62682.288429</v>
      </c>
      <c r="S238" t="n">
        <v>2538.082167</v>
      </c>
      <c r="T238" t="n">
        <v>4712584.866078</v>
      </c>
      <c r="U238" t="n">
        <v>681.673862</v>
      </c>
      <c r="V238" t="n">
        <v>8783084984.919691</v>
      </c>
      <c r="W238" t="n">
        <v>4084.080603</v>
      </c>
      <c r="X238" t="n">
        <v>4708.141648</v>
      </c>
      <c r="Y238" t="n">
        <v>198.988407</v>
      </c>
      <c r="Z238" t="n">
        <v>443.151943</v>
      </c>
    </row>
    <row r="239" ht="21" customHeight="1">
      <c r="A239" t="inlineStr">
        <is>
          <t>Carcharhinus longimanus</t>
        </is>
      </c>
      <c r="B239" t="n">
        <v>4.16</v>
      </c>
      <c r="C239" t="n">
        <v>1445.439771</v>
      </c>
      <c r="D239" s="10" t="inlineStr">
        <is>
          <t>Oceanic sharks</t>
        </is>
      </c>
      <c r="E239" t="n">
        <v>276.665746</v>
      </c>
      <c r="F239" t="n">
        <v>1757.235698</v>
      </c>
      <c r="G239" t="n">
        <v>1018.406889</v>
      </c>
      <c r="H239" t="n">
        <v>15262.31097</v>
      </c>
      <c r="I239" t="n">
        <v>5136.373322</v>
      </c>
      <c r="J239" t="n">
        <v>6101.609798</v>
      </c>
      <c r="K239" t="n">
        <v>3551.136902</v>
      </c>
      <c r="L239" t="n">
        <v>23068.147688</v>
      </c>
      <c r="M239" t="n">
        <v>23068.147688</v>
      </c>
      <c r="N239" t="n">
        <v>23068.147688</v>
      </c>
      <c r="O239" t="n">
        <v>8717.777107</v>
      </c>
      <c r="P239" t="n">
        <v>1861.38016</v>
      </c>
      <c r="Q239" t="n">
        <v>23068.147688</v>
      </c>
      <c r="R239" t="n">
        <v>93910298.950615</v>
      </c>
      <c r="S239" t="n">
        <v>8717.777107</v>
      </c>
      <c r="T239" t="n">
        <v>-2662978.044058</v>
      </c>
      <c r="U239" t="n">
        <v>1861.38016</v>
      </c>
      <c r="V239" t="n">
        <v>-6.150361922865892e+19</v>
      </c>
      <c r="W239" t="n">
        <v>14380.879162</v>
      </c>
      <c r="X239" t="n">
        <v>31682.718847</v>
      </c>
      <c r="Y239" t="n">
        <v>208.554284</v>
      </c>
      <c r="Z239" t="n">
        <v>1010.152404</v>
      </c>
    </row>
    <row r="240" ht="21" customHeight="1">
      <c r="A240" t="inlineStr">
        <is>
          <t>Thenus orientalis</t>
        </is>
      </c>
      <c r="B240" t="n">
        <v>2.5</v>
      </c>
      <c r="C240" t="n">
        <v>31.622777</v>
      </c>
      <c r="D240" s="10" t="inlineStr">
        <is>
          <t>2 Crustaceans | 3 Crustaceans</t>
        </is>
      </c>
      <c r="E240" t="n">
        <v>276.665746</v>
      </c>
      <c r="F240" t="n">
        <v>87.346446</v>
      </c>
      <c r="G240" t="n">
        <v>62.825827</v>
      </c>
      <c r="H240" t="n">
        <v>62.583797</v>
      </c>
      <c r="I240" t="n">
        <v>49.059783</v>
      </c>
      <c r="J240" t="n">
        <v>49.059783</v>
      </c>
      <c r="K240" t="n">
        <v>45.848307</v>
      </c>
      <c r="L240" t="n">
        <v>88.61683499999999</v>
      </c>
      <c r="M240" t="n">
        <v>88.61683499999999</v>
      </c>
      <c r="N240" t="n">
        <v>88.61683499999999</v>
      </c>
      <c r="O240" t="n">
        <v>112.736869</v>
      </c>
      <c r="P240" t="n">
        <v>69.749027</v>
      </c>
      <c r="Q240" t="n">
        <v>88.61683499999999</v>
      </c>
      <c r="R240" t="n">
        <v>88.61683499999999</v>
      </c>
      <c r="S240" t="n">
        <v>112.736869</v>
      </c>
      <c r="T240" t="n">
        <v>18.000131</v>
      </c>
      <c r="U240" t="n">
        <v>69.749027</v>
      </c>
      <c r="V240" t="n">
        <v>77.336753</v>
      </c>
      <c r="W240" t="n">
        <v>138.030843</v>
      </c>
      <c r="X240" t="n">
        <v>98.46392899999999</v>
      </c>
      <c r="Y240" t="n">
        <v>24.163479</v>
      </c>
      <c r="Z240" t="n">
        <v>23.495104</v>
      </c>
    </row>
    <row r="241" ht="21" customHeight="1">
      <c r="A241" t="inlineStr">
        <is>
          <t>Istiophorus platypterus</t>
        </is>
      </c>
      <c r="B241" t="n">
        <v>4.5</v>
      </c>
      <c r="C241" t="n">
        <v>3162.27766</v>
      </c>
      <c r="D241" s="10" t="inlineStr">
        <is>
          <t>Tuna-like</t>
        </is>
      </c>
      <c r="E241" t="n">
        <v>276.665746</v>
      </c>
      <c r="F241" t="n">
        <v>3650.332839</v>
      </c>
      <c r="G241" t="n">
        <v>2005.591894</v>
      </c>
      <c r="H241" t="n">
        <v>10195.617489</v>
      </c>
      <c r="I241" t="n">
        <v>2102.414308</v>
      </c>
      <c r="J241" t="n">
        <v>2472.563272</v>
      </c>
      <c r="K241" t="n">
        <v>2210.471565</v>
      </c>
      <c r="L241" t="n">
        <v>8472.950376000001</v>
      </c>
      <c r="M241" t="n">
        <v>8472.950376000001</v>
      </c>
      <c r="N241" t="n">
        <v>8472.950376000001</v>
      </c>
      <c r="O241" t="n">
        <v>5373.396262</v>
      </c>
      <c r="P241" t="n">
        <v>1271.175154</v>
      </c>
      <c r="Q241" t="n">
        <v>8472.950376000001</v>
      </c>
      <c r="R241" t="n">
        <v>11625502.426924</v>
      </c>
      <c r="S241" t="n">
        <v>5373.396262</v>
      </c>
      <c r="T241" t="n">
        <v>-571718.054743</v>
      </c>
      <c r="U241" t="n">
        <v>1271.175154</v>
      </c>
      <c r="V241" t="n">
        <v>-2164067390.718938</v>
      </c>
      <c r="W241" t="n">
        <v>8901.765899</v>
      </c>
      <c r="X241" t="n">
        <v>11377.133687</v>
      </c>
      <c r="Y241" t="n">
        <v>351.683283</v>
      </c>
      <c r="Z241" t="n">
        <v>848.5746820000001</v>
      </c>
    </row>
    <row r="242" ht="21" customHeight="1">
      <c r="A242" t="inlineStr">
        <is>
          <t>Trochus niloticus</t>
        </is>
      </c>
      <c r="D242" s="10" t="inlineStr">
        <is>
          <t>2 Macrobenthos | 3 Macrobenthos</t>
        </is>
      </c>
      <c r="E242" t="n">
        <v>276.665746</v>
      </c>
      <c r="F242" t="n">
        <v>43.212782</v>
      </c>
      <c r="G242" t="n">
        <v>32.623281</v>
      </c>
      <c r="H242" t="n">
        <v>41.368719</v>
      </c>
      <c r="I242" t="n">
        <v>34.461512</v>
      </c>
      <c r="J242" t="n">
        <v>34.461512</v>
      </c>
      <c r="K242" t="n">
        <v>31.432014</v>
      </c>
      <c r="L242" t="n">
        <v>106.719149</v>
      </c>
      <c r="M242" t="n">
        <v>106.719149</v>
      </c>
      <c r="N242" t="n">
        <v>106.719149</v>
      </c>
      <c r="O242" t="n">
        <v>113.412456</v>
      </c>
      <c r="P242" t="n">
        <v>57.717594</v>
      </c>
      <c r="Q242" t="n">
        <v>106.719149</v>
      </c>
      <c r="R242" t="n">
        <v>106.719149</v>
      </c>
      <c r="S242" t="n">
        <v>113.412456</v>
      </c>
      <c r="T242" t="n">
        <v>25.029149</v>
      </c>
      <c r="U242" t="n">
        <v>57.717594</v>
      </c>
      <c r="V242" t="n">
        <v>63.584441</v>
      </c>
      <c r="W242" t="n">
        <v>206.884057</v>
      </c>
      <c r="X242" t="n">
        <v>165.070073</v>
      </c>
      <c r="Y242" t="n">
        <v>14.477738</v>
      </c>
      <c r="Z242" t="n">
        <v>16.337529</v>
      </c>
    </row>
    <row r="243" ht="21" customHeight="1">
      <c r="A243" t="inlineStr">
        <is>
          <t>Sillago sihama</t>
        </is>
      </c>
      <c r="B243" t="n">
        <v>3.33</v>
      </c>
      <c r="C243" t="n">
        <v>213.796209</v>
      </c>
      <c r="D243" s="10" t="inlineStr">
        <is>
          <t>2 SM inv | 3 SM inv</t>
        </is>
      </c>
      <c r="E243" t="n">
        <v>276.665746</v>
      </c>
      <c r="F243" t="n">
        <v>195.237034</v>
      </c>
      <c r="G243" t="n">
        <v>132.430212</v>
      </c>
      <c r="H243" t="n">
        <v>264.43232</v>
      </c>
      <c r="I243" t="n">
        <v>118.903546</v>
      </c>
      <c r="J243" t="n">
        <v>136.120138</v>
      </c>
      <c r="K243" t="n">
        <v>127.344134</v>
      </c>
      <c r="L243" t="n">
        <v>358.382548</v>
      </c>
      <c r="M243" t="n">
        <v>358.382548</v>
      </c>
      <c r="N243" t="n">
        <v>358.382548</v>
      </c>
      <c r="O243" t="n">
        <v>341.399299</v>
      </c>
      <c r="P243" t="n">
        <v>140.115469</v>
      </c>
      <c r="Q243" t="n">
        <v>358.382548</v>
      </c>
      <c r="R243" t="n">
        <v>6457.458436</v>
      </c>
      <c r="S243" t="n">
        <v>341.399299</v>
      </c>
      <c r="T243" t="n">
        <v>179529.737596</v>
      </c>
      <c r="U243" t="n">
        <v>140.115469</v>
      </c>
      <c r="V243" t="n">
        <v>-303793.842089</v>
      </c>
      <c r="W243" t="n">
        <v>574.006718</v>
      </c>
      <c r="X243" t="n">
        <v>502.703783</v>
      </c>
      <c r="Y243" t="n">
        <v>42.955466</v>
      </c>
      <c r="Z243" t="n">
        <v>65.030467</v>
      </c>
    </row>
    <row r="244" ht="21" customHeight="1">
      <c r="A244" t="inlineStr">
        <is>
          <t>Isurus oxyrinchus</t>
        </is>
      </c>
      <c r="B244" t="n">
        <v>4.5</v>
      </c>
      <c r="C244" t="n">
        <v>3162.27766</v>
      </c>
      <c r="D244" s="10" t="inlineStr">
        <is>
          <t>Oceanic sharks</t>
        </is>
      </c>
      <c r="E244" t="n">
        <v>276.665746</v>
      </c>
      <c r="F244" t="n">
        <v>1757.235698</v>
      </c>
      <c r="G244" t="n">
        <v>1018.406889</v>
      </c>
      <c r="H244" t="n">
        <v>15262.31097</v>
      </c>
      <c r="I244" t="n">
        <v>5136.373322</v>
      </c>
      <c r="J244" t="n">
        <v>6101.609798</v>
      </c>
      <c r="K244" t="n">
        <v>3551.136902</v>
      </c>
      <c r="L244" t="n">
        <v>23068.147688</v>
      </c>
      <c r="M244" t="n">
        <v>23068.147688</v>
      </c>
      <c r="N244" t="n">
        <v>23068.147688</v>
      </c>
      <c r="O244" t="n">
        <v>8717.777107</v>
      </c>
      <c r="P244" t="n">
        <v>1861.38016</v>
      </c>
      <c r="Q244" t="n">
        <v>23068.147688</v>
      </c>
      <c r="R244" t="n">
        <v>93910298.950615</v>
      </c>
      <c r="S244" t="n">
        <v>8717.777107</v>
      </c>
      <c r="T244" t="n">
        <v>-2662978.044058</v>
      </c>
      <c r="U244" t="n">
        <v>1861.38016</v>
      </c>
      <c r="V244" t="n">
        <v>-6.150361922865892e+19</v>
      </c>
      <c r="W244" t="n">
        <v>14380.879162</v>
      </c>
      <c r="X244" t="n">
        <v>31682.718847</v>
      </c>
      <c r="Y244" t="n">
        <v>208.554284</v>
      </c>
      <c r="Z244" t="n">
        <v>1010.152404</v>
      </c>
    </row>
    <row r="245" ht="21" customHeight="1">
      <c r="A245" t="inlineStr">
        <is>
          <t>Scatophagus</t>
        </is>
      </c>
      <c r="B245" t="n">
        <v>2.75</v>
      </c>
      <c r="C245" t="n">
        <v>56.234133</v>
      </c>
      <c r="D245" s="10" t="inlineStr">
        <is>
          <t>2 SM inv | 3 SM inv</t>
        </is>
      </c>
      <c r="E245" t="n">
        <v>276.665746</v>
      </c>
      <c r="F245" t="n">
        <v>195.237034</v>
      </c>
      <c r="G245" t="n">
        <v>132.430212</v>
      </c>
      <c r="H245" t="n">
        <v>264.43232</v>
      </c>
      <c r="I245" t="n">
        <v>118.903546</v>
      </c>
      <c r="J245" t="n">
        <v>136.120138</v>
      </c>
      <c r="K245" t="n">
        <v>127.344134</v>
      </c>
      <c r="L245" t="n">
        <v>358.382548</v>
      </c>
      <c r="M245" t="n">
        <v>358.382548</v>
      </c>
      <c r="N245" t="n">
        <v>358.382548</v>
      </c>
      <c r="O245" t="n">
        <v>341.399299</v>
      </c>
      <c r="P245" t="n">
        <v>140.115469</v>
      </c>
      <c r="Q245" t="n">
        <v>358.382548</v>
      </c>
      <c r="R245" t="n">
        <v>6457.458436</v>
      </c>
      <c r="S245" t="n">
        <v>341.399299</v>
      </c>
      <c r="T245" t="n">
        <v>179529.737596</v>
      </c>
      <c r="U245" t="n">
        <v>140.115469</v>
      </c>
      <c r="V245" t="n">
        <v>-303793.842089</v>
      </c>
      <c r="W245" t="n">
        <v>574.006718</v>
      </c>
      <c r="X245" t="n">
        <v>502.703783</v>
      </c>
      <c r="Y245" t="n">
        <v>42.955466</v>
      </c>
      <c r="Z245" t="n">
        <v>65.030467</v>
      </c>
    </row>
    <row r="246" ht="21" customHeight="1">
      <c r="A246" t="inlineStr">
        <is>
          <t>Scyris indica</t>
        </is>
      </c>
      <c r="B246" t="n">
        <v>4.09</v>
      </c>
      <c r="C246" t="n">
        <v>1230.268771</v>
      </c>
      <c r="D246" s="10" t="inlineStr">
        <is>
          <t>2 Carangids | 3 Carangids</t>
        </is>
      </c>
      <c r="E246" t="n">
        <v>276.665746</v>
      </c>
      <c r="F246" t="n">
        <v>1047.559324</v>
      </c>
      <c r="G246" t="n">
        <v>629.821299</v>
      </c>
      <c r="H246" t="n">
        <v>2236.955926</v>
      </c>
      <c r="I246" t="n">
        <v>640.844159</v>
      </c>
      <c r="J246" t="n">
        <v>754.590569</v>
      </c>
      <c r="K246" t="n">
        <v>726.430521</v>
      </c>
      <c r="L246" t="n">
        <v>2160.134294</v>
      </c>
      <c r="M246" t="n">
        <v>2160.134294</v>
      </c>
      <c r="N246" t="n">
        <v>2160.134294</v>
      </c>
      <c r="O246" t="n">
        <v>1714.41623</v>
      </c>
      <c r="P246" t="n">
        <v>507.780375</v>
      </c>
      <c r="Q246" t="n">
        <v>2160.134294</v>
      </c>
      <c r="R246" t="n">
        <v>1795384.471462</v>
      </c>
      <c r="S246" t="n">
        <v>1714.41623</v>
      </c>
      <c r="T246" t="n">
        <v>15523021.978962</v>
      </c>
      <c r="U246" t="n">
        <v>507.780375</v>
      </c>
      <c r="V246" t="n">
        <v>361623540.311127</v>
      </c>
      <c r="W246" t="n">
        <v>2798.965662</v>
      </c>
      <c r="X246" t="n">
        <v>2890.070964</v>
      </c>
      <c r="Y246" t="n">
        <v>143.6356</v>
      </c>
      <c r="Z246" t="n">
        <v>293.771321</v>
      </c>
    </row>
    <row r="247" ht="21" customHeight="1">
      <c r="A247" t="inlineStr">
        <is>
          <t>Pellona ditchela</t>
        </is>
      </c>
      <c r="B247" t="n">
        <v>3.37</v>
      </c>
      <c r="C247" t="n">
        <v>234.422882</v>
      </c>
      <c r="D247" s="10" t="inlineStr">
        <is>
          <t>2 S pelagics | 3 S pelagics</t>
        </is>
      </c>
      <c r="E247" t="n">
        <v>276.665746</v>
      </c>
      <c r="F247" t="n">
        <v>140.109476</v>
      </c>
      <c r="G247" t="n">
        <v>97.63290000000001</v>
      </c>
      <c r="H247" t="n">
        <v>192.530385</v>
      </c>
      <c r="I247" t="n">
        <v>80.840119</v>
      </c>
      <c r="J247" t="n">
        <v>105.744532</v>
      </c>
      <c r="K247" t="n">
        <v>98.71770100000001</v>
      </c>
      <c r="L247" t="n">
        <v>234.01812</v>
      </c>
      <c r="M247" t="n">
        <v>234.01812</v>
      </c>
      <c r="N247" t="n">
        <v>234.01812</v>
      </c>
      <c r="O247" t="n">
        <v>202.793183</v>
      </c>
      <c r="P247" t="n">
        <v>80.12592100000001</v>
      </c>
      <c r="Q247" t="n">
        <v>234.01812</v>
      </c>
      <c r="R247" t="n">
        <v>-33882.555745</v>
      </c>
      <c r="S247" t="n">
        <v>202.793183</v>
      </c>
      <c r="T247" t="n">
        <v>227994.620435</v>
      </c>
      <c r="U247" t="n">
        <v>80.12592100000001</v>
      </c>
      <c r="V247" t="n">
        <v>-5095004.477163</v>
      </c>
      <c r="W247" t="n">
        <v>296.324343</v>
      </c>
      <c r="X247" t="n">
        <v>299.160007</v>
      </c>
      <c r="Y247" t="n">
        <v>34.1744</v>
      </c>
      <c r="Z247" t="n">
        <v>48.359224</v>
      </c>
    </row>
    <row r="248" ht="21" customHeight="1">
      <c r="A248" t="inlineStr">
        <is>
          <t>Panulirus</t>
        </is>
      </c>
      <c r="B248" t="n">
        <v>2.6</v>
      </c>
      <c r="C248" t="n">
        <v>39.810717</v>
      </c>
      <c r="D248" s="10" t="inlineStr">
        <is>
          <t>2 Crustaceans | 3 Crustaceans</t>
        </is>
      </c>
      <c r="E248" t="n">
        <v>276.665746</v>
      </c>
      <c r="F248" t="n">
        <v>87.346446</v>
      </c>
      <c r="G248" t="n">
        <v>62.825827</v>
      </c>
      <c r="H248" t="n">
        <v>62.583797</v>
      </c>
      <c r="I248" t="n">
        <v>49.059783</v>
      </c>
      <c r="J248" t="n">
        <v>49.059783</v>
      </c>
      <c r="K248" t="n">
        <v>45.848307</v>
      </c>
      <c r="L248" t="n">
        <v>88.61683499999999</v>
      </c>
      <c r="M248" t="n">
        <v>88.61683499999999</v>
      </c>
      <c r="N248" t="n">
        <v>88.61683499999999</v>
      </c>
      <c r="O248" t="n">
        <v>112.736869</v>
      </c>
      <c r="P248" t="n">
        <v>69.749027</v>
      </c>
      <c r="Q248" t="n">
        <v>88.61683499999999</v>
      </c>
      <c r="R248" t="n">
        <v>88.61683499999999</v>
      </c>
      <c r="S248" t="n">
        <v>112.736869</v>
      </c>
      <c r="T248" t="n">
        <v>18.000131</v>
      </c>
      <c r="U248" t="n">
        <v>69.749027</v>
      </c>
      <c r="V248" t="n">
        <v>77.336753</v>
      </c>
      <c r="W248" t="n">
        <v>138.030843</v>
      </c>
      <c r="X248" t="n">
        <v>98.46392899999999</v>
      </c>
      <c r="Y248" t="n">
        <v>24.163479</v>
      </c>
      <c r="Z248" t="n">
        <v>23.495104</v>
      </c>
    </row>
    <row r="249" ht="36" customHeight="1">
      <c r="A249" t="inlineStr">
        <is>
          <t>Lamniformes</t>
        </is>
      </c>
      <c r="D249" s="10" t="inlineStr">
        <is>
          <t>Oceanic sharks | Coastal elasmobranch</t>
        </is>
      </c>
      <c r="E249" t="n">
        <v>276.665746</v>
      </c>
      <c r="F249" t="n">
        <v>1380.156554</v>
      </c>
      <c r="G249" t="n">
        <v>813.237349</v>
      </c>
      <c r="H249" t="n">
        <v>11688.066786</v>
      </c>
      <c r="I249" t="n">
        <v>3302.11378</v>
      </c>
      <c r="J249" t="n">
        <v>3753.764115</v>
      </c>
      <c r="K249" t="n">
        <v>2868.260753</v>
      </c>
      <c r="L249" t="n">
        <v>18853.580958</v>
      </c>
      <c r="M249" t="n">
        <v>18853.580958</v>
      </c>
      <c r="N249" t="n">
        <v>18853.580958</v>
      </c>
      <c r="O249" t="n">
        <v>9040.533485</v>
      </c>
      <c r="P249" t="n">
        <v>1862.18019</v>
      </c>
      <c r="Q249" t="n">
        <v>18853.580958</v>
      </c>
      <c r="R249" t="n">
        <v>94943203.22682799</v>
      </c>
      <c r="S249" t="n">
        <v>9040.533485</v>
      </c>
      <c r="T249" t="n">
        <v>-4557941.960348</v>
      </c>
      <c r="U249" t="n">
        <v>1862.18019</v>
      </c>
      <c r="V249" t="n">
        <v>-7.861118488044005e+19</v>
      </c>
      <c r="W249" t="n">
        <v>14987.301255</v>
      </c>
      <c r="X249" t="n">
        <v>26157.019993</v>
      </c>
      <c r="Y249" t="n">
        <v>174.929003</v>
      </c>
      <c r="Z249" t="n">
        <v>765.3479139999999</v>
      </c>
    </row>
    <row r="250" ht="21" customHeight="1">
      <c r="A250" t="inlineStr">
        <is>
          <t>Siganidae</t>
        </is>
      </c>
      <c r="B250" t="n">
        <v>2.11</v>
      </c>
      <c r="C250" t="n">
        <v>12.882496</v>
      </c>
      <c r="D250" s="10" t="inlineStr">
        <is>
          <t>2 SM inv | 3 SM inv</t>
        </is>
      </c>
      <c r="E250" t="n">
        <v>276.665746</v>
      </c>
      <c r="F250" t="n">
        <v>195.237034</v>
      </c>
      <c r="G250" t="n">
        <v>132.430212</v>
      </c>
      <c r="H250" t="n">
        <v>264.43232</v>
      </c>
      <c r="I250" t="n">
        <v>118.903546</v>
      </c>
      <c r="J250" t="n">
        <v>136.120138</v>
      </c>
      <c r="K250" t="n">
        <v>127.344134</v>
      </c>
      <c r="L250" t="n">
        <v>358.382548</v>
      </c>
      <c r="M250" t="n">
        <v>358.382548</v>
      </c>
      <c r="N250" t="n">
        <v>358.382548</v>
      </c>
      <c r="O250" t="n">
        <v>341.399299</v>
      </c>
      <c r="P250" t="n">
        <v>140.115469</v>
      </c>
      <c r="Q250" t="n">
        <v>358.382548</v>
      </c>
      <c r="R250" t="n">
        <v>6457.458436</v>
      </c>
      <c r="S250" t="n">
        <v>341.399299</v>
      </c>
      <c r="T250" t="n">
        <v>179529.737596</v>
      </c>
      <c r="U250" t="n">
        <v>140.115469</v>
      </c>
      <c r="V250" t="n">
        <v>-303793.842089</v>
      </c>
      <c r="W250" t="n">
        <v>574.006718</v>
      </c>
      <c r="X250" t="n">
        <v>502.703783</v>
      </c>
      <c r="Y250" t="n">
        <v>42.955466</v>
      </c>
      <c r="Z250" t="n">
        <v>65.030467</v>
      </c>
    </row>
    <row r="251" ht="21" customHeight="1">
      <c r="A251" t="inlineStr">
        <is>
          <t>Holothuriidae</t>
        </is>
      </c>
      <c r="B251" t="n">
        <v>2</v>
      </c>
      <c r="C251" t="n">
        <v>10</v>
      </c>
      <c r="D251" s="10" t="inlineStr">
        <is>
          <t>2 Macrobenthos | 3 Macrobenthos</t>
        </is>
      </c>
      <c r="E251" t="n">
        <v>276.665746</v>
      </c>
      <c r="F251" t="n">
        <v>43.212782</v>
      </c>
      <c r="G251" t="n">
        <v>32.623281</v>
      </c>
      <c r="H251" t="n">
        <v>41.368719</v>
      </c>
      <c r="I251" t="n">
        <v>34.461512</v>
      </c>
      <c r="J251" t="n">
        <v>34.461512</v>
      </c>
      <c r="K251" t="n">
        <v>31.432014</v>
      </c>
      <c r="L251" t="n">
        <v>106.719149</v>
      </c>
      <c r="M251" t="n">
        <v>106.719149</v>
      </c>
      <c r="N251" t="n">
        <v>106.719149</v>
      </c>
      <c r="O251" t="n">
        <v>113.412456</v>
      </c>
      <c r="P251" t="n">
        <v>57.717594</v>
      </c>
      <c r="Q251" t="n">
        <v>106.719149</v>
      </c>
      <c r="R251" t="n">
        <v>106.719149</v>
      </c>
      <c r="S251" t="n">
        <v>113.412456</v>
      </c>
      <c r="T251" t="n">
        <v>25.029149</v>
      </c>
      <c r="U251" t="n">
        <v>57.717594</v>
      </c>
      <c r="V251" t="n">
        <v>63.584441</v>
      </c>
      <c r="W251" t="n">
        <v>206.884057</v>
      </c>
      <c r="X251" t="n">
        <v>165.070073</v>
      </c>
      <c r="Y251" t="n">
        <v>14.477738</v>
      </c>
      <c r="Z251" t="n">
        <v>16.337529</v>
      </c>
    </row>
    <row r="252" ht="21" customHeight="1">
      <c r="A252" t="inlineStr">
        <is>
          <t>Holothuria leucospilota</t>
        </is>
      </c>
      <c r="B252" t="n">
        <v>2</v>
      </c>
      <c r="C252" t="n">
        <v>10</v>
      </c>
      <c r="D252" s="10" t="inlineStr">
        <is>
          <t>2 Macrobenthos | 3 Macrobenthos</t>
        </is>
      </c>
      <c r="E252" t="n">
        <v>276.665746</v>
      </c>
      <c r="F252" t="n">
        <v>43.212782</v>
      </c>
      <c r="G252" t="n">
        <v>32.623281</v>
      </c>
      <c r="H252" t="n">
        <v>41.368719</v>
      </c>
      <c r="I252" t="n">
        <v>34.461512</v>
      </c>
      <c r="J252" t="n">
        <v>34.461512</v>
      </c>
      <c r="K252" t="n">
        <v>31.432014</v>
      </c>
      <c r="L252" t="n">
        <v>106.719149</v>
      </c>
      <c r="M252" t="n">
        <v>106.719149</v>
      </c>
      <c r="N252" t="n">
        <v>106.719149</v>
      </c>
      <c r="O252" t="n">
        <v>113.412456</v>
      </c>
      <c r="P252" t="n">
        <v>57.717594</v>
      </c>
      <c r="Q252" t="n">
        <v>106.719149</v>
      </c>
      <c r="R252" t="n">
        <v>106.719149</v>
      </c>
      <c r="S252" t="n">
        <v>113.412456</v>
      </c>
      <c r="T252" t="n">
        <v>25.029149</v>
      </c>
      <c r="U252" t="n">
        <v>57.717594</v>
      </c>
      <c r="V252" t="n">
        <v>63.584441</v>
      </c>
      <c r="W252" t="n">
        <v>206.884057</v>
      </c>
      <c r="X252" t="n">
        <v>165.070073</v>
      </c>
      <c r="Y252" t="n">
        <v>14.477738</v>
      </c>
      <c r="Z252" t="n">
        <v>16.337529</v>
      </c>
    </row>
    <row r="253" ht="21" customHeight="1">
      <c r="A253" t="inlineStr">
        <is>
          <t>Caesionidae</t>
        </is>
      </c>
      <c r="B253" t="n">
        <v>3.39</v>
      </c>
      <c r="C253" t="n">
        <v>245.470892</v>
      </c>
      <c r="D253" s="10" t="inlineStr">
        <is>
          <t>2 SM inv | 3 SM inv</t>
        </is>
      </c>
      <c r="E253" t="n">
        <v>276.665746</v>
      </c>
      <c r="F253" t="n">
        <v>195.237034</v>
      </c>
      <c r="G253" t="n">
        <v>132.430212</v>
      </c>
      <c r="H253" t="n">
        <v>264.43232</v>
      </c>
      <c r="I253" t="n">
        <v>118.903546</v>
      </c>
      <c r="J253" t="n">
        <v>136.120138</v>
      </c>
      <c r="K253" t="n">
        <v>127.344134</v>
      </c>
      <c r="L253" t="n">
        <v>358.382548</v>
      </c>
      <c r="M253" t="n">
        <v>358.382548</v>
      </c>
      <c r="N253" t="n">
        <v>358.382548</v>
      </c>
      <c r="O253" t="n">
        <v>341.399299</v>
      </c>
      <c r="P253" t="n">
        <v>140.115469</v>
      </c>
      <c r="Q253" t="n">
        <v>358.382548</v>
      </c>
      <c r="R253" t="n">
        <v>6457.458436</v>
      </c>
      <c r="S253" t="n">
        <v>341.399299</v>
      </c>
      <c r="T253" t="n">
        <v>179529.737596</v>
      </c>
      <c r="U253" t="n">
        <v>140.115469</v>
      </c>
      <c r="V253" t="n">
        <v>-303793.842089</v>
      </c>
      <c r="W253" t="n">
        <v>574.006718</v>
      </c>
      <c r="X253" t="n">
        <v>502.703783</v>
      </c>
      <c r="Y253" t="n">
        <v>42.955466</v>
      </c>
      <c r="Z253" t="n">
        <v>65.030467</v>
      </c>
    </row>
    <row r="254" ht="21" customHeight="1">
      <c r="A254" t="inlineStr">
        <is>
          <t>Scomberomorus lineolatus</t>
        </is>
      </c>
      <c r="B254" t="n">
        <v>4.5</v>
      </c>
      <c r="C254" t="n">
        <v>3162.27766</v>
      </c>
      <c r="D254" s="10" t="inlineStr">
        <is>
          <t>Coastal scombrids</t>
        </is>
      </c>
      <c r="E254" t="n">
        <v>276.665746</v>
      </c>
      <c r="F254" t="n">
        <v>2151.411916</v>
      </c>
      <c r="G254" t="n">
        <v>1228.563684</v>
      </c>
      <c r="H254" t="n">
        <v>5446.035641</v>
      </c>
      <c r="I254" t="n">
        <v>1745.735548</v>
      </c>
      <c r="J254" t="n">
        <v>2057.857337</v>
      </c>
      <c r="K254" t="n">
        <v>1230.598688</v>
      </c>
      <c r="L254" t="n">
        <v>5797.992045</v>
      </c>
      <c r="M254" t="n">
        <v>5797.992045</v>
      </c>
      <c r="N254" t="n">
        <v>5797.992045</v>
      </c>
      <c r="O254" t="n">
        <v>2888.86016</v>
      </c>
      <c r="P254" t="n">
        <v>773.406711</v>
      </c>
      <c r="Q254" t="n">
        <v>5797.992045</v>
      </c>
      <c r="R254" t="n">
        <v>16253842.87507</v>
      </c>
      <c r="S254" t="n">
        <v>2888.86016</v>
      </c>
      <c r="T254" t="n">
        <v>-18404050.091193</v>
      </c>
      <c r="U254" t="n">
        <v>773.406711</v>
      </c>
      <c r="V254" t="n">
        <v>4.487680113340224e+16</v>
      </c>
      <c r="W254" t="n">
        <v>4648.847098</v>
      </c>
      <c r="X254" t="n">
        <v>7907.299162</v>
      </c>
      <c r="Y254" t="n">
        <v>241.012964</v>
      </c>
      <c r="Z254" t="n">
        <v>536.33742</v>
      </c>
    </row>
    <row r="255" ht="21" customHeight="1">
      <c r="A255" t="inlineStr">
        <is>
          <t>Stichopus</t>
        </is>
      </c>
      <c r="B255" t="n">
        <v>2.3</v>
      </c>
      <c r="C255" t="n">
        <v>19.952623</v>
      </c>
      <c r="D255" s="10" t="inlineStr">
        <is>
          <t>2 Macrobenthos | 3 Macrobenthos</t>
        </is>
      </c>
      <c r="E255" t="n">
        <v>276.665746</v>
      </c>
      <c r="F255" t="n">
        <v>43.212782</v>
      </c>
      <c r="G255" t="n">
        <v>32.623281</v>
      </c>
      <c r="H255" t="n">
        <v>41.368719</v>
      </c>
      <c r="I255" t="n">
        <v>34.461512</v>
      </c>
      <c r="J255" t="n">
        <v>34.461512</v>
      </c>
      <c r="K255" t="n">
        <v>31.432014</v>
      </c>
      <c r="L255" t="n">
        <v>106.719149</v>
      </c>
      <c r="M255" t="n">
        <v>106.719149</v>
      </c>
      <c r="N255" t="n">
        <v>106.719149</v>
      </c>
      <c r="O255" t="n">
        <v>113.412456</v>
      </c>
      <c r="P255" t="n">
        <v>57.717594</v>
      </c>
      <c r="Q255" t="n">
        <v>106.719149</v>
      </c>
      <c r="R255" t="n">
        <v>106.719149</v>
      </c>
      <c r="S255" t="n">
        <v>113.412456</v>
      </c>
      <c r="T255" t="n">
        <v>25.029149</v>
      </c>
      <c r="U255" t="n">
        <v>57.717594</v>
      </c>
      <c r="V255" t="n">
        <v>63.584441</v>
      </c>
      <c r="W255" t="n">
        <v>206.884057</v>
      </c>
      <c r="X255" t="n">
        <v>165.070073</v>
      </c>
      <c r="Y255" t="n">
        <v>14.477738</v>
      </c>
      <c r="Z255" t="n">
        <v>16.337529</v>
      </c>
    </row>
    <row r="256" ht="21" customHeight="1">
      <c r="A256" t="inlineStr">
        <is>
          <t>Sphyrnidae</t>
        </is>
      </c>
      <c r="B256" t="n">
        <v>4.19</v>
      </c>
      <c r="C256" t="n">
        <v>1548.816619</v>
      </c>
      <c r="D256" s="10" t="inlineStr">
        <is>
          <t>Oceanic sharks</t>
        </is>
      </c>
      <c r="E256" t="n">
        <v>276.665746</v>
      </c>
      <c r="F256" t="n">
        <v>1757.235698</v>
      </c>
      <c r="G256" t="n">
        <v>1018.406889</v>
      </c>
      <c r="H256" t="n">
        <v>15262.31097</v>
      </c>
      <c r="I256" t="n">
        <v>5136.373322</v>
      </c>
      <c r="J256" t="n">
        <v>6101.609798</v>
      </c>
      <c r="K256" t="n">
        <v>3551.136902</v>
      </c>
      <c r="L256" t="n">
        <v>23068.147688</v>
      </c>
      <c r="M256" t="n">
        <v>23068.147688</v>
      </c>
      <c r="N256" t="n">
        <v>23068.147688</v>
      </c>
      <c r="O256" t="n">
        <v>8717.777107</v>
      </c>
      <c r="P256" t="n">
        <v>1861.38016</v>
      </c>
      <c r="Q256" t="n">
        <v>23068.147688</v>
      </c>
      <c r="R256" t="n">
        <v>93910298.950615</v>
      </c>
      <c r="S256" t="n">
        <v>8717.777107</v>
      </c>
      <c r="T256" t="n">
        <v>-2662978.044058</v>
      </c>
      <c r="U256" t="n">
        <v>1861.38016</v>
      </c>
      <c r="V256" t="n">
        <v>-6.150361922865892e+19</v>
      </c>
      <c r="W256" t="n">
        <v>14380.879162</v>
      </c>
      <c r="X256" t="n">
        <v>31682.718847</v>
      </c>
      <c r="Y256" t="n">
        <v>208.554284</v>
      </c>
      <c r="Z256" t="n">
        <v>1010.152404</v>
      </c>
    </row>
    <row r="257" ht="21" customHeight="1">
      <c r="A257" t="inlineStr">
        <is>
          <t>Platycaranx malabaricus</t>
        </is>
      </c>
      <c r="B257" t="n">
        <v>3.88</v>
      </c>
      <c r="C257" t="n">
        <v>758.577575</v>
      </c>
      <c r="D257" s="10" t="inlineStr">
        <is>
          <t>2 Carangids | 3 Carangids</t>
        </is>
      </c>
      <c r="E257" t="n">
        <v>276.665746</v>
      </c>
      <c r="F257" t="n">
        <v>1047.559324</v>
      </c>
      <c r="G257" t="n">
        <v>629.821299</v>
      </c>
      <c r="H257" t="n">
        <v>2236.955926</v>
      </c>
      <c r="I257" t="n">
        <v>640.844159</v>
      </c>
      <c r="J257" t="n">
        <v>754.590569</v>
      </c>
      <c r="K257" t="n">
        <v>726.430521</v>
      </c>
      <c r="L257" t="n">
        <v>2160.134294</v>
      </c>
      <c r="M257" t="n">
        <v>2160.134294</v>
      </c>
      <c r="N257" t="n">
        <v>2160.134294</v>
      </c>
      <c r="O257" t="n">
        <v>1714.41623</v>
      </c>
      <c r="P257" t="n">
        <v>507.780375</v>
      </c>
      <c r="Q257" t="n">
        <v>2160.134294</v>
      </c>
      <c r="R257" t="n">
        <v>1795384.471462</v>
      </c>
      <c r="S257" t="n">
        <v>1714.41623</v>
      </c>
      <c r="T257" t="n">
        <v>15523021.978962</v>
      </c>
      <c r="U257" t="n">
        <v>507.780375</v>
      </c>
      <c r="V257" t="n">
        <v>361623540.311127</v>
      </c>
      <c r="W257" t="n">
        <v>2798.965662</v>
      </c>
      <c r="X257" t="n">
        <v>2890.070964</v>
      </c>
      <c r="Y257" t="n">
        <v>143.6356</v>
      </c>
      <c r="Z257" t="n">
        <v>293.771321</v>
      </c>
    </row>
    <row r="258" ht="21" customHeight="1">
      <c r="A258" t="inlineStr">
        <is>
          <t>Priacanthidae</t>
        </is>
      </c>
      <c r="D258" s="10" t="inlineStr">
        <is>
          <t>2 SM pisc | 3 SM pisc</t>
        </is>
      </c>
      <c r="E258" t="n">
        <v>276.665746</v>
      </c>
      <c r="F258" t="n">
        <v>735.917019</v>
      </c>
      <c r="G258" t="n">
        <v>452.492682</v>
      </c>
      <c r="H258" t="n">
        <v>682.111639</v>
      </c>
      <c r="I258" t="n">
        <v>235.466475</v>
      </c>
      <c r="J258" t="n">
        <v>314.21941</v>
      </c>
      <c r="K258" t="n">
        <v>298.50844</v>
      </c>
      <c r="L258" t="n">
        <v>954.7607</v>
      </c>
      <c r="M258" t="n">
        <v>954.7607</v>
      </c>
      <c r="N258" t="n">
        <v>954.7607</v>
      </c>
      <c r="O258" t="n">
        <v>843.56575</v>
      </c>
      <c r="P258" t="n">
        <v>294.060389</v>
      </c>
      <c r="Q258" t="n">
        <v>954.7607</v>
      </c>
      <c r="R258" t="n">
        <v>9873.492876</v>
      </c>
      <c r="S258" t="n">
        <v>843.56575</v>
      </c>
      <c r="T258" t="n">
        <v>671288.666809</v>
      </c>
      <c r="U258" t="n">
        <v>294.060389</v>
      </c>
      <c r="V258" t="n">
        <v>-16862660.627203</v>
      </c>
      <c r="W258" t="n">
        <v>1324.31138</v>
      </c>
      <c r="X258" t="n">
        <v>1272.066649</v>
      </c>
      <c r="Y258" t="n">
        <v>110.428635</v>
      </c>
      <c r="Z258" t="n">
        <v>131.682702</v>
      </c>
    </row>
    <row r="259" ht="21" customHeight="1">
      <c r="A259" t="inlineStr">
        <is>
          <t>Alopias vulpinus</t>
        </is>
      </c>
      <c r="B259" t="n">
        <v>4.5</v>
      </c>
      <c r="C259" t="n">
        <v>3162.27766</v>
      </c>
      <c r="D259" s="10" t="inlineStr">
        <is>
          <t>Oceanic sharks</t>
        </is>
      </c>
      <c r="E259" t="n">
        <v>276.665746</v>
      </c>
      <c r="F259" t="n">
        <v>1757.235698</v>
      </c>
      <c r="G259" t="n">
        <v>1018.406889</v>
      </c>
      <c r="H259" t="n">
        <v>15262.31097</v>
      </c>
      <c r="I259" t="n">
        <v>5136.373322</v>
      </c>
      <c r="J259" t="n">
        <v>6101.609798</v>
      </c>
      <c r="K259" t="n">
        <v>3551.136902</v>
      </c>
      <c r="L259" t="n">
        <v>23068.147688</v>
      </c>
      <c r="M259" t="n">
        <v>23068.147688</v>
      </c>
      <c r="N259" t="n">
        <v>23068.147688</v>
      </c>
      <c r="O259" t="n">
        <v>8717.777107</v>
      </c>
      <c r="P259" t="n">
        <v>1861.38016</v>
      </c>
      <c r="Q259" t="n">
        <v>23068.147688</v>
      </c>
      <c r="R259" t="n">
        <v>93910298.950615</v>
      </c>
      <c r="S259" t="n">
        <v>8717.777107</v>
      </c>
      <c r="T259" t="n">
        <v>-2662978.044058</v>
      </c>
      <c r="U259" t="n">
        <v>1861.38016</v>
      </c>
      <c r="V259" t="n">
        <v>-6.150361922865892e+19</v>
      </c>
      <c r="W259" t="n">
        <v>14380.879162</v>
      </c>
      <c r="X259" t="n">
        <v>31682.718847</v>
      </c>
      <c r="Y259" t="n">
        <v>208.554284</v>
      </c>
      <c r="Z259" t="n">
        <v>1010.152404</v>
      </c>
    </row>
    <row r="260" ht="21" customHeight="1">
      <c r="A260" t="inlineStr">
        <is>
          <t>Alopias pelagicus</t>
        </is>
      </c>
      <c r="B260" t="n">
        <v>4.5</v>
      </c>
      <c r="C260" t="n">
        <v>3162.27766</v>
      </c>
      <c r="D260" s="10" t="inlineStr">
        <is>
          <t>Oceanic sharks</t>
        </is>
      </c>
      <c r="E260" t="n">
        <v>276.665746</v>
      </c>
      <c r="F260" t="n">
        <v>1757.235698</v>
      </c>
      <c r="G260" t="n">
        <v>1018.406889</v>
      </c>
      <c r="H260" t="n">
        <v>15262.31097</v>
      </c>
      <c r="I260" t="n">
        <v>5136.373322</v>
      </c>
      <c r="J260" t="n">
        <v>6101.609798</v>
      </c>
      <c r="K260" t="n">
        <v>3551.136902</v>
      </c>
      <c r="L260" t="n">
        <v>23068.147688</v>
      </c>
      <c r="M260" t="n">
        <v>23068.147688</v>
      </c>
      <c r="N260" t="n">
        <v>23068.147688</v>
      </c>
      <c r="O260" t="n">
        <v>8717.777107</v>
      </c>
      <c r="P260" t="n">
        <v>1861.38016</v>
      </c>
      <c r="Q260" t="n">
        <v>23068.147688</v>
      </c>
      <c r="R260" t="n">
        <v>93910298.950615</v>
      </c>
      <c r="S260" t="n">
        <v>8717.777107</v>
      </c>
      <c r="T260" t="n">
        <v>-2662978.044058</v>
      </c>
      <c r="U260" t="n">
        <v>1861.38016</v>
      </c>
      <c r="V260" t="n">
        <v>-6.150361922865892e+19</v>
      </c>
      <c r="W260" t="n">
        <v>14380.879162</v>
      </c>
      <c r="X260" t="n">
        <v>31682.718847</v>
      </c>
      <c r="Y260" t="n">
        <v>208.554284</v>
      </c>
      <c r="Z260" t="n">
        <v>1010.152404</v>
      </c>
    </row>
    <row r="261" ht="21" customHeight="1">
      <c r="A261" t="inlineStr">
        <is>
          <t>Alopias superciliosus</t>
        </is>
      </c>
      <c r="B261" t="n">
        <v>4.51</v>
      </c>
      <c r="C261" t="n">
        <v>3235.936569</v>
      </c>
      <c r="D261" s="10" t="inlineStr">
        <is>
          <t>Oceanic sharks</t>
        </is>
      </c>
      <c r="E261" t="n">
        <v>276.665746</v>
      </c>
      <c r="F261" t="n">
        <v>1757.235698</v>
      </c>
      <c r="G261" t="n">
        <v>1018.406889</v>
      </c>
      <c r="H261" t="n">
        <v>15262.31097</v>
      </c>
      <c r="I261" t="n">
        <v>5136.373322</v>
      </c>
      <c r="J261" t="n">
        <v>6101.609798</v>
      </c>
      <c r="K261" t="n">
        <v>3551.136902</v>
      </c>
      <c r="L261" t="n">
        <v>23068.147688</v>
      </c>
      <c r="M261" t="n">
        <v>23068.147688</v>
      </c>
      <c r="N261" t="n">
        <v>23068.147688</v>
      </c>
      <c r="O261" t="n">
        <v>8717.777107</v>
      </c>
      <c r="P261" t="n">
        <v>1861.38016</v>
      </c>
      <c r="Q261" t="n">
        <v>23068.147688</v>
      </c>
      <c r="R261" t="n">
        <v>93910298.950615</v>
      </c>
      <c r="S261" t="n">
        <v>8717.777107</v>
      </c>
      <c r="T261" t="n">
        <v>-2662978.044058</v>
      </c>
      <c r="U261" t="n">
        <v>1861.38016</v>
      </c>
      <c r="V261" t="n">
        <v>-6.150361922865892e+19</v>
      </c>
      <c r="W261" t="n">
        <v>14380.879162</v>
      </c>
      <c r="X261" t="n">
        <v>31682.718847</v>
      </c>
      <c r="Y261" t="n">
        <v>208.554284</v>
      </c>
      <c r="Z261" t="n">
        <v>1010.152404</v>
      </c>
    </row>
    <row r="262" ht="21" customHeight="1">
      <c r="A262" t="inlineStr">
        <is>
          <t>Tridacna</t>
        </is>
      </c>
      <c r="B262" t="n">
        <v>2.12</v>
      </c>
      <c r="C262" t="n">
        <v>13.182567</v>
      </c>
      <c r="D262" s="10" t="inlineStr">
        <is>
          <t>2 Macrobenthos | 3 Macrobenthos</t>
        </is>
      </c>
      <c r="E262" t="n">
        <v>276.665746</v>
      </c>
      <c r="F262" t="n">
        <v>43.212782</v>
      </c>
      <c r="G262" t="n">
        <v>32.623281</v>
      </c>
      <c r="H262" t="n">
        <v>41.368719</v>
      </c>
      <c r="I262" t="n">
        <v>34.461512</v>
      </c>
      <c r="J262" t="n">
        <v>34.461512</v>
      </c>
      <c r="K262" t="n">
        <v>31.432014</v>
      </c>
      <c r="L262" t="n">
        <v>106.719149</v>
      </c>
      <c r="M262" t="n">
        <v>106.719149</v>
      </c>
      <c r="N262" t="n">
        <v>106.719149</v>
      </c>
      <c r="O262" t="n">
        <v>113.412456</v>
      </c>
      <c r="P262" t="n">
        <v>57.717594</v>
      </c>
      <c r="Q262" t="n">
        <v>106.719149</v>
      </c>
      <c r="R262" t="n">
        <v>106.719149</v>
      </c>
      <c r="S262" t="n">
        <v>113.412456</v>
      </c>
      <c r="T262" t="n">
        <v>25.029149</v>
      </c>
      <c r="U262" t="n">
        <v>57.717594</v>
      </c>
      <c r="V262" t="n">
        <v>63.584441</v>
      </c>
      <c r="W262" t="n">
        <v>206.884057</v>
      </c>
      <c r="X262" t="n">
        <v>165.070073</v>
      </c>
      <c r="Y262" t="n">
        <v>14.477738</v>
      </c>
      <c r="Z262" t="n">
        <v>16.337529</v>
      </c>
    </row>
    <row r="263" ht="21" customHeight="1">
      <c r="A263" t="inlineStr">
        <is>
          <t>Chanos chanos</t>
        </is>
      </c>
      <c r="B263" t="n">
        <v>2.03</v>
      </c>
      <c r="C263" t="n">
        <v>10.715193</v>
      </c>
      <c r="D263" s="10" t="inlineStr">
        <is>
          <t>2 Milkfish plus | 3 Milkfish plus</t>
        </is>
      </c>
      <c r="E263" t="n">
        <v>276.665746</v>
      </c>
      <c r="F263" t="n">
        <v>485.961749</v>
      </c>
      <c r="G263" t="n">
        <v>307.552703</v>
      </c>
      <c r="H263" t="n">
        <v>638.1912</v>
      </c>
      <c r="I263" t="n">
        <v>251.090454</v>
      </c>
      <c r="J263" t="n">
        <v>374.669413</v>
      </c>
      <c r="K263" t="n">
        <v>344.965812</v>
      </c>
      <c r="L263" t="n">
        <v>956.244957</v>
      </c>
      <c r="M263" t="n">
        <v>956.244957</v>
      </c>
      <c r="N263" t="n">
        <v>956.244957</v>
      </c>
      <c r="O263" t="n">
        <v>803.1636130000001</v>
      </c>
      <c r="P263" t="n">
        <v>289.848216</v>
      </c>
      <c r="Q263" t="n">
        <v>956.244957</v>
      </c>
      <c r="R263" t="n">
        <v>162224.021457</v>
      </c>
      <c r="S263" t="n">
        <v>803.1636130000001</v>
      </c>
      <c r="T263" t="n">
        <v>1575532.887009</v>
      </c>
      <c r="U263" t="n">
        <v>289.848216</v>
      </c>
      <c r="V263" t="n">
        <v>-39620823.323941</v>
      </c>
      <c r="W263" t="n">
        <v>1316.228439</v>
      </c>
      <c r="X263" t="n">
        <v>1317.325725</v>
      </c>
      <c r="Y263" t="n">
        <v>81.736492</v>
      </c>
      <c r="Z263" t="n">
        <v>114.066854</v>
      </c>
    </row>
    <row r="264" ht="21" customHeight="1">
      <c r="A264" t="inlineStr">
        <is>
          <t>Muraenesocidae</t>
        </is>
      </c>
      <c r="B264" t="n">
        <v>3.9</v>
      </c>
      <c r="C264" t="n">
        <v>794.3282349999999</v>
      </c>
      <c r="D264" s="10" t="inlineStr">
        <is>
          <t>2 L pisc | 3 L pisc</t>
        </is>
      </c>
      <c r="E264" t="n">
        <v>276.665746</v>
      </c>
      <c r="F264" t="n">
        <v>1671.644897</v>
      </c>
      <c r="G264" t="n">
        <v>968.768055</v>
      </c>
      <c r="H264" t="n">
        <v>4318.024466</v>
      </c>
      <c r="I264" t="n">
        <v>1003.379133</v>
      </c>
      <c r="J264" t="n">
        <v>1189.735453</v>
      </c>
      <c r="K264" t="n">
        <v>1070.761907</v>
      </c>
      <c r="L264" t="n">
        <v>3541.417618</v>
      </c>
      <c r="M264" t="n">
        <v>3541.417618</v>
      </c>
      <c r="N264" t="n">
        <v>3541.417618</v>
      </c>
      <c r="O264" t="n">
        <v>2538.082167</v>
      </c>
      <c r="P264" t="n">
        <v>681.673862</v>
      </c>
      <c r="Q264" t="n">
        <v>3541.417618</v>
      </c>
      <c r="R264" t="n">
        <v>62682.288429</v>
      </c>
      <c r="S264" t="n">
        <v>2538.082167</v>
      </c>
      <c r="T264" t="n">
        <v>4712584.866078</v>
      </c>
      <c r="U264" t="n">
        <v>681.673862</v>
      </c>
      <c r="V264" t="n">
        <v>8783084984.919691</v>
      </c>
      <c r="W264" t="n">
        <v>4084.080603</v>
      </c>
      <c r="X264" t="n">
        <v>4708.141648</v>
      </c>
      <c r="Y264" t="n">
        <v>198.988407</v>
      </c>
      <c r="Z264" t="n">
        <v>443.151943</v>
      </c>
    </row>
    <row r="265" ht="21" customHeight="1">
      <c r="A265" t="inlineStr">
        <is>
          <t>Aluterus</t>
        </is>
      </c>
      <c r="B265" t="n">
        <v>2.81</v>
      </c>
      <c r="C265" t="n">
        <v>64.565423</v>
      </c>
      <c r="D265" s="10" t="inlineStr">
        <is>
          <t>2 SM inv | 3 SM inv</t>
        </is>
      </c>
      <c r="E265" t="n">
        <v>276.665746</v>
      </c>
      <c r="F265" t="n">
        <v>195.237034</v>
      </c>
      <c r="G265" t="n">
        <v>132.430212</v>
      </c>
      <c r="H265" t="n">
        <v>264.43232</v>
      </c>
      <c r="I265" t="n">
        <v>118.903546</v>
      </c>
      <c r="J265" t="n">
        <v>136.120138</v>
      </c>
      <c r="K265" t="n">
        <v>127.344134</v>
      </c>
      <c r="L265" t="n">
        <v>358.382548</v>
      </c>
      <c r="M265" t="n">
        <v>358.382548</v>
      </c>
      <c r="N265" t="n">
        <v>358.382548</v>
      </c>
      <c r="O265" t="n">
        <v>341.399299</v>
      </c>
      <c r="P265" t="n">
        <v>140.115469</v>
      </c>
      <c r="Q265" t="n">
        <v>358.382548</v>
      </c>
      <c r="R265" t="n">
        <v>6457.458436</v>
      </c>
      <c r="S265" t="n">
        <v>341.399299</v>
      </c>
      <c r="T265" t="n">
        <v>179529.737596</v>
      </c>
      <c r="U265" t="n">
        <v>140.115469</v>
      </c>
      <c r="V265" t="n">
        <v>-303793.842089</v>
      </c>
      <c r="W265" t="n">
        <v>574.006718</v>
      </c>
      <c r="X265" t="n">
        <v>502.703783</v>
      </c>
      <c r="Y265" t="n">
        <v>42.955466</v>
      </c>
      <c r="Z265" t="n">
        <v>65.030467</v>
      </c>
    </row>
    <row r="266" ht="21" customHeight="1">
      <c r="A266" t="inlineStr">
        <is>
          <t>Panulirus penicillatus</t>
        </is>
      </c>
      <c r="B266" t="n">
        <v>3.57</v>
      </c>
      <c r="C266" t="n">
        <v>371.535229</v>
      </c>
      <c r="D266" s="10" t="inlineStr">
        <is>
          <t>2 Crustaceans | 3 Crustaceans</t>
        </is>
      </c>
      <c r="E266" t="n">
        <v>276.665746</v>
      </c>
      <c r="F266" t="n">
        <v>87.346446</v>
      </c>
      <c r="G266" t="n">
        <v>62.825827</v>
      </c>
      <c r="H266" t="n">
        <v>62.583797</v>
      </c>
      <c r="I266" t="n">
        <v>49.059783</v>
      </c>
      <c r="J266" t="n">
        <v>49.059783</v>
      </c>
      <c r="K266" t="n">
        <v>45.848307</v>
      </c>
      <c r="L266" t="n">
        <v>88.61683499999999</v>
      </c>
      <c r="M266" t="n">
        <v>88.61683499999999</v>
      </c>
      <c r="N266" t="n">
        <v>88.61683499999999</v>
      </c>
      <c r="O266" t="n">
        <v>112.736869</v>
      </c>
      <c r="P266" t="n">
        <v>69.749027</v>
      </c>
      <c r="Q266" t="n">
        <v>88.61683499999999</v>
      </c>
      <c r="R266" t="n">
        <v>88.61683499999999</v>
      </c>
      <c r="S266" t="n">
        <v>112.736869</v>
      </c>
      <c r="T266" t="n">
        <v>18.000131</v>
      </c>
      <c r="U266" t="n">
        <v>69.749027</v>
      </c>
      <c r="V266" t="n">
        <v>77.336753</v>
      </c>
      <c r="W266" t="n">
        <v>138.030843</v>
      </c>
      <c r="X266" t="n">
        <v>98.46392899999999</v>
      </c>
      <c r="Y266" t="n">
        <v>24.163479</v>
      </c>
      <c r="Z266" t="n">
        <v>23.495104</v>
      </c>
    </row>
    <row r="267" ht="21" customHeight="1">
      <c r="A267" t="inlineStr">
        <is>
          <t>Panulirus versicolor</t>
        </is>
      </c>
      <c r="B267" t="n">
        <v>3.57</v>
      </c>
      <c r="C267" t="n">
        <v>371.535229</v>
      </c>
      <c r="D267" s="10" t="inlineStr">
        <is>
          <t>2 Crustaceans | 3 Crustaceans</t>
        </is>
      </c>
      <c r="E267" t="n">
        <v>276.665746</v>
      </c>
      <c r="F267" t="n">
        <v>87.346446</v>
      </c>
      <c r="G267" t="n">
        <v>62.825827</v>
      </c>
      <c r="H267" t="n">
        <v>62.583797</v>
      </c>
      <c r="I267" t="n">
        <v>49.059783</v>
      </c>
      <c r="J267" t="n">
        <v>49.059783</v>
      </c>
      <c r="K267" t="n">
        <v>45.848307</v>
      </c>
      <c r="L267" t="n">
        <v>88.61683499999999</v>
      </c>
      <c r="M267" t="n">
        <v>88.61683499999999</v>
      </c>
      <c r="N267" t="n">
        <v>88.61683499999999</v>
      </c>
      <c r="O267" t="n">
        <v>112.736869</v>
      </c>
      <c r="P267" t="n">
        <v>69.749027</v>
      </c>
      <c r="Q267" t="n">
        <v>88.61683499999999</v>
      </c>
      <c r="R267" t="n">
        <v>88.61683499999999</v>
      </c>
      <c r="S267" t="n">
        <v>112.736869</v>
      </c>
      <c r="T267" t="n">
        <v>18.000131</v>
      </c>
      <c r="U267" t="n">
        <v>69.749027</v>
      </c>
      <c r="V267" t="n">
        <v>77.336753</v>
      </c>
      <c r="W267" t="n">
        <v>138.030843</v>
      </c>
      <c r="X267" t="n">
        <v>98.46392899999999</v>
      </c>
      <c r="Y267" t="n">
        <v>24.163479</v>
      </c>
      <c r="Z267" t="n">
        <v>23.495104</v>
      </c>
    </row>
    <row r="268" ht="21" customHeight="1">
      <c r="A268" t="inlineStr">
        <is>
          <t>Carcharhinus sorrah</t>
        </is>
      </c>
      <c r="B268" t="n">
        <v>4.15</v>
      </c>
      <c r="C268" t="n">
        <v>1412.537545</v>
      </c>
      <c r="D268" s="10" t="inlineStr">
        <is>
          <t>Coastal elasmobranch</t>
        </is>
      </c>
      <c r="E268" t="n">
        <v>276.665746</v>
      </c>
      <c r="F268" t="n">
        <v>1214.104792</v>
      </c>
      <c r="G268" t="n">
        <v>722.888243</v>
      </c>
      <c r="H268" t="n">
        <v>10114.101338</v>
      </c>
      <c r="I268" t="n">
        <v>2494.37346</v>
      </c>
      <c r="J268" t="n">
        <v>2719.859382</v>
      </c>
      <c r="K268" t="n">
        <v>2567.547256</v>
      </c>
      <c r="L268" t="n">
        <v>16997.641054</v>
      </c>
      <c r="M268" t="n">
        <v>16997.641054</v>
      </c>
      <c r="N268" t="n">
        <v>16997.641054</v>
      </c>
      <c r="O268" t="n">
        <v>9182.663503</v>
      </c>
      <c r="P268" t="n">
        <v>1862.532494</v>
      </c>
      <c r="Q268" t="n">
        <v>16997.641054</v>
      </c>
      <c r="R268" t="n">
        <v>95398056.213283</v>
      </c>
      <c r="S268" t="n">
        <v>9182.663503</v>
      </c>
      <c r="T268" t="n">
        <v>-5392414.250181</v>
      </c>
      <c r="U268" t="n">
        <v>1862.532494</v>
      </c>
      <c r="V268" t="n">
        <v>-8.614472647464927e+19</v>
      </c>
      <c r="W268" t="n">
        <v>15254.347201</v>
      </c>
      <c r="X268" t="n">
        <v>23723.705808</v>
      </c>
      <c r="Y268" t="n">
        <v>160.121668</v>
      </c>
      <c r="Z268" t="n">
        <v>657.545035</v>
      </c>
    </row>
    <row r="269" ht="21" customHeight="1">
      <c r="A269" t="inlineStr">
        <is>
          <t>Carcharhinus limbatus</t>
        </is>
      </c>
      <c r="B269" t="n">
        <v>4.37</v>
      </c>
      <c r="C269" t="n">
        <v>2344.228815</v>
      </c>
      <c r="D269" s="10" t="inlineStr">
        <is>
          <t>Coastal elasmobranch</t>
        </is>
      </c>
      <c r="E269" t="n">
        <v>276.665746</v>
      </c>
      <c r="F269" t="n">
        <v>1214.104792</v>
      </c>
      <c r="G269" t="n">
        <v>722.888243</v>
      </c>
      <c r="H269" t="n">
        <v>10114.101338</v>
      </c>
      <c r="I269" t="n">
        <v>2494.37346</v>
      </c>
      <c r="J269" t="n">
        <v>2719.859382</v>
      </c>
      <c r="K269" t="n">
        <v>2567.547256</v>
      </c>
      <c r="L269" t="n">
        <v>16997.641054</v>
      </c>
      <c r="M269" t="n">
        <v>16997.641054</v>
      </c>
      <c r="N269" t="n">
        <v>16997.641054</v>
      </c>
      <c r="O269" t="n">
        <v>9182.663503</v>
      </c>
      <c r="P269" t="n">
        <v>1862.532494</v>
      </c>
      <c r="Q269" t="n">
        <v>16997.641054</v>
      </c>
      <c r="R269" t="n">
        <v>95398056.213283</v>
      </c>
      <c r="S269" t="n">
        <v>9182.663503</v>
      </c>
      <c r="T269" t="n">
        <v>-5392414.250181</v>
      </c>
      <c r="U269" t="n">
        <v>1862.532494</v>
      </c>
      <c r="V269" t="n">
        <v>-8.614472647464927e+19</v>
      </c>
      <c r="W269" t="n">
        <v>15254.347201</v>
      </c>
      <c r="X269" t="n">
        <v>23723.705808</v>
      </c>
      <c r="Y269" t="n">
        <v>160.121668</v>
      </c>
      <c r="Z269" t="n">
        <v>657.545035</v>
      </c>
    </row>
    <row r="270" ht="21" customHeight="1">
      <c r="A270" t="inlineStr">
        <is>
          <t>Carcharhinus albimarginatus</t>
        </is>
      </c>
      <c r="B270" t="n">
        <v>4.21</v>
      </c>
      <c r="C270" t="n">
        <v>1621.810097</v>
      </c>
      <c r="D270" s="10" t="inlineStr">
        <is>
          <t>Coastal elasmobranch</t>
        </is>
      </c>
      <c r="E270" t="n">
        <v>276.665746</v>
      </c>
      <c r="F270" t="n">
        <v>1214.104792</v>
      </c>
      <c r="G270" t="n">
        <v>722.888243</v>
      </c>
      <c r="H270" t="n">
        <v>10114.101338</v>
      </c>
      <c r="I270" t="n">
        <v>2494.37346</v>
      </c>
      <c r="J270" t="n">
        <v>2719.859382</v>
      </c>
      <c r="K270" t="n">
        <v>2567.547256</v>
      </c>
      <c r="L270" t="n">
        <v>16997.641054</v>
      </c>
      <c r="M270" t="n">
        <v>16997.641054</v>
      </c>
      <c r="N270" t="n">
        <v>16997.641054</v>
      </c>
      <c r="O270" t="n">
        <v>9182.663503</v>
      </c>
      <c r="P270" t="n">
        <v>1862.532494</v>
      </c>
      <c r="Q270" t="n">
        <v>16997.641054</v>
      </c>
      <c r="R270" t="n">
        <v>95398056.213283</v>
      </c>
      <c r="S270" t="n">
        <v>9182.663503</v>
      </c>
      <c r="T270" t="n">
        <v>-5392414.250181</v>
      </c>
      <c r="U270" t="n">
        <v>1862.532494</v>
      </c>
      <c r="V270" t="n">
        <v>-8.614472647464927e+19</v>
      </c>
      <c r="W270" t="n">
        <v>15254.347201</v>
      </c>
      <c r="X270" t="n">
        <v>23723.705808</v>
      </c>
      <c r="Y270" t="n">
        <v>160.121668</v>
      </c>
      <c r="Z270" t="n">
        <v>657.545035</v>
      </c>
    </row>
    <row r="271" ht="21" customHeight="1">
      <c r="A271" t="inlineStr">
        <is>
          <t>Carcharhinus melanopterus</t>
        </is>
      </c>
      <c r="B271" t="n">
        <v>3.94</v>
      </c>
      <c r="C271" t="n">
        <v>870.96359</v>
      </c>
      <c r="D271" s="10" t="inlineStr">
        <is>
          <t>Coastal elasmobranch</t>
        </is>
      </c>
      <c r="E271" t="n">
        <v>276.665746</v>
      </c>
      <c r="F271" t="n">
        <v>1214.104792</v>
      </c>
      <c r="G271" t="n">
        <v>722.888243</v>
      </c>
      <c r="H271" t="n">
        <v>10114.101338</v>
      </c>
      <c r="I271" t="n">
        <v>2494.37346</v>
      </c>
      <c r="J271" t="n">
        <v>2719.859382</v>
      </c>
      <c r="K271" t="n">
        <v>2567.547256</v>
      </c>
      <c r="L271" t="n">
        <v>16997.641054</v>
      </c>
      <c r="M271" t="n">
        <v>16997.641054</v>
      </c>
      <c r="N271" t="n">
        <v>16997.641054</v>
      </c>
      <c r="O271" t="n">
        <v>9182.663503</v>
      </c>
      <c r="P271" t="n">
        <v>1862.532494</v>
      </c>
      <c r="Q271" t="n">
        <v>16997.641054</v>
      </c>
      <c r="R271" t="n">
        <v>95398056.213283</v>
      </c>
      <c r="S271" t="n">
        <v>9182.663503</v>
      </c>
      <c r="T271" t="n">
        <v>-5392414.250181</v>
      </c>
      <c r="U271" t="n">
        <v>1862.532494</v>
      </c>
      <c r="V271" t="n">
        <v>-8.614472647464927e+19</v>
      </c>
      <c r="W271" t="n">
        <v>15254.347201</v>
      </c>
      <c r="X271" t="n">
        <v>23723.705808</v>
      </c>
      <c r="Y271" t="n">
        <v>160.121668</v>
      </c>
      <c r="Z271" t="n">
        <v>657.545035</v>
      </c>
    </row>
    <row r="272" ht="21" customHeight="1">
      <c r="A272" t="inlineStr">
        <is>
          <t>Carcharhinus amblyrhynchos</t>
        </is>
      </c>
      <c r="B272" t="n">
        <v>4.11</v>
      </c>
      <c r="C272" t="n">
        <v>1288.249552</v>
      </c>
      <c r="D272" s="10" t="inlineStr">
        <is>
          <t>Coastal elasmobranch</t>
        </is>
      </c>
      <c r="E272" t="n">
        <v>276.665746</v>
      </c>
      <c r="F272" t="n">
        <v>1214.104792</v>
      </c>
      <c r="G272" t="n">
        <v>722.888243</v>
      </c>
      <c r="H272" t="n">
        <v>10114.101338</v>
      </c>
      <c r="I272" t="n">
        <v>2494.37346</v>
      </c>
      <c r="J272" t="n">
        <v>2719.859382</v>
      </c>
      <c r="K272" t="n">
        <v>2567.547256</v>
      </c>
      <c r="L272" t="n">
        <v>16997.641054</v>
      </c>
      <c r="M272" t="n">
        <v>16997.641054</v>
      </c>
      <c r="N272" t="n">
        <v>16997.641054</v>
      </c>
      <c r="O272" t="n">
        <v>9182.663503</v>
      </c>
      <c r="P272" t="n">
        <v>1862.532494</v>
      </c>
      <c r="Q272" t="n">
        <v>16997.641054</v>
      </c>
      <c r="R272" t="n">
        <v>95398056.213283</v>
      </c>
      <c r="S272" t="n">
        <v>9182.663503</v>
      </c>
      <c r="T272" t="n">
        <v>-5392414.250181</v>
      </c>
      <c r="U272" t="n">
        <v>1862.532494</v>
      </c>
      <c r="V272" t="n">
        <v>-8.614472647464927e+19</v>
      </c>
      <c r="W272" t="n">
        <v>15254.347201</v>
      </c>
      <c r="X272" t="n">
        <v>23723.705808</v>
      </c>
      <c r="Y272" t="n">
        <v>160.121668</v>
      </c>
      <c r="Z272" t="n">
        <v>657.545035</v>
      </c>
    </row>
    <row r="273" ht="21" customHeight="1">
      <c r="A273" t="inlineStr">
        <is>
          <t>Galeocerdo cuvier</t>
        </is>
      </c>
      <c r="B273" t="n">
        <v>4.54</v>
      </c>
      <c r="C273" t="n">
        <v>3467.368505</v>
      </c>
      <c r="D273" s="10" t="inlineStr">
        <is>
          <t>Coastal elasmobranch</t>
        </is>
      </c>
      <c r="E273" t="n">
        <v>276.665746</v>
      </c>
      <c r="F273" t="n">
        <v>1214.104792</v>
      </c>
      <c r="G273" t="n">
        <v>722.888243</v>
      </c>
      <c r="H273" t="n">
        <v>10114.101338</v>
      </c>
      <c r="I273" t="n">
        <v>2494.37346</v>
      </c>
      <c r="J273" t="n">
        <v>2719.859382</v>
      </c>
      <c r="K273" t="n">
        <v>2567.547256</v>
      </c>
      <c r="L273" t="n">
        <v>16997.641054</v>
      </c>
      <c r="M273" t="n">
        <v>16997.641054</v>
      </c>
      <c r="N273" t="n">
        <v>16997.641054</v>
      </c>
      <c r="O273" t="n">
        <v>9182.663503</v>
      </c>
      <c r="P273" t="n">
        <v>1862.532494</v>
      </c>
      <c r="Q273" t="n">
        <v>16997.641054</v>
      </c>
      <c r="R273" t="n">
        <v>95398056.213283</v>
      </c>
      <c r="S273" t="n">
        <v>9182.663503</v>
      </c>
      <c r="T273" t="n">
        <v>-5392414.250181</v>
      </c>
      <c r="U273" t="n">
        <v>1862.532494</v>
      </c>
      <c r="V273" t="n">
        <v>-8.614472647464927e+19</v>
      </c>
      <c r="W273" t="n">
        <v>15254.347201</v>
      </c>
      <c r="X273" t="n">
        <v>23723.705808</v>
      </c>
      <c r="Y273" t="n">
        <v>160.121668</v>
      </c>
      <c r="Z273" t="n">
        <v>657.545035</v>
      </c>
    </row>
    <row r="274" ht="21" customHeight="1">
      <c r="A274" t="inlineStr">
        <is>
          <t>Istiophorus</t>
        </is>
      </c>
      <c r="B274" t="n">
        <v>4.5</v>
      </c>
      <c r="C274" t="n">
        <v>3162.27766</v>
      </c>
      <c r="D274" s="10" t="inlineStr">
        <is>
          <t>Tuna-like</t>
        </is>
      </c>
      <c r="E274" t="n">
        <v>276.665746</v>
      </c>
      <c r="F274" t="n">
        <v>3650.332839</v>
      </c>
      <c r="G274" t="n">
        <v>2005.591894</v>
      </c>
      <c r="H274" t="n">
        <v>10195.617489</v>
      </c>
      <c r="I274" t="n">
        <v>2102.414308</v>
      </c>
      <c r="J274" t="n">
        <v>2472.563272</v>
      </c>
      <c r="K274" t="n">
        <v>2210.471565</v>
      </c>
      <c r="L274" t="n">
        <v>8472.950376000001</v>
      </c>
      <c r="M274" t="n">
        <v>8472.950376000001</v>
      </c>
      <c r="N274" t="n">
        <v>8472.950376000001</v>
      </c>
      <c r="O274" t="n">
        <v>5373.396262</v>
      </c>
      <c r="P274" t="n">
        <v>1271.175154</v>
      </c>
      <c r="Q274" t="n">
        <v>8472.950376000001</v>
      </c>
      <c r="R274" t="n">
        <v>11625502.426924</v>
      </c>
      <c r="S274" t="n">
        <v>5373.396262</v>
      </c>
      <c r="T274" t="n">
        <v>-571718.054743</v>
      </c>
      <c r="U274" t="n">
        <v>1271.175154</v>
      </c>
      <c r="V274" t="n">
        <v>-2164067390.718938</v>
      </c>
      <c r="W274" t="n">
        <v>8901.765899</v>
      </c>
      <c r="X274" t="n">
        <v>11377.133687</v>
      </c>
      <c r="Y274" t="n">
        <v>351.683283</v>
      </c>
      <c r="Z274" t="n">
        <v>848.5746820000001</v>
      </c>
    </row>
    <row r="275" ht="21" customHeight="1">
      <c r="A275" t="inlineStr">
        <is>
          <t>Hyporhamphus</t>
        </is>
      </c>
      <c r="B275" t="n">
        <v>3.3</v>
      </c>
      <c r="C275" t="n">
        <v>199.526231</v>
      </c>
      <c r="D275" s="10" t="inlineStr">
        <is>
          <t>2 S pelagics | 3 S pelagics</t>
        </is>
      </c>
      <c r="E275" t="n">
        <v>276.665746</v>
      </c>
      <c r="F275" t="n">
        <v>140.109476</v>
      </c>
      <c r="G275" t="n">
        <v>97.63290000000001</v>
      </c>
      <c r="H275" t="n">
        <v>192.530385</v>
      </c>
      <c r="I275" t="n">
        <v>80.840119</v>
      </c>
      <c r="J275" t="n">
        <v>105.744532</v>
      </c>
      <c r="K275" t="n">
        <v>98.71770100000001</v>
      </c>
      <c r="L275" t="n">
        <v>234.01812</v>
      </c>
      <c r="M275" t="n">
        <v>234.01812</v>
      </c>
      <c r="N275" t="n">
        <v>234.01812</v>
      </c>
      <c r="O275" t="n">
        <v>202.793183</v>
      </c>
      <c r="P275" t="n">
        <v>80.12592100000001</v>
      </c>
      <c r="Q275" t="n">
        <v>234.01812</v>
      </c>
      <c r="R275" t="n">
        <v>-33882.555745</v>
      </c>
      <c r="S275" t="n">
        <v>202.793183</v>
      </c>
      <c r="T275" t="n">
        <v>227994.620435</v>
      </c>
      <c r="U275" t="n">
        <v>80.12592100000001</v>
      </c>
      <c r="V275" t="n">
        <v>-5095004.477163</v>
      </c>
      <c r="W275" t="n">
        <v>296.324343</v>
      </c>
      <c r="X275" t="n">
        <v>299.160007</v>
      </c>
      <c r="Y275" t="n">
        <v>34.1744</v>
      </c>
      <c r="Z275" t="n">
        <v>48.359224</v>
      </c>
    </row>
    <row r="276" ht="21" customHeight="1">
      <c r="A276" t="inlineStr">
        <is>
          <t>Lethrinus</t>
        </is>
      </c>
      <c r="B276" t="n">
        <v>3.75</v>
      </c>
      <c r="C276" t="n">
        <v>562.341325</v>
      </c>
      <c r="D276" s="10" t="inlineStr">
        <is>
          <t>2 L pisc comm | 3 L pisc comm</t>
        </is>
      </c>
      <c r="E276" t="n">
        <v>276.665746</v>
      </c>
      <c r="F276" t="n">
        <v>942.008432</v>
      </c>
      <c r="G276" t="n">
        <v>569.455705</v>
      </c>
      <c r="H276" t="n">
        <v>2133.059221</v>
      </c>
      <c r="I276" t="n">
        <v>640.2845610000001</v>
      </c>
      <c r="J276" t="n">
        <v>809.484635</v>
      </c>
      <c r="K276" t="n">
        <v>735.551234</v>
      </c>
      <c r="L276" t="n">
        <v>2161.417589</v>
      </c>
      <c r="M276" t="n">
        <v>2161.417589</v>
      </c>
      <c r="N276" t="n">
        <v>2161.417589</v>
      </c>
      <c r="O276" t="n">
        <v>1596.841335</v>
      </c>
      <c r="P276" t="n">
        <v>484.191698</v>
      </c>
      <c r="Q276" t="n">
        <v>2161.417589</v>
      </c>
      <c r="R276" t="n">
        <v>-1566538.678845</v>
      </c>
      <c r="S276" t="n">
        <v>1596.841335</v>
      </c>
      <c r="T276" t="n">
        <v>18720614.545483</v>
      </c>
      <c r="U276" t="n">
        <v>484.191698</v>
      </c>
      <c r="V276" t="n">
        <v>-729589570.314726</v>
      </c>
      <c r="W276" t="n">
        <v>2521.687387</v>
      </c>
      <c r="X276" t="n">
        <v>2846.929567</v>
      </c>
      <c r="Y276" t="n">
        <v>132.205276</v>
      </c>
      <c r="Z276" t="n">
        <v>267.422877</v>
      </c>
    </row>
    <row r="277" ht="21" customHeight="1">
      <c r="A277" t="inlineStr">
        <is>
          <t>Sphyrna zygaena</t>
        </is>
      </c>
      <c r="B277" t="n">
        <v>4.94</v>
      </c>
      <c r="C277" t="n">
        <v>8709.635899999999</v>
      </c>
      <c r="D277" s="10" t="inlineStr">
        <is>
          <t>Oceanic sharks</t>
        </is>
      </c>
      <c r="E277" t="n">
        <v>276.665746</v>
      </c>
      <c r="F277" t="n">
        <v>1757.235698</v>
      </c>
      <c r="G277" t="n">
        <v>1018.406889</v>
      </c>
      <c r="H277" t="n">
        <v>15262.31097</v>
      </c>
      <c r="I277" t="n">
        <v>5136.373322</v>
      </c>
      <c r="J277" t="n">
        <v>6101.609798</v>
      </c>
      <c r="K277" t="n">
        <v>3551.136902</v>
      </c>
      <c r="L277" t="n">
        <v>23068.147688</v>
      </c>
      <c r="M277" t="n">
        <v>23068.147688</v>
      </c>
      <c r="N277" t="n">
        <v>23068.147688</v>
      </c>
      <c r="O277" t="n">
        <v>8717.777107</v>
      </c>
      <c r="P277" t="n">
        <v>1861.38016</v>
      </c>
      <c r="Q277" t="n">
        <v>23068.147688</v>
      </c>
      <c r="R277" t="n">
        <v>93910298.950615</v>
      </c>
      <c r="S277" t="n">
        <v>8717.777107</v>
      </c>
      <c r="T277" t="n">
        <v>-2662978.044058</v>
      </c>
      <c r="U277" t="n">
        <v>1861.38016</v>
      </c>
      <c r="V277" t="n">
        <v>-6.150361922865892e+19</v>
      </c>
      <c r="W277" t="n">
        <v>14380.879162</v>
      </c>
      <c r="X277" t="n">
        <v>31682.718847</v>
      </c>
      <c r="Y277" t="n">
        <v>208.554284</v>
      </c>
      <c r="Z277" t="n">
        <v>1010.152404</v>
      </c>
    </row>
    <row r="278" ht="21" customHeight="1">
      <c r="A278" t="inlineStr">
        <is>
          <t>Sphyrna lewini</t>
        </is>
      </c>
      <c r="B278" t="n">
        <v>4.08</v>
      </c>
      <c r="C278" t="n">
        <v>1202.264435</v>
      </c>
      <c r="D278" s="10" t="inlineStr">
        <is>
          <t>Oceanic sharks</t>
        </is>
      </c>
      <c r="E278" t="n">
        <v>276.665746</v>
      </c>
      <c r="F278" t="n">
        <v>1757.235698</v>
      </c>
      <c r="G278" t="n">
        <v>1018.406889</v>
      </c>
      <c r="H278" t="n">
        <v>15262.31097</v>
      </c>
      <c r="I278" t="n">
        <v>5136.373322</v>
      </c>
      <c r="J278" t="n">
        <v>6101.609798</v>
      </c>
      <c r="K278" t="n">
        <v>3551.136902</v>
      </c>
      <c r="L278" t="n">
        <v>23068.147688</v>
      </c>
      <c r="M278" t="n">
        <v>23068.147688</v>
      </c>
      <c r="N278" t="n">
        <v>23068.147688</v>
      </c>
      <c r="O278" t="n">
        <v>8717.777107</v>
      </c>
      <c r="P278" t="n">
        <v>1861.38016</v>
      </c>
      <c r="Q278" t="n">
        <v>23068.147688</v>
      </c>
      <c r="R278" t="n">
        <v>93910298.950615</v>
      </c>
      <c r="S278" t="n">
        <v>8717.777107</v>
      </c>
      <c r="T278" t="n">
        <v>-2662978.044058</v>
      </c>
      <c r="U278" t="n">
        <v>1861.38016</v>
      </c>
      <c r="V278" t="n">
        <v>-6.150361922865892e+19</v>
      </c>
      <c r="W278" t="n">
        <v>14380.879162</v>
      </c>
      <c r="X278" t="n">
        <v>31682.718847</v>
      </c>
      <c r="Y278" t="n">
        <v>208.554284</v>
      </c>
      <c r="Z278" t="n">
        <v>1010.152404</v>
      </c>
    </row>
    <row r="279" ht="21" customHeight="1">
      <c r="A279" t="inlineStr">
        <is>
          <t>Sphyrna mokarran</t>
        </is>
      </c>
      <c r="B279" t="n">
        <v>4.32</v>
      </c>
      <c r="C279" t="n">
        <v>2089.296131</v>
      </c>
      <c r="D279" s="10" t="inlineStr">
        <is>
          <t>Oceanic sharks</t>
        </is>
      </c>
      <c r="E279" t="n">
        <v>276.665746</v>
      </c>
      <c r="F279" t="n">
        <v>1757.235698</v>
      </c>
      <c r="G279" t="n">
        <v>1018.406889</v>
      </c>
      <c r="H279" t="n">
        <v>15262.31097</v>
      </c>
      <c r="I279" t="n">
        <v>5136.373322</v>
      </c>
      <c r="J279" t="n">
        <v>6101.609798</v>
      </c>
      <c r="K279" t="n">
        <v>3551.136902</v>
      </c>
      <c r="L279" t="n">
        <v>23068.147688</v>
      </c>
      <c r="M279" t="n">
        <v>23068.147688</v>
      </c>
      <c r="N279" t="n">
        <v>23068.147688</v>
      </c>
      <c r="O279" t="n">
        <v>8717.777107</v>
      </c>
      <c r="P279" t="n">
        <v>1861.38016</v>
      </c>
      <c r="Q279" t="n">
        <v>23068.147688</v>
      </c>
      <c r="R279" t="n">
        <v>93910298.950615</v>
      </c>
      <c r="S279" t="n">
        <v>8717.777107</v>
      </c>
      <c r="T279" t="n">
        <v>-2662978.044058</v>
      </c>
      <c r="U279" t="n">
        <v>1861.38016</v>
      </c>
      <c r="V279" t="n">
        <v>-6.150361922865892e+19</v>
      </c>
      <c r="W279" t="n">
        <v>14380.879162</v>
      </c>
      <c r="X279" t="n">
        <v>31682.718847</v>
      </c>
      <c r="Y279" t="n">
        <v>208.554284</v>
      </c>
      <c r="Z279" t="n">
        <v>1010.152404</v>
      </c>
    </row>
    <row r="280" ht="21" customHeight="1">
      <c r="A280" t="inlineStr">
        <is>
          <t>Acanthurus</t>
        </is>
      </c>
      <c r="B280" t="n">
        <v>2.03</v>
      </c>
      <c r="C280" t="n">
        <v>10.715193</v>
      </c>
      <c r="D280" s="10" t="inlineStr">
        <is>
          <t>2 SM inv | 3 SM inv</t>
        </is>
      </c>
      <c r="E280" t="n">
        <v>276.665746</v>
      </c>
      <c r="F280" t="n">
        <v>195.237034</v>
      </c>
      <c r="G280" t="n">
        <v>132.430212</v>
      </c>
      <c r="H280" t="n">
        <v>264.43232</v>
      </c>
      <c r="I280" t="n">
        <v>118.903546</v>
      </c>
      <c r="J280" t="n">
        <v>136.120138</v>
      </c>
      <c r="K280" t="n">
        <v>127.344134</v>
      </c>
      <c r="L280" t="n">
        <v>358.382548</v>
      </c>
      <c r="M280" t="n">
        <v>358.382548</v>
      </c>
      <c r="N280" t="n">
        <v>358.382548</v>
      </c>
      <c r="O280" t="n">
        <v>341.399299</v>
      </c>
      <c r="P280" t="n">
        <v>140.115469</v>
      </c>
      <c r="Q280" t="n">
        <v>358.382548</v>
      </c>
      <c r="R280" t="n">
        <v>6457.458436</v>
      </c>
      <c r="S280" t="n">
        <v>341.399299</v>
      </c>
      <c r="T280" t="n">
        <v>179529.737596</v>
      </c>
      <c r="U280" t="n">
        <v>140.115469</v>
      </c>
      <c r="V280" t="n">
        <v>-303793.842089</v>
      </c>
      <c r="W280" t="n">
        <v>574.006718</v>
      </c>
      <c r="X280" t="n">
        <v>502.703783</v>
      </c>
      <c r="Y280" t="n">
        <v>42.955466</v>
      </c>
      <c r="Z280" t="n">
        <v>65.030467</v>
      </c>
    </row>
    <row r="281" ht="21" customHeight="1">
      <c r="A281" t="inlineStr">
        <is>
          <t>Carcharhinus macloti</t>
        </is>
      </c>
      <c r="D281" s="10" t="inlineStr">
        <is>
          <t>Coastal elasmobranch</t>
        </is>
      </c>
      <c r="E281" t="n">
        <v>276.665746</v>
      </c>
      <c r="F281" t="n">
        <v>1214.104792</v>
      </c>
      <c r="G281" t="n">
        <v>722.888243</v>
      </c>
      <c r="H281" t="n">
        <v>10114.101338</v>
      </c>
      <c r="I281" t="n">
        <v>2494.37346</v>
      </c>
      <c r="J281" t="n">
        <v>2719.859382</v>
      </c>
      <c r="K281" t="n">
        <v>2567.547256</v>
      </c>
      <c r="L281" t="n">
        <v>16997.641054</v>
      </c>
      <c r="M281" t="n">
        <v>16997.641054</v>
      </c>
      <c r="N281" t="n">
        <v>16997.641054</v>
      </c>
      <c r="O281" t="n">
        <v>9182.663503</v>
      </c>
      <c r="P281" t="n">
        <v>1862.532494</v>
      </c>
      <c r="Q281" t="n">
        <v>16997.641054</v>
      </c>
      <c r="R281" t="n">
        <v>95398056.213283</v>
      </c>
      <c r="S281" t="n">
        <v>9182.663503</v>
      </c>
      <c r="T281" t="n">
        <v>-5392414.250181</v>
      </c>
      <c r="U281" t="n">
        <v>1862.532494</v>
      </c>
      <c r="V281" t="n">
        <v>-8.614472647464927e+19</v>
      </c>
      <c r="W281" t="n">
        <v>15254.347201</v>
      </c>
      <c r="X281" t="n">
        <v>23723.705808</v>
      </c>
      <c r="Y281" t="n">
        <v>160.121668</v>
      </c>
      <c r="Z281" t="n">
        <v>657.545035</v>
      </c>
    </row>
    <row r="282" ht="21" customHeight="1">
      <c r="A282" t="inlineStr">
        <is>
          <t>Turbo marmoratus</t>
        </is>
      </c>
      <c r="D282" s="10" t="inlineStr">
        <is>
          <t>2 Macrobenthos | 3 Macrobenthos</t>
        </is>
      </c>
      <c r="E282" t="n">
        <v>276.665746</v>
      </c>
      <c r="F282" t="n">
        <v>43.212782</v>
      </c>
      <c r="G282" t="n">
        <v>32.623281</v>
      </c>
      <c r="H282" t="n">
        <v>41.368719</v>
      </c>
      <c r="I282" t="n">
        <v>34.461512</v>
      </c>
      <c r="J282" t="n">
        <v>34.461512</v>
      </c>
      <c r="K282" t="n">
        <v>31.432014</v>
      </c>
      <c r="L282" t="n">
        <v>106.719149</v>
      </c>
      <c r="M282" t="n">
        <v>106.719149</v>
      </c>
      <c r="N282" t="n">
        <v>106.719149</v>
      </c>
      <c r="O282" t="n">
        <v>113.412456</v>
      </c>
      <c r="P282" t="n">
        <v>57.717594</v>
      </c>
      <c r="Q282" t="n">
        <v>106.719149</v>
      </c>
      <c r="R282" t="n">
        <v>106.719149</v>
      </c>
      <c r="S282" t="n">
        <v>113.412456</v>
      </c>
      <c r="T282" t="n">
        <v>25.029149</v>
      </c>
      <c r="U282" t="n">
        <v>57.717594</v>
      </c>
      <c r="V282" t="n">
        <v>63.584441</v>
      </c>
      <c r="W282" t="n">
        <v>206.884057</v>
      </c>
      <c r="X282" t="n">
        <v>165.070073</v>
      </c>
      <c r="Y282" t="n">
        <v>14.477738</v>
      </c>
      <c r="Z282" t="n">
        <v>16.337529</v>
      </c>
    </row>
    <row r="283" ht="21" customHeight="1">
      <c r="A283" t="inlineStr">
        <is>
          <t>Makaira</t>
        </is>
      </c>
      <c r="B283" t="n">
        <v>4.47</v>
      </c>
      <c r="C283" t="n">
        <v>2951.209227</v>
      </c>
      <c r="D283" s="10" t="inlineStr">
        <is>
          <t>Tuna-like</t>
        </is>
      </c>
      <c r="E283" t="n">
        <v>276.665746</v>
      </c>
      <c r="F283" t="n">
        <v>3650.332839</v>
      </c>
      <c r="G283" t="n">
        <v>2005.591894</v>
      </c>
      <c r="H283" t="n">
        <v>10195.617489</v>
      </c>
      <c r="I283" t="n">
        <v>2102.414308</v>
      </c>
      <c r="J283" t="n">
        <v>2472.563272</v>
      </c>
      <c r="K283" t="n">
        <v>2210.471565</v>
      </c>
      <c r="L283" t="n">
        <v>8472.950376000001</v>
      </c>
      <c r="M283" t="n">
        <v>8472.950376000001</v>
      </c>
      <c r="N283" t="n">
        <v>8472.950376000001</v>
      </c>
      <c r="O283" t="n">
        <v>5373.396262</v>
      </c>
      <c r="P283" t="n">
        <v>1271.175154</v>
      </c>
      <c r="Q283" t="n">
        <v>8472.950376000001</v>
      </c>
      <c r="R283" t="n">
        <v>11625502.426924</v>
      </c>
      <c r="S283" t="n">
        <v>5373.396262</v>
      </c>
      <c r="T283" t="n">
        <v>-571718.054743</v>
      </c>
      <c r="U283" t="n">
        <v>1271.175154</v>
      </c>
      <c r="V283" t="n">
        <v>-2164067390.718938</v>
      </c>
      <c r="W283" t="n">
        <v>8901.765899</v>
      </c>
      <c r="X283" t="n">
        <v>11377.133687</v>
      </c>
      <c r="Y283" t="n">
        <v>351.683283</v>
      </c>
      <c r="Z283" t="n">
        <v>848.5746820000001</v>
      </c>
    </row>
    <row r="284" ht="21" customHeight="1">
      <c r="A284" t="inlineStr">
        <is>
          <t>Tetrapturus angustirostris</t>
        </is>
      </c>
      <c r="B284" t="n">
        <v>4.5</v>
      </c>
      <c r="C284" t="n">
        <v>3162.27766</v>
      </c>
      <c r="D284" s="10" t="inlineStr">
        <is>
          <t>Tuna-like</t>
        </is>
      </c>
      <c r="E284" t="n">
        <v>276.665746</v>
      </c>
      <c r="F284" t="n">
        <v>3650.332839</v>
      </c>
      <c r="G284" t="n">
        <v>2005.591894</v>
      </c>
      <c r="H284" t="n">
        <v>10195.617489</v>
      </c>
      <c r="I284" t="n">
        <v>2102.414308</v>
      </c>
      <c r="J284" t="n">
        <v>2472.563272</v>
      </c>
      <c r="K284" t="n">
        <v>2210.471565</v>
      </c>
      <c r="L284" t="n">
        <v>8472.950376000001</v>
      </c>
      <c r="M284" t="n">
        <v>8472.950376000001</v>
      </c>
      <c r="N284" t="n">
        <v>8472.950376000001</v>
      </c>
      <c r="O284" t="n">
        <v>5373.396262</v>
      </c>
      <c r="P284" t="n">
        <v>1271.175154</v>
      </c>
      <c r="Q284" t="n">
        <v>8472.950376000001</v>
      </c>
      <c r="R284" t="n">
        <v>11625502.426924</v>
      </c>
      <c r="S284" t="n">
        <v>5373.396262</v>
      </c>
      <c r="T284" t="n">
        <v>-571718.054743</v>
      </c>
      <c r="U284" t="n">
        <v>1271.175154</v>
      </c>
      <c r="V284" t="n">
        <v>-2164067390.718938</v>
      </c>
      <c r="W284" t="n">
        <v>8901.765899</v>
      </c>
      <c r="X284" t="n">
        <v>11377.133687</v>
      </c>
      <c r="Y284" t="n">
        <v>351.683283</v>
      </c>
      <c r="Z284" t="n">
        <v>848.5746820000001</v>
      </c>
    </row>
    <row r="285" ht="21" customHeight="1">
      <c r="A285" t="inlineStr">
        <is>
          <t>Scarus</t>
        </is>
      </c>
      <c r="B285" t="n">
        <v>2</v>
      </c>
      <c r="C285" t="n">
        <v>10</v>
      </c>
      <c r="D285" s="10" t="inlineStr">
        <is>
          <t>2 SM inv | 3 SM inv</t>
        </is>
      </c>
      <c r="E285" t="n">
        <v>276.665746</v>
      </c>
      <c r="F285" t="n">
        <v>195.237034</v>
      </c>
      <c r="G285" t="n">
        <v>132.430212</v>
      </c>
      <c r="H285" t="n">
        <v>264.43232</v>
      </c>
      <c r="I285" t="n">
        <v>118.903546</v>
      </c>
      <c r="J285" t="n">
        <v>136.120138</v>
      </c>
      <c r="K285" t="n">
        <v>127.344134</v>
      </c>
      <c r="L285" t="n">
        <v>358.382548</v>
      </c>
      <c r="M285" t="n">
        <v>358.382548</v>
      </c>
      <c r="N285" t="n">
        <v>358.382548</v>
      </c>
      <c r="O285" t="n">
        <v>341.399299</v>
      </c>
      <c r="P285" t="n">
        <v>140.115469</v>
      </c>
      <c r="Q285" t="n">
        <v>358.382548</v>
      </c>
      <c r="R285" t="n">
        <v>6457.458436</v>
      </c>
      <c r="S285" t="n">
        <v>341.399299</v>
      </c>
      <c r="T285" t="n">
        <v>179529.737596</v>
      </c>
      <c r="U285" t="n">
        <v>140.115469</v>
      </c>
      <c r="V285" t="n">
        <v>-303793.842089</v>
      </c>
      <c r="W285" t="n">
        <v>574.006718</v>
      </c>
      <c r="X285" t="n">
        <v>502.703783</v>
      </c>
      <c r="Y285" t="n">
        <v>42.955466</v>
      </c>
      <c r="Z285" t="n">
        <v>65.030467</v>
      </c>
    </row>
    <row r="286" ht="21" customHeight="1">
      <c r="A286" t="inlineStr">
        <is>
          <t>Holothuria atra</t>
        </is>
      </c>
      <c r="B286" t="n">
        <v>2</v>
      </c>
      <c r="C286" t="n">
        <v>10</v>
      </c>
      <c r="D286" s="10" t="inlineStr">
        <is>
          <t>2 Macrobenthos | 3 Macrobenthos</t>
        </is>
      </c>
      <c r="E286" t="n">
        <v>276.665746</v>
      </c>
      <c r="F286" t="n">
        <v>43.212782</v>
      </c>
      <c r="G286" t="n">
        <v>32.623281</v>
      </c>
      <c r="H286" t="n">
        <v>41.368719</v>
      </c>
      <c r="I286" t="n">
        <v>34.461512</v>
      </c>
      <c r="J286" t="n">
        <v>34.461512</v>
      </c>
      <c r="K286" t="n">
        <v>31.432014</v>
      </c>
      <c r="L286" t="n">
        <v>106.719149</v>
      </c>
      <c r="M286" t="n">
        <v>106.719149</v>
      </c>
      <c r="N286" t="n">
        <v>106.719149</v>
      </c>
      <c r="O286" t="n">
        <v>113.412456</v>
      </c>
      <c r="P286" t="n">
        <v>57.717594</v>
      </c>
      <c r="Q286" t="n">
        <v>106.719149</v>
      </c>
      <c r="R286" t="n">
        <v>106.719149</v>
      </c>
      <c r="S286" t="n">
        <v>113.412456</v>
      </c>
      <c r="T286" t="n">
        <v>25.029149</v>
      </c>
      <c r="U286" t="n">
        <v>57.717594</v>
      </c>
      <c r="V286" t="n">
        <v>63.584441</v>
      </c>
      <c r="W286" t="n">
        <v>206.884057</v>
      </c>
      <c r="X286" t="n">
        <v>165.070073</v>
      </c>
      <c r="Y286" t="n">
        <v>14.477738</v>
      </c>
      <c r="Z286" t="n">
        <v>16.337529</v>
      </c>
    </row>
    <row r="287" ht="21" customHeight="1">
      <c r="A287" t="inlineStr">
        <is>
          <t>Holothuria edulis</t>
        </is>
      </c>
      <c r="B287" t="n">
        <v>2</v>
      </c>
      <c r="C287" t="n">
        <v>10</v>
      </c>
      <c r="D287" s="10" t="inlineStr">
        <is>
          <t>2 Macrobenthos | 3 Macrobenthos</t>
        </is>
      </c>
      <c r="E287" t="n">
        <v>276.665746</v>
      </c>
      <c r="F287" t="n">
        <v>43.212782</v>
      </c>
      <c r="G287" t="n">
        <v>32.623281</v>
      </c>
      <c r="H287" t="n">
        <v>41.368719</v>
      </c>
      <c r="I287" t="n">
        <v>34.461512</v>
      </c>
      <c r="J287" t="n">
        <v>34.461512</v>
      </c>
      <c r="K287" t="n">
        <v>31.432014</v>
      </c>
      <c r="L287" t="n">
        <v>106.719149</v>
      </c>
      <c r="M287" t="n">
        <v>106.719149</v>
      </c>
      <c r="N287" t="n">
        <v>106.719149</v>
      </c>
      <c r="O287" t="n">
        <v>113.412456</v>
      </c>
      <c r="P287" t="n">
        <v>57.717594</v>
      </c>
      <c r="Q287" t="n">
        <v>106.719149</v>
      </c>
      <c r="R287" t="n">
        <v>106.719149</v>
      </c>
      <c r="S287" t="n">
        <v>113.412456</v>
      </c>
      <c r="T287" t="n">
        <v>25.029149</v>
      </c>
      <c r="U287" t="n">
        <v>57.717594</v>
      </c>
      <c r="V287" t="n">
        <v>63.584441</v>
      </c>
      <c r="W287" t="n">
        <v>206.884057</v>
      </c>
      <c r="X287" t="n">
        <v>165.070073</v>
      </c>
      <c r="Y287" t="n">
        <v>14.477738</v>
      </c>
      <c r="Z287" t="n">
        <v>16.337529</v>
      </c>
    </row>
    <row r="288" ht="21" customHeight="1">
      <c r="A288" t="inlineStr">
        <is>
          <t>Bohadschia marmorata</t>
        </is>
      </c>
      <c r="B288" t="n">
        <v>2</v>
      </c>
      <c r="C288" t="n">
        <v>10</v>
      </c>
      <c r="D288" s="10" t="inlineStr">
        <is>
          <t>2 Macrobenthos | 3 Macrobenthos</t>
        </is>
      </c>
      <c r="E288" t="n">
        <v>276.665746</v>
      </c>
      <c r="F288" t="n">
        <v>43.212782</v>
      </c>
      <c r="G288" t="n">
        <v>32.623281</v>
      </c>
      <c r="H288" t="n">
        <v>41.368719</v>
      </c>
      <c r="I288" t="n">
        <v>34.461512</v>
      </c>
      <c r="J288" t="n">
        <v>34.461512</v>
      </c>
      <c r="K288" t="n">
        <v>31.432014</v>
      </c>
      <c r="L288" t="n">
        <v>106.719149</v>
      </c>
      <c r="M288" t="n">
        <v>106.719149</v>
      </c>
      <c r="N288" t="n">
        <v>106.719149</v>
      </c>
      <c r="O288" t="n">
        <v>113.412456</v>
      </c>
      <c r="P288" t="n">
        <v>57.717594</v>
      </c>
      <c r="Q288" t="n">
        <v>106.719149</v>
      </c>
      <c r="R288" t="n">
        <v>106.719149</v>
      </c>
      <c r="S288" t="n">
        <v>113.412456</v>
      </c>
      <c r="T288" t="n">
        <v>25.029149</v>
      </c>
      <c r="U288" t="n">
        <v>57.717594</v>
      </c>
      <c r="V288" t="n">
        <v>63.584441</v>
      </c>
      <c r="W288" t="n">
        <v>206.884057</v>
      </c>
      <c r="X288" t="n">
        <v>165.070073</v>
      </c>
      <c r="Y288" t="n">
        <v>14.477738</v>
      </c>
      <c r="Z288" t="n">
        <v>16.337529</v>
      </c>
    </row>
    <row r="289" ht="21" customHeight="1">
      <c r="A289" t="inlineStr">
        <is>
          <t>Makaira mazara</t>
        </is>
      </c>
      <c r="B289" t="n">
        <v>4.46</v>
      </c>
      <c r="C289" t="n">
        <v>2884.031503</v>
      </c>
      <c r="D289" s="10" t="inlineStr">
        <is>
          <t>Marlins</t>
        </is>
      </c>
      <c r="E289" t="n">
        <v>276.665746</v>
      </c>
      <c r="F289" t="n">
        <v>4151.453096</v>
      </c>
      <c r="G289" t="n">
        <v>2259.598482</v>
      </c>
      <c r="H289" t="n">
        <v>15243.038933</v>
      </c>
      <c r="I289" t="n">
        <v>2731.92174</v>
      </c>
      <c r="J289" t="n">
        <v>3164.112203</v>
      </c>
      <c r="K289" t="n">
        <v>2847.700982</v>
      </c>
      <c r="L289" t="n">
        <v>9568.973695000001</v>
      </c>
      <c r="M289" t="n">
        <v>9568.973695000001</v>
      </c>
      <c r="N289" t="n">
        <v>9568.973695000001</v>
      </c>
      <c r="O289" t="n">
        <v>5874.059979</v>
      </c>
      <c r="P289" t="n">
        <v>1361.646526</v>
      </c>
      <c r="Q289" t="n">
        <v>9568.973695000001</v>
      </c>
      <c r="R289" t="n">
        <v>24020418.685781</v>
      </c>
      <c r="S289" t="n">
        <v>5874.059979</v>
      </c>
      <c r="T289" t="n">
        <v>-14247357.811831</v>
      </c>
      <c r="U289" t="n">
        <v>1361.646526</v>
      </c>
      <c r="V289" t="n">
        <v>-1.251009800378702e+19</v>
      </c>
      <c r="W289" t="n">
        <v>9477.851414000001</v>
      </c>
      <c r="X289" t="n">
        <v>12972.629142</v>
      </c>
      <c r="Y289" t="n">
        <v>385.551808</v>
      </c>
      <c r="Z289" t="n">
        <v>1104.537342</v>
      </c>
    </row>
    <row r="290" ht="21" customHeight="1">
      <c r="A290" t="inlineStr">
        <is>
          <t>Hilsa kelee</t>
        </is>
      </c>
      <c r="D290" s="10" t="inlineStr">
        <is>
          <t>2-3 Hilsa</t>
        </is>
      </c>
      <c r="E290" t="n">
        <v>276.665746</v>
      </c>
      <c r="F290" t="n">
        <v>19.832171</v>
      </c>
      <c r="G290" t="n">
        <v>15.945855</v>
      </c>
      <c r="H290" t="n">
        <v>25.651793</v>
      </c>
      <c r="I290" t="n">
        <v>23.183612</v>
      </c>
      <c r="J290" t="n">
        <v>23.183612</v>
      </c>
      <c r="K290" t="n">
        <v>21.676677</v>
      </c>
      <c r="L290" t="n">
        <v>22.758135</v>
      </c>
      <c r="M290" t="n">
        <v>22.758135</v>
      </c>
      <c r="N290" t="n">
        <v>22.758135</v>
      </c>
      <c r="O290" t="n">
        <v>8.006830000000001</v>
      </c>
      <c r="P290" t="n">
        <v>5.581875</v>
      </c>
      <c r="Q290" t="n">
        <v>22.758135</v>
      </c>
      <c r="R290" t="n">
        <v>22.758135</v>
      </c>
      <c r="S290" t="n">
        <v>8.006830000000001</v>
      </c>
      <c r="T290" t="n">
        <v>7.117514</v>
      </c>
      <c r="U290" t="n">
        <v>5.581875</v>
      </c>
      <c r="V290" t="n">
        <v>5.668962</v>
      </c>
      <c r="W290" t="n">
        <v>8.464467000000001</v>
      </c>
      <c r="X290" t="n">
        <v>22.474002</v>
      </c>
      <c r="Y290" t="n">
        <v>8.458360000000001</v>
      </c>
      <c r="Z290" t="n">
        <v>10.696986</v>
      </c>
    </row>
    <row r="291" ht="21" customHeight="1">
      <c r="A291" t="inlineStr">
        <is>
          <t>Tenualosa toli</t>
        </is>
      </c>
      <c r="B291" t="n">
        <v>2.48</v>
      </c>
      <c r="C291" t="n">
        <v>30.199517</v>
      </c>
      <c r="D291" s="10" t="inlineStr">
        <is>
          <t>2-3 Hilsa</t>
        </is>
      </c>
      <c r="E291" t="n">
        <v>276.665746</v>
      </c>
      <c r="F291" t="n">
        <v>19.832171</v>
      </c>
      <c r="G291" t="n">
        <v>15.945855</v>
      </c>
      <c r="H291" t="n">
        <v>25.651793</v>
      </c>
      <c r="I291" t="n">
        <v>23.183612</v>
      </c>
      <c r="J291" t="n">
        <v>23.183612</v>
      </c>
      <c r="K291" t="n">
        <v>21.676677</v>
      </c>
      <c r="L291" t="n">
        <v>22.758135</v>
      </c>
      <c r="M291" t="n">
        <v>22.758135</v>
      </c>
      <c r="N291" t="n">
        <v>22.758135</v>
      </c>
      <c r="O291" t="n">
        <v>8.006830000000001</v>
      </c>
      <c r="P291" t="n">
        <v>5.581875</v>
      </c>
      <c r="Q291" t="n">
        <v>22.758135</v>
      </c>
      <c r="R291" t="n">
        <v>22.758135</v>
      </c>
      <c r="S291" t="n">
        <v>8.006830000000001</v>
      </c>
      <c r="T291" t="n">
        <v>7.117514</v>
      </c>
      <c r="U291" t="n">
        <v>5.581875</v>
      </c>
      <c r="V291" t="n">
        <v>5.668962</v>
      </c>
      <c r="W291" t="n">
        <v>8.464467000000001</v>
      </c>
      <c r="X291" t="n">
        <v>22.474002</v>
      </c>
      <c r="Y291" t="n">
        <v>8.458360000000001</v>
      </c>
      <c r="Z291" t="n">
        <v>10.696986</v>
      </c>
    </row>
    <row r="292" ht="21" customHeight="1">
      <c r="A292" t="inlineStr">
        <is>
          <t>Scatophagus argus</t>
        </is>
      </c>
      <c r="B292" t="n">
        <v>2.99</v>
      </c>
      <c r="C292" t="n">
        <v>97.723722</v>
      </c>
      <c r="D292" s="10" t="inlineStr">
        <is>
          <t>2 SM inv | 3 SM inv</t>
        </is>
      </c>
      <c r="E292" t="n">
        <v>276.665746</v>
      </c>
      <c r="F292" t="n">
        <v>195.237034</v>
      </c>
      <c r="G292" t="n">
        <v>132.430212</v>
      </c>
      <c r="H292" t="n">
        <v>264.43232</v>
      </c>
      <c r="I292" t="n">
        <v>118.903546</v>
      </c>
      <c r="J292" t="n">
        <v>136.120138</v>
      </c>
      <c r="K292" t="n">
        <v>127.344134</v>
      </c>
      <c r="L292" t="n">
        <v>358.382548</v>
      </c>
      <c r="M292" t="n">
        <v>358.382548</v>
      </c>
      <c r="N292" t="n">
        <v>358.382548</v>
      </c>
      <c r="O292" t="n">
        <v>341.399299</v>
      </c>
      <c r="P292" t="n">
        <v>140.115469</v>
      </c>
      <c r="Q292" t="n">
        <v>358.382548</v>
      </c>
      <c r="R292" t="n">
        <v>6457.458436</v>
      </c>
      <c r="S292" t="n">
        <v>341.399299</v>
      </c>
      <c r="T292" t="n">
        <v>179529.737596</v>
      </c>
      <c r="U292" t="n">
        <v>140.115469</v>
      </c>
      <c r="V292" t="n">
        <v>-303793.842089</v>
      </c>
      <c r="W292" t="n">
        <v>574.006718</v>
      </c>
      <c r="X292" t="n">
        <v>502.703783</v>
      </c>
      <c r="Y292" t="n">
        <v>42.955466</v>
      </c>
      <c r="Z292" t="n">
        <v>65.030467</v>
      </c>
    </row>
    <row r="293" ht="21" customHeight="1">
      <c r="A293" t="inlineStr">
        <is>
          <t>Lobotes surinamensis</t>
        </is>
      </c>
      <c r="B293" t="n">
        <v>4.04</v>
      </c>
      <c r="C293" t="n">
        <v>1096.478196</v>
      </c>
      <c r="D293" s="10" t="inlineStr">
        <is>
          <t>2 L pisc | 3 L pisc</t>
        </is>
      </c>
      <c r="E293" t="n">
        <v>276.665746</v>
      </c>
      <c r="F293" t="n">
        <v>1671.644897</v>
      </c>
      <c r="G293" t="n">
        <v>968.768055</v>
      </c>
      <c r="H293" t="n">
        <v>4318.024466</v>
      </c>
      <c r="I293" t="n">
        <v>1003.379133</v>
      </c>
      <c r="J293" t="n">
        <v>1189.735453</v>
      </c>
      <c r="K293" t="n">
        <v>1070.761907</v>
      </c>
      <c r="L293" t="n">
        <v>3541.417618</v>
      </c>
      <c r="M293" t="n">
        <v>3541.417618</v>
      </c>
      <c r="N293" t="n">
        <v>3541.417618</v>
      </c>
      <c r="O293" t="n">
        <v>2538.082167</v>
      </c>
      <c r="P293" t="n">
        <v>681.673862</v>
      </c>
      <c r="Q293" t="n">
        <v>3541.417618</v>
      </c>
      <c r="R293" t="n">
        <v>62682.288429</v>
      </c>
      <c r="S293" t="n">
        <v>2538.082167</v>
      </c>
      <c r="T293" t="n">
        <v>4712584.866078</v>
      </c>
      <c r="U293" t="n">
        <v>681.673862</v>
      </c>
      <c r="V293" t="n">
        <v>8783084984.919691</v>
      </c>
      <c r="W293" t="n">
        <v>4084.080603</v>
      </c>
      <c r="X293" t="n">
        <v>4708.141648</v>
      </c>
      <c r="Y293" t="n">
        <v>198.988407</v>
      </c>
      <c r="Z293" t="n">
        <v>443.151943</v>
      </c>
    </row>
    <row r="294" ht="21" customHeight="1">
      <c r="A294" t="inlineStr">
        <is>
          <t>Megalops cyprinoides</t>
        </is>
      </c>
      <c r="B294" t="n">
        <v>3.48</v>
      </c>
      <c r="C294" t="n">
        <v>301.995172</v>
      </c>
      <c r="D294" s="10" t="inlineStr">
        <is>
          <t>2 L pisc | 3 L pisc</t>
        </is>
      </c>
      <c r="E294" t="n">
        <v>276.665746</v>
      </c>
      <c r="F294" t="n">
        <v>1671.644897</v>
      </c>
      <c r="G294" t="n">
        <v>968.768055</v>
      </c>
      <c r="H294" t="n">
        <v>4318.024466</v>
      </c>
      <c r="I294" t="n">
        <v>1003.379133</v>
      </c>
      <c r="J294" t="n">
        <v>1189.735453</v>
      </c>
      <c r="K294" t="n">
        <v>1070.761907</v>
      </c>
      <c r="L294" t="n">
        <v>3541.417618</v>
      </c>
      <c r="M294" t="n">
        <v>3541.417618</v>
      </c>
      <c r="N294" t="n">
        <v>3541.417618</v>
      </c>
      <c r="O294" t="n">
        <v>2538.082167</v>
      </c>
      <c r="P294" t="n">
        <v>681.673862</v>
      </c>
      <c r="Q294" t="n">
        <v>3541.417618</v>
      </c>
      <c r="R294" t="n">
        <v>62682.288429</v>
      </c>
      <c r="S294" t="n">
        <v>2538.082167</v>
      </c>
      <c r="T294" t="n">
        <v>4712584.866078</v>
      </c>
      <c r="U294" t="n">
        <v>681.673862</v>
      </c>
      <c r="V294" t="n">
        <v>8783084984.919691</v>
      </c>
      <c r="W294" t="n">
        <v>4084.080603</v>
      </c>
      <c r="X294" t="n">
        <v>4708.141648</v>
      </c>
      <c r="Y294" t="n">
        <v>198.988407</v>
      </c>
      <c r="Z294" t="n">
        <v>443.151943</v>
      </c>
    </row>
    <row r="295" ht="21" customHeight="1">
      <c r="A295" t="inlineStr">
        <is>
          <t>Hemiramphidae</t>
        </is>
      </c>
      <c r="B295" t="n">
        <v>2.82</v>
      </c>
      <c r="C295" t="n">
        <v>66.069345</v>
      </c>
      <c r="D295" s="10" t="inlineStr">
        <is>
          <t>2 S pelagics | 3 S pelagics</t>
        </is>
      </c>
      <c r="E295" t="n">
        <v>276.665746</v>
      </c>
      <c r="F295" t="n">
        <v>140.109476</v>
      </c>
      <c r="G295" t="n">
        <v>97.63290000000001</v>
      </c>
      <c r="H295" t="n">
        <v>192.530385</v>
      </c>
      <c r="I295" t="n">
        <v>80.840119</v>
      </c>
      <c r="J295" t="n">
        <v>105.744532</v>
      </c>
      <c r="K295" t="n">
        <v>98.71770100000001</v>
      </c>
      <c r="L295" t="n">
        <v>234.01812</v>
      </c>
      <c r="M295" t="n">
        <v>234.01812</v>
      </c>
      <c r="N295" t="n">
        <v>234.01812</v>
      </c>
      <c r="O295" t="n">
        <v>202.793183</v>
      </c>
      <c r="P295" t="n">
        <v>80.12592100000001</v>
      </c>
      <c r="Q295" t="n">
        <v>234.01812</v>
      </c>
      <c r="R295" t="n">
        <v>-33882.555745</v>
      </c>
      <c r="S295" t="n">
        <v>202.793183</v>
      </c>
      <c r="T295" t="n">
        <v>227994.620435</v>
      </c>
      <c r="U295" t="n">
        <v>80.12592100000001</v>
      </c>
      <c r="V295" t="n">
        <v>-5095004.477163</v>
      </c>
      <c r="W295" t="n">
        <v>296.324343</v>
      </c>
      <c r="X295" t="n">
        <v>299.160007</v>
      </c>
      <c r="Y295" t="n">
        <v>34.1744</v>
      </c>
      <c r="Z295" t="n">
        <v>48.359224</v>
      </c>
    </row>
    <row r="296" ht="21" customHeight="1">
      <c r="A296" t="inlineStr">
        <is>
          <t>Sphyraena jello</t>
        </is>
      </c>
      <c r="B296" t="n">
        <v>4.5</v>
      </c>
      <c r="C296" t="n">
        <v>3162.27766</v>
      </c>
      <c r="D296" s="10" t="inlineStr">
        <is>
          <t>2 L pisc | 3 L pisc</t>
        </is>
      </c>
      <c r="E296" t="n">
        <v>276.665746</v>
      </c>
      <c r="F296" t="n">
        <v>1671.644897</v>
      </c>
      <c r="G296" t="n">
        <v>968.768055</v>
      </c>
      <c r="H296" t="n">
        <v>4318.024466</v>
      </c>
      <c r="I296" t="n">
        <v>1003.379133</v>
      </c>
      <c r="J296" t="n">
        <v>1189.735453</v>
      </c>
      <c r="K296" t="n">
        <v>1070.761907</v>
      </c>
      <c r="L296" t="n">
        <v>3541.417618</v>
      </c>
      <c r="M296" t="n">
        <v>3541.417618</v>
      </c>
      <c r="N296" t="n">
        <v>3541.417618</v>
      </c>
      <c r="O296" t="n">
        <v>2538.082167</v>
      </c>
      <c r="P296" t="n">
        <v>681.673862</v>
      </c>
      <c r="Q296" t="n">
        <v>3541.417618</v>
      </c>
      <c r="R296" t="n">
        <v>62682.288429</v>
      </c>
      <c r="S296" t="n">
        <v>2538.082167</v>
      </c>
      <c r="T296" t="n">
        <v>4712584.866078</v>
      </c>
      <c r="U296" t="n">
        <v>681.673862</v>
      </c>
      <c r="V296" t="n">
        <v>8783084984.919691</v>
      </c>
      <c r="W296" t="n">
        <v>4084.080603</v>
      </c>
      <c r="X296" t="n">
        <v>4708.141648</v>
      </c>
      <c r="Y296" t="n">
        <v>198.988407</v>
      </c>
      <c r="Z296" t="n">
        <v>443.151943</v>
      </c>
    </row>
    <row r="297" ht="21" customHeight="1">
      <c r="A297" t="inlineStr">
        <is>
          <t>Gnathanodon speciosus</t>
        </is>
      </c>
      <c r="B297" t="n">
        <v>3.84</v>
      </c>
      <c r="C297" t="n">
        <v>691.830971</v>
      </c>
      <c r="D297" s="10" t="inlineStr">
        <is>
          <t>2 Carangids | 3 Carangids</t>
        </is>
      </c>
      <c r="E297" t="n">
        <v>276.665746</v>
      </c>
      <c r="F297" t="n">
        <v>1047.559324</v>
      </c>
      <c r="G297" t="n">
        <v>629.821299</v>
      </c>
      <c r="H297" t="n">
        <v>2236.955926</v>
      </c>
      <c r="I297" t="n">
        <v>640.844159</v>
      </c>
      <c r="J297" t="n">
        <v>754.590569</v>
      </c>
      <c r="K297" t="n">
        <v>726.430521</v>
      </c>
      <c r="L297" t="n">
        <v>2160.134294</v>
      </c>
      <c r="M297" t="n">
        <v>2160.134294</v>
      </c>
      <c r="N297" t="n">
        <v>2160.134294</v>
      </c>
      <c r="O297" t="n">
        <v>1714.41623</v>
      </c>
      <c r="P297" t="n">
        <v>507.780375</v>
      </c>
      <c r="Q297" t="n">
        <v>2160.134294</v>
      </c>
      <c r="R297" t="n">
        <v>1795384.471462</v>
      </c>
      <c r="S297" t="n">
        <v>1714.41623</v>
      </c>
      <c r="T297" t="n">
        <v>15523021.978962</v>
      </c>
      <c r="U297" t="n">
        <v>507.780375</v>
      </c>
      <c r="V297" t="n">
        <v>361623540.311127</v>
      </c>
      <c r="W297" t="n">
        <v>2798.965662</v>
      </c>
      <c r="X297" t="n">
        <v>2890.070964</v>
      </c>
      <c r="Y297" t="n">
        <v>143.6356</v>
      </c>
      <c r="Z297" t="n">
        <v>293.771321</v>
      </c>
    </row>
    <row r="298" ht="21" customHeight="1">
      <c r="A298" t="inlineStr">
        <is>
          <t>Bregmaceros mcclellandi</t>
        </is>
      </c>
      <c r="B298" t="n">
        <v>3.3</v>
      </c>
      <c r="C298" t="n">
        <v>199.526231</v>
      </c>
      <c r="D298" s="10" t="inlineStr">
        <is>
          <t>2 S pelagics | 3 S pelagics</t>
        </is>
      </c>
      <c r="E298" t="n">
        <v>276.665746</v>
      </c>
      <c r="F298" t="n">
        <v>140.109476</v>
      </c>
      <c r="G298" t="n">
        <v>97.63290000000001</v>
      </c>
      <c r="H298" t="n">
        <v>192.530385</v>
      </c>
      <c r="I298" t="n">
        <v>80.840119</v>
      </c>
      <c r="J298" t="n">
        <v>105.744532</v>
      </c>
      <c r="K298" t="n">
        <v>98.71770100000001</v>
      </c>
      <c r="L298" t="n">
        <v>234.01812</v>
      </c>
      <c r="M298" t="n">
        <v>234.01812</v>
      </c>
      <c r="N298" t="n">
        <v>234.01812</v>
      </c>
      <c r="O298" t="n">
        <v>202.793183</v>
      </c>
      <c r="P298" t="n">
        <v>80.12592100000001</v>
      </c>
      <c r="Q298" t="n">
        <v>234.01812</v>
      </c>
      <c r="R298" t="n">
        <v>-33882.555745</v>
      </c>
      <c r="S298" t="n">
        <v>202.793183</v>
      </c>
      <c r="T298" t="n">
        <v>227994.620435</v>
      </c>
      <c r="U298" t="n">
        <v>80.12592100000001</v>
      </c>
      <c r="V298" t="n">
        <v>-5095004.477163</v>
      </c>
      <c r="W298" t="n">
        <v>296.324343</v>
      </c>
      <c r="X298" t="n">
        <v>299.160007</v>
      </c>
      <c r="Y298" t="n">
        <v>34.1744</v>
      </c>
      <c r="Z298" t="n">
        <v>48.359224</v>
      </c>
    </row>
    <row r="299" ht="21" customHeight="1">
      <c r="A299" t="inlineStr">
        <is>
          <t>Lutjanus argentimaculatus</t>
        </is>
      </c>
      <c r="D299" s="10" t="inlineStr">
        <is>
          <t>2 L pisc comm | 3 L pisc comm</t>
        </is>
      </c>
      <c r="E299" t="n">
        <v>276.665746</v>
      </c>
      <c r="F299" t="n">
        <v>942.008432</v>
      </c>
      <c r="G299" t="n">
        <v>569.455705</v>
      </c>
      <c r="H299" t="n">
        <v>2133.059221</v>
      </c>
      <c r="I299" t="n">
        <v>640.2845610000001</v>
      </c>
      <c r="J299" t="n">
        <v>809.484635</v>
      </c>
      <c r="K299" t="n">
        <v>735.551234</v>
      </c>
      <c r="L299" t="n">
        <v>2161.417589</v>
      </c>
      <c r="M299" t="n">
        <v>2161.417589</v>
      </c>
      <c r="N299" t="n">
        <v>2161.417589</v>
      </c>
      <c r="O299" t="n">
        <v>1596.841335</v>
      </c>
      <c r="P299" t="n">
        <v>484.191698</v>
      </c>
      <c r="Q299" t="n">
        <v>2161.417589</v>
      </c>
      <c r="R299" t="n">
        <v>-1566538.678845</v>
      </c>
      <c r="S299" t="n">
        <v>1596.841335</v>
      </c>
      <c r="T299" t="n">
        <v>18720614.545483</v>
      </c>
      <c r="U299" t="n">
        <v>484.191698</v>
      </c>
      <c r="V299" t="n">
        <v>-729589570.314726</v>
      </c>
      <c r="W299" t="n">
        <v>2521.687387</v>
      </c>
      <c r="X299" t="n">
        <v>2846.929567</v>
      </c>
      <c r="Y299" t="n">
        <v>132.205276</v>
      </c>
      <c r="Z299" t="n">
        <v>267.422877</v>
      </c>
    </row>
    <row r="300" ht="21" customHeight="1">
      <c r="A300" t="inlineStr">
        <is>
          <t>Trochus</t>
        </is>
      </c>
      <c r="B300" t="n">
        <v>2.1</v>
      </c>
      <c r="C300" t="n">
        <v>12.589254</v>
      </c>
      <c r="D300" s="10" t="inlineStr">
        <is>
          <t>2 Macrobenthos | 3 Macrobenthos</t>
        </is>
      </c>
      <c r="E300" t="n">
        <v>276.665746</v>
      </c>
      <c r="F300" t="n">
        <v>43.212782</v>
      </c>
      <c r="G300" t="n">
        <v>32.623281</v>
      </c>
      <c r="H300" t="n">
        <v>41.368719</v>
      </c>
      <c r="I300" t="n">
        <v>34.461512</v>
      </c>
      <c r="J300" t="n">
        <v>34.461512</v>
      </c>
      <c r="K300" t="n">
        <v>31.432014</v>
      </c>
      <c r="L300" t="n">
        <v>106.719149</v>
      </c>
      <c r="M300" t="n">
        <v>106.719149</v>
      </c>
      <c r="N300" t="n">
        <v>106.719149</v>
      </c>
      <c r="O300" t="n">
        <v>113.412456</v>
      </c>
      <c r="P300" t="n">
        <v>57.717594</v>
      </c>
      <c r="Q300" t="n">
        <v>106.719149</v>
      </c>
      <c r="R300" t="n">
        <v>106.719149</v>
      </c>
      <c r="S300" t="n">
        <v>113.412456</v>
      </c>
      <c r="T300" t="n">
        <v>25.029149</v>
      </c>
      <c r="U300" t="n">
        <v>57.717594</v>
      </c>
      <c r="V300" t="n">
        <v>63.584441</v>
      </c>
      <c r="W300" t="n">
        <v>206.884057</v>
      </c>
      <c r="X300" t="n">
        <v>165.070073</v>
      </c>
      <c r="Y300" t="n">
        <v>14.477738</v>
      </c>
      <c r="Z300" t="n">
        <v>16.337529</v>
      </c>
    </row>
    <row r="301" ht="21" customHeight="1">
      <c r="A301" t="inlineStr">
        <is>
          <t>Saccostrea cuccullata</t>
        </is>
      </c>
      <c r="D301" s="10" t="inlineStr">
        <is>
          <t>2 Macrobenthos | 3 Macrobenthos</t>
        </is>
      </c>
      <c r="E301" t="n">
        <v>276.665746</v>
      </c>
      <c r="F301" t="n">
        <v>43.212782</v>
      </c>
      <c r="G301" t="n">
        <v>32.623281</v>
      </c>
      <c r="H301" t="n">
        <v>41.368719</v>
      </c>
      <c r="I301" t="n">
        <v>34.461512</v>
      </c>
      <c r="J301" t="n">
        <v>34.461512</v>
      </c>
      <c r="K301" t="n">
        <v>31.432014</v>
      </c>
      <c r="L301" t="n">
        <v>106.719149</v>
      </c>
      <c r="M301" t="n">
        <v>106.719149</v>
      </c>
      <c r="N301" t="n">
        <v>106.719149</v>
      </c>
      <c r="O301" t="n">
        <v>113.412456</v>
      </c>
      <c r="P301" t="n">
        <v>57.717594</v>
      </c>
      <c r="Q301" t="n">
        <v>106.719149</v>
      </c>
      <c r="R301" t="n">
        <v>106.719149</v>
      </c>
      <c r="S301" t="n">
        <v>113.412456</v>
      </c>
      <c r="T301" t="n">
        <v>25.029149</v>
      </c>
      <c r="U301" t="n">
        <v>57.717594</v>
      </c>
      <c r="V301" t="n">
        <v>63.584441</v>
      </c>
      <c r="W301" t="n">
        <v>206.884057</v>
      </c>
      <c r="X301" t="n">
        <v>165.070073</v>
      </c>
      <c r="Y301" t="n">
        <v>14.477738</v>
      </c>
      <c r="Z301" t="n">
        <v>16.337529</v>
      </c>
    </row>
    <row r="302" ht="21" customHeight="1">
      <c r="A302" t="inlineStr">
        <is>
          <t>Lambis lambis</t>
        </is>
      </c>
      <c r="D302" s="10" t="inlineStr">
        <is>
          <t>2 Macrobenthos | 3 Macrobenthos</t>
        </is>
      </c>
      <c r="E302" t="n">
        <v>276.665746</v>
      </c>
      <c r="F302" t="n">
        <v>43.212782</v>
      </c>
      <c r="G302" t="n">
        <v>32.623281</v>
      </c>
      <c r="H302" t="n">
        <v>41.368719</v>
      </c>
      <c r="I302" t="n">
        <v>34.461512</v>
      </c>
      <c r="J302" t="n">
        <v>34.461512</v>
      </c>
      <c r="K302" t="n">
        <v>31.432014</v>
      </c>
      <c r="L302" t="n">
        <v>106.719149</v>
      </c>
      <c r="M302" t="n">
        <v>106.719149</v>
      </c>
      <c r="N302" t="n">
        <v>106.719149</v>
      </c>
      <c r="O302" t="n">
        <v>113.412456</v>
      </c>
      <c r="P302" t="n">
        <v>57.717594</v>
      </c>
      <c r="Q302" t="n">
        <v>106.719149</v>
      </c>
      <c r="R302" t="n">
        <v>106.719149</v>
      </c>
      <c r="S302" t="n">
        <v>113.412456</v>
      </c>
      <c r="T302" t="n">
        <v>25.029149</v>
      </c>
      <c r="U302" t="n">
        <v>57.717594</v>
      </c>
      <c r="V302" t="n">
        <v>63.584441</v>
      </c>
      <c r="W302" t="n">
        <v>206.884057</v>
      </c>
      <c r="X302" t="n">
        <v>165.070073</v>
      </c>
      <c r="Y302" t="n">
        <v>14.477738</v>
      </c>
      <c r="Z302" t="n">
        <v>16.337529</v>
      </c>
    </row>
    <row r="303" ht="21" customHeight="1">
      <c r="A303" t="inlineStr">
        <is>
          <t>Menidae</t>
        </is>
      </c>
      <c r="D303" s="10" t="inlineStr">
        <is>
          <t>2 SM inv | 3 SM inv</t>
        </is>
      </c>
      <c r="E303" t="n">
        <v>276.665746</v>
      </c>
      <c r="F303" t="n">
        <v>195.237034</v>
      </c>
      <c r="G303" t="n">
        <v>132.430212</v>
      </c>
      <c r="H303" t="n">
        <v>264.43232</v>
      </c>
      <c r="I303" t="n">
        <v>118.903546</v>
      </c>
      <c r="J303" t="n">
        <v>136.120138</v>
      </c>
      <c r="K303" t="n">
        <v>127.344134</v>
      </c>
      <c r="L303" t="n">
        <v>358.382548</v>
      </c>
      <c r="M303" t="n">
        <v>358.382548</v>
      </c>
      <c r="N303" t="n">
        <v>358.382548</v>
      </c>
      <c r="O303" t="n">
        <v>341.399299</v>
      </c>
      <c r="P303" t="n">
        <v>140.115469</v>
      </c>
      <c r="Q303" t="n">
        <v>358.382548</v>
      </c>
      <c r="R303" t="n">
        <v>6457.458436</v>
      </c>
      <c r="S303" t="n">
        <v>341.399299</v>
      </c>
      <c r="T303" t="n">
        <v>179529.737596</v>
      </c>
      <c r="U303" t="n">
        <v>140.115469</v>
      </c>
      <c r="V303" t="n">
        <v>-303793.842089</v>
      </c>
      <c r="W303" t="n">
        <v>574.006718</v>
      </c>
      <c r="X303" t="n">
        <v>502.703783</v>
      </c>
      <c r="Y303" t="n">
        <v>42.955466</v>
      </c>
      <c r="Z303" t="n">
        <v>65.030467</v>
      </c>
    </row>
    <row r="304" ht="21" customHeight="1">
      <c r="A304" t="inlineStr">
        <is>
          <t>Scyllaridae</t>
        </is>
      </c>
      <c r="D304" s="10" t="inlineStr">
        <is>
          <t>2 Crustaceans | 3 Crustaceans</t>
        </is>
      </c>
      <c r="E304" t="n">
        <v>276.665746</v>
      </c>
      <c r="F304" t="n">
        <v>87.346446</v>
      </c>
      <c r="G304" t="n">
        <v>62.825827</v>
      </c>
      <c r="H304" t="n">
        <v>62.583797</v>
      </c>
      <c r="I304" t="n">
        <v>49.059783</v>
      </c>
      <c r="J304" t="n">
        <v>49.059783</v>
      </c>
      <c r="K304" t="n">
        <v>45.848307</v>
      </c>
      <c r="L304" t="n">
        <v>88.61683499999999</v>
      </c>
      <c r="M304" t="n">
        <v>88.61683499999999</v>
      </c>
      <c r="N304" t="n">
        <v>88.61683499999999</v>
      </c>
      <c r="O304" t="n">
        <v>112.736869</v>
      </c>
      <c r="P304" t="n">
        <v>69.749027</v>
      </c>
      <c r="Q304" t="n">
        <v>88.61683499999999</v>
      </c>
      <c r="R304" t="n">
        <v>88.61683499999999</v>
      </c>
      <c r="S304" t="n">
        <v>112.736869</v>
      </c>
      <c r="T304" t="n">
        <v>18.000131</v>
      </c>
      <c r="U304" t="n">
        <v>69.749027</v>
      </c>
      <c r="V304" t="n">
        <v>77.336753</v>
      </c>
      <c r="W304" t="n">
        <v>138.030843</v>
      </c>
      <c r="X304" t="n">
        <v>98.46392899999999</v>
      </c>
      <c r="Y304" t="n">
        <v>24.163479</v>
      </c>
      <c r="Z304" t="n">
        <v>23.495104</v>
      </c>
    </row>
    <row r="305" ht="21" customHeight="1">
      <c r="A305" t="inlineStr">
        <is>
          <t>Pomadasys argenteus</t>
        </is>
      </c>
      <c r="B305" t="n">
        <v>3.47</v>
      </c>
      <c r="C305" t="n">
        <v>295.120923</v>
      </c>
      <c r="D305" s="10" t="inlineStr">
        <is>
          <t>2 SM pisc | 3 SM pisc</t>
        </is>
      </c>
      <c r="E305" t="n">
        <v>276.665746</v>
      </c>
      <c r="F305" t="n">
        <v>735.917019</v>
      </c>
      <c r="G305" t="n">
        <v>452.492682</v>
      </c>
      <c r="H305" t="n">
        <v>682.111639</v>
      </c>
      <c r="I305" t="n">
        <v>235.466475</v>
      </c>
      <c r="J305" t="n">
        <v>314.21941</v>
      </c>
      <c r="K305" t="n">
        <v>298.50844</v>
      </c>
      <c r="L305" t="n">
        <v>954.7607</v>
      </c>
      <c r="M305" t="n">
        <v>954.7607</v>
      </c>
      <c r="N305" t="n">
        <v>954.7607</v>
      </c>
      <c r="O305" t="n">
        <v>843.56575</v>
      </c>
      <c r="P305" t="n">
        <v>294.060389</v>
      </c>
      <c r="Q305" t="n">
        <v>954.7607</v>
      </c>
      <c r="R305" t="n">
        <v>9873.492876</v>
      </c>
      <c r="S305" t="n">
        <v>843.56575</v>
      </c>
      <c r="T305" t="n">
        <v>671288.666809</v>
      </c>
      <c r="U305" t="n">
        <v>294.060389</v>
      </c>
      <c r="V305" t="n">
        <v>-16862660.627203</v>
      </c>
      <c r="W305" t="n">
        <v>1324.31138</v>
      </c>
      <c r="X305" t="n">
        <v>1272.066649</v>
      </c>
      <c r="Y305" t="n">
        <v>110.428635</v>
      </c>
      <c r="Z305" t="n">
        <v>131.682702</v>
      </c>
    </row>
    <row r="306" ht="21" customHeight="1">
      <c r="A306" t="inlineStr">
        <is>
          <t>Echinodermata</t>
        </is>
      </c>
      <c r="B306" t="n">
        <v>2.3</v>
      </c>
      <c r="C306" t="n">
        <v>19.952623</v>
      </c>
      <c r="D306" s="10" t="inlineStr">
        <is>
          <t>2 Macrobenthos | 3 Macrobenthos</t>
        </is>
      </c>
      <c r="E306" t="n">
        <v>276.665746</v>
      </c>
      <c r="F306" t="n">
        <v>43.212782</v>
      </c>
      <c r="G306" t="n">
        <v>32.623281</v>
      </c>
      <c r="H306" t="n">
        <v>41.368719</v>
      </c>
      <c r="I306" t="n">
        <v>34.461512</v>
      </c>
      <c r="J306" t="n">
        <v>34.461512</v>
      </c>
      <c r="K306" t="n">
        <v>31.432014</v>
      </c>
      <c r="L306" t="n">
        <v>106.719149</v>
      </c>
      <c r="M306" t="n">
        <v>106.719149</v>
      </c>
      <c r="N306" t="n">
        <v>106.719149</v>
      </c>
      <c r="O306" t="n">
        <v>113.412456</v>
      </c>
      <c r="P306" t="n">
        <v>57.717594</v>
      </c>
      <c r="Q306" t="n">
        <v>106.719149</v>
      </c>
      <c r="R306" t="n">
        <v>106.719149</v>
      </c>
      <c r="S306" t="n">
        <v>113.412456</v>
      </c>
      <c r="T306" t="n">
        <v>25.029149</v>
      </c>
      <c r="U306" t="n">
        <v>57.717594</v>
      </c>
      <c r="V306" t="n">
        <v>63.584441</v>
      </c>
      <c r="W306" t="n">
        <v>206.884057</v>
      </c>
      <c r="X306" t="n">
        <v>165.070073</v>
      </c>
      <c r="Y306" t="n">
        <v>14.477738</v>
      </c>
      <c r="Z306" t="n">
        <v>16.337529</v>
      </c>
    </row>
    <row r="307" ht="21" customHeight="1">
      <c r="A307" t="inlineStr">
        <is>
          <t>Panulirus polyphagus</t>
        </is>
      </c>
      <c r="D307" s="10" t="inlineStr">
        <is>
          <t>2 Crustaceans | 3 Crustaceans</t>
        </is>
      </c>
      <c r="E307" t="n">
        <v>276.665746</v>
      </c>
      <c r="F307" t="n">
        <v>87.346446</v>
      </c>
      <c r="G307" t="n">
        <v>62.825827</v>
      </c>
      <c r="H307" t="n">
        <v>62.583797</v>
      </c>
      <c r="I307" t="n">
        <v>49.059783</v>
      </c>
      <c r="J307" t="n">
        <v>49.059783</v>
      </c>
      <c r="K307" t="n">
        <v>45.848307</v>
      </c>
      <c r="L307" t="n">
        <v>88.61683499999999</v>
      </c>
      <c r="M307" t="n">
        <v>88.61683499999999</v>
      </c>
      <c r="N307" t="n">
        <v>88.61683499999999</v>
      </c>
      <c r="O307" t="n">
        <v>112.736869</v>
      </c>
      <c r="P307" t="n">
        <v>69.749027</v>
      </c>
      <c r="Q307" t="n">
        <v>88.61683499999999</v>
      </c>
      <c r="R307" t="n">
        <v>88.61683499999999</v>
      </c>
      <c r="S307" t="n">
        <v>112.736869</v>
      </c>
      <c r="T307" t="n">
        <v>18.000131</v>
      </c>
      <c r="U307" t="n">
        <v>69.749027</v>
      </c>
      <c r="V307" t="n">
        <v>77.336753</v>
      </c>
      <c r="W307" t="n">
        <v>138.030843</v>
      </c>
      <c r="X307" t="n">
        <v>98.46392899999999</v>
      </c>
      <c r="Y307" t="n">
        <v>24.163479</v>
      </c>
      <c r="Z307" t="n">
        <v>23.495104</v>
      </c>
    </row>
    <row r="308" ht="21" customHeight="1">
      <c r="A308" t="inlineStr">
        <is>
          <t>Carcharhinus obscurus</t>
        </is>
      </c>
      <c r="D308" s="10" t="inlineStr">
        <is>
          <t>Coastal elasmobranch</t>
        </is>
      </c>
      <c r="E308" t="n">
        <v>276.665746</v>
      </c>
      <c r="F308" t="n">
        <v>1214.104792</v>
      </c>
      <c r="G308" t="n">
        <v>722.888243</v>
      </c>
      <c r="H308" t="n">
        <v>10114.101338</v>
      </c>
      <c r="I308" t="n">
        <v>2494.37346</v>
      </c>
      <c r="J308" t="n">
        <v>2719.859382</v>
      </c>
      <c r="K308" t="n">
        <v>2567.547256</v>
      </c>
      <c r="L308" t="n">
        <v>16997.641054</v>
      </c>
      <c r="M308" t="n">
        <v>16997.641054</v>
      </c>
      <c r="N308" t="n">
        <v>16997.641054</v>
      </c>
      <c r="O308" t="n">
        <v>9182.663503</v>
      </c>
      <c r="P308" t="n">
        <v>1862.532494</v>
      </c>
      <c r="Q308" t="n">
        <v>16997.641054</v>
      </c>
      <c r="R308" t="n">
        <v>95398056.213283</v>
      </c>
      <c r="S308" t="n">
        <v>9182.663503</v>
      </c>
      <c r="T308" t="n">
        <v>-5392414.250181</v>
      </c>
      <c r="U308" t="n">
        <v>1862.532494</v>
      </c>
      <c r="V308" t="n">
        <v>-8.614472647464927e+19</v>
      </c>
      <c r="W308" t="n">
        <v>15254.347201</v>
      </c>
      <c r="X308" t="n">
        <v>23723.705808</v>
      </c>
      <c r="Y308" t="n">
        <v>160.121668</v>
      </c>
      <c r="Z308" t="n">
        <v>657.545035</v>
      </c>
    </row>
    <row r="309" ht="21" customHeight="1">
      <c r="A309" t="inlineStr">
        <is>
          <t>Labridae</t>
        </is>
      </c>
      <c r="B309" t="n">
        <v>3.46</v>
      </c>
      <c r="C309" t="n">
        <v>288.40315</v>
      </c>
      <c r="D309" s="10" t="inlineStr">
        <is>
          <t>2 L pisc | 3 L pisc</t>
        </is>
      </c>
      <c r="E309" t="n">
        <v>276.665746</v>
      </c>
      <c r="F309" t="n">
        <v>1671.644897</v>
      </c>
      <c r="G309" t="n">
        <v>968.768055</v>
      </c>
      <c r="H309" t="n">
        <v>4318.024466</v>
      </c>
      <c r="I309" t="n">
        <v>1003.379133</v>
      </c>
      <c r="J309" t="n">
        <v>1189.735453</v>
      </c>
      <c r="K309" t="n">
        <v>1070.761907</v>
      </c>
      <c r="L309" t="n">
        <v>3541.417618</v>
      </c>
      <c r="M309" t="n">
        <v>3541.417618</v>
      </c>
      <c r="N309" t="n">
        <v>3541.417618</v>
      </c>
      <c r="O309" t="n">
        <v>2538.082167</v>
      </c>
      <c r="P309" t="n">
        <v>681.673862</v>
      </c>
      <c r="Q309" t="n">
        <v>3541.417618</v>
      </c>
      <c r="R309" t="n">
        <v>62682.288429</v>
      </c>
      <c r="S309" t="n">
        <v>2538.082167</v>
      </c>
      <c r="T309" t="n">
        <v>4712584.866078</v>
      </c>
      <c r="U309" t="n">
        <v>681.673862</v>
      </c>
      <c r="V309" t="n">
        <v>8783084984.919691</v>
      </c>
      <c r="W309" t="n">
        <v>4084.080603</v>
      </c>
      <c r="X309" t="n">
        <v>4708.141648</v>
      </c>
      <c r="Y309" t="n">
        <v>198.988407</v>
      </c>
      <c r="Z309" t="n">
        <v>443.151943</v>
      </c>
    </row>
    <row r="310" ht="36" customHeight="1">
      <c r="A310" t="inlineStr">
        <is>
          <t>Polynemus</t>
        </is>
      </c>
      <c r="D310" s="10" t="inlineStr">
        <is>
          <t>2 L pisc | 3 L pisc | 2 SM inv | 3 SM inv</t>
        </is>
      </c>
      <c r="E310" t="n">
        <v>276.665746</v>
      </c>
      <c r="F310" t="n">
        <v>497.781419</v>
      </c>
      <c r="G310" t="n">
        <v>303.811932</v>
      </c>
      <c r="H310" t="n">
        <v>1095.091365</v>
      </c>
      <c r="I310" t="n">
        <v>300.149616</v>
      </c>
      <c r="J310" t="n">
        <v>352.026194</v>
      </c>
      <c r="K310" t="n">
        <v>320.668593</v>
      </c>
      <c r="L310" t="n">
        <v>1010.647693</v>
      </c>
      <c r="M310" t="n">
        <v>1010.647693</v>
      </c>
      <c r="N310" t="n">
        <v>1010.647693</v>
      </c>
      <c r="O310" t="n">
        <v>791.541896</v>
      </c>
      <c r="P310" t="n">
        <v>251.091207</v>
      </c>
      <c r="Q310" t="n">
        <v>1010.647693</v>
      </c>
      <c r="R310" t="n">
        <v>17979.008186</v>
      </c>
      <c r="S310" t="n">
        <v>791.541896</v>
      </c>
      <c r="T310" t="n">
        <v>1108439.975083</v>
      </c>
      <c r="U310" t="n">
        <v>251.091207</v>
      </c>
      <c r="V310" t="n">
        <v>1799581609.085237</v>
      </c>
      <c r="W310" t="n">
        <v>1293.28841</v>
      </c>
      <c r="X310" t="n">
        <v>1364.478938</v>
      </c>
      <c r="Y310" t="n">
        <v>74.929619</v>
      </c>
      <c r="Z310" t="n">
        <v>142.514835</v>
      </c>
    </row>
    <row r="311" ht="21" customHeight="1">
      <c r="A311" t="inlineStr">
        <is>
          <t>Decapterus macarellus</t>
        </is>
      </c>
      <c r="D311" s="10" t="inlineStr">
        <is>
          <t>2 Carangids | 3 Carangids</t>
        </is>
      </c>
      <c r="E311" t="n">
        <v>276.665746</v>
      </c>
      <c r="F311" t="n">
        <v>1047.559324</v>
      </c>
      <c r="G311" t="n">
        <v>629.821299</v>
      </c>
      <c r="H311" t="n">
        <v>2236.955926</v>
      </c>
      <c r="I311" t="n">
        <v>640.844159</v>
      </c>
      <c r="J311" t="n">
        <v>754.590569</v>
      </c>
      <c r="K311" t="n">
        <v>726.430521</v>
      </c>
      <c r="L311" t="n">
        <v>2160.134294</v>
      </c>
      <c r="M311" t="n">
        <v>2160.134294</v>
      </c>
      <c r="N311" t="n">
        <v>2160.134294</v>
      </c>
      <c r="O311" t="n">
        <v>1714.41623</v>
      </c>
      <c r="P311" t="n">
        <v>507.780375</v>
      </c>
      <c r="Q311" t="n">
        <v>2160.134294</v>
      </c>
      <c r="R311" t="n">
        <v>1795384.471462</v>
      </c>
      <c r="S311" t="n">
        <v>1714.41623</v>
      </c>
      <c r="T311" t="n">
        <v>15523021.978962</v>
      </c>
      <c r="U311" t="n">
        <v>507.780375</v>
      </c>
      <c r="V311" t="n">
        <v>361623540.311127</v>
      </c>
      <c r="W311" t="n">
        <v>2798.965662</v>
      </c>
      <c r="X311" t="n">
        <v>2890.070964</v>
      </c>
      <c r="Y311" t="n">
        <v>143.6356</v>
      </c>
      <c r="Z311" t="n">
        <v>293.771321</v>
      </c>
    </row>
    <row r="312" ht="21" customHeight="1">
      <c r="A312" t="inlineStr">
        <is>
          <t>Carcharhinus brachyurus</t>
        </is>
      </c>
      <c r="D312" s="10" t="inlineStr">
        <is>
          <t>Coastal elasmobranch</t>
        </is>
      </c>
      <c r="E312" t="n">
        <v>276.665746</v>
      </c>
      <c r="F312" t="n">
        <v>1214.104792</v>
      </c>
      <c r="G312" t="n">
        <v>722.888243</v>
      </c>
      <c r="H312" t="n">
        <v>10114.101338</v>
      </c>
      <c r="I312" t="n">
        <v>2494.37346</v>
      </c>
      <c r="J312" t="n">
        <v>2719.859382</v>
      </c>
      <c r="K312" t="n">
        <v>2567.547256</v>
      </c>
      <c r="L312" t="n">
        <v>16997.641054</v>
      </c>
      <c r="M312" t="n">
        <v>16997.641054</v>
      </c>
      <c r="N312" t="n">
        <v>16997.641054</v>
      </c>
      <c r="O312" t="n">
        <v>9182.663503</v>
      </c>
      <c r="P312" t="n">
        <v>1862.532494</v>
      </c>
      <c r="Q312" t="n">
        <v>16997.641054</v>
      </c>
      <c r="R312" t="n">
        <v>95398056.213283</v>
      </c>
      <c r="S312" t="n">
        <v>9182.663503</v>
      </c>
      <c r="T312" t="n">
        <v>-5392414.250181</v>
      </c>
      <c r="U312" t="n">
        <v>1862.532494</v>
      </c>
      <c r="V312" t="n">
        <v>-8.614472647464927e+19</v>
      </c>
      <c r="W312" t="n">
        <v>15254.347201</v>
      </c>
      <c r="X312" t="n">
        <v>23723.705808</v>
      </c>
      <c r="Y312" t="n">
        <v>160.121668</v>
      </c>
      <c r="Z312" t="n">
        <v>657.545035</v>
      </c>
    </row>
    <row r="313" ht="21" customHeight="1">
      <c r="A313" t="inlineStr">
        <is>
          <t>Epinephelus tauvina</t>
        </is>
      </c>
      <c r="D313" s="10" t="inlineStr">
        <is>
          <t>2 L pisc comm | 3 L pisc comm</t>
        </is>
      </c>
      <c r="E313" t="n">
        <v>276.665746</v>
      </c>
      <c r="F313" t="n">
        <v>942.008432</v>
      </c>
      <c r="G313" t="n">
        <v>569.455705</v>
      </c>
      <c r="H313" t="n">
        <v>2133.059221</v>
      </c>
      <c r="I313" t="n">
        <v>640.2845610000001</v>
      </c>
      <c r="J313" t="n">
        <v>809.484635</v>
      </c>
      <c r="K313" t="n">
        <v>735.551234</v>
      </c>
      <c r="L313" t="n">
        <v>2161.417589</v>
      </c>
      <c r="M313" t="n">
        <v>2161.417589</v>
      </c>
      <c r="N313" t="n">
        <v>2161.417589</v>
      </c>
      <c r="O313" t="n">
        <v>1596.841335</v>
      </c>
      <c r="P313" t="n">
        <v>484.191698</v>
      </c>
      <c r="Q313" t="n">
        <v>2161.417589</v>
      </c>
      <c r="R313" t="n">
        <v>-1566538.678845</v>
      </c>
      <c r="S313" t="n">
        <v>1596.841335</v>
      </c>
      <c r="T313" t="n">
        <v>18720614.545483</v>
      </c>
      <c r="U313" t="n">
        <v>484.191698</v>
      </c>
      <c r="V313" t="n">
        <v>-729589570.314726</v>
      </c>
      <c r="W313" t="n">
        <v>2521.687387</v>
      </c>
      <c r="X313" t="n">
        <v>2846.929567</v>
      </c>
      <c r="Y313" t="n">
        <v>132.205276</v>
      </c>
      <c r="Z313" t="n">
        <v>267.422877</v>
      </c>
    </row>
    <row r="314" ht="21" customHeight="1">
      <c r="A314" t="inlineStr">
        <is>
          <t>Rajiformes</t>
        </is>
      </c>
      <c r="D314" s="10" t="inlineStr">
        <is>
          <t>Coastal elasmobranch</t>
        </is>
      </c>
      <c r="E314" t="n">
        <v>276.665746</v>
      </c>
      <c r="F314" t="n">
        <v>1214.104792</v>
      </c>
      <c r="G314" t="n">
        <v>722.888243</v>
      </c>
      <c r="H314" t="n">
        <v>10114.101338</v>
      </c>
      <c r="I314" t="n">
        <v>2494.37346</v>
      </c>
      <c r="J314" t="n">
        <v>2719.859382</v>
      </c>
      <c r="K314" t="n">
        <v>2567.547256</v>
      </c>
      <c r="L314" t="n">
        <v>16997.641054</v>
      </c>
      <c r="M314" t="n">
        <v>16997.641054</v>
      </c>
      <c r="N314" t="n">
        <v>16997.641054</v>
      </c>
      <c r="O314" t="n">
        <v>9182.663503</v>
      </c>
      <c r="P314" t="n">
        <v>1862.532494</v>
      </c>
      <c r="Q314" t="n">
        <v>16997.641054</v>
      </c>
      <c r="R314" t="n">
        <v>95398056.213283</v>
      </c>
      <c r="S314" t="n">
        <v>9182.663503</v>
      </c>
      <c r="T314" t="n">
        <v>-5392414.250181</v>
      </c>
      <c r="U314" t="n">
        <v>1862.532494</v>
      </c>
      <c r="V314" t="n">
        <v>-8.614472647464927e+19</v>
      </c>
      <c r="W314" t="n">
        <v>15254.347201</v>
      </c>
      <c r="X314" t="n">
        <v>23723.705808</v>
      </c>
      <c r="Y314" t="n">
        <v>160.121668</v>
      </c>
      <c r="Z314" t="n">
        <v>657.545035</v>
      </c>
    </row>
    <row r="315" ht="21" customHeight="1">
      <c r="A315" t="inlineStr">
        <is>
          <t>Lepidocybium flavobrunneum</t>
        </is>
      </c>
      <c r="D315" s="10" t="inlineStr">
        <is>
          <t>ML bathy</t>
        </is>
      </c>
      <c r="E315" t="n">
        <v>276.665746</v>
      </c>
      <c r="F315" t="n">
        <v>308.890964</v>
      </c>
      <c r="G315" t="n">
        <v>203.245868</v>
      </c>
      <c r="H315" t="n">
        <v>1395.318901</v>
      </c>
      <c r="I315" t="n">
        <v>429.362679</v>
      </c>
      <c r="J315" t="n">
        <v>552.514516</v>
      </c>
      <c r="K315" t="n">
        <v>497.263064</v>
      </c>
      <c r="L315" t="n">
        <v>1516.93004</v>
      </c>
      <c r="M315" t="n">
        <v>1516.93004</v>
      </c>
      <c r="N315" t="n">
        <v>1516.93004</v>
      </c>
      <c r="O315" t="n">
        <v>936.081262</v>
      </c>
      <c r="P315" t="n">
        <v>268.316041</v>
      </c>
      <c r="Q315" t="n">
        <v>1516.93004</v>
      </c>
      <c r="R315" t="n">
        <v>-1058552.754697</v>
      </c>
      <c r="S315" t="n">
        <v>936.081262</v>
      </c>
      <c r="T315" t="n">
        <v>351919.608302</v>
      </c>
      <c r="U315" t="n">
        <v>268.316041</v>
      </c>
      <c r="V315" t="n">
        <v>-52036995.381143</v>
      </c>
      <c r="W315" t="n">
        <v>1486.070086</v>
      </c>
      <c r="X315" t="n">
        <v>1946.758423</v>
      </c>
      <c r="Y315" t="n">
        <v>60.196399</v>
      </c>
      <c r="Z315" t="n">
        <v>159.438677</v>
      </c>
    </row>
    <row r="316" ht="21" customHeight="1">
      <c r="A316" t="inlineStr">
        <is>
          <t>Carcharhinus plumbeus</t>
        </is>
      </c>
      <c r="D316" s="10" t="inlineStr">
        <is>
          <t>Coastal elasmobranch</t>
        </is>
      </c>
      <c r="E316" t="n">
        <v>276.665746</v>
      </c>
      <c r="F316" t="n">
        <v>1214.104792</v>
      </c>
      <c r="G316" t="n">
        <v>722.888243</v>
      </c>
      <c r="H316" t="n">
        <v>10114.101338</v>
      </c>
      <c r="I316" t="n">
        <v>2494.37346</v>
      </c>
      <c r="J316" t="n">
        <v>2719.859382</v>
      </c>
      <c r="K316" t="n">
        <v>2567.547256</v>
      </c>
      <c r="L316" t="n">
        <v>16997.641054</v>
      </c>
      <c r="M316" t="n">
        <v>16997.641054</v>
      </c>
      <c r="N316" t="n">
        <v>16997.641054</v>
      </c>
      <c r="O316" t="n">
        <v>9182.663503</v>
      </c>
      <c r="P316" t="n">
        <v>1862.532494</v>
      </c>
      <c r="Q316" t="n">
        <v>16997.641054</v>
      </c>
      <c r="R316" t="n">
        <v>95398056.213283</v>
      </c>
      <c r="S316" t="n">
        <v>9182.663503</v>
      </c>
      <c r="T316" t="n">
        <v>-5392414.250181</v>
      </c>
      <c r="U316" t="n">
        <v>1862.532494</v>
      </c>
      <c r="V316" t="n">
        <v>-8.614472647464927e+19</v>
      </c>
      <c r="W316" t="n">
        <v>15254.347201</v>
      </c>
      <c r="X316" t="n">
        <v>23723.705808</v>
      </c>
      <c r="Y316" t="n">
        <v>160.121668</v>
      </c>
      <c r="Z316" t="n">
        <v>657.545035</v>
      </c>
    </row>
    <row r="317" ht="21" customHeight="1">
      <c r="A317" t="inlineStr">
        <is>
          <t>Mobula birostris</t>
        </is>
      </c>
      <c r="B317" t="n">
        <v>3.46</v>
      </c>
      <c r="C317" t="n">
        <v>288.40315</v>
      </c>
      <c r="D317" s="10" t="inlineStr">
        <is>
          <t>Coastal elasmobranch</t>
        </is>
      </c>
      <c r="E317" t="n">
        <v>276.665746</v>
      </c>
      <c r="F317" t="n">
        <v>1214.104792</v>
      </c>
      <c r="G317" t="n">
        <v>722.888243</v>
      </c>
      <c r="H317" t="n">
        <v>10114.101338</v>
      </c>
      <c r="I317" t="n">
        <v>2494.37346</v>
      </c>
      <c r="J317" t="n">
        <v>2719.859382</v>
      </c>
      <c r="K317" t="n">
        <v>2567.547256</v>
      </c>
      <c r="L317" t="n">
        <v>16997.641054</v>
      </c>
      <c r="M317" t="n">
        <v>16997.641054</v>
      </c>
      <c r="N317" t="n">
        <v>16997.641054</v>
      </c>
      <c r="O317" t="n">
        <v>9182.663503</v>
      </c>
      <c r="P317" t="n">
        <v>1862.532494</v>
      </c>
      <c r="Q317" t="n">
        <v>16997.641054</v>
      </c>
      <c r="R317" t="n">
        <v>95398056.213283</v>
      </c>
      <c r="S317" t="n">
        <v>9182.663503</v>
      </c>
      <c r="T317" t="n">
        <v>-5392414.250181</v>
      </c>
      <c r="U317" t="n">
        <v>1862.532494</v>
      </c>
      <c r="V317" t="n">
        <v>-8.614472647464927e+19</v>
      </c>
      <c r="W317" t="n">
        <v>15254.347201</v>
      </c>
      <c r="X317" t="n">
        <v>23723.705808</v>
      </c>
      <c r="Y317" t="n">
        <v>160.121668</v>
      </c>
      <c r="Z317" t="n">
        <v>657.545035</v>
      </c>
    </row>
    <row r="318" ht="21" customHeight="1">
      <c r="A318" t="inlineStr">
        <is>
          <t>Mene maculata</t>
        </is>
      </c>
      <c r="D318" s="10" t="inlineStr">
        <is>
          <t>2 SM inv | 3 SM inv</t>
        </is>
      </c>
      <c r="E318" t="n">
        <v>276.665746</v>
      </c>
      <c r="F318" t="n">
        <v>195.237034</v>
      </c>
      <c r="G318" t="n">
        <v>132.430212</v>
      </c>
      <c r="H318" t="n">
        <v>264.43232</v>
      </c>
      <c r="I318" t="n">
        <v>118.903546</v>
      </c>
      <c r="J318" t="n">
        <v>136.120138</v>
      </c>
      <c r="K318" t="n">
        <v>127.344134</v>
      </c>
      <c r="L318" t="n">
        <v>358.382548</v>
      </c>
      <c r="M318" t="n">
        <v>358.382548</v>
      </c>
      <c r="N318" t="n">
        <v>358.382548</v>
      </c>
      <c r="O318" t="n">
        <v>341.399299</v>
      </c>
      <c r="P318" t="n">
        <v>140.115469</v>
      </c>
      <c r="Q318" t="n">
        <v>358.382548</v>
      </c>
      <c r="R318" t="n">
        <v>6457.458436</v>
      </c>
      <c r="S318" t="n">
        <v>341.399299</v>
      </c>
      <c r="T318" t="n">
        <v>179529.737596</v>
      </c>
      <c r="U318" t="n">
        <v>140.115469</v>
      </c>
      <c r="V318" t="n">
        <v>-303793.842089</v>
      </c>
      <c r="W318" t="n">
        <v>574.006718</v>
      </c>
      <c r="X318" t="n">
        <v>502.703783</v>
      </c>
      <c r="Y318" t="n">
        <v>42.955466</v>
      </c>
      <c r="Z318" t="n">
        <v>65.030467</v>
      </c>
    </row>
    <row r="319" ht="21" customHeight="1">
      <c r="A319" t="inlineStr">
        <is>
          <t>Lampris guttatus</t>
        </is>
      </c>
      <c r="D319" s="10" t="inlineStr">
        <is>
          <t>ML bathy</t>
        </is>
      </c>
      <c r="E319" t="n">
        <v>276.665746</v>
      </c>
      <c r="F319" t="n">
        <v>308.890964</v>
      </c>
      <c r="G319" t="n">
        <v>203.245868</v>
      </c>
      <c r="H319" t="n">
        <v>1395.318901</v>
      </c>
      <c r="I319" t="n">
        <v>429.362679</v>
      </c>
      <c r="J319" t="n">
        <v>552.514516</v>
      </c>
      <c r="K319" t="n">
        <v>497.263064</v>
      </c>
      <c r="L319" t="n">
        <v>1516.93004</v>
      </c>
      <c r="M319" t="n">
        <v>1516.93004</v>
      </c>
      <c r="N319" t="n">
        <v>1516.93004</v>
      </c>
      <c r="O319" t="n">
        <v>936.081262</v>
      </c>
      <c r="P319" t="n">
        <v>268.316041</v>
      </c>
      <c r="Q319" t="n">
        <v>1516.93004</v>
      </c>
      <c r="R319" t="n">
        <v>-1058552.754697</v>
      </c>
      <c r="S319" t="n">
        <v>936.081262</v>
      </c>
      <c r="T319" t="n">
        <v>351919.608302</v>
      </c>
      <c r="U319" t="n">
        <v>268.316041</v>
      </c>
      <c r="V319" t="n">
        <v>-52036995.381143</v>
      </c>
      <c r="W319" t="n">
        <v>1486.070086</v>
      </c>
      <c r="X319" t="n">
        <v>1946.758423</v>
      </c>
      <c r="Y319" t="n">
        <v>60.196399</v>
      </c>
      <c r="Z319" t="n">
        <v>159.438677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T3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s>
  <sheetData>
    <row r="1">
      <c r="A1" s="1" t="inlineStr">
        <is>
          <t>Total PPR by method and year — every taxon summed, tonnes wet weight equivalent of primary production.</t>
        </is>
      </c>
    </row>
    <row r="2">
      <c r="A2" t="inlineStr">
        <is>
          <t>Internal sources: primary producers and detritus; excludes imports. The simple chain rows are unpartitioned references; model rows use this scope.</t>
        </is>
      </c>
    </row>
    <row r="3">
      <c r="A3" t="inlineStr">
        <is>
          <t>Methods are not alternatives to be averaged. They rest on different assumptions and the spread between them is the result.</t>
        </is>
      </c>
    </row>
    <row r="4">
      <c r="A4" t="inlineStr">
        <is>
          <t>The two grey rows aggregate the catch to a group before exponentiating, which understates the total: SPPR is convex in trophic level, so they measure the Jensen effect rather than the PPR.</t>
        </is>
      </c>
    </row>
    <row r="5">
      <c r="A5" s="4" t="inlineStr">
        <is>
          <t>method</t>
        </is>
      </c>
      <c r="B5" s="4" t="inlineStr">
        <is>
          <t>status</t>
        </is>
      </c>
      <c r="C5" s="4" t="n">
        <v>1950</v>
      </c>
      <c r="D5" s="4" t="n">
        <v>1951</v>
      </c>
      <c r="E5" s="4" t="n">
        <v>1952</v>
      </c>
      <c r="F5" s="4" t="n">
        <v>1953</v>
      </c>
      <c r="G5" s="4" t="n">
        <v>1954</v>
      </c>
      <c r="H5" s="4" t="n">
        <v>1955</v>
      </c>
      <c r="I5" s="4" t="n">
        <v>1956</v>
      </c>
      <c r="J5" s="4" t="n">
        <v>1957</v>
      </c>
      <c r="K5" s="4" t="n">
        <v>1958</v>
      </c>
      <c r="L5" s="4" t="n">
        <v>1959</v>
      </c>
      <c r="M5" s="4" t="n">
        <v>1960</v>
      </c>
      <c r="N5" s="4" t="n">
        <v>1961</v>
      </c>
      <c r="O5" s="4" t="n">
        <v>1962</v>
      </c>
      <c r="P5" s="4" t="n">
        <v>1963</v>
      </c>
      <c r="Q5" s="4" t="n">
        <v>1964</v>
      </c>
      <c r="R5" s="4" t="n">
        <v>1965</v>
      </c>
      <c r="S5" s="4" t="n">
        <v>1966</v>
      </c>
      <c r="T5" s="4" t="n">
        <v>1967</v>
      </c>
      <c r="U5" s="4" t="n">
        <v>1968</v>
      </c>
      <c r="V5" s="4" t="n">
        <v>1969</v>
      </c>
      <c r="W5" s="4" t="n">
        <v>1970</v>
      </c>
      <c r="X5" s="4" t="n">
        <v>1971</v>
      </c>
      <c r="Y5" s="4" t="n">
        <v>1972</v>
      </c>
      <c r="Z5" s="4" t="n">
        <v>1973</v>
      </c>
      <c r="AA5" s="4" t="n">
        <v>1974</v>
      </c>
      <c r="AB5" s="4" t="n">
        <v>1975</v>
      </c>
      <c r="AC5" s="4" t="n">
        <v>1976</v>
      </c>
      <c r="AD5" s="4" t="n">
        <v>1977</v>
      </c>
      <c r="AE5" s="4" t="n">
        <v>1978</v>
      </c>
      <c r="AF5" s="4" t="n">
        <v>1979</v>
      </c>
      <c r="AG5" s="4" t="n">
        <v>1980</v>
      </c>
      <c r="AH5" s="4" t="n">
        <v>1981</v>
      </c>
      <c r="AI5" s="4" t="n">
        <v>1982</v>
      </c>
      <c r="AJ5" s="4" t="n">
        <v>1983</v>
      </c>
      <c r="AK5" s="4" t="n">
        <v>1984</v>
      </c>
      <c r="AL5" s="4" t="n">
        <v>1985</v>
      </c>
      <c r="AM5" s="4" t="n">
        <v>1986</v>
      </c>
      <c r="AN5" s="4" t="n">
        <v>1987</v>
      </c>
      <c r="AO5" s="4" t="n">
        <v>1988</v>
      </c>
      <c r="AP5" s="4" t="n">
        <v>1989</v>
      </c>
      <c r="AQ5" s="4" t="n">
        <v>1990</v>
      </c>
      <c r="AR5" s="4" t="n">
        <v>1991</v>
      </c>
      <c r="AS5" s="4" t="n">
        <v>1992</v>
      </c>
      <c r="AT5" s="4" t="n">
        <v>1993</v>
      </c>
      <c r="AU5" s="4" t="n">
        <v>1994</v>
      </c>
      <c r="AV5" s="4" t="n">
        <v>1995</v>
      </c>
      <c r="AW5" s="4" t="n">
        <v>1996</v>
      </c>
      <c r="AX5" s="4" t="n">
        <v>1997</v>
      </c>
      <c r="AY5" s="4" t="n">
        <v>1998</v>
      </c>
      <c r="AZ5" s="4" t="n">
        <v>1999</v>
      </c>
      <c r="BA5" s="4" t="n">
        <v>2000</v>
      </c>
      <c r="BB5" s="4" t="n">
        <v>2001</v>
      </c>
      <c r="BC5" s="4" t="n">
        <v>2002</v>
      </c>
      <c r="BD5" s="4" t="n">
        <v>2003</v>
      </c>
      <c r="BE5" s="4" t="n">
        <v>2004</v>
      </c>
      <c r="BF5" s="4" t="n">
        <v>2005</v>
      </c>
      <c r="BG5" s="4" t="n">
        <v>2006</v>
      </c>
      <c r="BH5" s="4" t="n">
        <v>2007</v>
      </c>
      <c r="BI5" s="4" t="n">
        <v>2008</v>
      </c>
      <c r="BJ5" s="4" t="n">
        <v>2009</v>
      </c>
      <c r="BK5" s="4" t="n">
        <v>2010</v>
      </c>
      <c r="BL5" s="4" t="n">
        <v>2011</v>
      </c>
      <c r="BM5" s="4" t="n">
        <v>2012</v>
      </c>
      <c r="BN5" s="4" t="n">
        <v>2013</v>
      </c>
      <c r="BO5" s="4" t="n">
        <v>2014</v>
      </c>
      <c r="BP5" s="4" t="n">
        <v>2015</v>
      </c>
      <c r="BQ5" s="4" t="n">
        <v>2016</v>
      </c>
      <c r="BR5" s="4" t="n">
        <v>2017</v>
      </c>
      <c r="BS5" s="4" t="n">
        <v>2018</v>
      </c>
      <c r="BT5" s="4" t="n">
        <v>2019</v>
      </c>
    </row>
    <row r="6">
      <c r="A6" s="3" t="inlineStr">
        <is>
          <t>simple trophic chain, per taxon</t>
        </is>
      </c>
      <c r="B6" t="inlineStr">
        <is>
          <t>ok</t>
        </is>
      </c>
      <c r="C6" t="n">
        <v>470224474.923</v>
      </c>
      <c r="D6" t="n">
        <v>479655799.992</v>
      </c>
      <c r="E6" t="n">
        <v>518384304.482</v>
      </c>
      <c r="F6" t="n">
        <v>503838387.402</v>
      </c>
      <c r="G6" t="n">
        <v>548855442.279</v>
      </c>
      <c r="H6" t="n">
        <v>568401083.102</v>
      </c>
      <c r="I6" t="n">
        <v>625166415.7920001</v>
      </c>
      <c r="J6" t="n">
        <v>586646084.85</v>
      </c>
      <c r="K6" t="n">
        <v>609646137.494</v>
      </c>
      <c r="L6" t="n">
        <v>608993785.003</v>
      </c>
      <c r="M6" t="n">
        <v>629347038.538</v>
      </c>
      <c r="N6" t="n">
        <v>669101290.891</v>
      </c>
      <c r="O6" t="n">
        <v>687477554.039</v>
      </c>
      <c r="P6" t="n">
        <v>692351029.885</v>
      </c>
      <c r="Q6" t="n">
        <v>770896156.517</v>
      </c>
      <c r="R6" t="n">
        <v>774782731.823</v>
      </c>
      <c r="S6" t="n">
        <v>836343612.482</v>
      </c>
      <c r="T6" t="n">
        <v>870648937.309</v>
      </c>
      <c r="U6" t="n">
        <v>963645398.569</v>
      </c>
      <c r="V6" t="n">
        <v>1004857830.247</v>
      </c>
      <c r="W6" t="n">
        <v>900212336.707</v>
      </c>
      <c r="X6" t="n">
        <v>1015867746.721</v>
      </c>
      <c r="Y6" t="n">
        <v>1047425276.872</v>
      </c>
      <c r="Z6" t="n">
        <v>1097022235.332</v>
      </c>
      <c r="AA6" t="n">
        <v>1159374974.221</v>
      </c>
      <c r="AB6" t="n">
        <v>1205050019.951</v>
      </c>
      <c r="AC6" t="n">
        <v>1310822785.853</v>
      </c>
      <c r="AD6" t="n">
        <v>1426504553.974</v>
      </c>
      <c r="AE6" t="n">
        <v>1498968181.316</v>
      </c>
      <c r="AF6" t="n">
        <v>1553910885.201</v>
      </c>
      <c r="AG6" t="n">
        <v>1526737052.579</v>
      </c>
      <c r="AH6" t="n">
        <v>1612055584.751</v>
      </c>
      <c r="AI6" t="n">
        <v>1687469309.672</v>
      </c>
      <c r="AJ6" t="n">
        <v>1713907263.062</v>
      </c>
      <c r="AK6" t="n">
        <v>1820942835.486</v>
      </c>
      <c r="AL6" t="n">
        <v>1759689014.693</v>
      </c>
      <c r="AM6" t="n">
        <v>1875163978.97</v>
      </c>
      <c r="AN6" t="n">
        <v>2005624432.699</v>
      </c>
      <c r="AO6" t="n">
        <v>1957134323.584</v>
      </c>
      <c r="AP6" t="n">
        <v>2104115246.87</v>
      </c>
      <c r="AQ6" t="n">
        <v>2063030170.125</v>
      </c>
      <c r="AR6" t="n">
        <v>2255330080.124</v>
      </c>
      <c r="AS6" t="n">
        <v>2357207806.564</v>
      </c>
      <c r="AT6" t="n">
        <v>2613352232.616</v>
      </c>
      <c r="AU6" t="n">
        <v>2503947384.954</v>
      </c>
      <c r="AV6" t="n">
        <v>2577082078.158</v>
      </c>
      <c r="AW6" t="n">
        <v>2611378106.762</v>
      </c>
      <c r="AX6" t="n">
        <v>2613460472.452</v>
      </c>
      <c r="AY6" t="n">
        <v>2927891354.231</v>
      </c>
      <c r="AZ6" t="n">
        <v>2718460438.727</v>
      </c>
      <c r="BA6" t="n">
        <v>2914083457.511</v>
      </c>
      <c r="BB6" t="n">
        <v>2691692687.272</v>
      </c>
      <c r="BC6" t="n">
        <v>2987885831.14</v>
      </c>
      <c r="BD6" t="n">
        <v>3025184858.196</v>
      </c>
      <c r="BE6" t="n">
        <v>3102237094.353</v>
      </c>
      <c r="BF6" t="n">
        <v>2945799380.952</v>
      </c>
      <c r="BG6" t="n">
        <v>3090676118.693</v>
      </c>
      <c r="BH6" t="n">
        <v>3245690259.659</v>
      </c>
      <c r="BI6" t="n">
        <v>3090496494.426</v>
      </c>
      <c r="BJ6" t="n">
        <v>3263981143.095</v>
      </c>
      <c r="BK6" t="n">
        <v>3154635925.362</v>
      </c>
      <c r="BL6" t="n">
        <v>3186070406.057</v>
      </c>
      <c r="BM6" t="n">
        <v>3126950517.586</v>
      </c>
      <c r="BN6" t="n">
        <v>2933667273.488</v>
      </c>
      <c r="BO6" t="n">
        <v>3102290965.39</v>
      </c>
      <c r="BP6" t="n">
        <v>3228903568.238</v>
      </c>
      <c r="BQ6" t="n">
        <v>3392524591.477</v>
      </c>
      <c r="BR6" t="n">
        <v>3430389817.438</v>
      </c>
      <c r="BS6" t="n">
        <v>3223762185.526</v>
      </c>
      <c r="BT6" t="n">
        <v>3525461858.525</v>
      </c>
    </row>
    <row r="7">
      <c r="A7" s="15" t="inlineStr">
        <is>
          <t>simple, aggregated to SAU functional group</t>
        </is>
      </c>
      <c r="B7" t="inlineStr">
        <is>
          <t>Jensen comparison, not a PPR estimate</t>
        </is>
      </c>
      <c r="C7" t="n">
        <v>353830876.765</v>
      </c>
      <c r="D7" t="n">
        <v>360435746.638</v>
      </c>
      <c r="E7" t="n">
        <v>393742781.131</v>
      </c>
      <c r="F7" t="n">
        <v>377294812.546</v>
      </c>
      <c r="G7" t="n">
        <v>411293293.443</v>
      </c>
      <c r="H7" t="n">
        <v>432903620.497</v>
      </c>
      <c r="I7" t="n">
        <v>478471983.103</v>
      </c>
      <c r="J7" t="n">
        <v>446066578.03</v>
      </c>
      <c r="K7" t="n">
        <v>466906412.705</v>
      </c>
      <c r="L7" t="n">
        <v>466077693.276</v>
      </c>
      <c r="M7" t="n">
        <v>483975418.804</v>
      </c>
      <c r="N7" t="n">
        <v>516583551.562</v>
      </c>
      <c r="O7" t="n">
        <v>531331213.253</v>
      </c>
      <c r="P7" t="n">
        <v>528160463.532</v>
      </c>
      <c r="Q7" t="n">
        <v>591312779.9809999</v>
      </c>
      <c r="R7" t="n">
        <v>590279442.198</v>
      </c>
      <c r="S7" t="n">
        <v>642330028.182</v>
      </c>
      <c r="T7" t="n">
        <v>654410976.266</v>
      </c>
      <c r="U7" t="n">
        <v>738923252.6670001</v>
      </c>
      <c r="V7" t="n">
        <v>776188273.124</v>
      </c>
      <c r="W7" t="n">
        <v>682805355.781</v>
      </c>
      <c r="X7" t="n">
        <v>779333818.752</v>
      </c>
      <c r="Y7" t="n">
        <v>806884538.562</v>
      </c>
      <c r="Z7" t="n">
        <v>847699038.615</v>
      </c>
      <c r="AA7" t="n">
        <v>908109714.926</v>
      </c>
      <c r="AB7" t="n">
        <v>942941764.516</v>
      </c>
      <c r="AC7" t="n">
        <v>992849284.659</v>
      </c>
      <c r="AD7" t="n">
        <v>1064845868.415</v>
      </c>
      <c r="AE7" t="n">
        <v>1129191014.07</v>
      </c>
      <c r="AF7" t="n">
        <v>1167079399.309</v>
      </c>
      <c r="AG7" t="n">
        <v>1149374785.077</v>
      </c>
      <c r="AH7" t="n">
        <v>1211987453.165</v>
      </c>
      <c r="AI7" t="n">
        <v>1275418567.812</v>
      </c>
      <c r="AJ7" t="n">
        <v>1288432601.048</v>
      </c>
      <c r="AK7" t="n">
        <v>1372011238.247</v>
      </c>
      <c r="AL7" t="n">
        <v>1322952000.432</v>
      </c>
      <c r="AM7" t="n">
        <v>1425684684.194</v>
      </c>
      <c r="AN7" t="n">
        <v>1498159583.047</v>
      </c>
      <c r="AO7" t="n">
        <v>1465818754.418</v>
      </c>
      <c r="AP7" t="n">
        <v>1552704775.634</v>
      </c>
      <c r="AQ7" t="n">
        <v>1475833694.784</v>
      </c>
      <c r="AR7" t="n">
        <v>1637230490.59</v>
      </c>
      <c r="AS7" t="n">
        <v>1729056056.156</v>
      </c>
      <c r="AT7" t="n">
        <v>1908766508.019</v>
      </c>
      <c r="AU7" t="n">
        <v>1813099996.309</v>
      </c>
      <c r="AV7" t="n">
        <v>1868614333.24</v>
      </c>
      <c r="AW7" t="n">
        <v>1878692955.476</v>
      </c>
      <c r="AX7" t="n">
        <v>1888087103.301</v>
      </c>
      <c r="AY7" t="n">
        <v>2121037476.155</v>
      </c>
      <c r="AZ7" t="n">
        <v>1989206928.594</v>
      </c>
      <c r="BA7" t="n">
        <v>2154030864.156</v>
      </c>
      <c r="BB7" t="n">
        <v>1972601116.409</v>
      </c>
      <c r="BC7" t="n">
        <v>2221605865.068</v>
      </c>
      <c r="BD7" t="n">
        <v>2210120097.588</v>
      </c>
      <c r="BE7" t="n">
        <v>2248424470.377</v>
      </c>
      <c r="BF7" t="n">
        <v>2138469910.313</v>
      </c>
      <c r="BG7" t="n">
        <v>2253753506.987</v>
      </c>
      <c r="BH7" t="n">
        <v>2380401970.595</v>
      </c>
      <c r="BI7" t="n">
        <v>2214028022.424</v>
      </c>
      <c r="BJ7" t="n">
        <v>2312023676.685</v>
      </c>
      <c r="BK7" t="n">
        <v>2196208326.096</v>
      </c>
      <c r="BL7" t="n">
        <v>2240248716.032</v>
      </c>
      <c r="BM7" t="n">
        <v>2204532348.383</v>
      </c>
      <c r="BN7" t="n">
        <v>2037868208.405</v>
      </c>
      <c r="BO7" t="n">
        <v>2224689553.272</v>
      </c>
      <c r="BP7" t="n">
        <v>2336851189.309</v>
      </c>
      <c r="BQ7" t="n">
        <v>2414519662.744</v>
      </c>
      <c r="BR7" t="n">
        <v>2454778793.928</v>
      </c>
      <c r="BS7" t="n">
        <v>2305343085.912</v>
      </c>
      <c r="BT7" t="n">
        <v>2527044618.005</v>
      </c>
    </row>
    <row r="8">
      <c r="A8" s="15" t="inlineStr">
        <is>
          <t>simple, aggregated to SAU commercial group</t>
        </is>
      </c>
      <c r="B8" t="inlineStr">
        <is>
          <t>Jensen comparison, not a PPR estimate</t>
        </is>
      </c>
      <c r="C8" t="n">
        <v>306438915.693</v>
      </c>
      <c r="D8" t="n">
        <v>318746635.135</v>
      </c>
      <c r="E8" t="n">
        <v>353167514.482</v>
      </c>
      <c r="F8" t="n">
        <v>338742295.594</v>
      </c>
      <c r="G8" t="n">
        <v>363159546.172</v>
      </c>
      <c r="H8" t="n">
        <v>380847177.706</v>
      </c>
      <c r="I8" t="n">
        <v>432523763.563</v>
      </c>
      <c r="J8" t="n">
        <v>397632204.714</v>
      </c>
      <c r="K8" t="n">
        <v>421572670.263</v>
      </c>
      <c r="L8" t="n">
        <v>421622609.172</v>
      </c>
      <c r="M8" t="n">
        <v>440271165.451</v>
      </c>
      <c r="N8" t="n">
        <v>464652299.569</v>
      </c>
      <c r="O8" t="n">
        <v>465205715.472</v>
      </c>
      <c r="P8" t="n">
        <v>468138703.783</v>
      </c>
      <c r="Q8" t="n">
        <v>527468115.713</v>
      </c>
      <c r="R8" t="n">
        <v>527054929.185</v>
      </c>
      <c r="S8" t="n">
        <v>571284838.939</v>
      </c>
      <c r="T8" t="n">
        <v>576333502.6900001</v>
      </c>
      <c r="U8" t="n">
        <v>655764055.845</v>
      </c>
      <c r="V8" t="n">
        <v>699694402.646</v>
      </c>
      <c r="W8" t="n">
        <v>608969846.858</v>
      </c>
      <c r="X8" t="n">
        <v>702303929.784</v>
      </c>
      <c r="Y8" t="n">
        <v>717760960.255</v>
      </c>
      <c r="Z8" t="n">
        <v>755179945.788</v>
      </c>
      <c r="AA8" t="n">
        <v>810465676.1950001</v>
      </c>
      <c r="AB8" t="n">
        <v>844776212.29</v>
      </c>
      <c r="AC8" t="n">
        <v>870682278.8660001</v>
      </c>
      <c r="AD8" t="n">
        <v>940976393.01</v>
      </c>
      <c r="AE8" t="n">
        <v>995426167.715</v>
      </c>
      <c r="AF8" t="n">
        <v>1021814469.839</v>
      </c>
      <c r="AG8" t="n">
        <v>985395273.3200001</v>
      </c>
      <c r="AH8" t="n">
        <v>1055688123.159</v>
      </c>
      <c r="AI8" t="n">
        <v>1122616215.793</v>
      </c>
      <c r="AJ8" t="n">
        <v>1138771690.967</v>
      </c>
      <c r="AK8" t="n">
        <v>1229414190.605</v>
      </c>
      <c r="AL8" t="n">
        <v>1212732270.672</v>
      </c>
      <c r="AM8" t="n">
        <v>1302418245.576</v>
      </c>
      <c r="AN8" t="n">
        <v>1392936395.7</v>
      </c>
      <c r="AO8" t="n">
        <v>1358923296.506</v>
      </c>
      <c r="AP8" t="n">
        <v>1445163441.993</v>
      </c>
      <c r="AQ8" t="n">
        <v>1374866434.976</v>
      </c>
      <c r="AR8" t="n">
        <v>1527660069.416</v>
      </c>
      <c r="AS8" t="n">
        <v>1585784707.212</v>
      </c>
      <c r="AT8" t="n">
        <v>1785021604.405</v>
      </c>
      <c r="AU8" t="n">
        <v>1688803186.662</v>
      </c>
      <c r="AV8" t="n">
        <v>1702632144.907</v>
      </c>
      <c r="AW8" t="n">
        <v>1716322279.707</v>
      </c>
      <c r="AX8" t="n">
        <v>1717623552.869</v>
      </c>
      <c r="AY8" t="n">
        <v>1926662991.164</v>
      </c>
      <c r="AZ8" t="n">
        <v>1792825663.906</v>
      </c>
      <c r="BA8" t="n">
        <v>1955764086.257</v>
      </c>
      <c r="BB8" t="n">
        <v>1796508243.84</v>
      </c>
      <c r="BC8" t="n">
        <v>2014485999.586</v>
      </c>
      <c r="BD8" t="n">
        <v>2015783129.67</v>
      </c>
      <c r="BE8" t="n">
        <v>2080976213.49</v>
      </c>
      <c r="BF8" t="n">
        <v>1999218100.141</v>
      </c>
      <c r="BG8" t="n">
        <v>2087302462.11</v>
      </c>
      <c r="BH8" t="n">
        <v>2223117388.823</v>
      </c>
      <c r="BI8" t="n">
        <v>2066808404.2</v>
      </c>
      <c r="BJ8" t="n">
        <v>2145986859.467</v>
      </c>
      <c r="BK8" t="n">
        <v>2065124269.422</v>
      </c>
      <c r="BL8" t="n">
        <v>2096063400.955</v>
      </c>
      <c r="BM8" t="n">
        <v>2051359371.455</v>
      </c>
      <c r="BN8" t="n">
        <v>1916964326.95</v>
      </c>
      <c r="BO8" t="n">
        <v>2095005526.96</v>
      </c>
      <c r="BP8" t="n">
        <v>2184810877.047</v>
      </c>
      <c r="BQ8" t="n">
        <v>2261871824.131</v>
      </c>
      <c r="BR8" t="n">
        <v>2293874036.744</v>
      </c>
      <c r="BS8" t="n">
        <v>2166756533.021</v>
      </c>
      <c r="BT8" t="n">
        <v>2348434942.791</v>
      </c>
    </row>
    <row r="9">
      <c r="A9" t="inlineStr">
        <is>
          <t>SPPR_1986</t>
        </is>
      </c>
      <c r="B9" t="inlineStr">
        <is>
          <t>ok</t>
        </is>
      </c>
      <c r="C9" t="n">
        <v>239117568.733</v>
      </c>
      <c r="D9" t="n">
        <v>233317885.013</v>
      </c>
      <c r="E9" t="n">
        <v>244725458.075</v>
      </c>
      <c r="F9" t="n">
        <v>241765565.085</v>
      </c>
      <c r="G9" t="n">
        <v>252320885.363</v>
      </c>
      <c r="H9" t="n">
        <v>267865460.138</v>
      </c>
      <c r="I9" t="n">
        <v>281277389.934</v>
      </c>
      <c r="J9" t="n">
        <v>265426021.619</v>
      </c>
      <c r="K9" t="n">
        <v>279527921.202</v>
      </c>
      <c r="L9" t="n">
        <v>281571239.666</v>
      </c>
      <c r="M9" t="n">
        <v>298789912.23</v>
      </c>
      <c r="N9" t="n">
        <v>317513855.059</v>
      </c>
      <c r="O9" t="n">
        <v>328667419.916</v>
      </c>
      <c r="P9" t="n">
        <v>341560822.494</v>
      </c>
      <c r="Q9" t="n">
        <v>392533749.694</v>
      </c>
      <c r="R9" t="n">
        <v>392621311.912</v>
      </c>
      <c r="S9" t="n">
        <v>424062837.897</v>
      </c>
      <c r="T9" t="n">
        <v>437914156.057</v>
      </c>
      <c r="U9" t="n">
        <v>466176368.215</v>
      </c>
      <c r="V9" t="n">
        <v>480391736.72</v>
      </c>
      <c r="W9" t="n">
        <v>475062591.714</v>
      </c>
      <c r="X9" t="n">
        <v>530517133.82</v>
      </c>
      <c r="Y9" t="n">
        <v>560418345.397</v>
      </c>
      <c r="Z9" t="n">
        <v>584503044.23</v>
      </c>
      <c r="AA9" t="n">
        <v>631035250.763</v>
      </c>
      <c r="AB9" t="n">
        <v>672725300.721</v>
      </c>
      <c r="AC9" t="n">
        <v>753983328.436</v>
      </c>
      <c r="AD9" t="n">
        <v>779702772.399</v>
      </c>
      <c r="AE9" t="n">
        <v>842089684.666</v>
      </c>
      <c r="AF9" t="n">
        <v>877138232.568</v>
      </c>
      <c r="AG9" t="n">
        <v>875367089.288</v>
      </c>
      <c r="AH9" t="n">
        <v>905132658.844</v>
      </c>
      <c r="AI9" t="n">
        <v>953357682.924</v>
      </c>
      <c r="AJ9" t="n">
        <v>968716307.608</v>
      </c>
      <c r="AK9" t="n">
        <v>978856565.081</v>
      </c>
      <c r="AL9" t="n">
        <v>948930027.245</v>
      </c>
      <c r="AM9" t="n">
        <v>1021635240.799</v>
      </c>
      <c r="AN9" t="n">
        <v>1068981779.203</v>
      </c>
      <c r="AO9" t="n">
        <v>1017559716.704</v>
      </c>
      <c r="AP9" t="n">
        <v>1080056353.223</v>
      </c>
      <c r="AQ9" t="n">
        <v>1098131931.812</v>
      </c>
      <c r="AR9" t="n">
        <v>1174915547.061</v>
      </c>
      <c r="AS9" t="n">
        <v>1232731688.055</v>
      </c>
      <c r="AT9" t="n">
        <v>1309003671.426</v>
      </c>
      <c r="AU9" t="n">
        <v>1268222631.678</v>
      </c>
      <c r="AV9" t="n">
        <v>1324378442.6</v>
      </c>
      <c r="AW9" t="n">
        <v>1346453101.155</v>
      </c>
      <c r="AX9" t="n">
        <v>1368731346.413</v>
      </c>
      <c r="AY9" t="n">
        <v>1425289876.698</v>
      </c>
      <c r="AZ9" t="n">
        <v>1392085893.355</v>
      </c>
      <c r="BA9" t="n">
        <v>1453587666.964</v>
      </c>
      <c r="BB9" t="n">
        <v>1423833063.333</v>
      </c>
      <c r="BC9" t="n">
        <v>1496602473.3</v>
      </c>
      <c r="BD9" t="n">
        <v>1555848427.849</v>
      </c>
      <c r="BE9" t="n">
        <v>1610511555.692</v>
      </c>
      <c r="BF9" t="n">
        <v>1513213137.197</v>
      </c>
      <c r="BG9" t="n">
        <v>1650884860.958</v>
      </c>
      <c r="BH9" t="n">
        <v>1647373360.103</v>
      </c>
      <c r="BI9" t="n">
        <v>1689169146.728</v>
      </c>
      <c r="BJ9" t="n">
        <v>1794788142.837</v>
      </c>
      <c r="BK9" t="n">
        <v>1758949399.662</v>
      </c>
      <c r="BL9" t="n">
        <v>1800562512.749</v>
      </c>
      <c r="BM9" t="n">
        <v>1775683532.842</v>
      </c>
      <c r="BN9" t="n">
        <v>1713889792.488</v>
      </c>
      <c r="BO9" t="n">
        <v>1723681343.221</v>
      </c>
      <c r="BP9" t="n">
        <v>1749988020.467</v>
      </c>
      <c r="BQ9" t="n">
        <v>1809918215.055</v>
      </c>
      <c r="BR9" t="n">
        <v>1830953072.991</v>
      </c>
      <c r="BS9" t="n">
        <v>1697794016.824</v>
      </c>
      <c r="BT9" t="n">
        <v>1853031300.81</v>
      </c>
    </row>
    <row r="10">
      <c r="A10" t="inlineStr">
        <is>
          <t>SPPR_1995_TE0.1</t>
        </is>
      </c>
      <c r="B10" t="inlineStr">
        <is>
          <t>ok</t>
        </is>
      </c>
      <c r="C10" t="n">
        <v>481510652.131</v>
      </c>
      <c r="D10" t="n">
        <v>476588000.266</v>
      </c>
      <c r="E10" t="n">
        <v>522980698.934</v>
      </c>
      <c r="F10" t="n">
        <v>513365772.556</v>
      </c>
      <c r="G10" t="n">
        <v>560398351.909</v>
      </c>
      <c r="H10" t="n">
        <v>636015564.401</v>
      </c>
      <c r="I10" t="n">
        <v>695299848.322</v>
      </c>
      <c r="J10" t="n">
        <v>612857579.247</v>
      </c>
      <c r="K10" t="n">
        <v>635074704.54</v>
      </c>
      <c r="L10" t="n">
        <v>678975982.635</v>
      </c>
      <c r="M10" t="n">
        <v>718916014.576</v>
      </c>
      <c r="N10" t="n">
        <v>782602112.988</v>
      </c>
      <c r="O10" t="n">
        <v>789558055.8279999</v>
      </c>
      <c r="P10" t="n">
        <v>788667541.874</v>
      </c>
      <c r="Q10" t="n">
        <v>891707166.256</v>
      </c>
      <c r="R10" t="n">
        <v>880354786.221</v>
      </c>
      <c r="S10" t="n">
        <v>965289441.594</v>
      </c>
      <c r="T10" t="n">
        <v>966549077.421</v>
      </c>
      <c r="U10" t="n">
        <v>1139755068.676</v>
      </c>
      <c r="V10" t="n">
        <v>1223708852.425</v>
      </c>
      <c r="W10" t="n">
        <v>1028658804.201</v>
      </c>
      <c r="X10" t="n">
        <v>1178568049.24</v>
      </c>
      <c r="Y10" t="n">
        <v>1200642017.487</v>
      </c>
      <c r="Z10" t="n">
        <v>1184353481.853</v>
      </c>
      <c r="AA10" t="n">
        <v>1282441946.759</v>
      </c>
      <c r="AB10" t="n">
        <v>1346085503.024</v>
      </c>
      <c r="AC10" t="n">
        <v>1438993353.569</v>
      </c>
      <c r="AD10" t="n">
        <v>1610067407.842</v>
      </c>
      <c r="AE10" t="n">
        <v>1717495802.352</v>
      </c>
      <c r="AF10" t="n">
        <v>1761852960.463</v>
      </c>
      <c r="AG10" t="n">
        <v>1732577722.912</v>
      </c>
      <c r="AH10" t="n">
        <v>1828068655.846</v>
      </c>
      <c r="AI10" t="n">
        <v>1893355904.642</v>
      </c>
      <c r="AJ10" t="n">
        <v>1964505174.63</v>
      </c>
      <c r="AK10" t="n">
        <v>2175763530.825</v>
      </c>
      <c r="AL10" t="n">
        <v>2171078453.559</v>
      </c>
      <c r="AM10" t="n">
        <v>2344910688.923</v>
      </c>
      <c r="AN10" t="n">
        <v>2487271392.609</v>
      </c>
      <c r="AO10" t="n">
        <v>2456544924.559</v>
      </c>
      <c r="AP10" t="n">
        <v>2602064889.738</v>
      </c>
      <c r="AQ10" t="n">
        <v>2444417999.004</v>
      </c>
      <c r="AR10" t="n">
        <v>2674494662.113</v>
      </c>
      <c r="AS10" t="n">
        <v>2794408541.726</v>
      </c>
      <c r="AT10" t="n">
        <v>3112892238.631</v>
      </c>
      <c r="AU10" t="n">
        <v>2839355279.387</v>
      </c>
      <c r="AV10" t="n">
        <v>2958166860.251</v>
      </c>
      <c r="AW10" t="n">
        <v>3000884164.017</v>
      </c>
      <c r="AX10" t="n">
        <v>3001543324.383</v>
      </c>
      <c r="AY10" t="n">
        <v>3369118234.377</v>
      </c>
      <c r="AZ10" t="n">
        <v>3172812203.735</v>
      </c>
      <c r="BA10" t="n">
        <v>3460361238.562</v>
      </c>
      <c r="BB10" t="n">
        <v>3248356882.018</v>
      </c>
      <c r="BC10" t="n">
        <v>3610309811.306</v>
      </c>
      <c r="BD10" t="n">
        <v>3606299800.799</v>
      </c>
      <c r="BE10" t="n">
        <v>3734721450.016</v>
      </c>
      <c r="BF10" t="n">
        <v>3638522180.691</v>
      </c>
      <c r="BG10" t="n">
        <v>3661825223.036</v>
      </c>
      <c r="BH10" t="n">
        <v>4021330612.688</v>
      </c>
      <c r="BI10" t="n">
        <v>3605981978.367</v>
      </c>
      <c r="BJ10" t="n">
        <v>3765182680.089</v>
      </c>
      <c r="BK10" t="n">
        <v>3661564234.265</v>
      </c>
      <c r="BL10" t="n">
        <v>3710716073.185</v>
      </c>
      <c r="BM10" t="n">
        <v>3698580001.78</v>
      </c>
      <c r="BN10" t="n">
        <v>3406748396.474</v>
      </c>
      <c r="BO10" t="n">
        <v>3706780150.283</v>
      </c>
      <c r="BP10" t="n">
        <v>3845327570.277</v>
      </c>
      <c r="BQ10" t="n">
        <v>4002263380.159</v>
      </c>
      <c r="BR10" t="n">
        <v>4041272299.717</v>
      </c>
      <c r="BS10" t="n">
        <v>3833639137.495</v>
      </c>
      <c r="BT10" t="n">
        <v>4175226097.692</v>
      </c>
    </row>
    <row r="11">
      <c r="A11" t="inlineStr">
        <is>
          <t>SPPR_1995_TEmean</t>
        </is>
      </c>
      <c r="B11" t="inlineStr">
        <is>
          <t>ok</t>
        </is>
      </c>
      <c r="C11" t="n">
        <v>292120551.909</v>
      </c>
      <c r="D11" t="n">
        <v>288782905.204</v>
      </c>
      <c r="E11" t="n">
        <v>316222787.336</v>
      </c>
      <c r="F11" t="n">
        <v>310618509.499</v>
      </c>
      <c r="G11" t="n">
        <v>337562940.322</v>
      </c>
      <c r="H11" t="n">
        <v>378358767.049</v>
      </c>
      <c r="I11" t="n">
        <v>411886521.401</v>
      </c>
      <c r="J11" t="n">
        <v>367587863.167</v>
      </c>
      <c r="K11" t="n">
        <v>381331250.758</v>
      </c>
      <c r="L11" t="n">
        <v>404676780.02</v>
      </c>
      <c r="M11" t="n">
        <v>428725512.588</v>
      </c>
      <c r="N11" t="n">
        <v>466283755.172</v>
      </c>
      <c r="O11" t="n">
        <v>472148999.233</v>
      </c>
      <c r="P11" t="n">
        <v>473641477.21</v>
      </c>
      <c r="Q11" t="n">
        <v>533930748.588</v>
      </c>
      <c r="R11" t="n">
        <v>529733041.951</v>
      </c>
      <c r="S11" t="n">
        <v>578091779.605</v>
      </c>
      <c r="T11" t="n">
        <v>581654383.25</v>
      </c>
      <c r="U11" t="n">
        <v>677655083.4859999</v>
      </c>
      <c r="V11" t="n">
        <v>724505336.66</v>
      </c>
      <c r="W11" t="n">
        <v>622311421.859</v>
      </c>
      <c r="X11" t="n">
        <v>709320931.813</v>
      </c>
      <c r="Y11" t="n">
        <v>726402603.697</v>
      </c>
      <c r="Z11" t="n">
        <v>718916143.209</v>
      </c>
      <c r="AA11" t="n">
        <v>778880891.6900001</v>
      </c>
      <c r="AB11" t="n">
        <v>817504357.682</v>
      </c>
      <c r="AC11" t="n">
        <v>876616485.313</v>
      </c>
      <c r="AD11" t="n">
        <v>977984643.966</v>
      </c>
      <c r="AE11" t="n">
        <v>1042827920.005</v>
      </c>
      <c r="AF11" t="n">
        <v>1071415870.219</v>
      </c>
      <c r="AG11" t="n">
        <v>1054169869.007</v>
      </c>
      <c r="AH11" t="n">
        <v>1109514308.456</v>
      </c>
      <c r="AI11" t="n">
        <v>1149226488.06</v>
      </c>
      <c r="AJ11" t="n">
        <v>1189931894.895</v>
      </c>
      <c r="AK11" t="n">
        <v>1306114564.857</v>
      </c>
      <c r="AL11" t="n">
        <v>1300906871.367</v>
      </c>
      <c r="AM11" t="n">
        <v>1402194493.78</v>
      </c>
      <c r="AN11" t="n">
        <v>1487092093.261</v>
      </c>
      <c r="AO11" t="n">
        <v>1462101187.884</v>
      </c>
      <c r="AP11" t="n">
        <v>1552946299.476</v>
      </c>
      <c r="AQ11" t="n">
        <v>1474266667.881</v>
      </c>
      <c r="AR11" t="n">
        <v>1612029331.203</v>
      </c>
      <c r="AS11" t="n">
        <v>1682267372.361</v>
      </c>
      <c r="AT11" t="n">
        <v>1863885949.738</v>
      </c>
      <c r="AU11" t="n">
        <v>1712961679.676</v>
      </c>
      <c r="AV11" t="n">
        <v>1783256578.162</v>
      </c>
      <c r="AW11" t="n">
        <v>1810143367.097</v>
      </c>
      <c r="AX11" t="n">
        <v>1812161317.942</v>
      </c>
      <c r="AY11" t="n">
        <v>2020623496.337</v>
      </c>
      <c r="AZ11" t="n">
        <v>1908217827.601</v>
      </c>
      <c r="BA11" t="n">
        <v>2075309213.879</v>
      </c>
      <c r="BB11" t="n">
        <v>1956897693.088</v>
      </c>
      <c r="BC11" t="n">
        <v>2164999240.751</v>
      </c>
      <c r="BD11" t="n">
        <v>2171435021.548</v>
      </c>
      <c r="BE11" t="n">
        <v>2246282204.263</v>
      </c>
      <c r="BF11" t="n">
        <v>2176537231.845</v>
      </c>
      <c r="BG11" t="n">
        <v>2207457849</v>
      </c>
      <c r="BH11" t="n">
        <v>2395975665.745</v>
      </c>
      <c r="BI11" t="n">
        <v>2176700441.752</v>
      </c>
      <c r="BJ11" t="n">
        <v>2279966991.834</v>
      </c>
      <c r="BK11" t="n">
        <v>2218996152.543</v>
      </c>
      <c r="BL11" t="n">
        <v>2250287276.788</v>
      </c>
      <c r="BM11" t="n">
        <v>2241856918.159</v>
      </c>
      <c r="BN11" t="n">
        <v>2071612479.908</v>
      </c>
      <c r="BO11" t="n">
        <v>2236925352.313</v>
      </c>
      <c r="BP11" t="n">
        <v>2314636610.956</v>
      </c>
      <c r="BQ11" t="n">
        <v>2410018223.713</v>
      </c>
      <c r="BR11" t="n">
        <v>2435179303.014</v>
      </c>
      <c r="BS11" t="n">
        <v>2306843203.341</v>
      </c>
      <c r="BT11" t="n">
        <v>2510550309.819</v>
      </c>
    </row>
    <row r="12">
      <c r="A12" t="inlineStr">
        <is>
          <t>Ulanowicz_globalTEmean</t>
        </is>
      </c>
      <c r="B12" t="inlineStr">
        <is>
          <t>ok</t>
        </is>
      </c>
      <c r="C12" t="n">
        <v>1263392728.819</v>
      </c>
      <c r="D12" t="n">
        <v>1370931280.345</v>
      </c>
      <c r="E12" t="n">
        <v>1551413454.406</v>
      </c>
      <c r="F12" t="n">
        <v>1398820322.194</v>
      </c>
      <c r="G12" t="n">
        <v>1481717371.018</v>
      </c>
      <c r="H12" t="n">
        <v>1556112983.036</v>
      </c>
      <c r="I12" t="n">
        <v>1677308039.799</v>
      </c>
      <c r="J12" t="n">
        <v>1662279239.548</v>
      </c>
      <c r="K12" t="n">
        <v>1724579422.129</v>
      </c>
      <c r="L12" t="n">
        <v>1815425358.599</v>
      </c>
      <c r="M12" t="n">
        <v>2042942169.142</v>
      </c>
      <c r="N12" t="n">
        <v>2102347255.08</v>
      </c>
      <c r="O12" t="n">
        <v>2184689947</v>
      </c>
      <c r="P12" t="n">
        <v>2154230235.959</v>
      </c>
      <c r="Q12" t="n">
        <v>2284674762.541</v>
      </c>
      <c r="R12" t="n">
        <v>2423097894.296</v>
      </c>
      <c r="S12" t="n">
        <v>2583054208.772</v>
      </c>
      <c r="T12" t="n">
        <v>2436587180.15</v>
      </c>
      <c r="U12" t="n">
        <v>2845657309.858</v>
      </c>
      <c r="V12" t="n">
        <v>3058753343.76</v>
      </c>
      <c r="W12" t="n">
        <v>2745450562.819</v>
      </c>
      <c r="X12" t="n">
        <v>3030891742.859</v>
      </c>
      <c r="Y12" t="n">
        <v>3180346617.44</v>
      </c>
      <c r="Z12" t="n">
        <v>3171872361.697</v>
      </c>
      <c r="AA12" t="n">
        <v>3562879698.784</v>
      </c>
      <c r="AB12" t="n">
        <v>3567626191.842</v>
      </c>
      <c r="AC12" t="n">
        <v>3748962397.015</v>
      </c>
      <c r="AD12" t="n">
        <v>3919722614.793</v>
      </c>
      <c r="AE12" t="n">
        <v>4174450555.905</v>
      </c>
      <c r="AF12" t="n">
        <v>4215012192.307</v>
      </c>
      <c r="AG12" t="n">
        <v>4181250109.617</v>
      </c>
      <c r="AH12" t="n">
        <v>4374669351.705</v>
      </c>
      <c r="AI12" t="n">
        <v>4495020582.908</v>
      </c>
      <c r="AJ12" t="n">
        <v>4641482188.587</v>
      </c>
      <c r="AK12" t="n">
        <v>4974626579.559</v>
      </c>
      <c r="AL12" t="n">
        <v>4880203061.634</v>
      </c>
      <c r="AM12" t="n">
        <v>5223522887.028</v>
      </c>
      <c r="AN12" t="n">
        <v>5639565622.059</v>
      </c>
      <c r="AO12" t="n">
        <v>5495212986.355</v>
      </c>
      <c r="AP12" t="n">
        <v>5886729821.913</v>
      </c>
      <c r="AQ12" t="n">
        <v>5438022984.875</v>
      </c>
      <c r="AR12" t="n">
        <v>5940927566.586</v>
      </c>
      <c r="AS12" t="n">
        <v>6279656712.961</v>
      </c>
      <c r="AT12" t="n">
        <v>6992830574.118</v>
      </c>
      <c r="AU12" t="n">
        <v>6621625828.328</v>
      </c>
      <c r="AV12" t="n">
        <v>6827420514.601</v>
      </c>
      <c r="AW12" t="n">
        <v>6876798179.816</v>
      </c>
      <c r="AX12" t="n">
        <v>7002339155.569</v>
      </c>
      <c r="AY12" t="n">
        <v>7734668048.935</v>
      </c>
      <c r="AZ12" t="n">
        <v>7429325117.341</v>
      </c>
      <c r="BA12" t="n">
        <v>8011299913.376</v>
      </c>
      <c r="BB12" t="n">
        <v>7383926961.034</v>
      </c>
      <c r="BC12" t="n">
        <v>8246589312.817</v>
      </c>
      <c r="BD12" t="n">
        <v>8223899453.261</v>
      </c>
      <c r="BE12" t="n">
        <v>8508842608.757</v>
      </c>
      <c r="BF12" t="n">
        <v>8064855087.933</v>
      </c>
      <c r="BG12" t="n">
        <v>8192947379.65</v>
      </c>
      <c r="BH12" t="n">
        <v>8844655598.761</v>
      </c>
      <c r="BI12" t="n">
        <v>8037872866.273</v>
      </c>
      <c r="BJ12" t="n">
        <v>8373965701.985</v>
      </c>
      <c r="BK12" t="n">
        <v>8152263446.302</v>
      </c>
      <c r="BL12" t="n">
        <v>8301712008.662</v>
      </c>
      <c r="BM12" t="n">
        <v>8277387995.125</v>
      </c>
      <c r="BN12" t="n">
        <v>7579697465.172</v>
      </c>
      <c r="BO12" t="n">
        <v>8360022759.785</v>
      </c>
      <c r="BP12" t="n">
        <v>8592901646.809</v>
      </c>
      <c r="BQ12" t="n">
        <v>8952058846.415001</v>
      </c>
      <c r="BR12" t="n">
        <v>9026349185.568001</v>
      </c>
      <c r="BS12" t="n">
        <v>8532301720.198</v>
      </c>
      <c r="BT12" t="n">
        <v>9290640572.606001</v>
      </c>
    </row>
    <row r="13">
      <c r="A13" t="inlineStr">
        <is>
          <t>Ulanowicz_TE</t>
        </is>
      </c>
      <c r="B13" t="inlineStr">
        <is>
          <t>ok</t>
        </is>
      </c>
      <c r="C13" t="n">
        <v>378790493.9</v>
      </c>
      <c r="D13" t="n">
        <v>410549804.469</v>
      </c>
      <c r="E13" t="n">
        <v>458861138.004</v>
      </c>
      <c r="F13" t="n">
        <v>414998627.978</v>
      </c>
      <c r="G13" t="n">
        <v>436978780.737</v>
      </c>
      <c r="H13" t="n">
        <v>451277422.203</v>
      </c>
      <c r="I13" t="n">
        <v>483536810.421</v>
      </c>
      <c r="J13" t="n">
        <v>486693509.71</v>
      </c>
      <c r="K13" t="n">
        <v>502671130.626</v>
      </c>
      <c r="L13" t="n">
        <v>521964392.655</v>
      </c>
      <c r="M13" t="n">
        <v>588482202.8049999</v>
      </c>
      <c r="N13" t="n">
        <v>606508565.376</v>
      </c>
      <c r="O13" t="n">
        <v>633499398.191</v>
      </c>
      <c r="P13" t="n">
        <v>628290685.334</v>
      </c>
      <c r="Q13" t="n">
        <v>664709871.7359999</v>
      </c>
      <c r="R13" t="n">
        <v>703939408.855</v>
      </c>
      <c r="S13" t="n">
        <v>744099660.864</v>
      </c>
      <c r="T13" t="n">
        <v>712341996.26</v>
      </c>
      <c r="U13" t="n">
        <v>812290054.753</v>
      </c>
      <c r="V13" t="n">
        <v>865626241.278</v>
      </c>
      <c r="W13" t="n">
        <v>806241769.671</v>
      </c>
      <c r="X13" t="n">
        <v>880892926.03</v>
      </c>
      <c r="Y13" t="n">
        <v>934284376.895</v>
      </c>
      <c r="Z13" t="n">
        <v>944564332.5700001</v>
      </c>
      <c r="AA13" t="n">
        <v>1051807177.014</v>
      </c>
      <c r="AB13" t="n">
        <v>1053485477.821</v>
      </c>
      <c r="AC13" t="n">
        <v>1116360640.715</v>
      </c>
      <c r="AD13" t="n">
        <v>1158403528.693</v>
      </c>
      <c r="AE13" t="n">
        <v>1229451293.277</v>
      </c>
      <c r="AF13" t="n">
        <v>1250525682.773</v>
      </c>
      <c r="AG13" t="n">
        <v>1242512195.084</v>
      </c>
      <c r="AH13" t="n">
        <v>1297935331.455</v>
      </c>
      <c r="AI13" t="n">
        <v>1357582778.894</v>
      </c>
      <c r="AJ13" t="n">
        <v>1373459259.641</v>
      </c>
      <c r="AK13" t="n">
        <v>1436717906.192</v>
      </c>
      <c r="AL13" t="n">
        <v>1413758284.22</v>
      </c>
      <c r="AM13" t="n">
        <v>1517419039.65</v>
      </c>
      <c r="AN13" t="n">
        <v>1624518058.342</v>
      </c>
      <c r="AO13" t="n">
        <v>1561142832.553</v>
      </c>
      <c r="AP13" t="n">
        <v>1686111474.159</v>
      </c>
      <c r="AQ13" t="n">
        <v>1584889106.159</v>
      </c>
      <c r="AR13" t="n">
        <v>1732242949.518</v>
      </c>
      <c r="AS13" t="n">
        <v>1828826351.543</v>
      </c>
      <c r="AT13" t="n">
        <v>2023070697.546</v>
      </c>
      <c r="AU13" t="n">
        <v>1946062768.167</v>
      </c>
      <c r="AV13" t="n">
        <v>2009770952.03</v>
      </c>
      <c r="AW13" t="n">
        <v>2023522256.686</v>
      </c>
      <c r="AX13" t="n">
        <v>2063553767.39</v>
      </c>
      <c r="AY13" t="n">
        <v>2245972895.46</v>
      </c>
      <c r="AZ13" t="n">
        <v>2164315631.088</v>
      </c>
      <c r="BA13" t="n">
        <v>2316118511.864</v>
      </c>
      <c r="BB13" t="n">
        <v>2144387437.504</v>
      </c>
      <c r="BC13" t="n">
        <v>2382023754.802</v>
      </c>
      <c r="BD13" t="n">
        <v>2400530559.248</v>
      </c>
      <c r="BE13" t="n">
        <v>2478869791.483</v>
      </c>
      <c r="BF13" t="n">
        <v>2335187379.039</v>
      </c>
      <c r="BG13" t="n">
        <v>2457434219.685</v>
      </c>
      <c r="BH13" t="n">
        <v>2521815101.709</v>
      </c>
      <c r="BI13" t="n">
        <v>2428380116.029</v>
      </c>
      <c r="BJ13" t="n">
        <v>2518161183.079</v>
      </c>
      <c r="BK13" t="n">
        <v>2420445470.95</v>
      </c>
      <c r="BL13" t="n">
        <v>2497122197.326</v>
      </c>
      <c r="BM13" t="n">
        <v>2451687430.959</v>
      </c>
      <c r="BN13" t="n">
        <v>2302121983.368</v>
      </c>
      <c r="BO13" t="n">
        <v>2454556098.064</v>
      </c>
      <c r="BP13" t="n">
        <v>2508567958.388</v>
      </c>
      <c r="BQ13" t="n">
        <v>2608721099.474</v>
      </c>
      <c r="BR13" t="n">
        <v>2632842808.293</v>
      </c>
      <c r="BS13" t="n">
        <v>2473694370.008</v>
      </c>
      <c r="BT13" t="n">
        <v>2682550820.937</v>
      </c>
    </row>
    <row r="14">
      <c r="A14" t="inlineStr">
        <is>
          <t>EwE_TE_noEE</t>
        </is>
      </c>
      <c r="B14" t="inlineStr">
        <is>
          <t>ok</t>
        </is>
      </c>
      <c r="C14" t="n">
        <v>450443680.352</v>
      </c>
      <c r="D14" t="n">
        <v>485654671.329</v>
      </c>
      <c r="E14" t="n">
        <v>541560462.414</v>
      </c>
      <c r="F14" t="n">
        <v>492035751.939</v>
      </c>
      <c r="G14" t="n">
        <v>519084419.12</v>
      </c>
      <c r="H14" t="n">
        <v>537161179.059</v>
      </c>
      <c r="I14" t="n">
        <v>575757276.27</v>
      </c>
      <c r="J14" t="n">
        <v>576587093.036</v>
      </c>
      <c r="K14" t="n">
        <v>595560051.83</v>
      </c>
      <c r="L14" t="n">
        <v>618405995.7460001</v>
      </c>
      <c r="M14" t="n">
        <v>694801214.499</v>
      </c>
      <c r="N14" t="n">
        <v>718725797.2</v>
      </c>
      <c r="O14" t="n">
        <v>750368760.751</v>
      </c>
      <c r="P14" t="n">
        <v>744913527.091</v>
      </c>
      <c r="Q14" t="n">
        <v>789874144.183</v>
      </c>
      <c r="R14" t="n">
        <v>833215670.268</v>
      </c>
      <c r="S14" t="n">
        <v>881372106.247</v>
      </c>
      <c r="T14" t="n">
        <v>848166120.225</v>
      </c>
      <c r="U14" t="n">
        <v>966097133.3150001</v>
      </c>
      <c r="V14" t="n">
        <v>1029876115.152</v>
      </c>
      <c r="W14" t="n">
        <v>959018448.069</v>
      </c>
      <c r="X14" t="n">
        <v>1047947005.295</v>
      </c>
      <c r="Y14" t="n">
        <v>1109968406.508</v>
      </c>
      <c r="Z14" t="n">
        <v>1121955603.061</v>
      </c>
      <c r="AA14" t="n">
        <v>1246541430.176</v>
      </c>
      <c r="AB14" t="n">
        <v>1250382378.418</v>
      </c>
      <c r="AC14" t="n">
        <v>1325497705.888</v>
      </c>
      <c r="AD14" t="n">
        <v>1384003127.606</v>
      </c>
      <c r="AE14" t="n">
        <v>1467198277.977</v>
      </c>
      <c r="AF14" t="n">
        <v>1493890903.551</v>
      </c>
      <c r="AG14" t="n">
        <v>1481798063.544</v>
      </c>
      <c r="AH14" t="n">
        <v>1545699314.473</v>
      </c>
      <c r="AI14" t="n">
        <v>1612508184.755</v>
      </c>
      <c r="AJ14" t="n">
        <v>1634594922.898</v>
      </c>
      <c r="AK14" t="n">
        <v>1715410354.571</v>
      </c>
      <c r="AL14" t="n">
        <v>1688273134.055</v>
      </c>
      <c r="AM14" t="n">
        <v>1810333201.007</v>
      </c>
      <c r="AN14" t="n">
        <v>1939291451.744</v>
      </c>
      <c r="AO14" t="n">
        <v>1866805513.211</v>
      </c>
      <c r="AP14" t="n">
        <v>2016097398.606</v>
      </c>
      <c r="AQ14" t="n">
        <v>1903182000.802</v>
      </c>
      <c r="AR14" t="n">
        <v>2081170124.239</v>
      </c>
      <c r="AS14" t="n">
        <v>2194536939.624</v>
      </c>
      <c r="AT14" t="n">
        <v>2428107577.346</v>
      </c>
      <c r="AU14" t="n">
        <v>2330282942.132</v>
      </c>
      <c r="AV14" t="n">
        <v>2403897288.217</v>
      </c>
      <c r="AW14" t="n">
        <v>2421697301.025</v>
      </c>
      <c r="AX14" t="n">
        <v>2464929052.227</v>
      </c>
      <c r="AY14" t="n">
        <v>2689196315.116</v>
      </c>
      <c r="AZ14" t="n">
        <v>2586546277.232</v>
      </c>
      <c r="BA14" t="n">
        <v>2771780533.119</v>
      </c>
      <c r="BB14" t="n">
        <v>2568398317.911</v>
      </c>
      <c r="BC14" t="n">
        <v>2853631088.86</v>
      </c>
      <c r="BD14" t="n">
        <v>2875416735.754</v>
      </c>
      <c r="BE14" t="n">
        <v>2968188335.051</v>
      </c>
      <c r="BF14" t="n">
        <v>2790826770.533</v>
      </c>
      <c r="BG14" t="n">
        <v>2926878744.012</v>
      </c>
      <c r="BH14" t="n">
        <v>3016148403.763</v>
      </c>
      <c r="BI14" t="n">
        <v>2889947033.429</v>
      </c>
      <c r="BJ14" t="n">
        <v>3005823180.859</v>
      </c>
      <c r="BK14" t="n">
        <v>2897135924.895</v>
      </c>
      <c r="BL14" t="n">
        <v>2982612269.799</v>
      </c>
      <c r="BM14" t="n">
        <v>2935477799.766</v>
      </c>
      <c r="BN14" t="n">
        <v>2748397486.975</v>
      </c>
      <c r="BO14" t="n">
        <v>2931995047.114</v>
      </c>
      <c r="BP14" t="n">
        <v>2994583503.263</v>
      </c>
      <c r="BQ14" t="n">
        <v>3116897141.171</v>
      </c>
      <c r="BR14" t="n">
        <v>3146856533.368</v>
      </c>
      <c r="BS14" t="n">
        <v>2956716351.925</v>
      </c>
      <c r="BT14" t="n">
        <v>3209021226.945</v>
      </c>
    </row>
    <row r="15">
      <c r="A15" t="inlineStr">
        <is>
          <t>EwE_TE_EE</t>
        </is>
      </c>
      <c r="B15" t="inlineStr">
        <is>
          <t>ok</t>
        </is>
      </c>
      <c r="C15" t="n">
        <v>370857568.505</v>
      </c>
      <c r="D15" t="n">
        <v>393874687.067</v>
      </c>
      <c r="E15" t="n">
        <v>440672584.116</v>
      </c>
      <c r="F15" t="n">
        <v>405643390.435</v>
      </c>
      <c r="G15" t="n">
        <v>428112927.006</v>
      </c>
      <c r="H15" t="n">
        <v>446381736.143</v>
      </c>
      <c r="I15" t="n">
        <v>479065045.805</v>
      </c>
      <c r="J15" t="n">
        <v>472338666.466</v>
      </c>
      <c r="K15" t="n">
        <v>490631512.311</v>
      </c>
      <c r="L15" t="n">
        <v>511457255.726</v>
      </c>
      <c r="M15" t="n">
        <v>572258189.0369999</v>
      </c>
      <c r="N15" t="n">
        <v>593604011.773</v>
      </c>
      <c r="O15" t="n">
        <v>614450288.059</v>
      </c>
      <c r="P15" t="n">
        <v>613977277.775</v>
      </c>
      <c r="Q15" t="n">
        <v>653768903.2589999</v>
      </c>
      <c r="R15" t="n">
        <v>691617485.396</v>
      </c>
      <c r="S15" t="n">
        <v>733412039.709</v>
      </c>
      <c r="T15" t="n">
        <v>707055880.3789999</v>
      </c>
      <c r="U15" t="n">
        <v>807582266.324</v>
      </c>
      <c r="V15" t="n">
        <v>862679682.454</v>
      </c>
      <c r="W15" t="n">
        <v>801300271.816</v>
      </c>
      <c r="X15" t="n">
        <v>882134119.052</v>
      </c>
      <c r="Y15" t="n">
        <v>930864042.5140001</v>
      </c>
      <c r="Z15" t="n">
        <v>930909784.255</v>
      </c>
      <c r="AA15" t="n">
        <v>1041416657.093</v>
      </c>
      <c r="AB15" t="n">
        <v>1049827654.117</v>
      </c>
      <c r="AC15" t="n">
        <v>1119436540.729</v>
      </c>
      <c r="AD15" t="n">
        <v>1183403224.059</v>
      </c>
      <c r="AE15" t="n">
        <v>1256414853.286</v>
      </c>
      <c r="AF15" t="n">
        <v>1278495052.358</v>
      </c>
      <c r="AG15" t="n">
        <v>1265685067.904</v>
      </c>
      <c r="AH15" t="n">
        <v>1317095903.056</v>
      </c>
      <c r="AI15" t="n">
        <v>1353969976.474</v>
      </c>
      <c r="AJ15" t="n">
        <v>1397863103.618</v>
      </c>
      <c r="AK15" t="n">
        <v>1480805102.273</v>
      </c>
      <c r="AL15" t="n">
        <v>1450939775.58</v>
      </c>
      <c r="AM15" t="n">
        <v>1545769889.057</v>
      </c>
      <c r="AN15" t="n">
        <v>1665180852.454</v>
      </c>
      <c r="AO15" t="n">
        <v>1610034764.094</v>
      </c>
      <c r="AP15" t="n">
        <v>1727177444.392</v>
      </c>
      <c r="AQ15" t="n">
        <v>1652804225.662</v>
      </c>
      <c r="AR15" t="n">
        <v>1796992488.198</v>
      </c>
      <c r="AS15" t="n">
        <v>1886804431.637</v>
      </c>
      <c r="AT15" t="n">
        <v>2074066992.664</v>
      </c>
      <c r="AU15" t="n">
        <v>1976930720.265</v>
      </c>
      <c r="AV15" t="n">
        <v>2043265328.386</v>
      </c>
      <c r="AW15" t="n">
        <v>2064655259.154</v>
      </c>
      <c r="AX15" t="n">
        <v>2094206495.304</v>
      </c>
      <c r="AY15" t="n">
        <v>2290638459.847</v>
      </c>
      <c r="AZ15" t="n">
        <v>2197894462.905</v>
      </c>
      <c r="BA15" t="n">
        <v>2358061811.771</v>
      </c>
      <c r="BB15" t="n">
        <v>2210982293.835</v>
      </c>
      <c r="BC15" t="n">
        <v>2438544750.992</v>
      </c>
      <c r="BD15" t="n">
        <v>2461680834.084</v>
      </c>
      <c r="BE15" t="n">
        <v>2540789401.261</v>
      </c>
      <c r="BF15" t="n">
        <v>2399928428.178</v>
      </c>
      <c r="BG15" t="n">
        <v>2461603377.952</v>
      </c>
      <c r="BH15" t="n">
        <v>2597242791.238</v>
      </c>
      <c r="BI15" t="n">
        <v>2426733934.328</v>
      </c>
      <c r="BJ15" t="n">
        <v>2555243010.089</v>
      </c>
      <c r="BK15" t="n">
        <v>2497798581.816</v>
      </c>
      <c r="BL15" t="n">
        <v>2540440157.023</v>
      </c>
      <c r="BM15" t="n">
        <v>2530098568.933</v>
      </c>
      <c r="BN15" t="n">
        <v>2335456301.338</v>
      </c>
      <c r="BO15" t="n">
        <v>2503919102.406</v>
      </c>
      <c r="BP15" t="n">
        <v>2566943640.651</v>
      </c>
      <c r="BQ15" t="n">
        <v>2682243241.607</v>
      </c>
      <c r="BR15" t="n">
        <v>2708807944.864</v>
      </c>
      <c r="BS15" t="n">
        <v>2556730823.071</v>
      </c>
      <c r="BT15" t="n">
        <v>2777686507.134</v>
      </c>
    </row>
    <row r="16">
      <c r="A16" t="inlineStr">
        <is>
          <t>SPPR_2015</t>
        </is>
      </c>
      <c r="B16" t="inlineStr">
        <is>
          <t>ok</t>
        </is>
      </c>
      <c r="C16" t="n">
        <v>1525493543.927</v>
      </c>
      <c r="D16" t="n">
        <v>1721363719.586</v>
      </c>
      <c r="E16" t="n">
        <v>1962479918.283</v>
      </c>
      <c r="F16" t="n">
        <v>1705392808.24</v>
      </c>
      <c r="G16" t="n">
        <v>1759446776.253</v>
      </c>
      <c r="H16" t="n">
        <v>1777211863.02</v>
      </c>
      <c r="I16" t="n">
        <v>1888316543.475</v>
      </c>
      <c r="J16" t="n">
        <v>1988269306.906</v>
      </c>
      <c r="K16" t="n">
        <v>2056146448.806</v>
      </c>
      <c r="L16" t="n">
        <v>2143366827.759</v>
      </c>
      <c r="M16" t="n">
        <v>2508484081.166</v>
      </c>
      <c r="N16" t="n">
        <v>2506363898.159</v>
      </c>
      <c r="O16" t="n">
        <v>2630686863.482</v>
      </c>
      <c r="P16" t="n">
        <v>2593219956.178</v>
      </c>
      <c r="Q16" t="n">
        <v>2668107314.627</v>
      </c>
      <c r="R16" t="n">
        <v>2937375249.874</v>
      </c>
      <c r="S16" t="n">
        <v>3071125115.109</v>
      </c>
      <c r="T16" t="n">
        <v>2805193285.113</v>
      </c>
      <c r="U16" t="n">
        <v>3230215203.704</v>
      </c>
      <c r="V16" t="n">
        <v>3469213071.228</v>
      </c>
      <c r="W16" t="n">
        <v>3314715416.613</v>
      </c>
      <c r="X16" t="n">
        <v>3579521843.483</v>
      </c>
      <c r="Y16" t="n">
        <v>3858097981.122</v>
      </c>
      <c r="Z16" t="n">
        <v>3867955986.438</v>
      </c>
      <c r="AA16" t="n">
        <v>4444201223.534</v>
      </c>
      <c r="AB16" t="n">
        <v>4351853568.208</v>
      </c>
      <c r="AC16" t="n">
        <v>4540010599.443</v>
      </c>
      <c r="AD16" t="n">
        <v>4588825180.832</v>
      </c>
      <c r="AE16" t="n">
        <v>4841641847.58</v>
      </c>
      <c r="AF16" t="n">
        <v>4865289357.126</v>
      </c>
      <c r="AG16" t="n">
        <v>4854401187.181</v>
      </c>
      <c r="AH16" t="n">
        <v>5037674281.159</v>
      </c>
      <c r="AI16" t="n">
        <v>5171654849.868</v>
      </c>
      <c r="AJ16" t="n">
        <v>5302095043.814</v>
      </c>
      <c r="AK16" t="n">
        <v>5472598035.615</v>
      </c>
      <c r="AL16" t="n">
        <v>5299524372.013</v>
      </c>
      <c r="AM16" t="n">
        <v>5652662536.001</v>
      </c>
      <c r="AN16" t="n">
        <v>6161241615.833</v>
      </c>
      <c r="AO16" t="n">
        <v>5888947804.057</v>
      </c>
      <c r="AP16" t="n">
        <v>6376502177.471</v>
      </c>
      <c r="AQ16" t="n">
        <v>5967523787.85</v>
      </c>
      <c r="AR16" t="n">
        <v>6509183635.824</v>
      </c>
      <c r="AS16" t="n">
        <v>6956894066.744</v>
      </c>
      <c r="AT16" t="n">
        <v>7644684568.502</v>
      </c>
      <c r="AU16" t="n">
        <v>7415885692.741</v>
      </c>
      <c r="AV16" t="n">
        <v>7649129245.715</v>
      </c>
      <c r="AW16" t="n">
        <v>7689350677.73</v>
      </c>
      <c r="AX16" t="n">
        <v>7911505654.719</v>
      </c>
      <c r="AY16" t="n">
        <v>8568678004.416</v>
      </c>
      <c r="AZ16" t="n">
        <v>8323429754.998</v>
      </c>
      <c r="BA16" t="n">
        <v>8885367181.33</v>
      </c>
      <c r="BB16" t="n">
        <v>8224441768.819</v>
      </c>
      <c r="BC16" t="n">
        <v>9123977432.517</v>
      </c>
      <c r="BD16" t="n">
        <v>9198701383.204</v>
      </c>
      <c r="BE16" t="n">
        <v>9519326753.511999</v>
      </c>
      <c r="BF16" t="n">
        <v>8827847554.861</v>
      </c>
      <c r="BG16" t="n">
        <v>9093683530.438999</v>
      </c>
      <c r="BH16" t="n">
        <v>9447304842.247</v>
      </c>
      <c r="BI16" t="n">
        <v>8895350639.900999</v>
      </c>
      <c r="BJ16" t="n">
        <v>9228764770.243999</v>
      </c>
      <c r="BK16" t="n">
        <v>8982259197.059999</v>
      </c>
      <c r="BL16" t="n">
        <v>9203658153.563999</v>
      </c>
      <c r="BM16" t="n">
        <v>9118685348.101</v>
      </c>
      <c r="BN16" t="n">
        <v>8428887170.945</v>
      </c>
      <c r="BO16" t="n">
        <v>9098863141.784</v>
      </c>
      <c r="BP16" t="n">
        <v>9243997803.101</v>
      </c>
      <c r="BQ16" t="n">
        <v>9644581604.934999</v>
      </c>
      <c r="BR16" t="n">
        <v>9708035310.431</v>
      </c>
      <c r="BS16" t="n">
        <v>9134137707.363001</v>
      </c>
      <c r="BT16" t="n">
        <v>9920499909.792999</v>
      </c>
    </row>
    <row r="17">
      <c r="A17" t="inlineStr">
        <is>
          <t>new_TE_noEEfix</t>
        </is>
      </c>
      <c r="B17" t="inlineStr">
        <is>
          <t>ok</t>
        </is>
      </c>
      <c r="C17" t="n">
        <v>1525493543.927</v>
      </c>
      <c r="D17" t="n">
        <v>1721363719.586</v>
      </c>
      <c r="E17" t="n">
        <v>1962479918.283</v>
      </c>
      <c r="F17" t="n">
        <v>1705392808.24</v>
      </c>
      <c r="G17" t="n">
        <v>1759446776.253</v>
      </c>
      <c r="H17" t="n">
        <v>1777211863.02</v>
      </c>
      <c r="I17" t="n">
        <v>1888316543.475</v>
      </c>
      <c r="J17" t="n">
        <v>1988269306.906</v>
      </c>
      <c r="K17" t="n">
        <v>2056146448.806</v>
      </c>
      <c r="L17" t="n">
        <v>2143366827.759</v>
      </c>
      <c r="M17" t="n">
        <v>2508484081.166</v>
      </c>
      <c r="N17" t="n">
        <v>2506363898.159</v>
      </c>
      <c r="O17" t="n">
        <v>2630686863.482</v>
      </c>
      <c r="P17" t="n">
        <v>2593219956.178</v>
      </c>
      <c r="Q17" t="n">
        <v>2668107314.627</v>
      </c>
      <c r="R17" t="n">
        <v>2937375249.874</v>
      </c>
      <c r="S17" t="n">
        <v>3071125115.109</v>
      </c>
      <c r="T17" t="n">
        <v>2805193285.113</v>
      </c>
      <c r="U17" t="n">
        <v>3230215203.704</v>
      </c>
      <c r="V17" t="n">
        <v>3469213071.228</v>
      </c>
      <c r="W17" t="n">
        <v>3314715416.613</v>
      </c>
      <c r="X17" t="n">
        <v>3579521843.483</v>
      </c>
      <c r="Y17" t="n">
        <v>3858097981.122</v>
      </c>
      <c r="Z17" t="n">
        <v>3867955986.438</v>
      </c>
      <c r="AA17" t="n">
        <v>4444201223.534</v>
      </c>
      <c r="AB17" t="n">
        <v>4351853568.208</v>
      </c>
      <c r="AC17" t="n">
        <v>4540010599.443</v>
      </c>
      <c r="AD17" t="n">
        <v>4588825180.832</v>
      </c>
      <c r="AE17" t="n">
        <v>4841641847.58</v>
      </c>
      <c r="AF17" t="n">
        <v>4865289357.126</v>
      </c>
      <c r="AG17" t="n">
        <v>4854401187.181</v>
      </c>
      <c r="AH17" t="n">
        <v>5037674281.159</v>
      </c>
      <c r="AI17" t="n">
        <v>5171654849.868</v>
      </c>
      <c r="AJ17" t="n">
        <v>5302095043.814</v>
      </c>
      <c r="AK17" t="n">
        <v>5472598035.615</v>
      </c>
      <c r="AL17" t="n">
        <v>5299524372.013</v>
      </c>
      <c r="AM17" t="n">
        <v>5652662536.001</v>
      </c>
      <c r="AN17" t="n">
        <v>6161241615.833</v>
      </c>
      <c r="AO17" t="n">
        <v>5888947804.057</v>
      </c>
      <c r="AP17" t="n">
        <v>6376502177.471</v>
      </c>
      <c r="AQ17" t="n">
        <v>5967523787.85</v>
      </c>
      <c r="AR17" t="n">
        <v>6509183635.824</v>
      </c>
      <c r="AS17" t="n">
        <v>6956894066.744</v>
      </c>
      <c r="AT17" t="n">
        <v>7644684568.502</v>
      </c>
      <c r="AU17" t="n">
        <v>7415885692.741</v>
      </c>
      <c r="AV17" t="n">
        <v>7649129245.715</v>
      </c>
      <c r="AW17" t="n">
        <v>7689350677.73</v>
      </c>
      <c r="AX17" t="n">
        <v>7911505654.719</v>
      </c>
      <c r="AY17" t="n">
        <v>8568678004.416</v>
      </c>
      <c r="AZ17" t="n">
        <v>8323429754.998</v>
      </c>
      <c r="BA17" t="n">
        <v>8885367181.33</v>
      </c>
      <c r="BB17" t="n">
        <v>8224441768.819</v>
      </c>
      <c r="BC17" t="n">
        <v>9123977432.517</v>
      </c>
      <c r="BD17" t="n">
        <v>9198701383.204</v>
      </c>
      <c r="BE17" t="n">
        <v>9519326753.511999</v>
      </c>
      <c r="BF17" t="n">
        <v>8827847554.861</v>
      </c>
      <c r="BG17" t="n">
        <v>9093683530.438999</v>
      </c>
      <c r="BH17" t="n">
        <v>9447304842.247</v>
      </c>
      <c r="BI17" t="n">
        <v>8895350639.900999</v>
      </c>
      <c r="BJ17" t="n">
        <v>9228764770.243999</v>
      </c>
      <c r="BK17" t="n">
        <v>8982259197.059999</v>
      </c>
      <c r="BL17" t="n">
        <v>9203658153.563999</v>
      </c>
      <c r="BM17" t="n">
        <v>9118685348.101</v>
      </c>
      <c r="BN17" t="n">
        <v>8428887170.945</v>
      </c>
      <c r="BO17" t="n">
        <v>9098863141.784</v>
      </c>
      <c r="BP17" t="n">
        <v>9243997803.101</v>
      </c>
      <c r="BQ17" t="n">
        <v>9644581604.934999</v>
      </c>
      <c r="BR17" t="n">
        <v>9708035310.431</v>
      </c>
      <c r="BS17" t="n">
        <v>9134137707.363001</v>
      </c>
      <c r="BT17" t="n">
        <v>9920499909.792999</v>
      </c>
    </row>
    <row r="18">
      <c r="A18" t="inlineStr">
        <is>
          <t>new_TE_EEfix</t>
        </is>
      </c>
      <c r="B18" t="inlineStr">
        <is>
          <t>ok</t>
        </is>
      </c>
      <c r="C18" t="n">
        <v>1525493543.927</v>
      </c>
      <c r="D18" t="n">
        <v>1721363719.586</v>
      </c>
      <c r="E18" t="n">
        <v>1962479918.283</v>
      </c>
      <c r="F18" t="n">
        <v>1705392808.24</v>
      </c>
      <c r="G18" t="n">
        <v>1759446776.253</v>
      </c>
      <c r="H18" t="n">
        <v>1777211863.02</v>
      </c>
      <c r="I18" t="n">
        <v>1888316543.475</v>
      </c>
      <c r="J18" t="n">
        <v>1988269306.906</v>
      </c>
      <c r="K18" t="n">
        <v>2056146448.806</v>
      </c>
      <c r="L18" t="n">
        <v>2143366827.759</v>
      </c>
      <c r="M18" t="n">
        <v>2508484081.166</v>
      </c>
      <c r="N18" t="n">
        <v>2506363898.159</v>
      </c>
      <c r="O18" t="n">
        <v>2630686863.482</v>
      </c>
      <c r="P18" t="n">
        <v>2593219956.178</v>
      </c>
      <c r="Q18" t="n">
        <v>2668107314.627</v>
      </c>
      <c r="R18" t="n">
        <v>2937375249.874</v>
      </c>
      <c r="S18" t="n">
        <v>3071125115.109</v>
      </c>
      <c r="T18" t="n">
        <v>2805193285.113</v>
      </c>
      <c r="U18" t="n">
        <v>3230215203.704</v>
      </c>
      <c r="V18" t="n">
        <v>3469213071.228</v>
      </c>
      <c r="W18" t="n">
        <v>3314715416.613</v>
      </c>
      <c r="X18" t="n">
        <v>3579521843.483</v>
      </c>
      <c r="Y18" t="n">
        <v>3858097981.122</v>
      </c>
      <c r="Z18" t="n">
        <v>3867955986.438</v>
      </c>
      <c r="AA18" t="n">
        <v>4444201223.534</v>
      </c>
      <c r="AB18" t="n">
        <v>4351853568.208</v>
      </c>
      <c r="AC18" t="n">
        <v>4540010599.443</v>
      </c>
      <c r="AD18" t="n">
        <v>4588825180.832</v>
      </c>
      <c r="AE18" t="n">
        <v>4841641847.58</v>
      </c>
      <c r="AF18" t="n">
        <v>4865289357.126</v>
      </c>
      <c r="AG18" t="n">
        <v>4854401187.181</v>
      </c>
      <c r="AH18" t="n">
        <v>5037674281.159</v>
      </c>
      <c r="AI18" t="n">
        <v>5171654849.868</v>
      </c>
      <c r="AJ18" t="n">
        <v>5302095043.814</v>
      </c>
      <c r="AK18" t="n">
        <v>5472598035.615</v>
      </c>
      <c r="AL18" t="n">
        <v>5299524372.013</v>
      </c>
      <c r="AM18" t="n">
        <v>5652662536.001</v>
      </c>
      <c r="AN18" t="n">
        <v>6161241615.833</v>
      </c>
      <c r="AO18" t="n">
        <v>5888947804.057</v>
      </c>
      <c r="AP18" t="n">
        <v>6376502177.471</v>
      </c>
      <c r="AQ18" t="n">
        <v>5967523787.85</v>
      </c>
      <c r="AR18" t="n">
        <v>6509183635.824</v>
      </c>
      <c r="AS18" t="n">
        <v>6956894066.744</v>
      </c>
      <c r="AT18" t="n">
        <v>7644684568.502</v>
      </c>
      <c r="AU18" t="n">
        <v>7415885692.741</v>
      </c>
      <c r="AV18" t="n">
        <v>7649129245.715</v>
      </c>
      <c r="AW18" t="n">
        <v>7689350677.73</v>
      </c>
      <c r="AX18" t="n">
        <v>7911505654.719</v>
      </c>
      <c r="AY18" t="n">
        <v>8568678004.416</v>
      </c>
      <c r="AZ18" t="n">
        <v>8323429754.998</v>
      </c>
      <c r="BA18" t="n">
        <v>8885367181.33</v>
      </c>
      <c r="BB18" t="n">
        <v>8224441768.819</v>
      </c>
      <c r="BC18" t="n">
        <v>9123977432.517</v>
      </c>
      <c r="BD18" t="n">
        <v>9198701383.204</v>
      </c>
      <c r="BE18" t="n">
        <v>9519326753.511999</v>
      </c>
      <c r="BF18" t="n">
        <v>8827847554.861</v>
      </c>
      <c r="BG18" t="n">
        <v>9093683530.438999</v>
      </c>
      <c r="BH18" t="n">
        <v>9447304842.247</v>
      </c>
      <c r="BI18" t="n">
        <v>8895350639.900999</v>
      </c>
      <c r="BJ18" t="n">
        <v>9228764770.243999</v>
      </c>
      <c r="BK18" t="n">
        <v>8982259197.059999</v>
      </c>
      <c r="BL18" t="n">
        <v>9203658153.563999</v>
      </c>
      <c r="BM18" t="n">
        <v>9118685348.101</v>
      </c>
      <c r="BN18" t="n">
        <v>8428887170.945</v>
      </c>
      <c r="BO18" t="n">
        <v>9098863141.784</v>
      </c>
      <c r="BP18" t="n">
        <v>9243997803.101</v>
      </c>
      <c r="BQ18" t="n">
        <v>9644581604.934999</v>
      </c>
      <c r="BR18" t="n">
        <v>9708035310.431</v>
      </c>
      <c r="BS18" t="n">
        <v>9134137707.363001</v>
      </c>
      <c r="BT18" t="n">
        <v>9920499909.792999</v>
      </c>
    </row>
    <row r="19">
      <c r="A19" t="inlineStr">
        <is>
          <t>new_GE</t>
        </is>
      </c>
      <c r="B19" t="inlineStr">
        <is>
          <t>ok</t>
        </is>
      </c>
      <c r="C19" t="n">
        <v>950863882.229</v>
      </c>
      <c r="D19" t="n">
        <v>1029024696.979</v>
      </c>
      <c r="E19" t="n">
        <v>1164354960.013</v>
      </c>
      <c r="F19" t="n">
        <v>1050833461.871</v>
      </c>
      <c r="G19" t="n">
        <v>1093614361.931</v>
      </c>
      <c r="H19" t="n">
        <v>1122383236.188</v>
      </c>
      <c r="I19" t="n">
        <v>1195858703.764</v>
      </c>
      <c r="J19" t="n">
        <v>1215003513.066</v>
      </c>
      <c r="K19" t="n">
        <v>1261205746.386</v>
      </c>
      <c r="L19" t="n">
        <v>1313229733.313</v>
      </c>
      <c r="M19" t="n">
        <v>1497993449.964</v>
      </c>
      <c r="N19" t="n">
        <v>1527908140.824</v>
      </c>
      <c r="O19" t="n">
        <v>1587659479.412</v>
      </c>
      <c r="P19" t="n">
        <v>1583472974.782</v>
      </c>
      <c r="Q19" t="n">
        <v>1661221629.354</v>
      </c>
      <c r="R19" t="n">
        <v>1797835817.987</v>
      </c>
      <c r="S19" t="n">
        <v>1890420351.902</v>
      </c>
      <c r="T19" t="n">
        <v>1781149782.978</v>
      </c>
      <c r="U19" t="n">
        <v>2033052795.972</v>
      </c>
      <c r="V19" t="n">
        <v>2172574012.322</v>
      </c>
      <c r="W19" t="n">
        <v>2065230697.899</v>
      </c>
      <c r="X19" t="n">
        <v>2256567006.611</v>
      </c>
      <c r="Y19" t="n">
        <v>2408977954.722</v>
      </c>
      <c r="Z19" t="n">
        <v>2397125143.856</v>
      </c>
      <c r="AA19" t="n">
        <v>2725149708.499</v>
      </c>
      <c r="AB19" t="n">
        <v>2720258740.346</v>
      </c>
      <c r="AC19" t="n">
        <v>2880688045.759</v>
      </c>
      <c r="AD19" t="n">
        <v>3002470081.887</v>
      </c>
      <c r="AE19" t="n">
        <v>3179185675.791</v>
      </c>
      <c r="AF19" t="n">
        <v>3219681933.769</v>
      </c>
      <c r="AG19" t="n">
        <v>3199078919.766</v>
      </c>
      <c r="AH19" t="n">
        <v>3325408306.277</v>
      </c>
      <c r="AI19" t="n">
        <v>3406744757.948</v>
      </c>
      <c r="AJ19" t="n">
        <v>3524341225.521</v>
      </c>
      <c r="AK19" t="n">
        <v>3678871555.158</v>
      </c>
      <c r="AL19" t="n">
        <v>3585025489.893</v>
      </c>
      <c r="AM19" t="n">
        <v>3815439179.797</v>
      </c>
      <c r="AN19" t="n">
        <v>4133386732.004</v>
      </c>
      <c r="AO19" t="n">
        <v>3965955563.099</v>
      </c>
      <c r="AP19" t="n">
        <v>4266456333.938</v>
      </c>
      <c r="AQ19" t="n">
        <v>4085517232.845</v>
      </c>
      <c r="AR19" t="n">
        <v>4436120722.912</v>
      </c>
      <c r="AS19" t="n">
        <v>4684713955.019</v>
      </c>
      <c r="AT19" t="n">
        <v>5110130515.306</v>
      </c>
      <c r="AU19" t="n">
        <v>4901854938.464</v>
      </c>
      <c r="AV19" t="n">
        <v>5076932942.952</v>
      </c>
      <c r="AW19" t="n">
        <v>5124727138.965</v>
      </c>
      <c r="AX19" t="n">
        <v>5226876198.936</v>
      </c>
      <c r="AY19" t="n">
        <v>5674195494.085</v>
      </c>
      <c r="AZ19" t="n">
        <v>5472096452.216</v>
      </c>
      <c r="BA19" t="n">
        <v>5857418253.057</v>
      </c>
      <c r="BB19" t="n">
        <v>5519235068.345</v>
      </c>
      <c r="BC19" t="n">
        <v>6058862788.178</v>
      </c>
      <c r="BD19" t="n">
        <v>6141259070.754</v>
      </c>
      <c r="BE19" t="n">
        <v>6339158332.986</v>
      </c>
      <c r="BF19" t="n">
        <v>5962364420.419</v>
      </c>
      <c r="BG19" t="n">
        <v>6113252140.744</v>
      </c>
      <c r="BH19" t="n">
        <v>6398425311.855</v>
      </c>
      <c r="BI19" t="n">
        <v>6003494230.254</v>
      </c>
      <c r="BJ19" t="n">
        <v>6300868251.773</v>
      </c>
      <c r="BK19" t="n">
        <v>6163968322.223</v>
      </c>
      <c r="BL19" t="n">
        <v>6269891450.427</v>
      </c>
      <c r="BM19" t="n">
        <v>6245959623.35</v>
      </c>
      <c r="BN19" t="n">
        <v>5764766755.592</v>
      </c>
      <c r="BO19" t="n">
        <v>6178453802.673</v>
      </c>
      <c r="BP19" t="n">
        <v>6308614935.326</v>
      </c>
      <c r="BQ19" t="n">
        <v>6592318251.416</v>
      </c>
      <c r="BR19" t="n">
        <v>6646275882.317</v>
      </c>
      <c r="BS19" t="n">
        <v>6277418915.85</v>
      </c>
      <c r="BT19" t="n">
        <v>6810328374.329</v>
      </c>
    </row>
    <row r="20">
      <c r="A20" t="inlineStr">
        <is>
          <t>new_WithEgestion</t>
        </is>
      </c>
      <c r="B20" t="inlineStr">
        <is>
          <t>ok</t>
        </is>
      </c>
      <c r="C20" t="n">
        <v>267915596.377</v>
      </c>
      <c r="D20" t="n">
        <v>280616384.86</v>
      </c>
      <c r="E20" t="n">
        <v>312656997.986</v>
      </c>
      <c r="F20" t="n">
        <v>291088982.992</v>
      </c>
      <c r="G20" t="n">
        <v>305050432.719</v>
      </c>
      <c r="H20" t="n">
        <v>316371245.63</v>
      </c>
      <c r="I20" t="n">
        <v>337392406.682</v>
      </c>
      <c r="J20" t="n">
        <v>334120005.614</v>
      </c>
      <c r="K20" t="n">
        <v>346850153.432</v>
      </c>
      <c r="L20" t="n">
        <v>359181006.441</v>
      </c>
      <c r="M20" t="n">
        <v>400456800.599</v>
      </c>
      <c r="N20" t="n">
        <v>416268673.586</v>
      </c>
      <c r="O20" t="n">
        <v>430973287.639</v>
      </c>
      <c r="P20" t="n">
        <v>434077184.753</v>
      </c>
      <c r="Q20" t="n">
        <v>464944775.06</v>
      </c>
      <c r="R20" t="n">
        <v>491931026.543</v>
      </c>
      <c r="S20" t="n">
        <v>519691625.958</v>
      </c>
      <c r="T20" t="n">
        <v>506201460.37</v>
      </c>
      <c r="U20" t="n">
        <v>569137950.972</v>
      </c>
      <c r="V20" t="n">
        <v>603551589.515</v>
      </c>
      <c r="W20" t="n">
        <v>575388607.767</v>
      </c>
      <c r="X20" t="n">
        <v>632889524.626</v>
      </c>
      <c r="Y20" t="n">
        <v>672405407.5420001</v>
      </c>
      <c r="Z20" t="n">
        <v>672401869.191</v>
      </c>
      <c r="AA20" t="n">
        <v>751795322.355</v>
      </c>
      <c r="AB20" t="n">
        <v>763043390.342</v>
      </c>
      <c r="AC20" t="n">
        <v>817822151.158</v>
      </c>
      <c r="AD20" t="n">
        <v>866607974.173</v>
      </c>
      <c r="AE20" t="n">
        <v>919897670.745</v>
      </c>
      <c r="AF20" t="n">
        <v>938889466.184</v>
      </c>
      <c r="AG20" t="n">
        <v>931232177.865</v>
      </c>
      <c r="AH20" t="n">
        <v>967356202.3150001</v>
      </c>
      <c r="AI20" t="n">
        <v>993229393.681</v>
      </c>
      <c r="AJ20" t="n">
        <v>1025805855.73</v>
      </c>
      <c r="AK20" t="n">
        <v>1073340415.801</v>
      </c>
      <c r="AL20" t="n">
        <v>1050367492.105</v>
      </c>
      <c r="AM20" t="n">
        <v>1117280399.561</v>
      </c>
      <c r="AN20" t="n">
        <v>1200836655.3</v>
      </c>
      <c r="AO20" t="n">
        <v>1153980568.657</v>
      </c>
      <c r="AP20" t="n">
        <v>1239856944.256</v>
      </c>
      <c r="AQ20" t="n">
        <v>1207053135.58</v>
      </c>
      <c r="AR20" t="n">
        <v>1309370867.616</v>
      </c>
      <c r="AS20" t="n">
        <v>1373303429.687</v>
      </c>
      <c r="AT20" t="n">
        <v>1492228005.683</v>
      </c>
      <c r="AU20" t="n">
        <v>1427107311.108</v>
      </c>
      <c r="AV20" t="n">
        <v>1480175423.532</v>
      </c>
      <c r="AW20" t="n">
        <v>1496674013.528</v>
      </c>
      <c r="AX20" t="n">
        <v>1517915904.125</v>
      </c>
      <c r="AY20" t="n">
        <v>1645401680.901</v>
      </c>
      <c r="AZ20" t="n">
        <v>1582912860.112</v>
      </c>
      <c r="BA20" t="n">
        <v>1692623850.885</v>
      </c>
      <c r="BB20" t="n">
        <v>1609581115.332</v>
      </c>
      <c r="BC20" t="n">
        <v>1756317855.386</v>
      </c>
      <c r="BD20" t="n">
        <v>1790337634.402</v>
      </c>
      <c r="BE20" t="n">
        <v>1843864534.429</v>
      </c>
      <c r="BF20" t="n">
        <v>1739444710.42</v>
      </c>
      <c r="BG20" t="n">
        <v>1795273493.757</v>
      </c>
      <c r="BH20" t="n">
        <v>1868946070.713</v>
      </c>
      <c r="BI20" t="n">
        <v>1770953177.456</v>
      </c>
      <c r="BJ20" t="n">
        <v>1871724495.884</v>
      </c>
      <c r="BK20" t="n">
        <v>1834822722.819</v>
      </c>
      <c r="BL20" t="n">
        <v>1861893459.549</v>
      </c>
      <c r="BM20" t="n">
        <v>1855210332.906</v>
      </c>
      <c r="BN20" t="n">
        <v>1718965826.44</v>
      </c>
      <c r="BO20" t="n">
        <v>1822734196.571</v>
      </c>
      <c r="BP20" t="n">
        <v>1859153526.496</v>
      </c>
      <c r="BQ20" t="n">
        <v>1943090515.428</v>
      </c>
      <c r="BR20" t="n">
        <v>1961244261.801</v>
      </c>
      <c r="BS20" t="n">
        <v>1850467876.963</v>
      </c>
      <c r="BT20" t="n">
        <v>2009514829.738</v>
      </c>
    </row>
    <row r="21">
      <c r="A21" t="inlineStr">
        <is>
          <t>sym_TE_asPP</t>
        </is>
      </c>
      <c r="B21" t="inlineStr">
        <is>
          <t>ok</t>
        </is>
      </c>
      <c r="C21" t="n">
        <v>1525493543.927</v>
      </c>
      <c r="D21" t="n">
        <v>1721363719.586</v>
      </c>
      <c r="E21" t="n">
        <v>1962479918.283</v>
      </c>
      <c r="F21" t="n">
        <v>1705392808.24</v>
      </c>
      <c r="G21" t="n">
        <v>1759446776.253</v>
      </c>
      <c r="H21" t="n">
        <v>1777211863.02</v>
      </c>
      <c r="I21" t="n">
        <v>1888316543.475</v>
      </c>
      <c r="J21" t="n">
        <v>1988269306.906</v>
      </c>
      <c r="K21" t="n">
        <v>2056146448.806</v>
      </c>
      <c r="L21" t="n">
        <v>2143366827.759</v>
      </c>
      <c r="M21" t="n">
        <v>2508484081.166</v>
      </c>
      <c r="N21" t="n">
        <v>2506363898.159</v>
      </c>
      <c r="O21" t="n">
        <v>2630686863.482</v>
      </c>
      <c r="P21" t="n">
        <v>2593219956.178</v>
      </c>
      <c r="Q21" t="n">
        <v>2668107314.627</v>
      </c>
      <c r="R21" t="n">
        <v>2937375249.874</v>
      </c>
      <c r="S21" t="n">
        <v>3071125115.109</v>
      </c>
      <c r="T21" t="n">
        <v>2805193285.113</v>
      </c>
      <c r="U21" t="n">
        <v>3230215203.704</v>
      </c>
      <c r="V21" t="n">
        <v>3469213071.228</v>
      </c>
      <c r="W21" t="n">
        <v>3314715416.613</v>
      </c>
      <c r="X21" t="n">
        <v>3579521843.483</v>
      </c>
      <c r="Y21" t="n">
        <v>3858097981.122</v>
      </c>
      <c r="Z21" t="n">
        <v>3867955986.438</v>
      </c>
      <c r="AA21" t="n">
        <v>4444201223.534</v>
      </c>
      <c r="AB21" t="n">
        <v>4351853568.208</v>
      </c>
      <c r="AC21" t="n">
        <v>4540010599.443</v>
      </c>
      <c r="AD21" t="n">
        <v>4588825180.832</v>
      </c>
      <c r="AE21" t="n">
        <v>4841641847.58</v>
      </c>
      <c r="AF21" t="n">
        <v>4865289357.126</v>
      </c>
      <c r="AG21" t="n">
        <v>4854401187.181</v>
      </c>
      <c r="AH21" t="n">
        <v>5037674281.159</v>
      </c>
      <c r="AI21" t="n">
        <v>5171654849.868</v>
      </c>
      <c r="AJ21" t="n">
        <v>5302095043.814</v>
      </c>
      <c r="AK21" t="n">
        <v>5472598035.615</v>
      </c>
      <c r="AL21" t="n">
        <v>5299524372.013</v>
      </c>
      <c r="AM21" t="n">
        <v>5652662536.001</v>
      </c>
      <c r="AN21" t="n">
        <v>6161241615.833</v>
      </c>
      <c r="AO21" t="n">
        <v>5888947804.057</v>
      </c>
      <c r="AP21" t="n">
        <v>6376502177.471</v>
      </c>
      <c r="AQ21" t="n">
        <v>5967523787.85</v>
      </c>
      <c r="AR21" t="n">
        <v>6509183635.824</v>
      </c>
      <c r="AS21" t="n">
        <v>6956894066.744</v>
      </c>
      <c r="AT21" t="n">
        <v>7644684568.502</v>
      </c>
      <c r="AU21" t="n">
        <v>7415885692.741</v>
      </c>
      <c r="AV21" t="n">
        <v>7649129245.715</v>
      </c>
      <c r="AW21" t="n">
        <v>7689350677.73</v>
      </c>
      <c r="AX21" t="n">
        <v>7911505654.719</v>
      </c>
      <c r="AY21" t="n">
        <v>8568678004.416</v>
      </c>
      <c r="AZ21" t="n">
        <v>8323429754.998</v>
      </c>
      <c r="BA21" t="n">
        <v>8885367181.33</v>
      </c>
      <c r="BB21" t="n">
        <v>8224441768.819</v>
      </c>
      <c r="BC21" t="n">
        <v>9123977432.517</v>
      </c>
      <c r="BD21" t="n">
        <v>9198701383.204</v>
      </c>
      <c r="BE21" t="n">
        <v>9519326753.511999</v>
      </c>
      <c r="BF21" t="n">
        <v>8827847554.861</v>
      </c>
      <c r="BG21" t="n">
        <v>9093683530.438999</v>
      </c>
      <c r="BH21" t="n">
        <v>9447304842.247</v>
      </c>
      <c r="BI21" t="n">
        <v>8895350639.900999</v>
      </c>
      <c r="BJ21" t="n">
        <v>9228764770.243999</v>
      </c>
      <c r="BK21" t="n">
        <v>8982259197.059999</v>
      </c>
      <c r="BL21" t="n">
        <v>9203658153.563999</v>
      </c>
      <c r="BM21" t="n">
        <v>9118685348.101</v>
      </c>
      <c r="BN21" t="n">
        <v>8428887170.945</v>
      </c>
      <c r="BO21" t="n">
        <v>9098863141.784</v>
      </c>
      <c r="BP21" t="n">
        <v>9243997803.101</v>
      </c>
      <c r="BQ21" t="n">
        <v>9644581604.934999</v>
      </c>
      <c r="BR21" t="n">
        <v>9708035310.431</v>
      </c>
      <c r="BS21" t="n">
        <v>9134137707.363001</v>
      </c>
      <c r="BT21" t="n">
        <v>9920499909.792999</v>
      </c>
    </row>
    <row r="22">
      <c r="A22" s="16" t="inlineStr">
        <is>
          <t>sym_TE_asDC</t>
        </is>
      </c>
      <c r="B22" s="17" t="inlineStr">
        <is>
          <t>DIVERGED - negative SPPR in a source-model group</t>
        </is>
      </c>
      <c r="C22" t="n">
        <v>3647900033035.91</v>
      </c>
      <c r="D22" t="n">
        <v>4827964336930.11</v>
      </c>
      <c r="E22" t="n">
        <v>5739552681299.014</v>
      </c>
      <c r="F22" t="n">
        <v>4331738627196.227</v>
      </c>
      <c r="G22" t="n">
        <v>4163480823447.249</v>
      </c>
      <c r="H22" t="n">
        <v>3864408004434.899</v>
      </c>
      <c r="I22" t="n">
        <v>3985378736030.99</v>
      </c>
      <c r="J22" t="n">
        <v>5031290748219.517</v>
      </c>
      <c r="K22" t="n">
        <v>5177595610166.812</v>
      </c>
      <c r="L22" t="n">
        <v>5411903713068.263</v>
      </c>
      <c r="M22" t="n">
        <v>7155747560966.68</v>
      </c>
      <c r="N22" t="n">
        <v>6476497384034.192</v>
      </c>
      <c r="O22" t="n">
        <v>6943066773900.241</v>
      </c>
      <c r="P22" t="n">
        <v>6646896004010.268</v>
      </c>
      <c r="Q22" t="n">
        <v>6239710976260.245</v>
      </c>
      <c r="R22" t="n">
        <v>7744973000317.406</v>
      </c>
      <c r="S22" t="n">
        <v>7865133556281.782</v>
      </c>
      <c r="T22" t="n">
        <v>5981647701353.588</v>
      </c>
      <c r="U22" t="n">
        <v>7115671425997.192</v>
      </c>
      <c r="V22" t="n">
        <v>7805336203736.528</v>
      </c>
      <c r="W22" t="n">
        <v>7989736885381.787</v>
      </c>
      <c r="X22" t="n">
        <v>8262270582757.894</v>
      </c>
      <c r="Y22" t="n">
        <v>9433690199376.889</v>
      </c>
      <c r="Z22" t="n">
        <v>9501795907195.129</v>
      </c>
      <c r="AA22" t="n">
        <v>11853709577513.03</v>
      </c>
      <c r="AB22" t="n">
        <v>10779136175986.5</v>
      </c>
      <c r="AC22" t="n">
        <v>10667218750815.77</v>
      </c>
      <c r="AD22" t="n">
        <v>9162963142525.006</v>
      </c>
      <c r="AE22" t="n">
        <v>9465856796179.834</v>
      </c>
      <c r="AF22" t="n">
        <v>9069414115286.174</v>
      </c>
      <c r="AG22" t="n">
        <v>9337501168689.223</v>
      </c>
      <c r="AH22" t="n">
        <v>9607272138430.738</v>
      </c>
      <c r="AI22" t="n">
        <v>9636985478911.842</v>
      </c>
      <c r="AJ22" t="n">
        <v>9858560848956.826</v>
      </c>
      <c r="AK22" t="n">
        <v>9155450811986.764</v>
      </c>
      <c r="AL22" t="n">
        <v>8223314537472.44</v>
      </c>
      <c r="AM22" t="n">
        <v>8611457215363.946</v>
      </c>
      <c r="AN22" t="n">
        <v>10188392395350.41</v>
      </c>
      <c r="AO22" t="n">
        <v>9276156597137.766</v>
      </c>
      <c r="AP22" t="n">
        <v>10324979932979.79</v>
      </c>
      <c r="AQ22" t="n">
        <v>8699866427547.164</v>
      </c>
      <c r="AR22" t="n">
        <v>9503010089435.619</v>
      </c>
      <c r="AS22" t="n">
        <v>11010263881937.85</v>
      </c>
      <c r="AT22" t="n">
        <v>11948122183166.71</v>
      </c>
      <c r="AU22" t="n">
        <v>12676815923738.59</v>
      </c>
      <c r="AV22" t="n">
        <v>13003734793090.7</v>
      </c>
      <c r="AW22" t="n">
        <v>12882146997558.67</v>
      </c>
      <c r="AX22" t="n">
        <v>14170900970195.01</v>
      </c>
      <c r="AY22" t="n">
        <v>14566680000186.63</v>
      </c>
      <c r="AZ22" t="n">
        <v>14942293939914.98</v>
      </c>
      <c r="BA22" t="n">
        <v>15544712736764.25</v>
      </c>
      <c r="BB22" t="n">
        <v>13752948502042.41</v>
      </c>
      <c r="BC22" t="n">
        <v>15374378215266.6</v>
      </c>
      <c r="BD22" t="n">
        <v>15528315471920.91</v>
      </c>
      <c r="BE22" t="n">
        <v>16381331545332.29</v>
      </c>
      <c r="BF22" t="n">
        <v>14065033901459.96</v>
      </c>
      <c r="BG22" t="n">
        <v>14297027812776.77</v>
      </c>
      <c r="BH22" t="n">
        <v>14389419444195.5</v>
      </c>
      <c r="BI22" t="n">
        <v>13510803882036.92</v>
      </c>
      <c r="BJ22" t="n">
        <v>13140723770891.74</v>
      </c>
      <c r="BK22" t="n">
        <v>12761194233997.95</v>
      </c>
      <c r="BL22" t="n">
        <v>13419139143666.68</v>
      </c>
      <c r="BM22" t="n">
        <v>13213423329798.62</v>
      </c>
      <c r="BN22" t="n">
        <v>11917932402108.98</v>
      </c>
      <c r="BO22" t="n">
        <v>13389452106856.66</v>
      </c>
      <c r="BP22" t="n">
        <v>13256835494631.55</v>
      </c>
      <c r="BQ22" t="n">
        <v>13678650723286.76</v>
      </c>
      <c r="BR22" t="n">
        <v>13575370632528.72</v>
      </c>
      <c r="BS22" t="n">
        <v>12577184892202.73</v>
      </c>
      <c r="BT22" t="n">
        <v>13713140135046.94</v>
      </c>
    </row>
    <row r="23">
      <c r="A23" t="inlineStr">
        <is>
          <t>sym_GE_asPP</t>
        </is>
      </c>
      <c r="B23" t="inlineStr">
        <is>
          <t>ok</t>
        </is>
      </c>
      <c r="C23" t="n">
        <v>950863882.229</v>
      </c>
      <c r="D23" t="n">
        <v>1029024696.979</v>
      </c>
      <c r="E23" t="n">
        <v>1164354960.013</v>
      </c>
      <c r="F23" t="n">
        <v>1050833461.871</v>
      </c>
      <c r="G23" t="n">
        <v>1093614361.931</v>
      </c>
      <c r="H23" t="n">
        <v>1122383236.188</v>
      </c>
      <c r="I23" t="n">
        <v>1195858703.764</v>
      </c>
      <c r="J23" t="n">
        <v>1215003513.066</v>
      </c>
      <c r="K23" t="n">
        <v>1261205746.386</v>
      </c>
      <c r="L23" t="n">
        <v>1313229733.313</v>
      </c>
      <c r="M23" t="n">
        <v>1497993449.964</v>
      </c>
      <c r="N23" t="n">
        <v>1527908140.824</v>
      </c>
      <c r="O23" t="n">
        <v>1587659479.412</v>
      </c>
      <c r="P23" t="n">
        <v>1583472974.782</v>
      </c>
      <c r="Q23" t="n">
        <v>1661221629.354</v>
      </c>
      <c r="R23" t="n">
        <v>1797835817.987</v>
      </c>
      <c r="S23" t="n">
        <v>1890420351.902</v>
      </c>
      <c r="T23" t="n">
        <v>1781149782.978</v>
      </c>
      <c r="U23" t="n">
        <v>2033052795.972</v>
      </c>
      <c r="V23" t="n">
        <v>2172574012.322</v>
      </c>
      <c r="W23" t="n">
        <v>2065230697.899</v>
      </c>
      <c r="X23" t="n">
        <v>2256567006.611</v>
      </c>
      <c r="Y23" t="n">
        <v>2408977954.722</v>
      </c>
      <c r="Z23" t="n">
        <v>2397125143.856</v>
      </c>
      <c r="AA23" t="n">
        <v>2725149708.499</v>
      </c>
      <c r="AB23" t="n">
        <v>2720258740.346</v>
      </c>
      <c r="AC23" t="n">
        <v>2880688045.759</v>
      </c>
      <c r="AD23" t="n">
        <v>3002470081.887</v>
      </c>
      <c r="AE23" t="n">
        <v>3179185675.791</v>
      </c>
      <c r="AF23" t="n">
        <v>3219681933.769</v>
      </c>
      <c r="AG23" t="n">
        <v>3199078919.766</v>
      </c>
      <c r="AH23" t="n">
        <v>3325408306.277</v>
      </c>
      <c r="AI23" t="n">
        <v>3406744757.948</v>
      </c>
      <c r="AJ23" t="n">
        <v>3524341225.521</v>
      </c>
      <c r="AK23" t="n">
        <v>3678871555.158</v>
      </c>
      <c r="AL23" t="n">
        <v>3585025489.893</v>
      </c>
      <c r="AM23" t="n">
        <v>3815439179.797</v>
      </c>
      <c r="AN23" t="n">
        <v>4133386732.004</v>
      </c>
      <c r="AO23" t="n">
        <v>3965955563.099</v>
      </c>
      <c r="AP23" t="n">
        <v>4266456333.938</v>
      </c>
      <c r="AQ23" t="n">
        <v>4085517232.845</v>
      </c>
      <c r="AR23" t="n">
        <v>4436120722.912</v>
      </c>
      <c r="AS23" t="n">
        <v>4684713955.019</v>
      </c>
      <c r="AT23" t="n">
        <v>5110130515.306</v>
      </c>
      <c r="AU23" t="n">
        <v>4901854938.464</v>
      </c>
      <c r="AV23" t="n">
        <v>5076932942.952</v>
      </c>
      <c r="AW23" t="n">
        <v>5124727138.965</v>
      </c>
      <c r="AX23" t="n">
        <v>5226876198.936</v>
      </c>
      <c r="AY23" t="n">
        <v>5674195494.085</v>
      </c>
      <c r="AZ23" t="n">
        <v>5472096452.216</v>
      </c>
      <c r="BA23" t="n">
        <v>5857418253.057</v>
      </c>
      <c r="BB23" t="n">
        <v>5519235068.345</v>
      </c>
      <c r="BC23" t="n">
        <v>6058862788.178</v>
      </c>
      <c r="BD23" t="n">
        <v>6141259070.754</v>
      </c>
      <c r="BE23" t="n">
        <v>6339158332.986</v>
      </c>
      <c r="BF23" t="n">
        <v>5962364420.419</v>
      </c>
      <c r="BG23" t="n">
        <v>6113252140.744</v>
      </c>
      <c r="BH23" t="n">
        <v>6398425311.855</v>
      </c>
      <c r="BI23" t="n">
        <v>6003494230.254</v>
      </c>
      <c r="BJ23" t="n">
        <v>6300868251.773</v>
      </c>
      <c r="BK23" t="n">
        <v>6163968322.223</v>
      </c>
      <c r="BL23" t="n">
        <v>6269891450.427</v>
      </c>
      <c r="BM23" t="n">
        <v>6245959623.35</v>
      </c>
      <c r="BN23" t="n">
        <v>5764766755.592</v>
      </c>
      <c r="BO23" t="n">
        <v>6178453802.673</v>
      </c>
      <c r="BP23" t="n">
        <v>6308614935.326</v>
      </c>
      <c r="BQ23" t="n">
        <v>6592318251.416</v>
      </c>
      <c r="BR23" t="n">
        <v>6646275882.317</v>
      </c>
      <c r="BS23" t="n">
        <v>6277418915.85</v>
      </c>
      <c r="BT23" t="n">
        <v>6810328374.329</v>
      </c>
    </row>
    <row r="24">
      <c r="A24" s="16" t="inlineStr">
        <is>
          <t>sym_GE_asDC</t>
        </is>
      </c>
      <c r="B24" s="17" t="inlineStr">
        <is>
          <t>DIVERGED - negative SPPR in a source-model group</t>
        </is>
      </c>
      <c r="C24" t="n">
        <v>2000881163665.827</v>
      </c>
      <c r="D24" t="n">
        <v>1830564917781.326</v>
      </c>
      <c r="E24" t="n">
        <v>1908642139167.432</v>
      </c>
      <c r="F24" t="n">
        <v>2188592672621.576</v>
      </c>
      <c r="G24" t="n">
        <v>2421154728865.773</v>
      </c>
      <c r="H24" t="n">
        <v>2527522854759.1</v>
      </c>
      <c r="I24" t="n">
        <v>2867715776332.123</v>
      </c>
      <c r="J24" t="n">
        <v>2304993582872.642</v>
      </c>
      <c r="K24" t="n">
        <v>2433555327024.958</v>
      </c>
      <c r="L24" t="n">
        <v>2520826877993.419</v>
      </c>
      <c r="M24" t="n">
        <v>2685714834788.731</v>
      </c>
      <c r="N24" t="n">
        <v>3102240342812.053</v>
      </c>
      <c r="O24" t="n">
        <v>2837047524495.936</v>
      </c>
      <c r="P24" t="n">
        <v>3195830444982.156</v>
      </c>
      <c r="Q24" t="n">
        <v>3312367035056.94</v>
      </c>
      <c r="R24" t="n">
        <v>3472695530204.153</v>
      </c>
      <c r="S24" t="n">
        <v>3504697785528.359</v>
      </c>
      <c r="T24" t="n">
        <v>4137440122067.367</v>
      </c>
      <c r="U24" t="n">
        <v>4312150943040.056</v>
      </c>
      <c r="V24" t="n">
        <v>4716761708457.22</v>
      </c>
      <c r="W24" t="n">
        <v>4910953368104.274</v>
      </c>
      <c r="X24" t="n">
        <v>5457184592997.574</v>
      </c>
      <c r="Y24" t="n">
        <v>5768787772966.634</v>
      </c>
      <c r="Z24" t="n">
        <v>5666261440828.659</v>
      </c>
      <c r="AA24" t="n">
        <v>6218995410018.945</v>
      </c>
      <c r="AB24" t="n">
        <v>6272336714730.709</v>
      </c>
      <c r="AC24" t="n">
        <v>7590881629706.383</v>
      </c>
      <c r="AD24" t="n">
        <v>8919540327635.225</v>
      </c>
      <c r="AE24" t="n">
        <v>9376259721884.734</v>
      </c>
      <c r="AF24" t="n">
        <v>9839400292335.691</v>
      </c>
      <c r="AG24" t="n">
        <v>9304982013783.465</v>
      </c>
      <c r="AH24" t="n">
        <v>9417235211378.732</v>
      </c>
      <c r="AI24" t="n">
        <v>9636845710901.859</v>
      </c>
      <c r="AJ24" t="n">
        <v>10254204306574.13</v>
      </c>
      <c r="AK24" t="n">
        <v>11191922439053.09</v>
      </c>
      <c r="AL24" t="n">
        <v>10998263379876.44</v>
      </c>
      <c r="AM24" t="n">
        <v>11315295532189.94</v>
      </c>
      <c r="AN24" t="n">
        <v>12119846202284.95</v>
      </c>
      <c r="AO24" t="n">
        <v>11595377135384.91</v>
      </c>
      <c r="AP24" t="n">
        <v>12187269020741.73</v>
      </c>
      <c r="AQ24" t="n">
        <v>13887729352113.23</v>
      </c>
      <c r="AR24" t="n">
        <v>14304210343449.06</v>
      </c>
      <c r="AS24" t="n">
        <v>14132487334508.69</v>
      </c>
      <c r="AT24" t="n">
        <v>15141704535738.57</v>
      </c>
      <c r="AU24" t="n">
        <v>14572489627189.35</v>
      </c>
      <c r="AV24" t="n">
        <v>15212138188088.62</v>
      </c>
      <c r="AW24" t="n">
        <v>15573298094240.67</v>
      </c>
      <c r="AX24" t="n">
        <v>15040435145494.41</v>
      </c>
      <c r="AY24" t="n">
        <v>16656302112832.01</v>
      </c>
      <c r="AZ24" t="n">
        <v>15304392017298.85</v>
      </c>
      <c r="BA24" t="n">
        <v>16021754884042.45</v>
      </c>
      <c r="BB24" t="n">
        <v>15976378787171.49</v>
      </c>
      <c r="BC24" t="n">
        <v>17250494442341.4</v>
      </c>
      <c r="BD24" t="n">
        <v>18124082190149.36</v>
      </c>
      <c r="BE24" t="n">
        <v>18334493570006.36</v>
      </c>
      <c r="BF24" t="n">
        <v>18107258101237.31</v>
      </c>
      <c r="BG24" t="n">
        <v>18152558949239.92</v>
      </c>
      <c r="BH24" t="n">
        <v>17788362363883.81</v>
      </c>
      <c r="BI24" t="n">
        <v>18533481600585.73</v>
      </c>
      <c r="BJ24" t="n">
        <v>20917776760435.92</v>
      </c>
      <c r="BK24" t="n">
        <v>20877513158989.04</v>
      </c>
      <c r="BL24" t="n">
        <v>20935856068990.37</v>
      </c>
      <c r="BM24" t="n">
        <v>20581879778848.81</v>
      </c>
      <c r="BN24" t="n">
        <v>19363874949220.94</v>
      </c>
      <c r="BO24" t="n">
        <v>17949272847636.77</v>
      </c>
      <c r="BP24" t="n">
        <v>19005695577916.97</v>
      </c>
      <c r="BQ24" t="n">
        <v>20749587218395.52</v>
      </c>
      <c r="BR24" t="n">
        <v>21112807182860.64</v>
      </c>
      <c r="BS24" t="n">
        <v>20283460335353.79</v>
      </c>
      <c r="BT24" t="n">
        <v>21440214237306.03</v>
      </c>
    </row>
    <row r="25">
      <c r="A25" t="inlineStr">
        <is>
          <t>sym_WithEgestion_asPP</t>
        </is>
      </c>
      <c r="B25" t="inlineStr">
        <is>
          <t>ok</t>
        </is>
      </c>
      <c r="C25" t="n">
        <v>267915596.377</v>
      </c>
      <c r="D25" t="n">
        <v>280616384.86</v>
      </c>
      <c r="E25" t="n">
        <v>312656997.986</v>
      </c>
      <c r="F25" t="n">
        <v>291088982.992</v>
      </c>
      <c r="G25" t="n">
        <v>305050432.719</v>
      </c>
      <c r="H25" t="n">
        <v>316371245.63</v>
      </c>
      <c r="I25" t="n">
        <v>337392406.682</v>
      </c>
      <c r="J25" t="n">
        <v>334120005.614</v>
      </c>
      <c r="K25" t="n">
        <v>346850153.432</v>
      </c>
      <c r="L25" t="n">
        <v>359181006.441</v>
      </c>
      <c r="M25" t="n">
        <v>400456800.599</v>
      </c>
      <c r="N25" t="n">
        <v>416268673.586</v>
      </c>
      <c r="O25" t="n">
        <v>430973287.639</v>
      </c>
      <c r="P25" t="n">
        <v>434077184.753</v>
      </c>
      <c r="Q25" t="n">
        <v>464944775.06</v>
      </c>
      <c r="R25" t="n">
        <v>491931026.543</v>
      </c>
      <c r="S25" t="n">
        <v>519691625.958</v>
      </c>
      <c r="T25" t="n">
        <v>506201460.37</v>
      </c>
      <c r="U25" t="n">
        <v>569137950.972</v>
      </c>
      <c r="V25" t="n">
        <v>603551589.515</v>
      </c>
      <c r="W25" t="n">
        <v>575388607.767</v>
      </c>
      <c r="X25" t="n">
        <v>632889524.626</v>
      </c>
      <c r="Y25" t="n">
        <v>672405407.5420001</v>
      </c>
      <c r="Z25" t="n">
        <v>672401869.191</v>
      </c>
      <c r="AA25" t="n">
        <v>751795322.355</v>
      </c>
      <c r="AB25" t="n">
        <v>763043390.342</v>
      </c>
      <c r="AC25" t="n">
        <v>817822151.158</v>
      </c>
      <c r="AD25" t="n">
        <v>866607974.173</v>
      </c>
      <c r="AE25" t="n">
        <v>919897670.745</v>
      </c>
      <c r="AF25" t="n">
        <v>938889466.184</v>
      </c>
      <c r="AG25" t="n">
        <v>931232177.865</v>
      </c>
      <c r="AH25" t="n">
        <v>967356202.3150001</v>
      </c>
      <c r="AI25" t="n">
        <v>993229393.681</v>
      </c>
      <c r="AJ25" t="n">
        <v>1025805855.73</v>
      </c>
      <c r="AK25" t="n">
        <v>1073340415.801</v>
      </c>
      <c r="AL25" t="n">
        <v>1050367492.105</v>
      </c>
      <c r="AM25" t="n">
        <v>1117280399.561</v>
      </c>
      <c r="AN25" t="n">
        <v>1200836655.3</v>
      </c>
      <c r="AO25" t="n">
        <v>1153980568.657</v>
      </c>
      <c r="AP25" t="n">
        <v>1239856944.256</v>
      </c>
      <c r="AQ25" t="n">
        <v>1207053135.58</v>
      </c>
      <c r="AR25" t="n">
        <v>1309370867.616</v>
      </c>
      <c r="AS25" t="n">
        <v>1373303429.687</v>
      </c>
      <c r="AT25" t="n">
        <v>1492228005.683</v>
      </c>
      <c r="AU25" t="n">
        <v>1427107311.108</v>
      </c>
      <c r="AV25" t="n">
        <v>1480175423.532</v>
      </c>
      <c r="AW25" t="n">
        <v>1496674013.528</v>
      </c>
      <c r="AX25" t="n">
        <v>1517915904.125</v>
      </c>
      <c r="AY25" t="n">
        <v>1645401680.901</v>
      </c>
      <c r="AZ25" t="n">
        <v>1582912860.112</v>
      </c>
      <c r="BA25" t="n">
        <v>1692623850.885</v>
      </c>
      <c r="BB25" t="n">
        <v>1609581115.332</v>
      </c>
      <c r="BC25" t="n">
        <v>1756317855.386</v>
      </c>
      <c r="BD25" t="n">
        <v>1790337634.402</v>
      </c>
      <c r="BE25" t="n">
        <v>1843864534.429</v>
      </c>
      <c r="BF25" t="n">
        <v>1739444710.42</v>
      </c>
      <c r="BG25" t="n">
        <v>1795273493.757</v>
      </c>
      <c r="BH25" t="n">
        <v>1868946070.713</v>
      </c>
      <c r="BI25" t="n">
        <v>1770953177.456</v>
      </c>
      <c r="BJ25" t="n">
        <v>1871724495.884</v>
      </c>
      <c r="BK25" t="n">
        <v>1834822722.819</v>
      </c>
      <c r="BL25" t="n">
        <v>1861893459.549</v>
      </c>
      <c r="BM25" t="n">
        <v>1855210332.906</v>
      </c>
      <c r="BN25" t="n">
        <v>1718965826.44</v>
      </c>
      <c r="BO25" t="n">
        <v>1822734196.571</v>
      </c>
      <c r="BP25" t="n">
        <v>1859153526.496</v>
      </c>
      <c r="BQ25" t="n">
        <v>1943090515.428</v>
      </c>
      <c r="BR25" t="n">
        <v>1961244261.801</v>
      </c>
      <c r="BS25" t="n">
        <v>1850467876.963</v>
      </c>
      <c r="BT25" t="n">
        <v>2009514829.738</v>
      </c>
    </row>
    <row r="26">
      <c r="A26" s="16" t="inlineStr">
        <is>
          <t>sym_WithEgestion_asDC</t>
        </is>
      </c>
      <c r="B26" s="17" t="inlineStr">
        <is>
          <t>DIVERGED - negative SPPR in a source-model group</t>
        </is>
      </c>
      <c r="C26" t="n">
        <v>-2.56218621920071e+24</v>
      </c>
      <c r="D26" t="n">
        <v>-3.492312542085287e+24</v>
      </c>
      <c r="E26" t="n">
        <v>-4.254153875199993e+24</v>
      </c>
      <c r="F26" t="n">
        <v>-3.123235786032451e+24</v>
      </c>
      <c r="G26" t="n">
        <v>-3.031354117438784e+25</v>
      </c>
      <c r="H26" t="n">
        <v>-1.590862560712965e+26</v>
      </c>
      <c r="I26" t="n">
        <v>-2.078774242764223e+26</v>
      </c>
      <c r="J26" t="n">
        <v>-5.439961227540754e+25</v>
      </c>
      <c r="K26" t="n">
        <v>-5.310546772571541e+25</v>
      </c>
      <c r="L26" t="n">
        <v>-1.254023259637622e+26</v>
      </c>
      <c r="M26" t="n">
        <v>-1.407468489239907e+26</v>
      </c>
      <c r="N26" t="n">
        <v>-1.548260862986788e+26</v>
      </c>
      <c r="O26" t="n">
        <v>-1.025567657848285e+26</v>
      </c>
      <c r="P26" t="n">
        <v>-7.278180178066694e+25</v>
      </c>
      <c r="Q26" t="n">
        <v>-1.371671167418274e+26</v>
      </c>
      <c r="R26" t="n">
        <v>-6.895338840111293e+25</v>
      </c>
      <c r="S26" t="n">
        <v>-1.420121196516563e+26</v>
      </c>
      <c r="T26" t="n">
        <v>-8.033331292891231e+25</v>
      </c>
      <c r="U26" t="n">
        <v>-2.64055563064133e+26</v>
      </c>
      <c r="V26" t="n">
        <v>-3.552822659689795e+26</v>
      </c>
      <c r="W26" t="n">
        <v>-3.347961849752275e+25</v>
      </c>
      <c r="X26" t="n">
        <v>-1.244348305662131e+26</v>
      </c>
      <c r="Y26" t="n">
        <v>-5.515544704734566e+25</v>
      </c>
      <c r="Z26" t="n">
        <v>-1.808343781102453e+25</v>
      </c>
      <c r="AA26" t="n">
        <v>-2.885620137602123e+25</v>
      </c>
      <c r="AB26" t="n">
        <v>-3.82827777361737e+25</v>
      </c>
      <c r="AC26" t="n">
        <v>-2.259250384793087e+25</v>
      </c>
      <c r="AD26" t="n">
        <v>-4.451124141120718e+25</v>
      </c>
      <c r="AE26" t="n">
        <v>-5.369561570565744e+25</v>
      </c>
      <c r="AF26" t="n">
        <v>-2.823708126303472e+25</v>
      </c>
      <c r="AG26" t="n">
        <v>-2.498796720472827e+25</v>
      </c>
      <c r="AH26" t="n">
        <v>-6.121573855421262e+25</v>
      </c>
      <c r="AI26" t="n">
        <v>-7.202288513056504e+25</v>
      </c>
      <c r="AJ26" t="n">
        <v>-1.235278126491267e+26</v>
      </c>
      <c r="AK26" t="n">
        <v>-3.197589713184282e+26</v>
      </c>
      <c r="AL26" t="n">
        <v>-3.29823123901642e+26</v>
      </c>
      <c r="AM26" t="n">
        <v>-4.345186667733813e+26</v>
      </c>
      <c r="AN26" t="n">
        <v>-4.445000159818994e+26</v>
      </c>
      <c r="AO26" t="n">
        <v>-5.571686289143907e+26</v>
      </c>
      <c r="AP26" t="n">
        <v>-4.556921816817622e+26</v>
      </c>
      <c r="AQ26" t="n">
        <v>-2.170927409479488e+26</v>
      </c>
      <c r="AR26" t="n">
        <v>-2.162054068414076e+26</v>
      </c>
      <c r="AS26" t="n">
        <v>-2.74452862571021e+26</v>
      </c>
      <c r="AT26" t="n">
        <v>-4.713681662045911e+26</v>
      </c>
      <c r="AU26" t="n">
        <v>-1.560721792101389e+26</v>
      </c>
      <c r="AV26" t="n">
        <v>-2.467725215442446e+26</v>
      </c>
      <c r="AW26" t="n">
        <v>-2.429445133332432e+26</v>
      </c>
      <c r="AX26" t="n">
        <v>-2.128282042795899e+26</v>
      </c>
      <c r="AY26" t="n">
        <v>-4.601733933694694e+26</v>
      </c>
      <c r="AZ26" t="n">
        <v>-3.321681213287071e+26</v>
      </c>
      <c r="BA26" t="n">
        <v>-4.092226801202061e+26</v>
      </c>
      <c r="BB26" t="n">
        <v>-2.806311828256876e+26</v>
      </c>
      <c r="BC26" t="n">
        <v>-4.391657992749901e+26</v>
      </c>
      <c r="BD26" t="n">
        <v>-3.25373599542723e+26</v>
      </c>
      <c r="BE26" t="n">
        <v>-3.984633023848856e+26</v>
      </c>
      <c r="BF26" t="n">
        <v>-6.44189239302867e+26</v>
      </c>
      <c r="BG26" t="n">
        <v>-3.01349950359334e+26</v>
      </c>
      <c r="BH26" t="n">
        <v>-7.983806895589702e+26</v>
      </c>
      <c r="BI26" t="n">
        <v>-2.868388065969296e+26</v>
      </c>
      <c r="BJ26" t="n">
        <v>-1.649980968982332e+26</v>
      </c>
      <c r="BK26" t="n">
        <v>-1.51455153139442e+26</v>
      </c>
      <c r="BL26" t="n">
        <v>-1.498795388998217e+26</v>
      </c>
      <c r="BM26" t="n">
        <v>-1.504502334076035e+26</v>
      </c>
      <c r="BN26" t="n">
        <v>-6.072193906539568e+25</v>
      </c>
      <c r="BO26" t="n">
        <v>-1.485118782687489e+26</v>
      </c>
      <c r="BP26" t="n">
        <v>-2.749545443557304e+26</v>
      </c>
      <c r="BQ26" t="n">
        <v>-2.564291644768932e+26</v>
      </c>
      <c r="BR26" t="n">
        <v>-2.262504250596524e+26</v>
      </c>
      <c r="BS26" t="n">
        <v>-2.588330115352382e+26</v>
      </c>
      <c r="BT26" t="n">
        <v>-3.181332293116537e+26</v>
      </c>
    </row>
    <row r="27">
      <c r="A27" t="inlineStr">
        <is>
          <t>MC_new_GE</t>
        </is>
      </c>
      <c r="B27" t="inlineStr">
        <is>
          <t>ok</t>
        </is>
      </c>
      <c r="C27" t="n">
        <v>1536031649.649</v>
      </c>
      <c r="D27" t="n">
        <v>1667862301.097</v>
      </c>
      <c r="E27" t="n">
        <v>1889814839.524</v>
      </c>
      <c r="F27" t="n">
        <v>1701465573.845</v>
      </c>
      <c r="G27" t="n">
        <v>1768865775.83</v>
      </c>
      <c r="H27" t="n">
        <v>1812492507.362</v>
      </c>
      <c r="I27" t="n">
        <v>1930193439.594</v>
      </c>
      <c r="J27" t="n">
        <v>1968151252.44</v>
      </c>
      <c r="K27" t="n">
        <v>2042696482.588</v>
      </c>
      <c r="L27" t="n">
        <v>2127080523.042</v>
      </c>
      <c r="M27" t="n">
        <v>2431642331.214</v>
      </c>
      <c r="N27" t="n">
        <v>2475467205.734</v>
      </c>
      <c r="O27" t="n">
        <v>2573528765.067</v>
      </c>
      <c r="P27" t="n">
        <v>2565377023.333</v>
      </c>
      <c r="Q27" t="n">
        <v>2685200035.491</v>
      </c>
      <c r="R27" t="n">
        <v>2912249825.08</v>
      </c>
      <c r="S27" t="n">
        <v>3060267809.995</v>
      </c>
      <c r="T27" t="n">
        <v>2875085433.306</v>
      </c>
      <c r="U27" t="n">
        <v>3285134237.196</v>
      </c>
      <c r="V27" t="n">
        <v>3511513937.251</v>
      </c>
      <c r="W27" t="n">
        <v>3340025483.985</v>
      </c>
      <c r="X27" t="n">
        <v>3644101617.586</v>
      </c>
      <c r="Y27" t="n">
        <v>3892047340.118</v>
      </c>
      <c r="Z27" t="n">
        <v>3868720073.557</v>
      </c>
      <c r="AA27" t="n">
        <v>4405553619.262</v>
      </c>
      <c r="AB27" t="n">
        <v>4390308004.481</v>
      </c>
      <c r="AC27" t="n">
        <v>4649607620.154</v>
      </c>
      <c r="AD27" t="n">
        <v>4836327592.401</v>
      </c>
      <c r="AE27" t="n">
        <v>5119334343.455</v>
      </c>
      <c r="AF27" t="n">
        <v>5181175246.835</v>
      </c>
      <c r="AG27" t="n">
        <v>5155000546.235</v>
      </c>
      <c r="AH27" t="n">
        <v>5361778004.766</v>
      </c>
      <c r="AI27" t="n">
        <v>5490163239.549</v>
      </c>
      <c r="AJ27" t="n">
        <v>5681685257.136</v>
      </c>
      <c r="AK27" t="n">
        <v>5927158968.989</v>
      </c>
      <c r="AL27" t="n">
        <v>5780654663.545</v>
      </c>
      <c r="AM27" t="n">
        <v>6149922164.189</v>
      </c>
      <c r="AN27" t="n">
        <v>6667272687.75</v>
      </c>
      <c r="AO27" t="n">
        <v>6395605925.398</v>
      </c>
      <c r="AP27" t="n">
        <v>6882501831.762</v>
      </c>
      <c r="AQ27" t="n">
        <v>6571051846.153</v>
      </c>
      <c r="AR27" t="n">
        <v>7134084926.11</v>
      </c>
      <c r="AS27" t="n">
        <v>7538102983.462</v>
      </c>
      <c r="AT27" t="n">
        <v>8225521086.711</v>
      </c>
      <c r="AU27" t="n">
        <v>7897601405.644</v>
      </c>
      <c r="AV27" t="n">
        <v>8181842753.897</v>
      </c>
      <c r="AW27" t="n">
        <v>8255530058.422</v>
      </c>
      <c r="AX27" t="n">
        <v>8426134376.714</v>
      </c>
      <c r="AY27" t="n">
        <v>9141963065.475</v>
      </c>
      <c r="AZ27" t="n">
        <v>8824229319.768999</v>
      </c>
      <c r="BA27" t="n">
        <v>9440727896.153999</v>
      </c>
      <c r="BB27" t="n">
        <v>8889932809.766001</v>
      </c>
      <c r="BC27" t="n">
        <v>9761919058.996</v>
      </c>
      <c r="BD27" t="n">
        <v>9890311622.025999</v>
      </c>
      <c r="BE27" t="n">
        <v>10210960877.909</v>
      </c>
      <c r="BF27" t="n">
        <v>9609609746.011999</v>
      </c>
      <c r="BG27" t="n">
        <v>9848092423.01</v>
      </c>
      <c r="BH27" t="n">
        <v>10309991403.261</v>
      </c>
      <c r="BI27" t="n">
        <v>9665448462.318001</v>
      </c>
      <c r="BJ27" t="n">
        <v>10136490467.039</v>
      </c>
      <c r="BK27" t="n">
        <v>9917305068.539</v>
      </c>
      <c r="BL27" t="n">
        <v>10086532255.476</v>
      </c>
      <c r="BM27" t="n">
        <v>10049728653.986</v>
      </c>
      <c r="BN27" t="n">
        <v>9274000067.034</v>
      </c>
      <c r="BO27" t="n">
        <v>9956756175.511</v>
      </c>
      <c r="BP27" t="n">
        <v>10165184905.635</v>
      </c>
      <c r="BQ27" t="n">
        <v>10622836050.577</v>
      </c>
      <c r="BR27" t="n">
        <v>10708610347.252</v>
      </c>
      <c r="BS27" t="n">
        <v>10115638153.692</v>
      </c>
      <c r="BT27" t="n">
        <v>10975902628.73</v>
      </c>
    </row>
    <row r="28">
      <c r="A28" t="inlineStr">
        <is>
          <t>MC_new_TE_EEfix</t>
        </is>
      </c>
      <c r="B28" t="inlineStr">
        <is>
          <t>ok</t>
        </is>
      </c>
      <c r="C28" t="n">
        <v>2072969568.459</v>
      </c>
      <c r="D28" t="n">
        <v>2346831242.769</v>
      </c>
      <c r="E28" t="n">
        <v>2678109832.279</v>
      </c>
      <c r="F28" t="n">
        <v>2320683496.261</v>
      </c>
      <c r="G28" t="n">
        <v>2390458109.819</v>
      </c>
      <c r="H28" t="n">
        <v>2410551873.84</v>
      </c>
      <c r="I28" t="n">
        <v>2559280197.582</v>
      </c>
      <c r="J28" t="n">
        <v>2704886998.34</v>
      </c>
      <c r="K28" t="n">
        <v>2796006905.166</v>
      </c>
      <c r="L28" t="n">
        <v>2914616239.23</v>
      </c>
      <c r="M28" t="n">
        <v>3419875544.633</v>
      </c>
      <c r="N28" t="n">
        <v>3409445388.91</v>
      </c>
      <c r="O28" t="n">
        <v>3580411623.688</v>
      </c>
      <c r="P28" t="n">
        <v>3527140748.82</v>
      </c>
      <c r="Q28" t="n">
        <v>3621551587.346</v>
      </c>
      <c r="R28" t="n">
        <v>3996982303.833</v>
      </c>
      <c r="S28" t="n">
        <v>4175409090.88</v>
      </c>
      <c r="T28" t="n">
        <v>3801215722.466</v>
      </c>
      <c r="U28" t="n">
        <v>4378316724.682</v>
      </c>
      <c r="V28" t="n">
        <v>4703946332.79</v>
      </c>
      <c r="W28" t="n">
        <v>4503322602.843</v>
      </c>
      <c r="X28" t="n">
        <v>4856036236.206</v>
      </c>
      <c r="Y28" t="n">
        <v>5240705503.808</v>
      </c>
      <c r="Z28" t="n">
        <v>5252925357.917</v>
      </c>
      <c r="AA28" t="n">
        <v>6045653845.993</v>
      </c>
      <c r="AB28" t="n">
        <v>5910391660.706</v>
      </c>
      <c r="AC28" t="n">
        <v>6162564272.918</v>
      </c>
      <c r="AD28" t="n">
        <v>6210646873.904</v>
      </c>
      <c r="AE28" t="n">
        <v>6548774098.986</v>
      </c>
      <c r="AF28" t="n">
        <v>6576431793.131</v>
      </c>
      <c r="AG28" t="n">
        <v>6569694435.575</v>
      </c>
      <c r="AH28" t="n">
        <v>6814403859.038</v>
      </c>
      <c r="AI28" t="n">
        <v>6985229287.452</v>
      </c>
      <c r="AJ28" t="n">
        <v>7167465960.978</v>
      </c>
      <c r="AK28" t="n">
        <v>7387798348.364</v>
      </c>
      <c r="AL28" t="n">
        <v>7148768636.698</v>
      </c>
      <c r="AM28" t="n">
        <v>7618630162.648</v>
      </c>
      <c r="AN28" t="n">
        <v>8317948503.034</v>
      </c>
      <c r="AO28" t="n">
        <v>7947492157.288</v>
      </c>
      <c r="AP28" t="n">
        <v>8608922889.419001</v>
      </c>
      <c r="AQ28" t="n">
        <v>8042268202.477</v>
      </c>
      <c r="AR28" t="n">
        <v>8771777625.406</v>
      </c>
      <c r="AS28" t="n">
        <v>9386446319.389</v>
      </c>
      <c r="AT28" t="n">
        <v>10310140997.747</v>
      </c>
      <c r="AU28" t="n">
        <v>10012820958.507</v>
      </c>
      <c r="AV28" t="n">
        <v>10331236563.167</v>
      </c>
      <c r="AW28" t="n">
        <v>10381876393.271</v>
      </c>
      <c r="AX28" t="n">
        <v>10691262067.023</v>
      </c>
      <c r="AY28" t="n">
        <v>11570400791.664</v>
      </c>
      <c r="AZ28" t="n">
        <v>11250101615.257</v>
      </c>
      <c r="BA28" t="n">
        <v>12001329491.604</v>
      </c>
      <c r="BB28" t="n">
        <v>11105070213.938</v>
      </c>
      <c r="BC28" t="n">
        <v>12318831881.538</v>
      </c>
      <c r="BD28" t="n">
        <v>12423001593.085</v>
      </c>
      <c r="BE28" t="n">
        <v>12857674828.73</v>
      </c>
      <c r="BF28" t="n">
        <v>11913431855.983</v>
      </c>
      <c r="BG28" t="n">
        <v>12252099041.256</v>
      </c>
      <c r="BH28" t="n">
        <v>12742540186.716</v>
      </c>
      <c r="BI28" t="n">
        <v>11975957508.638</v>
      </c>
      <c r="BJ28" t="n">
        <v>12421421553.28</v>
      </c>
      <c r="BK28" t="n">
        <v>12102496431.109</v>
      </c>
      <c r="BL28" t="n">
        <v>12392285711.073</v>
      </c>
      <c r="BM28" t="n">
        <v>12285340510.683</v>
      </c>
      <c r="BN28" t="n">
        <v>11342010138.238</v>
      </c>
      <c r="BO28" t="n">
        <v>12260781254.489</v>
      </c>
      <c r="BP28" t="n">
        <v>12446018191.657</v>
      </c>
      <c r="BQ28" t="n">
        <v>12988093722.486</v>
      </c>
      <c r="BR28" t="n">
        <v>13069111131.524</v>
      </c>
      <c r="BS28" t="n">
        <v>12296264306.285</v>
      </c>
      <c r="BT28" t="n">
        <v>13363067243.309</v>
      </c>
    </row>
    <row r="29">
      <c r="A29" t="inlineStr">
        <is>
          <t>SPPR_1995_TEmean_catch</t>
        </is>
      </c>
      <c r="B29" t="inlineStr">
        <is>
          <t>ok</t>
        </is>
      </c>
      <c r="C29" t="n">
        <v>70252406.096</v>
      </c>
      <c r="D29" t="n">
        <v>69203155.822</v>
      </c>
      <c r="E29" t="n">
        <v>75212013.513</v>
      </c>
      <c r="F29" t="n">
        <v>74004908.737</v>
      </c>
      <c r="G29" t="n">
        <v>79525623.59199999</v>
      </c>
      <c r="H29" t="n">
        <v>86695400.985</v>
      </c>
      <c r="I29" t="n">
        <v>93332750.257</v>
      </c>
      <c r="J29" t="n">
        <v>85642189.02599999</v>
      </c>
      <c r="K29" t="n">
        <v>89142585.817</v>
      </c>
      <c r="L29" t="n">
        <v>92896205.272</v>
      </c>
      <c r="M29" t="n">
        <v>98561339.771</v>
      </c>
      <c r="N29" t="n">
        <v>106836386.105</v>
      </c>
      <c r="O29" t="n">
        <v>109097776.346</v>
      </c>
      <c r="P29" t="n">
        <v>110662446.968</v>
      </c>
      <c r="Q29" t="n">
        <v>124220345.49</v>
      </c>
      <c r="R29" t="n">
        <v>124469709.207</v>
      </c>
      <c r="S29" t="n">
        <v>134507131.699</v>
      </c>
      <c r="T29" t="n">
        <v>136870715.557</v>
      </c>
      <c r="U29" t="n">
        <v>154733044.563</v>
      </c>
      <c r="V29" t="n">
        <v>163656520.482</v>
      </c>
      <c r="W29" t="n">
        <v>148143701.672</v>
      </c>
      <c r="X29" t="n">
        <v>166909818.076</v>
      </c>
      <c r="Y29" t="n">
        <v>173031911.896</v>
      </c>
      <c r="Z29" t="n">
        <v>172930904.749</v>
      </c>
      <c r="AA29" t="n">
        <v>187558560.535</v>
      </c>
      <c r="AB29" t="n">
        <v>197077418.721</v>
      </c>
      <c r="AC29" t="n">
        <v>213309290.484</v>
      </c>
      <c r="AD29" t="n">
        <v>235457631.974</v>
      </c>
      <c r="AE29" t="n">
        <v>251058279.333</v>
      </c>
      <c r="AF29" t="n">
        <v>258947861.578</v>
      </c>
      <c r="AG29" t="n">
        <v>255344724.862</v>
      </c>
      <c r="AH29" t="n">
        <v>267140547.775</v>
      </c>
      <c r="AI29" t="n">
        <v>277095186.058</v>
      </c>
      <c r="AJ29" t="n">
        <v>285396852.734</v>
      </c>
      <c r="AK29" t="n">
        <v>305965032.463</v>
      </c>
      <c r="AL29" t="n">
        <v>303023350.025</v>
      </c>
      <c r="AM29" t="n">
        <v>325325290.225</v>
      </c>
      <c r="AN29" t="n">
        <v>344513197.465</v>
      </c>
      <c r="AO29" t="n">
        <v>334874219.625</v>
      </c>
      <c r="AP29" t="n">
        <v>357552252.99</v>
      </c>
      <c r="AQ29" t="n">
        <v>348356767.46</v>
      </c>
      <c r="AR29" t="n">
        <v>379850926.487</v>
      </c>
      <c r="AS29" t="n">
        <v>395603363.259</v>
      </c>
      <c r="AT29" t="n">
        <v>432393420.671</v>
      </c>
      <c r="AU29" t="n">
        <v>404657991.512</v>
      </c>
      <c r="AV29" t="n">
        <v>420790891.384</v>
      </c>
      <c r="AW29" t="n">
        <v>427677676.611</v>
      </c>
      <c r="AX29" t="n">
        <v>429355197.219</v>
      </c>
      <c r="AY29" t="n">
        <v>470477428.063</v>
      </c>
      <c r="AZ29" t="n">
        <v>447589282.803</v>
      </c>
      <c r="BA29" t="n">
        <v>482791251.941</v>
      </c>
      <c r="BB29" t="n">
        <v>460514981.414</v>
      </c>
      <c r="BC29" t="n">
        <v>503178912.98</v>
      </c>
      <c r="BD29" t="n">
        <v>510057065.329</v>
      </c>
      <c r="BE29" t="n">
        <v>526311061.581</v>
      </c>
      <c r="BF29" t="n">
        <v>503507366.841</v>
      </c>
      <c r="BG29" t="n">
        <v>521001852.721</v>
      </c>
      <c r="BH29" t="n">
        <v>549261361.502</v>
      </c>
      <c r="BI29" t="n">
        <v>516358060.964</v>
      </c>
      <c r="BJ29" t="n">
        <v>544853140.344</v>
      </c>
      <c r="BK29" t="n">
        <v>531345420.532</v>
      </c>
      <c r="BL29" t="n">
        <v>540070320.24</v>
      </c>
      <c r="BM29" t="n">
        <v>537248111.348</v>
      </c>
      <c r="BN29" t="n">
        <v>500941672.963</v>
      </c>
      <c r="BO29" t="n">
        <v>530078232.197</v>
      </c>
      <c r="BP29" t="n">
        <v>545015236.8430001</v>
      </c>
      <c r="BQ29" t="n">
        <v>567412518.934</v>
      </c>
      <c r="BR29" t="n">
        <v>574202469.7029999</v>
      </c>
      <c r="BS29" t="n">
        <v>541662508.226</v>
      </c>
      <c r="BT29" t="n">
        <v>588761960.8559999</v>
      </c>
    </row>
    <row r="30">
      <c r="A30" t="inlineStr">
        <is>
          <t>Ulanowicz_globalTEmean_catch</t>
        </is>
      </c>
      <c r="B30" t="inlineStr">
        <is>
          <t>ok</t>
        </is>
      </c>
      <c r="C30" t="n">
        <v>141467986.517</v>
      </c>
      <c r="D30" t="n">
        <v>145791672.462</v>
      </c>
      <c r="E30" t="n">
        <v>161263764.188</v>
      </c>
      <c r="F30" t="n">
        <v>152500147.718</v>
      </c>
      <c r="G30" t="n">
        <v>162848207.657</v>
      </c>
      <c r="H30" t="n">
        <v>172849968.506</v>
      </c>
      <c r="I30" t="n">
        <v>185930996.691</v>
      </c>
      <c r="J30" t="n">
        <v>178032580.174</v>
      </c>
      <c r="K30" t="n">
        <v>185030943.367</v>
      </c>
      <c r="L30" t="n">
        <v>192652673.298</v>
      </c>
      <c r="M30" t="n">
        <v>210072100.347</v>
      </c>
      <c r="N30" t="n">
        <v>222389638.089</v>
      </c>
      <c r="O30" t="n">
        <v>229248493.554</v>
      </c>
      <c r="P30" t="n">
        <v>230022875.665</v>
      </c>
      <c r="Q30" t="n">
        <v>250043385.758</v>
      </c>
      <c r="R30" t="n">
        <v>258082512.574</v>
      </c>
      <c r="S30" t="n">
        <v>275827199.394</v>
      </c>
      <c r="T30" t="n">
        <v>272604170.502</v>
      </c>
      <c r="U30" t="n">
        <v>309932477.981</v>
      </c>
      <c r="V30" t="n">
        <v>329492459.266</v>
      </c>
      <c r="W30" t="n">
        <v>301112366.325</v>
      </c>
      <c r="X30" t="n">
        <v>334186142.204</v>
      </c>
      <c r="Y30" t="n">
        <v>349098859.059</v>
      </c>
      <c r="Z30" t="n">
        <v>349498647.165</v>
      </c>
      <c r="AA30" t="n">
        <v>384304647.911</v>
      </c>
      <c r="AB30" t="n">
        <v>394704734.547</v>
      </c>
      <c r="AC30" t="n">
        <v>424268465.618</v>
      </c>
      <c r="AD30" t="n">
        <v>456271843.077</v>
      </c>
      <c r="AE30" t="n">
        <v>485923209.732</v>
      </c>
      <c r="AF30" t="n">
        <v>497873806.482</v>
      </c>
      <c r="AG30" t="n">
        <v>492844872.891</v>
      </c>
      <c r="AH30" t="n">
        <v>514550454.134</v>
      </c>
      <c r="AI30" t="n">
        <v>531109223.41</v>
      </c>
      <c r="AJ30" t="n">
        <v>547651442.452</v>
      </c>
      <c r="AK30" t="n">
        <v>585268213.092</v>
      </c>
      <c r="AL30" t="n">
        <v>577165242.383</v>
      </c>
      <c r="AM30" t="n">
        <v>616055286.628</v>
      </c>
      <c r="AN30" t="n">
        <v>659217057.924</v>
      </c>
      <c r="AO30" t="n">
        <v>640344842.39</v>
      </c>
      <c r="AP30" t="n">
        <v>686134900.327</v>
      </c>
      <c r="AQ30" t="n">
        <v>656585181.901</v>
      </c>
      <c r="AR30" t="n">
        <v>715197217.119</v>
      </c>
      <c r="AS30" t="n">
        <v>747822637.8789999</v>
      </c>
      <c r="AT30" t="n">
        <v>821632677.799</v>
      </c>
      <c r="AU30" t="n">
        <v>778553174.979</v>
      </c>
      <c r="AV30" t="n">
        <v>806588035.6900001</v>
      </c>
      <c r="AW30" t="n">
        <v>816981846.146</v>
      </c>
      <c r="AX30" t="n">
        <v>825158693.265</v>
      </c>
      <c r="AY30" t="n">
        <v>904009028.716</v>
      </c>
      <c r="AZ30" t="n">
        <v>864825059.018</v>
      </c>
      <c r="BA30" t="n">
        <v>929568613.36</v>
      </c>
      <c r="BB30" t="n">
        <v>874594164.3710001</v>
      </c>
      <c r="BC30" t="n">
        <v>963065558.761</v>
      </c>
      <c r="BD30" t="n">
        <v>971784157.085</v>
      </c>
      <c r="BE30" t="n">
        <v>1002268491.891</v>
      </c>
      <c r="BF30" t="n">
        <v>954431278.058</v>
      </c>
      <c r="BG30" t="n">
        <v>982789009.069</v>
      </c>
      <c r="BH30" t="n">
        <v>1040799196.445</v>
      </c>
      <c r="BI30" t="n">
        <v>972420251.357</v>
      </c>
      <c r="BJ30" t="n">
        <v>1023999265.544</v>
      </c>
      <c r="BK30" t="n">
        <v>998964373.147</v>
      </c>
      <c r="BL30" t="n">
        <v>1015905392.27</v>
      </c>
      <c r="BM30" t="n">
        <v>1010930104.908</v>
      </c>
      <c r="BN30" t="n">
        <v>936677483.442</v>
      </c>
      <c r="BO30" t="n">
        <v>1004060127.672</v>
      </c>
      <c r="BP30" t="n">
        <v>1031813578.327</v>
      </c>
      <c r="BQ30" t="n">
        <v>1075857799.677</v>
      </c>
      <c r="BR30" t="n">
        <v>1087641929.406</v>
      </c>
      <c r="BS30" t="n">
        <v>1026537744.338</v>
      </c>
      <c r="BT30" t="n">
        <v>1117188885.614</v>
      </c>
    </row>
    <row r="32">
      <c r="A32" t="inlineStr">
        <is>
          <t>Catch tonnage on a named group: 251,144,657 of 251,144,657 (100.0 %). Unresolved taxa contribute nothing to the model rows and everything to the simple row, so the two are not directly comparable until coverage is 100 %.</t>
        </is>
      </c>
    </row>
    <row r="33">
      <c r="A33" s="16" t="inlineStr">
        <is>
          <t>3 of 22 methods are flagged above. A flagged row is a property of this model under that method, not of the mapping; see model_health in the SPPR workbook.</t>
        </is>
      </c>
    </row>
    <row r="34">
      <c r="A34" t="inlineStr">
        <is>
          <t>Coverage by year, %:</t>
        </is>
      </c>
    </row>
    <row r="35">
      <c r="A35" t="inlineStr">
        <is>
          <t>catch on a named group, %</t>
        </is>
      </c>
      <c r="B35" t="inlineStr"/>
      <c r="C35" t="n">
        <v>100</v>
      </c>
      <c r="D35" t="n">
        <v>100</v>
      </c>
      <c r="E35" t="n">
        <v>100</v>
      </c>
      <c r="F35" t="n">
        <v>100</v>
      </c>
      <c r="G35" t="n">
        <v>100</v>
      </c>
      <c r="H35" t="n">
        <v>100</v>
      </c>
      <c r="I35" t="n">
        <v>100</v>
      </c>
      <c r="J35" t="n">
        <v>100</v>
      </c>
      <c r="K35" t="n">
        <v>100</v>
      </c>
      <c r="L35" t="n">
        <v>100</v>
      </c>
      <c r="M35" t="n">
        <v>100</v>
      </c>
      <c r="N35" t="n">
        <v>100</v>
      </c>
      <c r="O35" t="n">
        <v>100</v>
      </c>
      <c r="P35" t="n">
        <v>100</v>
      </c>
      <c r="Q35" t="n">
        <v>100</v>
      </c>
      <c r="R35" t="n">
        <v>100</v>
      </c>
      <c r="S35" t="n">
        <v>100</v>
      </c>
      <c r="T35" t="n">
        <v>100</v>
      </c>
      <c r="U35" t="n">
        <v>100</v>
      </c>
      <c r="V35" t="n">
        <v>100</v>
      </c>
      <c r="W35" t="n">
        <v>100</v>
      </c>
      <c r="X35" t="n">
        <v>100</v>
      </c>
      <c r="Y35" t="n">
        <v>100</v>
      </c>
      <c r="Z35" t="n">
        <v>100</v>
      </c>
      <c r="AA35" t="n">
        <v>100</v>
      </c>
      <c r="AB35" t="n">
        <v>100</v>
      </c>
      <c r="AC35" t="n">
        <v>100</v>
      </c>
      <c r="AD35" t="n">
        <v>100</v>
      </c>
      <c r="AE35" t="n">
        <v>100</v>
      </c>
      <c r="AF35" t="n">
        <v>100</v>
      </c>
      <c r="AG35" t="n">
        <v>100</v>
      </c>
      <c r="AH35" t="n">
        <v>100</v>
      </c>
      <c r="AI35" t="n">
        <v>100</v>
      </c>
      <c r="AJ35" t="n">
        <v>100</v>
      </c>
      <c r="AK35" t="n">
        <v>100</v>
      </c>
      <c r="AL35" t="n">
        <v>100</v>
      </c>
      <c r="AM35" t="n">
        <v>100</v>
      </c>
      <c r="AN35" t="n">
        <v>100</v>
      </c>
      <c r="AO35" t="n">
        <v>100</v>
      </c>
      <c r="AP35" t="n">
        <v>100</v>
      </c>
      <c r="AQ35" t="n">
        <v>100</v>
      </c>
      <c r="AR35" t="n">
        <v>100</v>
      </c>
      <c r="AS35" t="n">
        <v>100</v>
      </c>
      <c r="AT35" t="n">
        <v>100</v>
      </c>
      <c r="AU35" t="n">
        <v>100</v>
      </c>
      <c r="AV35" t="n">
        <v>100</v>
      </c>
      <c r="AW35" t="n">
        <v>100</v>
      </c>
      <c r="AX35" t="n">
        <v>100</v>
      </c>
      <c r="AY35" t="n">
        <v>100</v>
      </c>
      <c r="AZ35" t="n">
        <v>100</v>
      </c>
      <c r="BA35" t="n">
        <v>100</v>
      </c>
      <c r="BB35" t="n">
        <v>100</v>
      </c>
      <c r="BC35" t="n">
        <v>100</v>
      </c>
      <c r="BD35" t="n">
        <v>100</v>
      </c>
      <c r="BE35" t="n">
        <v>100</v>
      </c>
      <c r="BF35" t="n">
        <v>100</v>
      </c>
      <c r="BG35" t="n">
        <v>100</v>
      </c>
      <c r="BH35" t="n">
        <v>100</v>
      </c>
      <c r="BI35" t="n">
        <v>100</v>
      </c>
      <c r="BJ35" t="n">
        <v>100</v>
      </c>
      <c r="BK35" t="n">
        <v>100</v>
      </c>
      <c r="BL35" t="n">
        <v>100</v>
      </c>
      <c r="BM35" t="n">
        <v>100</v>
      </c>
      <c r="BN35" t="n">
        <v>100</v>
      </c>
      <c r="BO35" t="n">
        <v>100</v>
      </c>
      <c r="BP35" t="n">
        <v>100</v>
      </c>
      <c r="BQ35" t="n">
        <v>100</v>
      </c>
      <c r="BR35" t="n">
        <v>100</v>
      </c>
      <c r="BS35" t="n">
        <v>100</v>
      </c>
      <c r="BT35"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319"/>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40" customWidth="1" min="4" max="4"/>
    <col width="2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21" customWidth="1" min="18" max="18"/>
    <col width="21" customWidth="1" min="19" max="19"/>
    <col width="21" customWidth="1" min="20" max="20"/>
    <col width="21" customWidth="1" min="21" max="21"/>
    <col width="21" customWidth="1" min="22" max="22"/>
    <col width="21" customWidth="1" min="23" max="23"/>
    <col width="21" customWidth="1" min="24" max="24"/>
    <col width="21" customWidth="1" min="25" max="25"/>
    <col width="21" customWidth="1" min="26" max="26"/>
  </cols>
  <sheetData>
    <row r="1">
      <c r="A1" s="1" t="inlineStr">
        <is>
          <t>Specific PPR per taxon — LME_034, model 34_1_Bay_of_Bengal_(1978)</t>
        </is>
      </c>
    </row>
    <row r="2">
      <c r="A2" t="inlineStr">
        <is>
          <t>sppr_simple is the trophic-chain estimate (1/TE)^(TL-1) at TE=0.1, applied to the taxon's own trophic level and needing no model.</t>
        </is>
      </c>
    </row>
    <row r="3">
      <c r="A3" t="inlineStr">
        <is>
          <t>Primary producers only; excludes detritus and imports. Blank means unavailable, not zero. sppr_simple is an unpartitioned reference.</t>
        </is>
      </c>
    </row>
    <row r="4" ht="42" customHeight="1">
      <c r="A4" s="18" t="inlineStr">
        <is>
          <t>taxon</t>
        </is>
      </c>
      <c r="B4" s="18" t="inlineStr">
        <is>
          <t>trophic_level</t>
        </is>
      </c>
      <c r="C4" s="18" t="inlineStr">
        <is>
          <t>sppr_simple</t>
        </is>
      </c>
      <c r="D4" s="18" t="inlineStr">
        <is>
          <t>Ecopath group</t>
        </is>
      </c>
      <c r="E4" s="18" t="inlineStr">
        <is>
          <t>SPPR_1986</t>
        </is>
      </c>
      <c r="F4" s="18" t="inlineStr">
        <is>
          <t>SPPR_1995_TE0.1</t>
        </is>
      </c>
      <c r="G4" s="18" t="inlineStr">
        <is>
          <t>SPPR_1995_TEmean</t>
        </is>
      </c>
      <c r="H4" s="18" t="inlineStr">
        <is>
          <t>Ulanowicz_globalTEmean</t>
        </is>
      </c>
      <c r="I4" s="18" t="inlineStr">
        <is>
          <t>Ulanowicz_TE</t>
        </is>
      </c>
      <c r="J4" s="18" t="inlineStr">
        <is>
          <t>EwE_TE_noEE</t>
        </is>
      </c>
      <c r="K4" s="18" t="inlineStr">
        <is>
          <t>EwE_TE_EE</t>
        </is>
      </c>
      <c r="L4" s="18" t="inlineStr">
        <is>
          <t>SPPR_2015</t>
        </is>
      </c>
      <c r="M4" s="18" t="inlineStr">
        <is>
          <t>new_TE_noEEfix</t>
        </is>
      </c>
      <c r="N4" s="18" t="inlineStr">
        <is>
          <t>new_TE_EEfix</t>
        </is>
      </c>
      <c r="O4" s="18" t="inlineStr">
        <is>
          <t>new_GE</t>
        </is>
      </c>
      <c r="P4" s="18" t="inlineStr">
        <is>
          <t>new_WithEgestion</t>
        </is>
      </c>
      <c r="Q4" s="18" t="inlineStr">
        <is>
          <t>sym_TE_asPP</t>
        </is>
      </c>
      <c r="R4" s="18" t="inlineStr">
        <is>
          <t>sym_TE_asDC</t>
        </is>
      </c>
      <c r="S4" s="18" t="inlineStr">
        <is>
          <t>sym_GE_asPP</t>
        </is>
      </c>
      <c r="T4" s="18" t="inlineStr">
        <is>
          <t>sym_GE_asDC</t>
        </is>
      </c>
      <c r="U4" s="18" t="inlineStr">
        <is>
          <t>sym_WithEgestion_asPP</t>
        </is>
      </c>
      <c r="V4" s="18" t="inlineStr">
        <is>
          <t>sym_WithEgestion_asDC</t>
        </is>
      </c>
      <c r="W4" s="18" t="inlineStr">
        <is>
          <t>MC_new_GE</t>
        </is>
      </c>
      <c r="X4" s="18" t="inlineStr">
        <is>
          <t>MC_new_TE_EEfix</t>
        </is>
      </c>
      <c r="Y4" s="18" t="inlineStr">
        <is>
          <t>SPPR_1995_TEmean_catch</t>
        </is>
      </c>
      <c r="Z4" s="18" t="inlineStr">
        <is>
          <t>Ulanowicz_globalTEmean_catch</t>
        </is>
      </c>
    </row>
    <row r="5" ht="51" customHeight="1">
      <c r="A5" t="inlineStr">
        <is>
          <t>Marine fishes not identified</t>
        </is>
      </c>
      <c r="B5" t="n">
        <v>3.28</v>
      </c>
      <c r="C5" t="n">
        <v>190.546072</v>
      </c>
      <c r="D5" s="10" t="inlineStr">
        <is>
          <t>2 L pisc comm | 3 L pisc comm | 2 SM pisc | 3 SM pisc | 2 SM inv | 3 SM inv | 2 L pisc | 3 L pisc</t>
        </is>
      </c>
      <c r="H5" t="n">
        <v>401.182272</v>
      </c>
      <c r="I5" t="n">
        <v>161.066622</v>
      </c>
      <c r="J5" t="n">
        <v>203.41398</v>
      </c>
      <c r="K5" t="n">
        <v>187.098564</v>
      </c>
      <c r="L5" t="n">
        <v>1115.276449</v>
      </c>
      <c r="M5" t="n">
        <v>542.356782</v>
      </c>
      <c r="N5" t="n">
        <v>542.356782</v>
      </c>
      <c r="O5" t="n">
        <v>168.324309</v>
      </c>
      <c r="P5" t="n">
        <v>48.347801</v>
      </c>
      <c r="Q5" t="n">
        <v>542.356782</v>
      </c>
      <c r="R5" t="n">
        <v>30960.196986</v>
      </c>
      <c r="S5" t="n">
        <v>168.324309</v>
      </c>
      <c r="T5" t="n">
        <v>3692562.265406</v>
      </c>
      <c r="U5" t="n">
        <v>48.347801</v>
      </c>
      <c r="V5" t="n">
        <v>-802026680.735261</v>
      </c>
      <c r="W5" t="n">
        <v>215.021158</v>
      </c>
      <c r="X5" t="n">
        <v>704.973806</v>
      </c>
      <c r="Z5" t="n">
        <v>59.631896</v>
      </c>
    </row>
    <row r="6" ht="21" customHeight="1">
      <c r="A6" t="inlineStr">
        <is>
          <t>Penaeidae</t>
        </is>
      </c>
      <c r="B6" t="n">
        <v>3.31</v>
      </c>
      <c r="C6" t="n">
        <v>204.173794</v>
      </c>
      <c r="D6" s="10" t="inlineStr">
        <is>
          <t>2 Crustaceans | 3 Crustaceans</t>
        </is>
      </c>
      <c r="H6" t="n">
        <v>16.647547</v>
      </c>
      <c r="I6" t="n">
        <v>15.13996</v>
      </c>
      <c r="J6" t="n">
        <v>15.13996</v>
      </c>
      <c r="K6" t="n">
        <v>14.107486</v>
      </c>
      <c r="L6" t="n">
        <v>88.61683499999999</v>
      </c>
      <c r="M6" t="n">
        <v>30.998352</v>
      </c>
      <c r="N6" t="n">
        <v>30.998352</v>
      </c>
      <c r="O6" t="n">
        <v>15.004935</v>
      </c>
      <c r="P6" t="n">
        <v>7.795329</v>
      </c>
      <c r="Q6" t="n">
        <v>30.998352</v>
      </c>
      <c r="R6" t="n">
        <v>30.998352</v>
      </c>
      <c r="S6" t="n">
        <v>15.004935</v>
      </c>
      <c r="T6" t="n">
        <v>15.004935</v>
      </c>
      <c r="U6" t="n">
        <v>7.795329</v>
      </c>
      <c r="V6" t="n">
        <v>7.795329</v>
      </c>
      <c r="W6" t="n">
        <v>15.392557</v>
      </c>
      <c r="X6" t="n">
        <v>34.031508</v>
      </c>
      <c r="Z6" t="n">
        <v>6.196734</v>
      </c>
    </row>
    <row r="7" ht="21" customHeight="1">
      <c r="A7" t="inlineStr">
        <is>
          <t>Tenualosa ilisha</t>
        </is>
      </c>
      <c r="B7" t="n">
        <v>2.2</v>
      </c>
      <c r="C7" t="n">
        <v>15.848932</v>
      </c>
      <c r="D7" s="10" t="inlineStr">
        <is>
          <t>2-3 Hilsa</t>
        </is>
      </c>
      <c r="H7" t="n">
        <v>23.560064</v>
      </c>
      <c r="I7" t="n">
        <v>21.103549</v>
      </c>
      <c r="J7" t="n">
        <v>21.103549</v>
      </c>
      <c r="K7" t="n">
        <v>19.731818</v>
      </c>
      <c r="L7" t="n">
        <v>22.758135</v>
      </c>
      <c r="M7" t="n">
        <v>21.103549</v>
      </c>
      <c r="N7" t="n">
        <v>21.103549</v>
      </c>
      <c r="O7" t="n">
        <v>7.089398</v>
      </c>
      <c r="P7" t="n">
        <v>4.870813</v>
      </c>
      <c r="Q7" t="n">
        <v>21.103549</v>
      </c>
      <c r="R7" t="n">
        <v>21.103549</v>
      </c>
      <c r="S7" t="n">
        <v>7.089398</v>
      </c>
      <c r="T7" t="n">
        <v>7.089398</v>
      </c>
      <c r="U7" t="n">
        <v>4.870813</v>
      </c>
      <c r="V7" t="n">
        <v>4.870813</v>
      </c>
      <c r="W7" t="n">
        <v>7.31875</v>
      </c>
      <c r="X7" t="n">
        <v>20.841773</v>
      </c>
      <c r="Z7" t="n">
        <v>9.909916000000001</v>
      </c>
    </row>
    <row r="8" ht="21" customHeight="1">
      <c r="A8" t="inlineStr">
        <is>
          <t>Sciaenidae</t>
        </is>
      </c>
      <c r="B8" t="n">
        <v>3.76</v>
      </c>
      <c r="C8" t="n">
        <v>575.439937</v>
      </c>
      <c r="D8" s="10" t="inlineStr">
        <is>
          <t>2 L pisc comm | 3 L pisc comm</t>
        </is>
      </c>
      <c r="H8" t="n">
        <v>801.308671</v>
      </c>
      <c r="I8" t="n">
        <v>347.219292</v>
      </c>
      <c r="J8" t="n">
        <v>442.467638</v>
      </c>
      <c r="K8" t="n">
        <v>402.262611</v>
      </c>
      <c r="L8" t="n">
        <v>2161.417589</v>
      </c>
      <c r="M8" t="n">
        <v>1083.958638</v>
      </c>
      <c r="N8" t="n">
        <v>1083.958638</v>
      </c>
      <c r="O8" t="n">
        <v>300.122309</v>
      </c>
      <c r="P8" t="n">
        <v>80.463222</v>
      </c>
      <c r="Q8" t="n">
        <v>1083.958638</v>
      </c>
      <c r="R8" t="n">
        <v>4211.040307</v>
      </c>
      <c r="S8" t="n">
        <v>300.122309</v>
      </c>
      <c r="T8" t="n">
        <v>24938830.515997</v>
      </c>
      <c r="U8" t="n">
        <v>80.463222</v>
      </c>
      <c r="V8" t="n">
        <v>-1116515115.800599</v>
      </c>
      <c r="W8" t="n">
        <v>379.777929</v>
      </c>
      <c r="X8" t="n">
        <v>1380.363646</v>
      </c>
      <c r="Z8" t="n">
        <v>105.373581</v>
      </c>
    </row>
    <row r="9" ht="21" customHeight="1">
      <c r="A9" t="inlineStr">
        <is>
          <t>Rastrelliger</t>
        </is>
      </c>
      <c r="B9" t="n">
        <v>3.1</v>
      </c>
      <c r="C9" t="n">
        <v>125.892541</v>
      </c>
      <c r="D9" s="10" t="inlineStr">
        <is>
          <t>2-3 Indian mackerel</t>
        </is>
      </c>
      <c r="H9" t="n">
        <v>81.674466</v>
      </c>
      <c r="I9" t="n">
        <v>50.243902</v>
      </c>
      <c r="J9" t="n">
        <v>51.321822</v>
      </c>
      <c r="K9" t="n">
        <v>47.934582</v>
      </c>
      <c r="L9" t="n">
        <v>293.256288</v>
      </c>
      <c r="M9" t="n">
        <v>140.367561</v>
      </c>
      <c r="N9" t="n">
        <v>140.367561</v>
      </c>
      <c r="O9" t="n">
        <v>59.076692</v>
      </c>
      <c r="P9" t="n">
        <v>22.762753</v>
      </c>
      <c r="Q9" t="n">
        <v>140.367561</v>
      </c>
      <c r="R9" t="n">
        <v>120.097116</v>
      </c>
      <c r="S9" t="n">
        <v>59.076692</v>
      </c>
      <c r="T9" t="n">
        <v>57.409804</v>
      </c>
      <c r="U9" t="n">
        <v>22.762753</v>
      </c>
      <c r="V9" t="n">
        <v>26.268752</v>
      </c>
      <c r="W9" t="n">
        <v>77.040372</v>
      </c>
      <c r="X9" t="n">
        <v>199.182117</v>
      </c>
      <c r="Z9" t="n">
        <v>22.263317</v>
      </c>
    </row>
    <row r="10" ht="21" customHeight="1">
      <c r="A10" t="inlineStr">
        <is>
          <t>Leiognathidae</t>
        </is>
      </c>
      <c r="B10" t="n">
        <v>3.24</v>
      </c>
      <c r="C10" t="n">
        <v>173.780083</v>
      </c>
      <c r="D10" s="10" t="inlineStr">
        <is>
          <t>2 SM inv | 3 SM inv</t>
        </is>
      </c>
      <c r="H10" t="n">
        <v>91.813177</v>
      </c>
      <c r="I10" t="n">
        <v>52.413336</v>
      </c>
      <c r="J10" t="n">
        <v>62.649384</v>
      </c>
      <c r="K10" t="n">
        <v>58.645949</v>
      </c>
      <c r="L10" t="n">
        <v>358.382548</v>
      </c>
      <c r="M10" t="n">
        <v>163.84463</v>
      </c>
      <c r="N10" t="n">
        <v>163.84463</v>
      </c>
      <c r="O10" t="n">
        <v>65.16087</v>
      </c>
      <c r="P10" t="n">
        <v>23.726562</v>
      </c>
      <c r="Q10" t="n">
        <v>163.84463</v>
      </c>
      <c r="R10" t="n">
        <v>27231.721784</v>
      </c>
      <c r="S10" t="n">
        <v>65.16087</v>
      </c>
      <c r="T10" t="n">
        <v>247011.21003</v>
      </c>
      <c r="U10" t="n">
        <v>23.726562</v>
      </c>
      <c r="V10" t="n">
        <v>-1608691.090535</v>
      </c>
      <c r="W10" t="n">
        <v>85.655771</v>
      </c>
      <c r="X10" t="n">
        <v>226.381866</v>
      </c>
      <c r="Z10" t="n">
        <v>23.837652</v>
      </c>
    </row>
    <row r="11" ht="21" customHeight="1">
      <c r="A11" t="inlineStr">
        <is>
          <t>Clupeiformes</t>
        </is>
      </c>
      <c r="B11" t="n">
        <v>3.24</v>
      </c>
      <c r="C11" t="n">
        <v>173.780083</v>
      </c>
      <c r="D11" s="10" t="inlineStr">
        <is>
          <t>2 S pelagics | 3 S pelagics</t>
        </is>
      </c>
      <c r="H11" t="n">
        <v>93.087237</v>
      </c>
      <c r="I11" t="n">
        <v>47.55691</v>
      </c>
      <c r="J11" t="n">
        <v>60.271203</v>
      </c>
      <c r="K11" t="n">
        <v>56.323134</v>
      </c>
      <c r="L11" t="n">
        <v>234.01812</v>
      </c>
      <c r="M11" t="n">
        <v>119.363868</v>
      </c>
      <c r="N11" t="n">
        <v>119.363868</v>
      </c>
      <c r="O11" t="n">
        <v>45.511558</v>
      </c>
      <c r="P11" t="n">
        <v>18.627065</v>
      </c>
      <c r="Q11" t="n">
        <v>119.363868</v>
      </c>
      <c r="R11" t="n">
        <v>-24383.104584</v>
      </c>
      <c r="S11" t="n">
        <v>45.511558</v>
      </c>
      <c r="T11" t="n">
        <v>262858.692163</v>
      </c>
      <c r="U11" t="n">
        <v>18.627065</v>
      </c>
      <c r="V11" t="n">
        <v>-4562944.327372</v>
      </c>
      <c r="W11" t="n">
        <v>52.667461</v>
      </c>
      <c r="X11" t="n">
        <v>147.16235</v>
      </c>
      <c r="Z11" t="n">
        <v>27.466663</v>
      </c>
    </row>
    <row r="12" ht="21" customHeight="1">
      <c r="A12" t="inlineStr">
        <is>
          <t>Carangidae</t>
        </is>
      </c>
      <c r="B12" t="n">
        <v>4.05</v>
      </c>
      <c r="C12" t="n">
        <v>1122.018454</v>
      </c>
      <c r="D12" s="10" t="inlineStr">
        <is>
          <t>2 Carangids | 3 Carangids</t>
        </is>
      </c>
      <c r="H12" t="n">
        <v>873.328216</v>
      </c>
      <c r="I12" t="n">
        <v>372.556809</v>
      </c>
      <c r="J12" t="n">
        <v>434.163448</v>
      </c>
      <c r="K12" t="n">
        <v>417.767363</v>
      </c>
      <c r="L12" t="n">
        <v>2160.134294</v>
      </c>
      <c r="M12" t="n">
        <v>1099.323673</v>
      </c>
      <c r="N12" t="n">
        <v>1099.323673</v>
      </c>
      <c r="O12" t="n">
        <v>332.917647</v>
      </c>
      <c r="P12" t="n">
        <v>90.527957</v>
      </c>
      <c r="Q12" t="n">
        <v>1099.323673</v>
      </c>
      <c r="R12" t="n">
        <v>1849500.59807</v>
      </c>
      <c r="S12" t="n">
        <v>332.917647</v>
      </c>
      <c r="T12" t="n">
        <v>19894910.028919</v>
      </c>
      <c r="U12" t="n">
        <v>90.527957</v>
      </c>
      <c r="V12" t="n">
        <v>-89296314.013887</v>
      </c>
      <c r="W12" t="n">
        <v>429.68266</v>
      </c>
      <c r="X12" t="n">
        <v>1415.097656</v>
      </c>
      <c r="Z12" t="n">
        <v>125.139702</v>
      </c>
    </row>
    <row r="13" ht="21" customHeight="1">
      <c r="A13" t="inlineStr">
        <is>
          <t>Nemipteridae</t>
        </is>
      </c>
      <c r="B13" t="n">
        <v>3.51</v>
      </c>
      <c r="C13" t="n">
        <v>323.593657</v>
      </c>
      <c r="D13" s="10" t="inlineStr">
        <is>
          <t>2 SM pisc | 3 SM pisc</t>
        </is>
      </c>
      <c r="H13" t="n">
        <v>243.94607</v>
      </c>
      <c r="I13" t="n">
        <v>108.349841</v>
      </c>
      <c r="J13" t="n">
        <v>154.909098</v>
      </c>
      <c r="K13" t="n">
        <v>147.163643</v>
      </c>
      <c r="L13" t="n">
        <v>954.7607</v>
      </c>
      <c r="M13" t="n">
        <v>447.937281</v>
      </c>
      <c r="N13" t="n">
        <v>447.937281</v>
      </c>
      <c r="O13" t="n">
        <v>152.63502</v>
      </c>
      <c r="P13" t="n">
        <v>45.95733</v>
      </c>
      <c r="Q13" t="n">
        <v>447.937281</v>
      </c>
      <c r="R13" t="n">
        <v>-7864.592041</v>
      </c>
      <c r="S13" t="n">
        <v>152.63502</v>
      </c>
      <c r="T13" t="n">
        <v>791067.821395</v>
      </c>
      <c r="U13" t="n">
        <v>45.95733</v>
      </c>
      <c r="V13" t="n">
        <v>-22992541.193563</v>
      </c>
      <c r="W13" t="n">
        <v>192.62905</v>
      </c>
      <c r="X13" t="n">
        <v>583.6561809999999</v>
      </c>
      <c r="Z13" t="n">
        <v>48.362824</v>
      </c>
    </row>
    <row r="14" ht="21" customHeight="1">
      <c r="A14" t="inlineStr">
        <is>
          <t>Clupeidae</t>
        </is>
      </c>
      <c r="B14" t="n">
        <v>3.16</v>
      </c>
      <c r="C14" t="n">
        <v>144.543977</v>
      </c>
      <c r="D14" s="10" t="inlineStr">
        <is>
          <t>2 S pelagics | 3 S pelagics</t>
        </is>
      </c>
      <c r="H14" t="n">
        <v>93.087237</v>
      </c>
      <c r="I14" t="n">
        <v>47.55691</v>
      </c>
      <c r="J14" t="n">
        <v>60.271203</v>
      </c>
      <c r="K14" t="n">
        <v>56.323134</v>
      </c>
      <c r="L14" t="n">
        <v>234.01812</v>
      </c>
      <c r="M14" t="n">
        <v>119.363868</v>
      </c>
      <c r="N14" t="n">
        <v>119.363868</v>
      </c>
      <c r="O14" t="n">
        <v>45.511558</v>
      </c>
      <c r="P14" t="n">
        <v>18.627065</v>
      </c>
      <c r="Q14" t="n">
        <v>119.363868</v>
      </c>
      <c r="R14" t="n">
        <v>-24383.104584</v>
      </c>
      <c r="S14" t="n">
        <v>45.511558</v>
      </c>
      <c r="T14" t="n">
        <v>262858.692163</v>
      </c>
      <c r="U14" t="n">
        <v>18.627065</v>
      </c>
      <c r="V14" t="n">
        <v>-4562944.327372</v>
      </c>
      <c r="W14" t="n">
        <v>52.667461</v>
      </c>
      <c r="X14" t="n">
        <v>147.16235</v>
      </c>
      <c r="Z14" t="n">
        <v>27.466663</v>
      </c>
    </row>
    <row r="15" ht="21" customHeight="1">
      <c r="A15" t="inlineStr">
        <is>
          <t>Rastrelliger kanagurta</t>
        </is>
      </c>
      <c r="B15" t="n">
        <v>3.19</v>
      </c>
      <c r="C15" t="n">
        <v>154.881662</v>
      </c>
      <c r="D15" s="10" t="inlineStr">
        <is>
          <t>2-3 Indian mackerel</t>
        </is>
      </c>
      <c r="H15" t="n">
        <v>81.674466</v>
      </c>
      <c r="I15" t="n">
        <v>50.243902</v>
      </c>
      <c r="J15" t="n">
        <v>51.321822</v>
      </c>
      <c r="K15" t="n">
        <v>47.934582</v>
      </c>
      <c r="L15" t="n">
        <v>293.256288</v>
      </c>
      <c r="M15" t="n">
        <v>140.367561</v>
      </c>
      <c r="N15" t="n">
        <v>140.367561</v>
      </c>
      <c r="O15" t="n">
        <v>59.076692</v>
      </c>
      <c r="P15" t="n">
        <v>22.762753</v>
      </c>
      <c r="Q15" t="n">
        <v>140.367561</v>
      </c>
      <c r="R15" t="n">
        <v>120.097116</v>
      </c>
      <c r="S15" t="n">
        <v>59.076692</v>
      </c>
      <c r="T15" t="n">
        <v>57.409804</v>
      </c>
      <c r="U15" t="n">
        <v>22.762753</v>
      </c>
      <c r="V15" t="n">
        <v>26.268752</v>
      </c>
      <c r="W15" t="n">
        <v>77.040372</v>
      </c>
      <c r="X15" t="n">
        <v>199.182117</v>
      </c>
      <c r="Z15" t="n">
        <v>22.263317</v>
      </c>
    </row>
    <row r="16" ht="21" customHeight="1">
      <c r="A16" t="inlineStr">
        <is>
          <t>Stolephorus</t>
        </is>
      </c>
      <c r="B16" t="n">
        <v>3.44</v>
      </c>
      <c r="C16" t="n">
        <v>275.42287</v>
      </c>
      <c r="D16" s="10" t="inlineStr">
        <is>
          <t>2 S pelagics | 3 S pelagics</t>
        </is>
      </c>
      <c r="H16" t="n">
        <v>93.087237</v>
      </c>
      <c r="I16" t="n">
        <v>47.55691</v>
      </c>
      <c r="J16" t="n">
        <v>60.271203</v>
      </c>
      <c r="K16" t="n">
        <v>56.323134</v>
      </c>
      <c r="L16" t="n">
        <v>234.01812</v>
      </c>
      <c r="M16" t="n">
        <v>119.363868</v>
      </c>
      <c r="N16" t="n">
        <v>119.363868</v>
      </c>
      <c r="O16" t="n">
        <v>45.511558</v>
      </c>
      <c r="P16" t="n">
        <v>18.627065</v>
      </c>
      <c r="Q16" t="n">
        <v>119.363868</v>
      </c>
      <c r="R16" t="n">
        <v>-24383.104584</v>
      </c>
      <c r="S16" t="n">
        <v>45.511558</v>
      </c>
      <c r="T16" t="n">
        <v>262858.692163</v>
      </c>
      <c r="U16" t="n">
        <v>18.627065</v>
      </c>
      <c r="V16" t="n">
        <v>-4562944.327372</v>
      </c>
      <c r="W16" t="n">
        <v>52.667461</v>
      </c>
      <c r="X16" t="n">
        <v>147.16235</v>
      </c>
      <c r="Z16" t="n">
        <v>27.466663</v>
      </c>
    </row>
    <row r="17" ht="21" customHeight="1">
      <c r="A17" t="inlineStr">
        <is>
          <t>Harpadon nehereus</t>
        </is>
      </c>
      <c r="B17" t="n">
        <v>4.2</v>
      </c>
      <c r="C17" t="n">
        <v>1584.893192</v>
      </c>
      <c r="D17" s="10" t="inlineStr">
        <is>
          <t>2 L pisc comm | 3 L pisc comm</t>
        </is>
      </c>
      <c r="H17" t="n">
        <v>801.308671</v>
      </c>
      <c r="I17" t="n">
        <v>347.219292</v>
      </c>
      <c r="J17" t="n">
        <v>442.467638</v>
      </c>
      <c r="K17" t="n">
        <v>402.262611</v>
      </c>
      <c r="L17" t="n">
        <v>2161.417589</v>
      </c>
      <c r="M17" t="n">
        <v>1083.958638</v>
      </c>
      <c r="N17" t="n">
        <v>1083.958638</v>
      </c>
      <c r="O17" t="n">
        <v>300.122309</v>
      </c>
      <c r="P17" t="n">
        <v>80.463222</v>
      </c>
      <c r="Q17" t="n">
        <v>1083.958638</v>
      </c>
      <c r="R17" t="n">
        <v>4211.040307</v>
      </c>
      <c r="S17" t="n">
        <v>300.122309</v>
      </c>
      <c r="T17" t="n">
        <v>24938830.515997</v>
      </c>
      <c r="U17" t="n">
        <v>80.463222</v>
      </c>
      <c r="V17" t="n">
        <v>-1116515115.800599</v>
      </c>
      <c r="W17" t="n">
        <v>379.777929</v>
      </c>
      <c r="X17" t="n">
        <v>1380.363646</v>
      </c>
      <c r="Z17" t="n">
        <v>105.373581</v>
      </c>
    </row>
    <row r="18" ht="21" customHeight="1">
      <c r="A18" t="inlineStr">
        <is>
          <t>Engraulidae</t>
        </is>
      </c>
      <c r="B18" t="n">
        <v>3.2</v>
      </c>
      <c r="C18" t="n">
        <v>158.489319</v>
      </c>
      <c r="D18" s="10" t="inlineStr">
        <is>
          <t>2 S pelagics | 3 S pelagics</t>
        </is>
      </c>
      <c r="H18" t="n">
        <v>93.087237</v>
      </c>
      <c r="I18" t="n">
        <v>47.55691</v>
      </c>
      <c r="J18" t="n">
        <v>60.271203</v>
      </c>
      <c r="K18" t="n">
        <v>56.323134</v>
      </c>
      <c r="L18" t="n">
        <v>234.01812</v>
      </c>
      <c r="M18" t="n">
        <v>119.363868</v>
      </c>
      <c r="N18" t="n">
        <v>119.363868</v>
      </c>
      <c r="O18" t="n">
        <v>45.511558</v>
      </c>
      <c r="P18" t="n">
        <v>18.627065</v>
      </c>
      <c r="Q18" t="n">
        <v>119.363868</v>
      </c>
      <c r="R18" t="n">
        <v>-24383.104584</v>
      </c>
      <c r="S18" t="n">
        <v>45.511558</v>
      </c>
      <c r="T18" t="n">
        <v>262858.692163</v>
      </c>
      <c r="U18" t="n">
        <v>18.627065</v>
      </c>
      <c r="V18" t="n">
        <v>-4562944.327372</v>
      </c>
      <c r="W18" t="n">
        <v>52.667461</v>
      </c>
      <c r="X18" t="n">
        <v>147.16235</v>
      </c>
      <c r="Z18" t="n">
        <v>27.466663</v>
      </c>
    </row>
    <row r="19" ht="21" customHeight="1">
      <c r="A19" t="inlineStr">
        <is>
          <t>Acetes</t>
        </is>
      </c>
      <c r="B19" t="n">
        <v>2.7</v>
      </c>
      <c r="C19" t="n">
        <v>50.118723</v>
      </c>
      <c r="D19" s="10" t="inlineStr">
        <is>
          <t>2 Crustaceans | 3 Crustaceans</t>
        </is>
      </c>
      <c r="H19" t="n">
        <v>16.647547</v>
      </c>
      <c r="I19" t="n">
        <v>15.13996</v>
      </c>
      <c r="J19" t="n">
        <v>15.13996</v>
      </c>
      <c r="K19" t="n">
        <v>14.107486</v>
      </c>
      <c r="L19" t="n">
        <v>88.61683499999999</v>
      </c>
      <c r="M19" t="n">
        <v>30.998352</v>
      </c>
      <c r="N19" t="n">
        <v>30.998352</v>
      </c>
      <c r="O19" t="n">
        <v>15.004935</v>
      </c>
      <c r="P19" t="n">
        <v>7.795329</v>
      </c>
      <c r="Q19" t="n">
        <v>30.998352</v>
      </c>
      <c r="R19" t="n">
        <v>30.998352</v>
      </c>
      <c r="S19" t="n">
        <v>15.004935</v>
      </c>
      <c r="T19" t="n">
        <v>15.004935</v>
      </c>
      <c r="U19" t="n">
        <v>7.795329</v>
      </c>
      <c r="V19" t="n">
        <v>7.795329</v>
      </c>
      <c r="W19" t="n">
        <v>15.392557</v>
      </c>
      <c r="X19" t="n">
        <v>34.031508</v>
      </c>
      <c r="Z19" t="n">
        <v>6.196734</v>
      </c>
    </row>
    <row r="20" ht="36" customHeight="1">
      <c r="A20" t="inlineStr">
        <is>
          <t>Elasmobranchii</t>
        </is>
      </c>
      <c r="B20" t="n">
        <v>4.05</v>
      </c>
      <c r="C20" t="n">
        <v>1122.018454</v>
      </c>
      <c r="D20" s="10" t="inlineStr">
        <is>
          <t>Oceanic sharks | Coastal elasmobranch</t>
        </is>
      </c>
      <c r="H20" t="n">
        <v>4551.983566</v>
      </c>
      <c r="I20" t="n">
        <v>1849.529344</v>
      </c>
      <c r="J20" t="n">
        <v>2128.477647</v>
      </c>
      <c r="K20" t="n">
        <v>1617.722937</v>
      </c>
      <c r="L20" t="n">
        <v>18853.580958</v>
      </c>
      <c r="M20" t="n">
        <v>9369.706081</v>
      </c>
      <c r="N20" t="n">
        <v>9369.706081</v>
      </c>
      <c r="O20" t="n">
        <v>1729.015754</v>
      </c>
      <c r="P20" t="n">
        <v>320.600611</v>
      </c>
      <c r="Q20" t="n">
        <v>9369.706081</v>
      </c>
      <c r="R20" t="n">
        <v>86435005.18098401</v>
      </c>
      <c r="S20" t="n">
        <v>1729.015754</v>
      </c>
      <c r="T20" t="n">
        <v>5096235.486271</v>
      </c>
      <c r="U20" t="n">
        <v>320.600611</v>
      </c>
      <c r="V20" t="n">
        <v>3.597654801811849e+22</v>
      </c>
      <c r="W20" t="n">
        <v>2273.980267</v>
      </c>
      <c r="X20" t="n">
        <v>12560.590538</v>
      </c>
      <c r="Z20" t="n">
        <v>319.730135</v>
      </c>
    </row>
    <row r="21" ht="51" customHeight="1">
      <c r="A21" t="inlineStr">
        <is>
          <t>Ariidae</t>
        </is>
      </c>
      <c r="B21" t="n">
        <v>3.48</v>
      </c>
      <c r="C21" t="n">
        <v>301.995172</v>
      </c>
      <c r="D21" s="10" t="inlineStr">
        <is>
          <t>2 Milkfish plus | 3 Milkfish plus | 2 SM inv | 3 SM inv | 2 SM pisc | 3 SM pisc</t>
        </is>
      </c>
      <c r="H21" t="n">
        <v>164.610009</v>
      </c>
      <c r="I21" t="n">
        <v>79.82512199999999</v>
      </c>
      <c r="J21" t="n">
        <v>110.809385</v>
      </c>
      <c r="K21" t="n">
        <v>104.238579</v>
      </c>
      <c r="L21" t="n">
        <v>656.241385</v>
      </c>
      <c r="M21" t="n">
        <v>304.896774</v>
      </c>
      <c r="N21" t="n">
        <v>304.896774</v>
      </c>
      <c r="O21" t="n">
        <v>108.116601</v>
      </c>
      <c r="P21" t="n">
        <v>34.737019</v>
      </c>
      <c r="Q21" t="n">
        <v>304.896774</v>
      </c>
      <c r="R21" t="n">
        <v>33548.180817</v>
      </c>
      <c r="S21" t="n">
        <v>108.116601</v>
      </c>
      <c r="T21" t="n">
        <v>497284.600834</v>
      </c>
      <c r="U21" t="n">
        <v>34.737019</v>
      </c>
      <c r="V21" t="n">
        <v>-18453496.132209</v>
      </c>
      <c r="W21" t="n">
        <v>138.943936</v>
      </c>
      <c r="X21" t="n">
        <v>406.396809</v>
      </c>
      <c r="Z21" t="n">
        <v>34.883759</v>
      </c>
    </row>
    <row r="22" ht="21" customHeight="1">
      <c r="A22" t="inlineStr">
        <is>
          <t>Decapterus</t>
        </is>
      </c>
      <c r="B22" t="n">
        <v>3.63</v>
      </c>
      <c r="C22" t="n">
        <v>426.579519</v>
      </c>
      <c r="D22" s="10" t="inlineStr">
        <is>
          <t>2 Carangids | 3 Carangids</t>
        </is>
      </c>
      <c r="H22" t="n">
        <v>873.328216</v>
      </c>
      <c r="I22" t="n">
        <v>372.556809</v>
      </c>
      <c r="J22" t="n">
        <v>434.163448</v>
      </c>
      <c r="K22" t="n">
        <v>417.767363</v>
      </c>
      <c r="L22" t="n">
        <v>2160.134294</v>
      </c>
      <c r="M22" t="n">
        <v>1099.323673</v>
      </c>
      <c r="N22" t="n">
        <v>1099.323673</v>
      </c>
      <c r="O22" t="n">
        <v>332.917647</v>
      </c>
      <c r="P22" t="n">
        <v>90.527957</v>
      </c>
      <c r="Q22" t="n">
        <v>1099.323673</v>
      </c>
      <c r="R22" t="n">
        <v>1849500.59807</v>
      </c>
      <c r="S22" t="n">
        <v>332.917647</v>
      </c>
      <c r="T22" t="n">
        <v>19894910.028919</v>
      </c>
      <c r="U22" t="n">
        <v>90.527957</v>
      </c>
      <c r="V22" t="n">
        <v>-89296314.013887</v>
      </c>
      <c r="W22" t="n">
        <v>429.68266</v>
      </c>
      <c r="X22" t="n">
        <v>1415.097656</v>
      </c>
      <c r="Z22" t="n">
        <v>125.139702</v>
      </c>
    </row>
    <row r="23" ht="21" customHeight="1">
      <c r="A23" t="inlineStr">
        <is>
          <t>Synodontidae</t>
        </is>
      </c>
      <c r="B23" t="n">
        <v>4.3</v>
      </c>
      <c r="C23" t="n">
        <v>1995.262315</v>
      </c>
      <c r="D23" s="10" t="inlineStr">
        <is>
          <t>2 L pisc comm | 3 L pisc comm</t>
        </is>
      </c>
      <c r="H23" t="n">
        <v>801.308671</v>
      </c>
      <c r="I23" t="n">
        <v>347.219292</v>
      </c>
      <c r="J23" t="n">
        <v>442.467638</v>
      </c>
      <c r="K23" t="n">
        <v>402.262611</v>
      </c>
      <c r="L23" t="n">
        <v>2161.417589</v>
      </c>
      <c r="M23" t="n">
        <v>1083.958638</v>
      </c>
      <c r="N23" t="n">
        <v>1083.958638</v>
      </c>
      <c r="O23" t="n">
        <v>300.122309</v>
      </c>
      <c r="P23" t="n">
        <v>80.463222</v>
      </c>
      <c r="Q23" t="n">
        <v>1083.958638</v>
      </c>
      <c r="R23" t="n">
        <v>4211.040307</v>
      </c>
      <c r="S23" t="n">
        <v>300.122309</v>
      </c>
      <c r="T23" t="n">
        <v>24938830.515997</v>
      </c>
      <c r="U23" t="n">
        <v>80.463222</v>
      </c>
      <c r="V23" t="n">
        <v>-1116515115.800599</v>
      </c>
      <c r="W23" t="n">
        <v>379.777929</v>
      </c>
      <c r="X23" t="n">
        <v>1380.363646</v>
      </c>
      <c r="Z23" t="n">
        <v>105.373581</v>
      </c>
    </row>
    <row r="24" ht="21" customHeight="1">
      <c r="A24" t="inlineStr">
        <is>
          <t>Sardinella</t>
        </is>
      </c>
      <c r="B24" t="n">
        <v>2.77</v>
      </c>
      <c r="C24" t="n">
        <v>58.884366</v>
      </c>
      <c r="D24" s="10" t="inlineStr">
        <is>
          <t>2 S pelagics | 3 S pelagics</t>
        </is>
      </c>
      <c r="H24" t="n">
        <v>93.087237</v>
      </c>
      <c r="I24" t="n">
        <v>47.55691</v>
      </c>
      <c r="J24" t="n">
        <v>60.271203</v>
      </c>
      <c r="K24" t="n">
        <v>56.323134</v>
      </c>
      <c r="L24" t="n">
        <v>234.01812</v>
      </c>
      <c r="M24" t="n">
        <v>119.363868</v>
      </c>
      <c r="N24" t="n">
        <v>119.363868</v>
      </c>
      <c r="O24" t="n">
        <v>45.511558</v>
      </c>
      <c r="P24" t="n">
        <v>18.627065</v>
      </c>
      <c r="Q24" t="n">
        <v>119.363868</v>
      </c>
      <c r="R24" t="n">
        <v>-24383.104584</v>
      </c>
      <c r="S24" t="n">
        <v>45.511558</v>
      </c>
      <c r="T24" t="n">
        <v>262858.692163</v>
      </c>
      <c r="U24" t="n">
        <v>18.627065</v>
      </c>
      <c r="V24" t="n">
        <v>-4562944.327372</v>
      </c>
      <c r="W24" t="n">
        <v>52.667461</v>
      </c>
      <c r="X24" t="n">
        <v>147.16235</v>
      </c>
      <c r="Z24" t="n">
        <v>27.466663</v>
      </c>
    </row>
    <row r="25" ht="21" customHeight="1">
      <c r="A25" t="inlineStr">
        <is>
          <t>Sardinella longiceps</t>
        </is>
      </c>
      <c r="B25" t="n">
        <v>2.41</v>
      </c>
      <c r="C25" t="n">
        <v>25.703958</v>
      </c>
      <c r="D25" s="10" t="inlineStr">
        <is>
          <t>2 S pelagics | 3 S pelagics</t>
        </is>
      </c>
      <c r="H25" t="n">
        <v>93.087237</v>
      </c>
      <c r="I25" t="n">
        <v>47.55691</v>
      </c>
      <c r="J25" t="n">
        <v>60.271203</v>
      </c>
      <c r="K25" t="n">
        <v>56.323134</v>
      </c>
      <c r="L25" t="n">
        <v>234.01812</v>
      </c>
      <c r="M25" t="n">
        <v>119.363868</v>
      </c>
      <c r="N25" t="n">
        <v>119.363868</v>
      </c>
      <c r="O25" t="n">
        <v>45.511558</v>
      </c>
      <c r="P25" t="n">
        <v>18.627065</v>
      </c>
      <c r="Q25" t="n">
        <v>119.363868</v>
      </c>
      <c r="R25" t="n">
        <v>-24383.104584</v>
      </c>
      <c r="S25" t="n">
        <v>45.511558</v>
      </c>
      <c r="T25" t="n">
        <v>262858.692163</v>
      </c>
      <c r="U25" t="n">
        <v>18.627065</v>
      </c>
      <c r="V25" t="n">
        <v>-4562944.327372</v>
      </c>
      <c r="W25" t="n">
        <v>52.667461</v>
      </c>
      <c r="X25" t="n">
        <v>147.16235</v>
      </c>
      <c r="Z25" t="n">
        <v>27.466663</v>
      </c>
    </row>
    <row r="26" ht="36" customHeight="1">
      <c r="A26" t="inlineStr">
        <is>
          <t>Scombridae</t>
        </is>
      </c>
      <c r="B26" t="n">
        <v>4.26</v>
      </c>
      <c r="C26" t="n">
        <v>1819.700859</v>
      </c>
      <c r="D26" s="10" t="inlineStr">
        <is>
          <t>Tuna-like | Coastal scombrids | 2-3 Indian mackerel</t>
        </is>
      </c>
      <c r="H26" t="n">
        <v>806.147102</v>
      </c>
      <c r="I26" t="n">
        <v>346.824868</v>
      </c>
      <c r="J26" t="n">
        <v>402.895844</v>
      </c>
      <c r="K26" t="n">
        <v>271.224159</v>
      </c>
      <c r="L26" t="n">
        <v>2122.26798</v>
      </c>
      <c r="M26" t="n">
        <v>1053.051714</v>
      </c>
      <c r="N26" t="n">
        <v>1053.051714</v>
      </c>
      <c r="O26" t="n">
        <v>237.930993</v>
      </c>
      <c r="P26" t="n">
        <v>63.286871</v>
      </c>
      <c r="Q26" t="n">
        <v>1053.051714</v>
      </c>
      <c r="R26" t="n">
        <v>344302.470323</v>
      </c>
      <c r="S26" t="n">
        <v>237.930993</v>
      </c>
      <c r="T26" t="n">
        <v>-14026757.688771</v>
      </c>
      <c r="U26" t="n">
        <v>63.286871</v>
      </c>
      <c r="V26" t="n">
        <v>-5.492243261890351e+18</v>
      </c>
      <c r="W26" t="n">
        <v>305.430147</v>
      </c>
      <c r="X26" t="n">
        <v>1393.469123</v>
      </c>
      <c r="Z26" t="n">
        <v>93.768477</v>
      </c>
    </row>
    <row r="27" ht="21" customHeight="1">
      <c r="A27" t="inlineStr">
        <is>
          <t>Anguilliformes</t>
        </is>
      </c>
      <c r="B27" t="n">
        <v>3.89</v>
      </c>
      <c r="C27" t="n">
        <v>776.247117</v>
      </c>
      <c r="D27" s="10" t="inlineStr">
        <is>
          <t>2 L pisc | 3 L pisc</t>
        </is>
      </c>
      <c r="H27" t="n">
        <v>1686.007244</v>
      </c>
      <c r="I27" t="n">
        <v>562.291264</v>
      </c>
      <c r="J27" t="n">
        <v>667.421881</v>
      </c>
      <c r="K27" t="n">
        <v>600.679693</v>
      </c>
      <c r="L27" t="n">
        <v>3541.417618</v>
      </c>
      <c r="M27" t="n">
        <v>1779.674544</v>
      </c>
      <c r="N27" t="n">
        <v>1779.674544</v>
      </c>
      <c r="O27" t="n">
        <v>491.036533</v>
      </c>
      <c r="P27" t="n">
        <v>120.796851</v>
      </c>
      <c r="Q27" t="n">
        <v>1779.674544</v>
      </c>
      <c r="R27" t="n">
        <v>183794.440851</v>
      </c>
      <c r="S27" t="n">
        <v>491.036533</v>
      </c>
      <c r="T27" t="n">
        <v>5645299.035557</v>
      </c>
      <c r="U27" t="n">
        <v>120.796851</v>
      </c>
      <c r="V27" t="n">
        <v>-5887325720.988076</v>
      </c>
      <c r="W27" t="n">
        <v>628.114208</v>
      </c>
      <c r="X27" t="n">
        <v>2283.896043</v>
      </c>
      <c r="Z27" t="n">
        <v>188.595494</v>
      </c>
    </row>
    <row r="28" ht="21" customHeight="1">
      <c r="A28" t="inlineStr">
        <is>
          <t>Decapoda</t>
        </is>
      </c>
      <c r="B28" t="n">
        <v>3.43</v>
      </c>
      <c r="C28" t="n">
        <v>269.15348</v>
      </c>
      <c r="D28" s="10" t="inlineStr">
        <is>
          <t>2 Crustaceans | 3 Crustaceans</t>
        </is>
      </c>
      <c r="H28" t="n">
        <v>16.647547</v>
      </c>
      <c r="I28" t="n">
        <v>15.13996</v>
      </c>
      <c r="J28" t="n">
        <v>15.13996</v>
      </c>
      <c r="K28" t="n">
        <v>14.107486</v>
      </c>
      <c r="L28" t="n">
        <v>88.61683499999999</v>
      </c>
      <c r="M28" t="n">
        <v>30.998352</v>
      </c>
      <c r="N28" t="n">
        <v>30.998352</v>
      </c>
      <c r="O28" t="n">
        <v>15.004935</v>
      </c>
      <c r="P28" t="n">
        <v>7.795329</v>
      </c>
      <c r="Q28" t="n">
        <v>30.998352</v>
      </c>
      <c r="R28" t="n">
        <v>30.998352</v>
      </c>
      <c r="S28" t="n">
        <v>15.004935</v>
      </c>
      <c r="T28" t="n">
        <v>15.004935</v>
      </c>
      <c r="U28" t="n">
        <v>7.795329</v>
      </c>
      <c r="V28" t="n">
        <v>7.795329</v>
      </c>
      <c r="W28" t="n">
        <v>15.392557</v>
      </c>
      <c r="X28" t="n">
        <v>34.031508</v>
      </c>
      <c r="Z28" t="n">
        <v>6.196734</v>
      </c>
    </row>
    <row r="29" ht="21" customHeight="1">
      <c r="A29" t="inlineStr">
        <is>
          <t>Megalaspis cordyla</t>
        </is>
      </c>
      <c r="B29" t="n">
        <v>4.24</v>
      </c>
      <c r="C29" t="n">
        <v>1737.800829</v>
      </c>
      <c r="D29" s="10" t="inlineStr">
        <is>
          <t>2 Carangids | 3 Carangids</t>
        </is>
      </c>
      <c r="H29" t="n">
        <v>873.328216</v>
      </c>
      <c r="I29" t="n">
        <v>372.556809</v>
      </c>
      <c r="J29" t="n">
        <v>434.163448</v>
      </c>
      <c r="K29" t="n">
        <v>417.767363</v>
      </c>
      <c r="L29" t="n">
        <v>2160.134294</v>
      </c>
      <c r="M29" t="n">
        <v>1099.323673</v>
      </c>
      <c r="N29" t="n">
        <v>1099.323673</v>
      </c>
      <c r="O29" t="n">
        <v>332.917647</v>
      </c>
      <c r="P29" t="n">
        <v>90.527957</v>
      </c>
      <c r="Q29" t="n">
        <v>1099.323673</v>
      </c>
      <c r="R29" t="n">
        <v>1849500.59807</v>
      </c>
      <c r="S29" t="n">
        <v>332.917647</v>
      </c>
      <c r="T29" t="n">
        <v>19894910.028919</v>
      </c>
      <c r="U29" t="n">
        <v>90.527957</v>
      </c>
      <c r="V29" t="n">
        <v>-89296314.013887</v>
      </c>
      <c r="W29" t="n">
        <v>429.68266</v>
      </c>
      <c r="X29" t="n">
        <v>1415.097656</v>
      </c>
      <c r="Z29" t="n">
        <v>125.139702</v>
      </c>
    </row>
    <row r="30" ht="21" customHeight="1">
      <c r="A30" t="inlineStr">
        <is>
          <t>Pampus argenteus</t>
        </is>
      </c>
      <c r="B30" t="n">
        <v>3.3</v>
      </c>
      <c r="C30" t="n">
        <v>199.526231</v>
      </c>
      <c r="D30" s="10" t="inlineStr">
        <is>
          <t>2 SM inv | 3 SM inv</t>
        </is>
      </c>
      <c r="H30" t="n">
        <v>91.813177</v>
      </c>
      <c r="I30" t="n">
        <v>52.413336</v>
      </c>
      <c r="J30" t="n">
        <v>62.649384</v>
      </c>
      <c r="K30" t="n">
        <v>58.645949</v>
      </c>
      <c r="L30" t="n">
        <v>358.382548</v>
      </c>
      <c r="M30" t="n">
        <v>163.84463</v>
      </c>
      <c r="N30" t="n">
        <v>163.84463</v>
      </c>
      <c r="O30" t="n">
        <v>65.16087</v>
      </c>
      <c r="P30" t="n">
        <v>23.726562</v>
      </c>
      <c r="Q30" t="n">
        <v>163.84463</v>
      </c>
      <c r="R30" t="n">
        <v>27231.721784</v>
      </c>
      <c r="S30" t="n">
        <v>65.16087</v>
      </c>
      <c r="T30" t="n">
        <v>247011.21003</v>
      </c>
      <c r="U30" t="n">
        <v>23.726562</v>
      </c>
      <c r="V30" t="n">
        <v>-1608691.090535</v>
      </c>
      <c r="W30" t="n">
        <v>85.655771</v>
      </c>
      <c r="X30" t="n">
        <v>226.381866</v>
      </c>
      <c r="Z30" t="n">
        <v>23.837652</v>
      </c>
    </row>
    <row r="31" ht="21" customHeight="1">
      <c r="A31" t="inlineStr">
        <is>
          <t>Bivalvia</t>
        </is>
      </c>
      <c r="B31" t="n">
        <v>2.23</v>
      </c>
      <c r="C31" t="n">
        <v>16.982437</v>
      </c>
      <c r="D31" s="10" t="inlineStr">
        <is>
          <t>2 Macrobenthos | 3 Macrobenthos</t>
        </is>
      </c>
      <c r="H31" t="n">
        <v>14.010241</v>
      </c>
      <c r="I31" t="n">
        <v>13.386848</v>
      </c>
      <c r="J31" t="n">
        <v>13.386848</v>
      </c>
      <c r="K31" t="n">
        <v>12.189342</v>
      </c>
      <c r="L31" t="n">
        <v>106.719149</v>
      </c>
      <c r="M31" t="n">
        <v>46.737687</v>
      </c>
      <c r="N31" t="n">
        <v>46.737687</v>
      </c>
      <c r="O31" t="n">
        <v>22.234823</v>
      </c>
      <c r="P31" t="n">
        <v>9.814845999999999</v>
      </c>
      <c r="Q31" t="n">
        <v>46.737687</v>
      </c>
      <c r="R31" t="n">
        <v>46.737687</v>
      </c>
      <c r="S31" t="n">
        <v>22.234823</v>
      </c>
      <c r="T31" t="n">
        <v>22.234823</v>
      </c>
      <c r="U31" t="n">
        <v>9.814845999999999</v>
      </c>
      <c r="V31" t="n">
        <v>9.814845999999999</v>
      </c>
      <c r="W31" t="n">
        <v>30.831021</v>
      </c>
      <c r="X31" t="n">
        <v>72.485857</v>
      </c>
      <c r="Z31" t="n">
        <v>5.642741</v>
      </c>
    </row>
    <row r="32" ht="21" customHeight="1">
      <c r="A32" t="inlineStr">
        <is>
          <t>Cephalopoda</t>
        </is>
      </c>
      <c r="B32" t="n">
        <v>3.81</v>
      </c>
      <c r="C32" t="n">
        <v>645.654229</v>
      </c>
      <c r="D32" s="10" t="inlineStr">
        <is>
          <t>Cephalopods</t>
        </is>
      </c>
      <c r="H32" t="n">
        <v>511.74881</v>
      </c>
      <c r="I32" t="n">
        <v>216.918809</v>
      </c>
      <c r="J32" t="n">
        <v>263.00192</v>
      </c>
      <c r="K32" t="n">
        <v>236.701728</v>
      </c>
      <c r="L32" t="n">
        <v>1154.79452</v>
      </c>
      <c r="M32" t="n">
        <v>584.6118269999999</v>
      </c>
      <c r="N32" t="n">
        <v>584.6118269999999</v>
      </c>
      <c r="O32" t="n">
        <v>163.325284</v>
      </c>
      <c r="P32" t="n">
        <v>47.00536</v>
      </c>
      <c r="Q32" t="n">
        <v>584.6118269999999</v>
      </c>
      <c r="R32" t="n">
        <v>-11656.405165</v>
      </c>
      <c r="S32" t="n">
        <v>163.325284</v>
      </c>
      <c r="T32" t="n">
        <v>14308.189116</v>
      </c>
      <c r="U32" t="n">
        <v>47.00536</v>
      </c>
      <c r="V32" t="n">
        <v>-49576.380182</v>
      </c>
      <c r="W32" t="n">
        <v>207.310309</v>
      </c>
      <c r="X32" t="n">
        <v>739.3279659999999</v>
      </c>
      <c r="Z32" t="n">
        <v>83.68045600000001</v>
      </c>
    </row>
    <row r="33" ht="21" customHeight="1">
      <c r="A33" t="inlineStr">
        <is>
          <t>Cephea</t>
        </is>
      </c>
      <c r="B33" t="n">
        <v>3.46</v>
      </c>
      <c r="C33" t="n">
        <v>288.40315</v>
      </c>
      <c r="D33" s="10" t="inlineStr">
        <is>
          <t>Jellyfish</t>
        </is>
      </c>
      <c r="H33" t="n">
        <v>71.445972</v>
      </c>
      <c r="I33" t="n">
        <v>392.817059</v>
      </c>
      <c r="J33" t="n">
        <v>392.817059</v>
      </c>
      <c r="K33" t="n">
        <v>25.925926</v>
      </c>
      <c r="L33" t="n">
        <v>392.817059</v>
      </c>
      <c r="M33" t="n">
        <v>392.817059</v>
      </c>
      <c r="N33" t="n">
        <v>392.817059</v>
      </c>
      <c r="O33" t="n">
        <v>15.555556</v>
      </c>
      <c r="P33" t="n">
        <v>9.955556</v>
      </c>
      <c r="Q33" t="n">
        <v>392.817059</v>
      </c>
      <c r="R33" t="n">
        <v>392.817059</v>
      </c>
      <c r="S33" t="n">
        <v>15.555556</v>
      </c>
      <c r="T33" t="n">
        <v>15.555556</v>
      </c>
      <c r="U33" t="n">
        <v>9.955556</v>
      </c>
      <c r="V33" t="n">
        <v>9.955556</v>
      </c>
      <c r="W33" t="n">
        <v>15.908519</v>
      </c>
      <c r="X33" t="n">
        <v>405.819791</v>
      </c>
      <c r="Z33" t="n">
        <v>26.883496</v>
      </c>
    </row>
    <row r="34" ht="21" customHeight="1">
      <c r="A34" t="inlineStr">
        <is>
          <t>Miscellaneous marine crustaceans</t>
        </is>
      </c>
      <c r="B34" t="n">
        <v>2.7</v>
      </c>
      <c r="C34" t="n">
        <v>50.118723</v>
      </c>
      <c r="D34" s="10" t="inlineStr">
        <is>
          <t>2 Crustaceans | 3 Crustaceans</t>
        </is>
      </c>
      <c r="H34" t="n">
        <v>16.647547</v>
      </c>
      <c r="I34" t="n">
        <v>15.13996</v>
      </c>
      <c r="J34" t="n">
        <v>15.13996</v>
      </c>
      <c r="K34" t="n">
        <v>14.107486</v>
      </c>
      <c r="L34" t="n">
        <v>88.61683499999999</v>
      </c>
      <c r="M34" t="n">
        <v>30.998352</v>
      </c>
      <c r="N34" t="n">
        <v>30.998352</v>
      </c>
      <c r="O34" t="n">
        <v>15.004935</v>
      </c>
      <c r="P34" t="n">
        <v>7.795329</v>
      </c>
      <c r="Q34" t="n">
        <v>30.998352</v>
      </c>
      <c r="R34" t="n">
        <v>30.998352</v>
      </c>
      <c r="S34" t="n">
        <v>15.004935</v>
      </c>
      <c r="T34" t="n">
        <v>15.004935</v>
      </c>
      <c r="U34" t="n">
        <v>7.795329</v>
      </c>
      <c r="V34" t="n">
        <v>7.795329</v>
      </c>
      <c r="W34" t="n">
        <v>15.392557</v>
      </c>
      <c r="X34" t="n">
        <v>34.031508</v>
      </c>
      <c r="Z34" t="n">
        <v>6.196734</v>
      </c>
    </row>
    <row r="35" ht="21" customHeight="1">
      <c r="A35" t="inlineStr">
        <is>
          <t>Scomberomorus</t>
        </is>
      </c>
      <c r="B35" t="n">
        <v>4.35</v>
      </c>
      <c r="C35" t="n">
        <v>2238.721139</v>
      </c>
      <c r="D35" s="10" t="inlineStr">
        <is>
          <t>Coastal scombrids</t>
        </is>
      </c>
      <c r="H35" t="n">
        <v>2147.494807</v>
      </c>
      <c r="I35" t="n">
        <v>968.897292</v>
      </c>
      <c r="J35" t="n">
        <v>1141.782334</v>
      </c>
      <c r="K35" t="n">
        <v>682.785836</v>
      </c>
      <c r="L35" t="n">
        <v>5797.992045</v>
      </c>
      <c r="M35" t="n">
        <v>2877.683424</v>
      </c>
      <c r="N35" t="n">
        <v>2877.683424</v>
      </c>
      <c r="O35" t="n">
        <v>566.1491569999999</v>
      </c>
      <c r="P35" t="n">
        <v>140.36865</v>
      </c>
      <c r="Q35" t="n">
        <v>2877.683424</v>
      </c>
      <c r="R35" t="n">
        <v>807621.7416600001</v>
      </c>
      <c r="S35" t="n">
        <v>566.1491569999999</v>
      </c>
      <c r="T35" t="n">
        <v>-50402915.268695</v>
      </c>
      <c r="U35" t="n">
        <v>140.36865</v>
      </c>
      <c r="V35" t="n">
        <v>-2.053794932427448e+19</v>
      </c>
      <c r="W35" t="n">
        <v>719.397057</v>
      </c>
      <c r="X35" t="n">
        <v>3792.756934</v>
      </c>
      <c r="Z35" t="n">
        <v>232.918062</v>
      </c>
    </row>
    <row r="36" ht="21" customHeight="1">
      <c r="A36" t="inlineStr">
        <is>
          <t>Platycephalidae</t>
        </is>
      </c>
      <c r="B36" t="n">
        <v>3.9</v>
      </c>
      <c r="C36" t="n">
        <v>794.3282349999999</v>
      </c>
      <c r="D36" s="10" t="inlineStr">
        <is>
          <t>2 L pisc | 3 L pisc</t>
        </is>
      </c>
      <c r="H36" t="n">
        <v>1686.007244</v>
      </c>
      <c r="I36" t="n">
        <v>562.291264</v>
      </c>
      <c r="J36" t="n">
        <v>667.421881</v>
      </c>
      <c r="K36" t="n">
        <v>600.679693</v>
      </c>
      <c r="L36" t="n">
        <v>3541.417618</v>
      </c>
      <c r="M36" t="n">
        <v>1779.674544</v>
      </c>
      <c r="N36" t="n">
        <v>1779.674544</v>
      </c>
      <c r="O36" t="n">
        <v>491.036533</v>
      </c>
      <c r="P36" t="n">
        <v>120.796851</v>
      </c>
      <c r="Q36" t="n">
        <v>1779.674544</v>
      </c>
      <c r="R36" t="n">
        <v>183794.440851</v>
      </c>
      <c r="S36" t="n">
        <v>491.036533</v>
      </c>
      <c r="T36" t="n">
        <v>5645299.035557</v>
      </c>
      <c r="U36" t="n">
        <v>120.796851</v>
      </c>
      <c r="V36" t="n">
        <v>-5887325720.988076</v>
      </c>
      <c r="W36" t="n">
        <v>628.114208</v>
      </c>
      <c r="X36" t="n">
        <v>2283.896043</v>
      </c>
      <c r="Z36" t="n">
        <v>188.595494</v>
      </c>
    </row>
    <row r="37" ht="21" customHeight="1">
      <c r="A37" t="inlineStr">
        <is>
          <t>Selaroides leptolepis</t>
        </is>
      </c>
      <c r="B37" t="n">
        <v>3.84</v>
      </c>
      <c r="C37" t="n">
        <v>691.830971</v>
      </c>
      <c r="D37" s="10" t="inlineStr">
        <is>
          <t>2 SM inv | 3 SM inv</t>
        </is>
      </c>
      <c r="H37" t="n">
        <v>91.813177</v>
      </c>
      <c r="I37" t="n">
        <v>52.413336</v>
      </c>
      <c r="J37" t="n">
        <v>62.649384</v>
      </c>
      <c r="K37" t="n">
        <v>58.645949</v>
      </c>
      <c r="L37" t="n">
        <v>358.382548</v>
      </c>
      <c r="M37" t="n">
        <v>163.84463</v>
      </c>
      <c r="N37" t="n">
        <v>163.84463</v>
      </c>
      <c r="O37" t="n">
        <v>65.16087</v>
      </c>
      <c r="P37" t="n">
        <v>23.726562</v>
      </c>
      <c r="Q37" t="n">
        <v>163.84463</v>
      </c>
      <c r="R37" t="n">
        <v>27231.721784</v>
      </c>
      <c r="S37" t="n">
        <v>65.16087</v>
      </c>
      <c r="T37" t="n">
        <v>247011.21003</v>
      </c>
      <c r="U37" t="n">
        <v>23.726562</v>
      </c>
      <c r="V37" t="n">
        <v>-1608691.090535</v>
      </c>
      <c r="W37" t="n">
        <v>85.655771</v>
      </c>
      <c r="X37" t="n">
        <v>226.381866</v>
      </c>
      <c r="Z37" t="n">
        <v>23.837652</v>
      </c>
    </row>
    <row r="38" ht="21" customHeight="1">
      <c r="A38" t="inlineStr">
        <is>
          <t>Parastromateus niger</t>
        </is>
      </c>
      <c r="B38" t="n">
        <v>2.93</v>
      </c>
      <c r="C38" t="n">
        <v>85.113804</v>
      </c>
      <c r="D38" s="10" t="inlineStr">
        <is>
          <t>2 Carangids | 3 Carangids</t>
        </is>
      </c>
      <c r="H38" t="n">
        <v>873.328216</v>
      </c>
      <c r="I38" t="n">
        <v>372.556809</v>
      </c>
      <c r="J38" t="n">
        <v>434.163448</v>
      </c>
      <c r="K38" t="n">
        <v>417.767363</v>
      </c>
      <c r="L38" t="n">
        <v>2160.134294</v>
      </c>
      <c r="M38" t="n">
        <v>1099.323673</v>
      </c>
      <c r="N38" t="n">
        <v>1099.323673</v>
      </c>
      <c r="O38" t="n">
        <v>332.917647</v>
      </c>
      <c r="P38" t="n">
        <v>90.527957</v>
      </c>
      <c r="Q38" t="n">
        <v>1099.323673</v>
      </c>
      <c r="R38" t="n">
        <v>1849500.59807</v>
      </c>
      <c r="S38" t="n">
        <v>332.917647</v>
      </c>
      <c r="T38" t="n">
        <v>19894910.028919</v>
      </c>
      <c r="U38" t="n">
        <v>90.527957</v>
      </c>
      <c r="V38" t="n">
        <v>-89296314.013887</v>
      </c>
      <c r="W38" t="n">
        <v>429.68266</v>
      </c>
      <c r="X38" t="n">
        <v>1415.097656</v>
      </c>
      <c r="Z38" t="n">
        <v>125.139702</v>
      </c>
    </row>
    <row r="39" ht="21" customHeight="1">
      <c r="A39" t="inlineStr">
        <is>
          <t>Nemipterus</t>
        </is>
      </c>
      <c r="B39" t="n">
        <v>3.72</v>
      </c>
      <c r="C39" t="n">
        <v>524.80746</v>
      </c>
      <c r="D39" s="10" t="inlineStr">
        <is>
          <t>2 SM pisc | 3 SM pisc</t>
        </is>
      </c>
      <c r="H39" t="n">
        <v>243.94607</v>
      </c>
      <c r="I39" t="n">
        <v>108.349841</v>
      </c>
      <c r="J39" t="n">
        <v>154.909098</v>
      </c>
      <c r="K39" t="n">
        <v>147.163643</v>
      </c>
      <c r="L39" t="n">
        <v>954.7607</v>
      </c>
      <c r="M39" t="n">
        <v>447.937281</v>
      </c>
      <c r="N39" t="n">
        <v>447.937281</v>
      </c>
      <c r="O39" t="n">
        <v>152.63502</v>
      </c>
      <c r="P39" t="n">
        <v>45.95733</v>
      </c>
      <c r="Q39" t="n">
        <v>447.937281</v>
      </c>
      <c r="R39" t="n">
        <v>-7864.592041</v>
      </c>
      <c r="S39" t="n">
        <v>152.63502</v>
      </c>
      <c r="T39" t="n">
        <v>791067.821395</v>
      </c>
      <c r="U39" t="n">
        <v>45.95733</v>
      </c>
      <c r="V39" t="n">
        <v>-22992541.193563</v>
      </c>
      <c r="W39" t="n">
        <v>192.62905</v>
      </c>
      <c r="X39" t="n">
        <v>583.6561809999999</v>
      </c>
      <c r="Z39" t="n">
        <v>48.362824</v>
      </c>
    </row>
    <row r="40" ht="21" customHeight="1">
      <c r="A40" t="inlineStr">
        <is>
          <t>Chirocentrus</t>
        </is>
      </c>
      <c r="B40" t="n">
        <v>4.3</v>
      </c>
      <c r="C40" t="n">
        <v>1995.262315</v>
      </c>
      <c r="D40" s="10" t="inlineStr">
        <is>
          <t>2 L pisc | 3 L pisc</t>
        </is>
      </c>
      <c r="H40" t="n">
        <v>1686.007244</v>
      </c>
      <c r="I40" t="n">
        <v>562.291264</v>
      </c>
      <c r="J40" t="n">
        <v>667.421881</v>
      </c>
      <c r="K40" t="n">
        <v>600.679693</v>
      </c>
      <c r="L40" t="n">
        <v>3541.417618</v>
      </c>
      <c r="M40" t="n">
        <v>1779.674544</v>
      </c>
      <c r="N40" t="n">
        <v>1779.674544</v>
      </c>
      <c r="O40" t="n">
        <v>491.036533</v>
      </c>
      <c r="P40" t="n">
        <v>120.796851</v>
      </c>
      <c r="Q40" t="n">
        <v>1779.674544</v>
      </c>
      <c r="R40" t="n">
        <v>183794.440851</v>
      </c>
      <c r="S40" t="n">
        <v>491.036533</v>
      </c>
      <c r="T40" t="n">
        <v>5645299.035557</v>
      </c>
      <c r="U40" t="n">
        <v>120.796851</v>
      </c>
      <c r="V40" t="n">
        <v>-5887325720.988076</v>
      </c>
      <c r="W40" t="n">
        <v>628.114208</v>
      </c>
      <c r="X40" t="n">
        <v>2283.896043</v>
      </c>
      <c r="Z40" t="n">
        <v>188.595494</v>
      </c>
    </row>
    <row r="41" ht="51" customHeight="1">
      <c r="A41" t="inlineStr">
        <is>
          <t>Siluriformes</t>
        </is>
      </c>
      <c r="B41" t="n">
        <v>3.48</v>
      </c>
      <c r="C41" t="n">
        <v>301.995172</v>
      </c>
      <c r="D41" s="10" t="inlineStr">
        <is>
          <t>2 Milkfish plus | 3 Milkfish plus | 2 SM inv | 3 SM inv | 2 SM pisc | 3 SM pisc</t>
        </is>
      </c>
      <c r="H41" t="n">
        <v>164.610009</v>
      </c>
      <c r="I41" t="n">
        <v>79.82512199999999</v>
      </c>
      <c r="J41" t="n">
        <v>110.809385</v>
      </c>
      <c r="K41" t="n">
        <v>104.238579</v>
      </c>
      <c r="L41" t="n">
        <v>656.241385</v>
      </c>
      <c r="M41" t="n">
        <v>304.896774</v>
      </c>
      <c r="N41" t="n">
        <v>304.896774</v>
      </c>
      <c r="O41" t="n">
        <v>108.116601</v>
      </c>
      <c r="P41" t="n">
        <v>34.737019</v>
      </c>
      <c r="Q41" t="n">
        <v>304.896774</v>
      </c>
      <c r="R41" t="n">
        <v>33548.180817</v>
      </c>
      <c r="S41" t="n">
        <v>108.116601</v>
      </c>
      <c r="T41" t="n">
        <v>497284.600834</v>
      </c>
      <c r="U41" t="n">
        <v>34.737019</v>
      </c>
      <c r="V41" t="n">
        <v>-18453496.132209</v>
      </c>
      <c r="W41" t="n">
        <v>138.943936</v>
      </c>
      <c r="X41" t="n">
        <v>406.396809</v>
      </c>
      <c r="Z41" t="n">
        <v>34.883759</v>
      </c>
    </row>
    <row r="42" ht="21" customHeight="1">
      <c r="A42" t="inlineStr">
        <is>
          <t>Dendrobranchiata</t>
        </is>
      </c>
      <c r="B42" t="n">
        <v>3.24</v>
      </c>
      <c r="C42" t="n">
        <v>173.780083</v>
      </c>
      <c r="D42" s="10" t="inlineStr">
        <is>
          <t>2 Crustaceans | 3 Crustaceans</t>
        </is>
      </c>
      <c r="H42" t="n">
        <v>16.647547</v>
      </c>
      <c r="I42" t="n">
        <v>15.13996</v>
      </c>
      <c r="J42" t="n">
        <v>15.13996</v>
      </c>
      <c r="K42" t="n">
        <v>14.107486</v>
      </c>
      <c r="L42" t="n">
        <v>88.61683499999999</v>
      </c>
      <c r="M42" t="n">
        <v>30.998352</v>
      </c>
      <c r="N42" t="n">
        <v>30.998352</v>
      </c>
      <c r="O42" t="n">
        <v>15.004935</v>
      </c>
      <c r="P42" t="n">
        <v>7.795329</v>
      </c>
      <c r="Q42" t="n">
        <v>30.998352</v>
      </c>
      <c r="R42" t="n">
        <v>30.998352</v>
      </c>
      <c r="S42" t="n">
        <v>15.004935</v>
      </c>
      <c r="T42" t="n">
        <v>15.004935</v>
      </c>
      <c r="U42" t="n">
        <v>7.795329</v>
      </c>
      <c r="V42" t="n">
        <v>7.795329</v>
      </c>
      <c r="W42" t="n">
        <v>15.392557</v>
      </c>
      <c r="X42" t="n">
        <v>34.031508</v>
      </c>
      <c r="Z42" t="n">
        <v>6.196734</v>
      </c>
    </row>
    <row r="43" ht="21" customHeight="1">
      <c r="A43" t="inlineStr">
        <is>
          <t>Pennahia</t>
        </is>
      </c>
      <c r="B43" t="n">
        <v>3.73</v>
      </c>
      <c r="C43" t="n">
        <v>537.031796</v>
      </c>
      <c r="D43" s="10" t="inlineStr">
        <is>
          <t>2 L pisc comm | 3 L pisc comm</t>
        </is>
      </c>
      <c r="H43" t="n">
        <v>801.308671</v>
      </c>
      <c r="I43" t="n">
        <v>347.219292</v>
      </c>
      <c r="J43" t="n">
        <v>442.467638</v>
      </c>
      <c r="K43" t="n">
        <v>402.262611</v>
      </c>
      <c r="L43" t="n">
        <v>2161.417589</v>
      </c>
      <c r="M43" t="n">
        <v>1083.958638</v>
      </c>
      <c r="N43" t="n">
        <v>1083.958638</v>
      </c>
      <c r="O43" t="n">
        <v>300.122309</v>
      </c>
      <c r="P43" t="n">
        <v>80.463222</v>
      </c>
      <c r="Q43" t="n">
        <v>1083.958638</v>
      </c>
      <c r="R43" t="n">
        <v>4211.040307</v>
      </c>
      <c r="S43" t="n">
        <v>300.122309</v>
      </c>
      <c r="T43" t="n">
        <v>24938830.515997</v>
      </c>
      <c r="U43" t="n">
        <v>80.463222</v>
      </c>
      <c r="V43" t="n">
        <v>-1116515115.800599</v>
      </c>
      <c r="W43" t="n">
        <v>379.777929</v>
      </c>
      <c r="X43" t="n">
        <v>1380.363646</v>
      </c>
      <c r="Z43" t="n">
        <v>105.373581</v>
      </c>
    </row>
    <row r="44" ht="21" customHeight="1">
      <c r="A44" t="inlineStr">
        <is>
          <t>Trichiuridae</t>
        </is>
      </c>
      <c r="B44" t="n">
        <v>4.15</v>
      </c>
      <c r="C44" t="n">
        <v>1412.537545</v>
      </c>
      <c r="D44" s="10" t="inlineStr">
        <is>
          <t>2 L pisc | 3 L pisc</t>
        </is>
      </c>
      <c r="H44" t="n">
        <v>1686.007244</v>
      </c>
      <c r="I44" t="n">
        <v>562.291264</v>
      </c>
      <c r="J44" t="n">
        <v>667.421881</v>
      </c>
      <c r="K44" t="n">
        <v>600.679693</v>
      </c>
      <c r="L44" t="n">
        <v>3541.417618</v>
      </c>
      <c r="M44" t="n">
        <v>1779.674544</v>
      </c>
      <c r="N44" t="n">
        <v>1779.674544</v>
      </c>
      <c r="O44" t="n">
        <v>491.036533</v>
      </c>
      <c r="P44" t="n">
        <v>120.796851</v>
      </c>
      <c r="Q44" t="n">
        <v>1779.674544</v>
      </c>
      <c r="R44" t="n">
        <v>183794.440851</v>
      </c>
      <c r="S44" t="n">
        <v>491.036533</v>
      </c>
      <c r="T44" t="n">
        <v>5645299.035557</v>
      </c>
      <c r="U44" t="n">
        <v>120.796851</v>
      </c>
      <c r="V44" t="n">
        <v>-5887325720.988076</v>
      </c>
      <c r="W44" t="n">
        <v>628.114208</v>
      </c>
      <c r="X44" t="n">
        <v>2283.896043</v>
      </c>
      <c r="Z44" t="n">
        <v>188.595494</v>
      </c>
    </row>
    <row r="45" ht="51" customHeight="1">
      <c r="A45" t="inlineStr">
        <is>
          <t>Perciformes</t>
        </is>
      </c>
      <c r="B45" t="n">
        <v>3.53</v>
      </c>
      <c r="C45" t="n">
        <v>338.844156</v>
      </c>
      <c r="D45" s="10" t="inlineStr">
        <is>
          <t>2 L pisc comm | 3 L pisc comm | 2 SM pisc | 3 SM pisc | 2 SM inv | 3 SM inv | 2 L pisc | 3 L pisc</t>
        </is>
      </c>
      <c r="H45" t="n">
        <v>401.182272</v>
      </c>
      <c r="I45" t="n">
        <v>161.066622</v>
      </c>
      <c r="J45" t="n">
        <v>203.41398</v>
      </c>
      <c r="K45" t="n">
        <v>187.098564</v>
      </c>
      <c r="L45" t="n">
        <v>1115.276449</v>
      </c>
      <c r="M45" t="n">
        <v>542.356782</v>
      </c>
      <c r="N45" t="n">
        <v>542.356782</v>
      </c>
      <c r="O45" t="n">
        <v>168.324309</v>
      </c>
      <c r="P45" t="n">
        <v>48.347801</v>
      </c>
      <c r="Q45" t="n">
        <v>542.356782</v>
      </c>
      <c r="R45" t="n">
        <v>30960.196986</v>
      </c>
      <c r="S45" t="n">
        <v>168.324309</v>
      </c>
      <c r="T45" t="n">
        <v>3692562.265406</v>
      </c>
      <c r="U45" t="n">
        <v>48.347801</v>
      </c>
      <c r="V45" t="n">
        <v>-802026680.735261</v>
      </c>
      <c r="W45" t="n">
        <v>215.021158</v>
      </c>
      <c r="X45" t="n">
        <v>704.973806</v>
      </c>
      <c r="Z45" t="n">
        <v>59.631896</v>
      </c>
    </row>
    <row r="46" ht="36" customHeight="1">
      <c r="A46" t="inlineStr">
        <is>
          <t>Odontamblyopus rubicundus</t>
        </is>
      </c>
      <c r="B46" t="n">
        <v>3.9</v>
      </c>
      <c r="C46" t="n">
        <v>794.3282349999999</v>
      </c>
      <c r="D46" s="10" t="inlineStr">
        <is>
          <t>2 SM inv | 3 SM inv | 2 SM pisc | 3 SM pisc</t>
        </is>
      </c>
      <c r="H46" t="n">
        <v>157.129104</v>
      </c>
      <c r="I46" t="n">
        <v>76.428817</v>
      </c>
      <c r="J46" t="n">
        <v>102.259679</v>
      </c>
      <c r="K46" t="n">
        <v>96.649665</v>
      </c>
      <c r="L46" t="n">
        <v>614.42837</v>
      </c>
      <c r="M46" t="n">
        <v>285.815457</v>
      </c>
      <c r="N46" t="n">
        <v>285.815457</v>
      </c>
      <c r="O46" t="n">
        <v>102.716556</v>
      </c>
      <c r="P46" t="n">
        <v>33.271002</v>
      </c>
      <c r="Q46" t="n">
        <v>285.815457</v>
      </c>
      <c r="R46" t="n">
        <v>12163.657147</v>
      </c>
      <c r="S46" t="n">
        <v>102.716556</v>
      </c>
      <c r="T46" t="n">
        <v>480593.580731</v>
      </c>
      <c r="U46" t="n">
        <v>33.271002</v>
      </c>
      <c r="V46" t="n">
        <v>-10789519.514344</v>
      </c>
      <c r="W46" t="n">
        <v>131.58311</v>
      </c>
      <c r="X46" t="n">
        <v>379.772119</v>
      </c>
      <c r="Z46" t="n">
        <v>34.367159</v>
      </c>
    </row>
    <row r="47" ht="21" customHeight="1">
      <c r="A47" t="inlineStr">
        <is>
          <t>Scomberomorus commerson</t>
        </is>
      </c>
      <c r="B47" t="n">
        <v>4.5</v>
      </c>
      <c r="C47" t="n">
        <v>3162.27766</v>
      </c>
      <c r="D47" s="10" t="inlineStr">
        <is>
          <t>Coastal scombrids</t>
        </is>
      </c>
      <c r="H47" t="n">
        <v>2147.494807</v>
      </c>
      <c r="I47" t="n">
        <v>968.897292</v>
      </c>
      <c r="J47" t="n">
        <v>1141.782334</v>
      </c>
      <c r="K47" t="n">
        <v>682.785836</v>
      </c>
      <c r="L47" t="n">
        <v>5797.992045</v>
      </c>
      <c r="M47" t="n">
        <v>2877.683424</v>
      </c>
      <c r="N47" t="n">
        <v>2877.683424</v>
      </c>
      <c r="O47" t="n">
        <v>566.1491569999999</v>
      </c>
      <c r="P47" t="n">
        <v>140.36865</v>
      </c>
      <c r="Q47" t="n">
        <v>2877.683424</v>
      </c>
      <c r="R47" t="n">
        <v>807621.7416600001</v>
      </c>
      <c r="S47" t="n">
        <v>566.1491569999999</v>
      </c>
      <c r="T47" t="n">
        <v>-50402915.268695</v>
      </c>
      <c r="U47" t="n">
        <v>140.36865</v>
      </c>
      <c r="V47" t="n">
        <v>-2.053794932427448e+19</v>
      </c>
      <c r="W47" t="n">
        <v>719.397057</v>
      </c>
      <c r="X47" t="n">
        <v>3792.756934</v>
      </c>
      <c r="Z47" t="n">
        <v>232.918062</v>
      </c>
    </row>
    <row r="48" ht="21" customHeight="1">
      <c r="A48" t="inlineStr">
        <is>
          <t>Saurida</t>
        </is>
      </c>
      <c r="B48" t="n">
        <v>4.35</v>
      </c>
      <c r="C48" t="n">
        <v>2238.721139</v>
      </c>
      <c r="D48" s="10" t="inlineStr">
        <is>
          <t>2 L pisc comm | 3 L pisc comm</t>
        </is>
      </c>
      <c r="H48" t="n">
        <v>801.308671</v>
      </c>
      <c r="I48" t="n">
        <v>347.219292</v>
      </c>
      <c r="J48" t="n">
        <v>442.467638</v>
      </c>
      <c r="K48" t="n">
        <v>402.262611</v>
      </c>
      <c r="L48" t="n">
        <v>2161.417589</v>
      </c>
      <c r="M48" t="n">
        <v>1083.958638</v>
      </c>
      <c r="N48" t="n">
        <v>1083.958638</v>
      </c>
      <c r="O48" t="n">
        <v>300.122309</v>
      </c>
      <c r="P48" t="n">
        <v>80.463222</v>
      </c>
      <c r="Q48" t="n">
        <v>1083.958638</v>
      </c>
      <c r="R48" t="n">
        <v>4211.040307</v>
      </c>
      <c r="S48" t="n">
        <v>300.122309</v>
      </c>
      <c r="T48" t="n">
        <v>24938830.515997</v>
      </c>
      <c r="U48" t="n">
        <v>80.463222</v>
      </c>
      <c r="V48" t="n">
        <v>-1116515115.800599</v>
      </c>
      <c r="W48" t="n">
        <v>379.777929</v>
      </c>
      <c r="X48" t="n">
        <v>1380.363646</v>
      </c>
      <c r="Z48" t="n">
        <v>105.373581</v>
      </c>
    </row>
    <row r="49" ht="21" customHeight="1">
      <c r="A49" t="inlineStr">
        <is>
          <t>Apogonidae</t>
        </is>
      </c>
      <c r="B49" t="n">
        <v>3.54</v>
      </c>
      <c r="C49" t="n">
        <v>346.73685</v>
      </c>
      <c r="D49" s="10" t="inlineStr">
        <is>
          <t>2 SM inv | 3 SM inv</t>
        </is>
      </c>
      <c r="H49" t="n">
        <v>91.813177</v>
      </c>
      <c r="I49" t="n">
        <v>52.413336</v>
      </c>
      <c r="J49" t="n">
        <v>62.649384</v>
      </c>
      <c r="K49" t="n">
        <v>58.645949</v>
      </c>
      <c r="L49" t="n">
        <v>358.382548</v>
      </c>
      <c r="M49" t="n">
        <v>163.84463</v>
      </c>
      <c r="N49" t="n">
        <v>163.84463</v>
      </c>
      <c r="O49" t="n">
        <v>65.16087</v>
      </c>
      <c r="P49" t="n">
        <v>23.726562</v>
      </c>
      <c r="Q49" t="n">
        <v>163.84463</v>
      </c>
      <c r="R49" t="n">
        <v>27231.721784</v>
      </c>
      <c r="S49" t="n">
        <v>65.16087</v>
      </c>
      <c r="T49" t="n">
        <v>247011.21003</v>
      </c>
      <c r="U49" t="n">
        <v>23.726562</v>
      </c>
      <c r="V49" t="n">
        <v>-1608691.090535</v>
      </c>
      <c r="W49" t="n">
        <v>85.655771</v>
      </c>
      <c r="X49" t="n">
        <v>226.381866</v>
      </c>
      <c r="Z49" t="n">
        <v>23.837652</v>
      </c>
    </row>
    <row r="50" ht="21" customHeight="1">
      <c r="A50" t="inlineStr">
        <is>
          <t>Decapterus russelli</t>
        </is>
      </c>
      <c r="B50" t="n">
        <v>3.68</v>
      </c>
      <c r="C50" t="n">
        <v>478.630092</v>
      </c>
      <c r="D50" s="10" t="inlineStr">
        <is>
          <t>2 Carangids | 3 Carangids</t>
        </is>
      </c>
      <c r="H50" t="n">
        <v>873.328216</v>
      </c>
      <c r="I50" t="n">
        <v>372.556809</v>
      </c>
      <c r="J50" t="n">
        <v>434.163448</v>
      </c>
      <c r="K50" t="n">
        <v>417.767363</v>
      </c>
      <c r="L50" t="n">
        <v>2160.134294</v>
      </c>
      <c r="M50" t="n">
        <v>1099.323673</v>
      </c>
      <c r="N50" t="n">
        <v>1099.323673</v>
      </c>
      <c r="O50" t="n">
        <v>332.917647</v>
      </c>
      <c r="P50" t="n">
        <v>90.527957</v>
      </c>
      <c r="Q50" t="n">
        <v>1099.323673</v>
      </c>
      <c r="R50" t="n">
        <v>1849500.59807</v>
      </c>
      <c r="S50" t="n">
        <v>332.917647</v>
      </c>
      <c r="T50" t="n">
        <v>19894910.028919</v>
      </c>
      <c r="U50" t="n">
        <v>90.527957</v>
      </c>
      <c r="V50" t="n">
        <v>-89296314.013887</v>
      </c>
      <c r="W50" t="n">
        <v>429.68266</v>
      </c>
      <c r="X50" t="n">
        <v>1415.097656</v>
      </c>
      <c r="Z50" t="n">
        <v>125.139702</v>
      </c>
    </row>
    <row r="51" ht="21" customHeight="1">
      <c r="A51" t="inlineStr">
        <is>
          <t>Sepia</t>
        </is>
      </c>
      <c r="B51" t="n">
        <v>3.69</v>
      </c>
      <c r="C51" t="n">
        <v>489.778819</v>
      </c>
      <c r="D51" s="10" t="inlineStr">
        <is>
          <t>Cephalopods</t>
        </is>
      </c>
      <c r="H51" t="n">
        <v>511.74881</v>
      </c>
      <c r="I51" t="n">
        <v>216.918809</v>
      </c>
      <c r="J51" t="n">
        <v>263.00192</v>
      </c>
      <c r="K51" t="n">
        <v>236.701728</v>
      </c>
      <c r="L51" t="n">
        <v>1154.79452</v>
      </c>
      <c r="M51" t="n">
        <v>584.6118269999999</v>
      </c>
      <c r="N51" t="n">
        <v>584.6118269999999</v>
      </c>
      <c r="O51" t="n">
        <v>163.325284</v>
      </c>
      <c r="P51" t="n">
        <v>47.00536</v>
      </c>
      <c r="Q51" t="n">
        <v>584.6118269999999</v>
      </c>
      <c r="R51" t="n">
        <v>-11656.405165</v>
      </c>
      <c r="S51" t="n">
        <v>163.325284</v>
      </c>
      <c r="T51" t="n">
        <v>14308.189116</v>
      </c>
      <c r="U51" t="n">
        <v>47.00536</v>
      </c>
      <c r="V51" t="n">
        <v>-49576.380182</v>
      </c>
      <c r="W51" t="n">
        <v>207.310309</v>
      </c>
      <c r="X51" t="n">
        <v>739.3279659999999</v>
      </c>
      <c r="Z51" t="n">
        <v>83.68045600000001</v>
      </c>
    </row>
    <row r="52" ht="21" customHeight="1">
      <c r="A52" t="inlineStr">
        <is>
          <t>Mugilidae</t>
        </is>
      </c>
      <c r="B52" t="n">
        <v>2.53</v>
      </c>
      <c r="C52" t="n">
        <v>33.884416</v>
      </c>
      <c r="D52" s="10" t="inlineStr">
        <is>
          <t>2 SM inv | 3 SM inv</t>
        </is>
      </c>
      <c r="H52" t="n">
        <v>91.813177</v>
      </c>
      <c r="I52" t="n">
        <v>52.413336</v>
      </c>
      <c r="J52" t="n">
        <v>62.649384</v>
      </c>
      <c r="K52" t="n">
        <v>58.645949</v>
      </c>
      <c r="L52" t="n">
        <v>358.382548</v>
      </c>
      <c r="M52" t="n">
        <v>163.84463</v>
      </c>
      <c r="N52" t="n">
        <v>163.84463</v>
      </c>
      <c r="O52" t="n">
        <v>65.16087</v>
      </c>
      <c r="P52" t="n">
        <v>23.726562</v>
      </c>
      <c r="Q52" t="n">
        <v>163.84463</v>
      </c>
      <c r="R52" t="n">
        <v>27231.721784</v>
      </c>
      <c r="S52" t="n">
        <v>65.16087</v>
      </c>
      <c r="T52" t="n">
        <v>247011.21003</v>
      </c>
      <c r="U52" t="n">
        <v>23.726562</v>
      </c>
      <c r="V52" t="n">
        <v>-1608691.090535</v>
      </c>
      <c r="W52" t="n">
        <v>85.655771</v>
      </c>
      <c r="X52" t="n">
        <v>226.381866</v>
      </c>
      <c r="Z52" t="n">
        <v>23.837652</v>
      </c>
    </row>
    <row r="53" ht="21" customHeight="1">
      <c r="A53" t="inlineStr">
        <is>
          <t>Thryssa</t>
        </is>
      </c>
      <c r="B53" t="n">
        <v>3.34</v>
      </c>
      <c r="C53" t="n">
        <v>218.776162</v>
      </c>
      <c r="D53" s="10" t="inlineStr">
        <is>
          <t>2 S pelagics | 3 S pelagics</t>
        </is>
      </c>
      <c r="H53" t="n">
        <v>93.087237</v>
      </c>
      <c r="I53" t="n">
        <v>47.55691</v>
      </c>
      <c r="J53" t="n">
        <v>60.271203</v>
      </c>
      <c r="K53" t="n">
        <v>56.323134</v>
      </c>
      <c r="L53" t="n">
        <v>234.01812</v>
      </c>
      <c r="M53" t="n">
        <v>119.363868</v>
      </c>
      <c r="N53" t="n">
        <v>119.363868</v>
      </c>
      <c r="O53" t="n">
        <v>45.511558</v>
      </c>
      <c r="P53" t="n">
        <v>18.627065</v>
      </c>
      <c r="Q53" t="n">
        <v>119.363868</v>
      </c>
      <c r="R53" t="n">
        <v>-24383.104584</v>
      </c>
      <c r="S53" t="n">
        <v>45.511558</v>
      </c>
      <c r="T53" t="n">
        <v>262858.692163</v>
      </c>
      <c r="U53" t="n">
        <v>18.627065</v>
      </c>
      <c r="V53" t="n">
        <v>-4562944.327372</v>
      </c>
      <c r="W53" t="n">
        <v>52.667461</v>
      </c>
      <c r="X53" t="n">
        <v>147.16235</v>
      </c>
      <c r="Z53" t="n">
        <v>27.466663</v>
      </c>
    </row>
    <row r="54" ht="21" customHeight="1">
      <c r="A54" t="inlineStr">
        <is>
          <t>Portunidae</t>
        </is>
      </c>
      <c r="B54" t="n">
        <v>3.56</v>
      </c>
      <c r="C54" t="n">
        <v>363.078055</v>
      </c>
      <c r="D54" s="10" t="inlineStr">
        <is>
          <t>2 Crustaceans | 3 Crustaceans</t>
        </is>
      </c>
      <c r="H54" t="n">
        <v>16.647547</v>
      </c>
      <c r="I54" t="n">
        <v>15.13996</v>
      </c>
      <c r="J54" t="n">
        <v>15.13996</v>
      </c>
      <c r="K54" t="n">
        <v>14.107486</v>
      </c>
      <c r="L54" t="n">
        <v>88.61683499999999</v>
      </c>
      <c r="M54" t="n">
        <v>30.998352</v>
      </c>
      <c r="N54" t="n">
        <v>30.998352</v>
      </c>
      <c r="O54" t="n">
        <v>15.004935</v>
      </c>
      <c r="P54" t="n">
        <v>7.795329</v>
      </c>
      <c r="Q54" t="n">
        <v>30.998352</v>
      </c>
      <c r="R54" t="n">
        <v>30.998352</v>
      </c>
      <c r="S54" t="n">
        <v>15.004935</v>
      </c>
      <c r="T54" t="n">
        <v>15.004935</v>
      </c>
      <c r="U54" t="n">
        <v>7.795329</v>
      </c>
      <c r="V54" t="n">
        <v>7.795329</v>
      </c>
      <c r="W54" t="n">
        <v>15.392557</v>
      </c>
      <c r="X54" t="n">
        <v>34.031508</v>
      </c>
      <c r="Z54" t="n">
        <v>6.196734</v>
      </c>
    </row>
    <row r="55" ht="21" customHeight="1">
      <c r="A55" t="inlineStr">
        <is>
          <t>Pterotolithus maculatus</t>
        </is>
      </c>
      <c r="B55" t="n">
        <v>3.7</v>
      </c>
      <c r="C55" t="n">
        <v>501.187234</v>
      </c>
      <c r="D55" s="10" t="inlineStr">
        <is>
          <t>2 L pisc comm | 3 L pisc comm</t>
        </is>
      </c>
      <c r="H55" t="n">
        <v>801.308671</v>
      </c>
      <c r="I55" t="n">
        <v>347.219292</v>
      </c>
      <c r="J55" t="n">
        <v>442.467638</v>
      </c>
      <c r="K55" t="n">
        <v>402.262611</v>
      </c>
      <c r="L55" t="n">
        <v>2161.417589</v>
      </c>
      <c r="M55" t="n">
        <v>1083.958638</v>
      </c>
      <c r="N55" t="n">
        <v>1083.958638</v>
      </c>
      <c r="O55" t="n">
        <v>300.122309</v>
      </c>
      <c r="P55" t="n">
        <v>80.463222</v>
      </c>
      <c r="Q55" t="n">
        <v>1083.958638</v>
      </c>
      <c r="R55" t="n">
        <v>4211.040307</v>
      </c>
      <c r="S55" t="n">
        <v>300.122309</v>
      </c>
      <c r="T55" t="n">
        <v>24938830.515997</v>
      </c>
      <c r="U55" t="n">
        <v>80.463222</v>
      </c>
      <c r="V55" t="n">
        <v>-1116515115.800599</v>
      </c>
      <c r="W55" t="n">
        <v>379.777929</v>
      </c>
      <c r="X55" t="n">
        <v>1380.363646</v>
      </c>
      <c r="Z55" t="n">
        <v>105.373581</v>
      </c>
    </row>
    <row r="56" ht="21" customHeight="1">
      <c r="A56" t="inlineStr">
        <is>
          <t>Rastrelliger brachysoma</t>
        </is>
      </c>
      <c r="B56" t="n">
        <v>2.72</v>
      </c>
      <c r="C56" t="n">
        <v>52.480746</v>
      </c>
      <c r="D56" s="10" t="inlineStr">
        <is>
          <t>2-3 Indian mackerel</t>
        </is>
      </c>
      <c r="H56" t="n">
        <v>81.674466</v>
      </c>
      <c r="I56" t="n">
        <v>50.243902</v>
      </c>
      <c r="J56" t="n">
        <v>51.321822</v>
      </c>
      <c r="K56" t="n">
        <v>47.934582</v>
      </c>
      <c r="L56" t="n">
        <v>293.256288</v>
      </c>
      <c r="M56" t="n">
        <v>140.367561</v>
      </c>
      <c r="N56" t="n">
        <v>140.367561</v>
      </c>
      <c r="O56" t="n">
        <v>59.076692</v>
      </c>
      <c r="P56" t="n">
        <v>22.762753</v>
      </c>
      <c r="Q56" t="n">
        <v>140.367561</v>
      </c>
      <c r="R56" t="n">
        <v>120.097116</v>
      </c>
      <c r="S56" t="n">
        <v>59.076692</v>
      </c>
      <c r="T56" t="n">
        <v>57.409804</v>
      </c>
      <c r="U56" t="n">
        <v>22.762753</v>
      </c>
      <c r="V56" t="n">
        <v>26.268752</v>
      </c>
      <c r="W56" t="n">
        <v>77.040372</v>
      </c>
      <c r="X56" t="n">
        <v>199.182117</v>
      </c>
      <c r="Z56" t="n">
        <v>22.263317</v>
      </c>
    </row>
    <row r="57" ht="36" customHeight="1">
      <c r="A57" t="inlineStr">
        <is>
          <t>Polynemidae</t>
        </is>
      </c>
      <c r="B57" t="n">
        <v>3.62</v>
      </c>
      <c r="C57" t="n">
        <v>416.869383</v>
      </c>
      <c r="D57" s="10" t="inlineStr">
        <is>
          <t>2 L pisc | 3 L pisc | 2 SM inv | 3 SM inv</t>
        </is>
      </c>
      <c r="H57" t="n">
        <v>418.494223</v>
      </c>
      <c r="I57" t="n">
        <v>156.897136</v>
      </c>
      <c r="J57" t="n">
        <v>186.578908</v>
      </c>
      <c r="K57" t="n">
        <v>169.719095</v>
      </c>
      <c r="L57" t="n">
        <v>1010.647693</v>
      </c>
      <c r="M57" t="n">
        <v>494.959277</v>
      </c>
      <c r="N57" t="n">
        <v>494.959277</v>
      </c>
      <c r="O57" t="n">
        <v>152.43099</v>
      </c>
      <c r="P57" t="n">
        <v>43.618133</v>
      </c>
      <c r="Q57" t="n">
        <v>494.959277</v>
      </c>
      <c r="R57" t="n">
        <v>59314.436074</v>
      </c>
      <c r="S57" t="n">
        <v>152.43099</v>
      </c>
      <c r="T57" t="n">
        <v>1353224.27912</v>
      </c>
      <c r="U57" t="n">
        <v>43.618133</v>
      </c>
      <c r="V57" t="n">
        <v>-1207705385.055478</v>
      </c>
      <c r="W57" t="n">
        <v>196.815945</v>
      </c>
      <c r="X57" t="n">
        <v>648.006119</v>
      </c>
      <c r="Z57" t="n">
        <v>57.599705</v>
      </c>
    </row>
    <row r="58" ht="21" customHeight="1">
      <c r="A58" t="inlineStr">
        <is>
          <t>Thunnus albacares</t>
        </is>
      </c>
      <c r="B58" t="n">
        <v>4.41</v>
      </c>
      <c r="C58" t="n">
        <v>2570.395783</v>
      </c>
      <c r="D58" s="10" t="inlineStr">
        <is>
          <t>Yellowfin tuna</t>
        </is>
      </c>
      <c r="H58" t="n">
        <v>3727.582528</v>
      </c>
      <c r="I58" t="n">
        <v>1066.791081</v>
      </c>
      <c r="J58" t="n">
        <v>1293.779511</v>
      </c>
      <c r="K58" t="n">
        <v>1164.40156</v>
      </c>
      <c r="L58" t="n">
        <v>5881.075708</v>
      </c>
      <c r="M58" t="n">
        <v>2955.592941</v>
      </c>
      <c r="N58" t="n">
        <v>2955.592941</v>
      </c>
      <c r="O58" t="n">
        <v>765.552184</v>
      </c>
      <c r="P58" t="n">
        <v>179.22464</v>
      </c>
      <c r="Q58" t="n">
        <v>2955.592941</v>
      </c>
      <c r="R58" t="n">
        <v>-895115.342238</v>
      </c>
      <c r="S58" t="n">
        <v>765.552184</v>
      </c>
      <c r="T58" t="n">
        <v>967476.829288</v>
      </c>
      <c r="U58" t="n">
        <v>179.22464</v>
      </c>
      <c r="V58" t="n">
        <v>-5.248428245207389e+21</v>
      </c>
      <c r="W58" t="n">
        <v>970.2510150000001</v>
      </c>
      <c r="X58" t="n">
        <v>3792.811865</v>
      </c>
      <c r="Z58" t="n">
        <v>381.251616</v>
      </c>
    </row>
    <row r="59" ht="21" customHeight="1">
      <c r="A59" t="inlineStr">
        <is>
          <t>Mullidae</t>
        </is>
      </c>
      <c r="B59" t="n">
        <v>3.46</v>
      </c>
      <c r="C59" t="n">
        <v>288.40315</v>
      </c>
      <c r="D59" s="10" t="inlineStr">
        <is>
          <t>2 SM inv | 3 SM inv</t>
        </is>
      </c>
      <c r="H59" t="n">
        <v>91.813177</v>
      </c>
      <c r="I59" t="n">
        <v>52.413336</v>
      </c>
      <c r="J59" t="n">
        <v>62.649384</v>
      </c>
      <c r="K59" t="n">
        <v>58.645949</v>
      </c>
      <c r="L59" t="n">
        <v>358.382548</v>
      </c>
      <c r="M59" t="n">
        <v>163.84463</v>
      </c>
      <c r="N59" t="n">
        <v>163.84463</v>
      </c>
      <c r="O59" t="n">
        <v>65.16087</v>
      </c>
      <c r="P59" t="n">
        <v>23.726562</v>
      </c>
      <c r="Q59" t="n">
        <v>163.84463</v>
      </c>
      <c r="R59" t="n">
        <v>27231.721784</v>
      </c>
      <c r="S59" t="n">
        <v>65.16087</v>
      </c>
      <c r="T59" t="n">
        <v>247011.21003</v>
      </c>
      <c r="U59" t="n">
        <v>23.726562</v>
      </c>
      <c r="V59" t="n">
        <v>-1608691.090535</v>
      </c>
      <c r="W59" t="n">
        <v>85.655771</v>
      </c>
      <c r="X59" t="n">
        <v>226.381866</v>
      </c>
      <c r="Z59" t="n">
        <v>23.837652</v>
      </c>
    </row>
    <row r="60" ht="21" customHeight="1">
      <c r="A60" t="inlineStr">
        <is>
          <t>Saurida tumbil</t>
        </is>
      </c>
      <c r="B60" t="n">
        <v>4.4</v>
      </c>
      <c r="C60" t="n">
        <v>2511.886432</v>
      </c>
      <c r="D60" s="10" t="inlineStr">
        <is>
          <t>2 L pisc comm | 3 L pisc comm</t>
        </is>
      </c>
      <c r="H60" t="n">
        <v>801.308671</v>
      </c>
      <c r="I60" t="n">
        <v>347.219292</v>
      </c>
      <c r="J60" t="n">
        <v>442.467638</v>
      </c>
      <c r="K60" t="n">
        <v>402.262611</v>
      </c>
      <c r="L60" t="n">
        <v>2161.417589</v>
      </c>
      <c r="M60" t="n">
        <v>1083.958638</v>
      </c>
      <c r="N60" t="n">
        <v>1083.958638</v>
      </c>
      <c r="O60" t="n">
        <v>300.122309</v>
      </c>
      <c r="P60" t="n">
        <v>80.463222</v>
      </c>
      <c r="Q60" t="n">
        <v>1083.958638</v>
      </c>
      <c r="R60" t="n">
        <v>4211.040307</v>
      </c>
      <c r="S60" t="n">
        <v>300.122309</v>
      </c>
      <c r="T60" t="n">
        <v>24938830.515997</v>
      </c>
      <c r="U60" t="n">
        <v>80.463222</v>
      </c>
      <c r="V60" t="n">
        <v>-1116515115.800599</v>
      </c>
      <c r="W60" t="n">
        <v>379.777929</v>
      </c>
      <c r="X60" t="n">
        <v>1380.363646</v>
      </c>
      <c r="Z60" t="n">
        <v>105.373581</v>
      </c>
    </row>
    <row r="61" ht="21" customHeight="1">
      <c r="A61" t="inlineStr">
        <is>
          <t>Scomberomorus guttatus</t>
        </is>
      </c>
      <c r="B61" t="n">
        <v>4.28</v>
      </c>
      <c r="C61" t="n">
        <v>1905.460718</v>
      </c>
      <c r="D61" s="10" t="inlineStr">
        <is>
          <t>Coastal scombrids</t>
        </is>
      </c>
      <c r="H61" t="n">
        <v>2147.494807</v>
      </c>
      <c r="I61" t="n">
        <v>968.897292</v>
      </c>
      <c r="J61" t="n">
        <v>1141.782334</v>
      </c>
      <c r="K61" t="n">
        <v>682.785836</v>
      </c>
      <c r="L61" t="n">
        <v>5797.992045</v>
      </c>
      <c r="M61" t="n">
        <v>2877.683424</v>
      </c>
      <c r="N61" t="n">
        <v>2877.683424</v>
      </c>
      <c r="O61" t="n">
        <v>566.1491569999999</v>
      </c>
      <c r="P61" t="n">
        <v>140.36865</v>
      </c>
      <c r="Q61" t="n">
        <v>2877.683424</v>
      </c>
      <c r="R61" t="n">
        <v>807621.7416600001</v>
      </c>
      <c r="S61" t="n">
        <v>566.1491569999999</v>
      </c>
      <c r="T61" t="n">
        <v>-50402915.268695</v>
      </c>
      <c r="U61" t="n">
        <v>140.36865</v>
      </c>
      <c r="V61" t="n">
        <v>-2.053794932427448e+19</v>
      </c>
      <c r="W61" t="n">
        <v>719.397057</v>
      </c>
      <c r="X61" t="n">
        <v>3792.756934</v>
      </c>
      <c r="Z61" t="n">
        <v>232.918062</v>
      </c>
    </row>
    <row r="62" ht="21" customHeight="1">
      <c r="A62" t="inlineStr">
        <is>
          <t>Priacanthus</t>
        </is>
      </c>
      <c r="B62" t="n">
        <v>3.81</v>
      </c>
      <c r="C62" t="n">
        <v>645.654229</v>
      </c>
      <c r="D62" s="10" t="inlineStr">
        <is>
          <t>2 SM pisc | 3 SM pisc</t>
        </is>
      </c>
      <c r="H62" t="n">
        <v>243.94607</v>
      </c>
      <c r="I62" t="n">
        <v>108.349841</v>
      </c>
      <c r="J62" t="n">
        <v>154.909098</v>
      </c>
      <c r="K62" t="n">
        <v>147.163643</v>
      </c>
      <c r="L62" t="n">
        <v>954.7607</v>
      </c>
      <c r="M62" t="n">
        <v>447.937281</v>
      </c>
      <c r="N62" t="n">
        <v>447.937281</v>
      </c>
      <c r="O62" t="n">
        <v>152.63502</v>
      </c>
      <c r="P62" t="n">
        <v>45.95733</v>
      </c>
      <c r="Q62" t="n">
        <v>447.937281</v>
      </c>
      <c r="R62" t="n">
        <v>-7864.592041</v>
      </c>
      <c r="S62" t="n">
        <v>152.63502</v>
      </c>
      <c r="T62" t="n">
        <v>791067.821395</v>
      </c>
      <c r="U62" t="n">
        <v>45.95733</v>
      </c>
      <c r="V62" t="n">
        <v>-22992541.193563</v>
      </c>
      <c r="W62" t="n">
        <v>192.62905</v>
      </c>
      <c r="X62" t="n">
        <v>583.6561809999999</v>
      </c>
      <c r="Z62" t="n">
        <v>48.362824</v>
      </c>
    </row>
    <row r="63" ht="36" customHeight="1">
      <c r="A63" t="inlineStr">
        <is>
          <t>Marine pelagic fishes not identified</t>
        </is>
      </c>
      <c r="B63" t="n">
        <v>3.35</v>
      </c>
      <c r="C63" t="n">
        <v>223.872114</v>
      </c>
      <c r="D63" s="10" t="inlineStr">
        <is>
          <t>2 S pelagics | 3 S pelagics | 2 Carangids | 3 Carangids</t>
        </is>
      </c>
      <c r="H63" t="n">
        <v>394.975325</v>
      </c>
      <c r="I63" t="n">
        <v>173.304725</v>
      </c>
      <c r="J63" t="n">
        <v>204.936272</v>
      </c>
      <c r="K63" t="n">
        <v>196.17186</v>
      </c>
      <c r="L63" t="n">
        <v>979.264197</v>
      </c>
      <c r="M63" t="n">
        <v>498.52646</v>
      </c>
      <c r="N63" t="n">
        <v>498.52646</v>
      </c>
      <c r="O63" t="n">
        <v>156.713708</v>
      </c>
      <c r="P63" t="n">
        <v>46.446705</v>
      </c>
      <c r="Q63" t="n">
        <v>498.52646</v>
      </c>
      <c r="R63" t="n">
        <v>700653.368741</v>
      </c>
      <c r="S63" t="n">
        <v>156.713708</v>
      </c>
      <c r="T63" t="n">
        <v>7858822.756094</v>
      </c>
      <c r="U63" t="n">
        <v>46.446705</v>
      </c>
      <c r="V63" t="n">
        <v>-37347680.884653</v>
      </c>
      <c r="W63" t="n">
        <v>198.540852</v>
      </c>
      <c r="X63" t="n">
        <v>637.747407</v>
      </c>
      <c r="Z63" t="n">
        <v>65.257971</v>
      </c>
    </row>
    <row r="64" ht="21" customHeight="1">
      <c r="A64" t="inlineStr">
        <is>
          <t>Batoidea</t>
        </is>
      </c>
      <c r="B64" t="n">
        <v>3.72</v>
      </c>
      <c r="C64" t="n">
        <v>524.80746</v>
      </c>
      <c r="D64" s="10" t="inlineStr">
        <is>
          <t>Coastal elasmobranch</t>
        </is>
      </c>
      <c r="H64" t="n">
        <v>3918.259862</v>
      </c>
      <c r="I64" t="n">
        <v>1355.349538</v>
      </c>
      <c r="J64" t="n">
        <v>1507.801381</v>
      </c>
      <c r="K64" t="n">
        <v>1423.364503</v>
      </c>
      <c r="L64" t="n">
        <v>16997.641054</v>
      </c>
      <c r="M64" t="n">
        <v>8379.450296999999</v>
      </c>
      <c r="N64" t="n">
        <v>8379.450296999999</v>
      </c>
      <c r="O64" t="n">
        <v>1747.163226</v>
      </c>
      <c r="P64" t="n">
        <v>316.077663</v>
      </c>
      <c r="Q64" t="n">
        <v>8379.450296999999</v>
      </c>
      <c r="R64" t="n">
        <v>88438129.351763</v>
      </c>
      <c r="S64" t="n">
        <v>1747.163226</v>
      </c>
      <c r="T64" t="n">
        <v>7107955.115117</v>
      </c>
      <c r="U64" t="n">
        <v>316.077663</v>
      </c>
      <c r="V64" t="n">
        <v>3.942428667430859e+22</v>
      </c>
      <c r="W64" t="n">
        <v>2309.611491</v>
      </c>
      <c r="X64" t="n">
        <v>11319.470971</v>
      </c>
      <c r="Z64" t="n">
        <v>269.913382</v>
      </c>
    </row>
    <row r="65" ht="21" customHeight="1">
      <c r="A65" t="inlineStr">
        <is>
          <t>Parapenaeopsis</t>
        </is>
      </c>
      <c r="B65" t="n">
        <v>2.72</v>
      </c>
      <c r="C65" t="n">
        <v>52.480746</v>
      </c>
      <c r="D65" s="10" t="inlineStr">
        <is>
          <t>2 Crustaceans | 3 Crustaceans</t>
        </is>
      </c>
      <c r="H65" t="n">
        <v>16.647547</v>
      </c>
      <c r="I65" t="n">
        <v>15.13996</v>
      </c>
      <c r="J65" t="n">
        <v>15.13996</v>
      </c>
      <c r="K65" t="n">
        <v>14.107486</v>
      </c>
      <c r="L65" t="n">
        <v>88.61683499999999</v>
      </c>
      <c r="M65" t="n">
        <v>30.998352</v>
      </c>
      <c r="N65" t="n">
        <v>30.998352</v>
      </c>
      <c r="O65" t="n">
        <v>15.004935</v>
      </c>
      <c r="P65" t="n">
        <v>7.795329</v>
      </c>
      <c r="Q65" t="n">
        <v>30.998352</v>
      </c>
      <c r="R65" t="n">
        <v>30.998352</v>
      </c>
      <c r="S65" t="n">
        <v>15.004935</v>
      </c>
      <c r="T65" t="n">
        <v>15.004935</v>
      </c>
      <c r="U65" t="n">
        <v>7.795329</v>
      </c>
      <c r="V65" t="n">
        <v>7.795329</v>
      </c>
      <c r="W65" t="n">
        <v>15.392557</v>
      </c>
      <c r="X65" t="n">
        <v>34.031508</v>
      </c>
      <c r="Z65" t="n">
        <v>6.196734</v>
      </c>
    </row>
    <row r="66" ht="21" customHeight="1">
      <c r="A66" t="inlineStr">
        <is>
          <t>Sphyraena</t>
        </is>
      </c>
      <c r="B66" t="n">
        <v>4.4</v>
      </c>
      <c r="C66" t="n">
        <v>2511.886432</v>
      </c>
      <c r="D66" s="10" t="inlineStr">
        <is>
          <t>2 L pisc | 3 L pisc</t>
        </is>
      </c>
      <c r="H66" t="n">
        <v>1686.007244</v>
      </c>
      <c r="I66" t="n">
        <v>562.291264</v>
      </c>
      <c r="J66" t="n">
        <v>667.421881</v>
      </c>
      <c r="K66" t="n">
        <v>600.679693</v>
      </c>
      <c r="L66" t="n">
        <v>3541.417618</v>
      </c>
      <c r="M66" t="n">
        <v>1779.674544</v>
      </c>
      <c r="N66" t="n">
        <v>1779.674544</v>
      </c>
      <c r="O66" t="n">
        <v>491.036533</v>
      </c>
      <c r="P66" t="n">
        <v>120.796851</v>
      </c>
      <c r="Q66" t="n">
        <v>1779.674544</v>
      </c>
      <c r="R66" t="n">
        <v>183794.440851</v>
      </c>
      <c r="S66" t="n">
        <v>491.036533</v>
      </c>
      <c r="T66" t="n">
        <v>5645299.035557</v>
      </c>
      <c r="U66" t="n">
        <v>120.796851</v>
      </c>
      <c r="V66" t="n">
        <v>-5887325720.988076</v>
      </c>
      <c r="W66" t="n">
        <v>628.114208</v>
      </c>
      <c r="X66" t="n">
        <v>2283.896043</v>
      </c>
      <c r="Z66" t="n">
        <v>188.595494</v>
      </c>
    </row>
    <row r="67" ht="21" customHeight="1">
      <c r="A67" t="inlineStr">
        <is>
          <t>Sepiidae</t>
        </is>
      </c>
      <c r="B67" t="n">
        <v>3.6</v>
      </c>
      <c r="C67" t="n">
        <v>398.107171</v>
      </c>
      <c r="D67" s="10" t="inlineStr">
        <is>
          <t>Cephalopods</t>
        </is>
      </c>
      <c r="H67" t="n">
        <v>511.74881</v>
      </c>
      <c r="I67" t="n">
        <v>216.918809</v>
      </c>
      <c r="J67" t="n">
        <v>263.00192</v>
      </c>
      <c r="K67" t="n">
        <v>236.701728</v>
      </c>
      <c r="L67" t="n">
        <v>1154.79452</v>
      </c>
      <c r="M67" t="n">
        <v>584.6118269999999</v>
      </c>
      <c r="N67" t="n">
        <v>584.6118269999999</v>
      </c>
      <c r="O67" t="n">
        <v>163.325284</v>
      </c>
      <c r="P67" t="n">
        <v>47.00536</v>
      </c>
      <c r="Q67" t="n">
        <v>584.6118269999999</v>
      </c>
      <c r="R67" t="n">
        <v>-11656.405165</v>
      </c>
      <c r="S67" t="n">
        <v>163.325284</v>
      </c>
      <c r="T67" t="n">
        <v>14308.189116</v>
      </c>
      <c r="U67" t="n">
        <v>47.00536</v>
      </c>
      <c r="V67" t="n">
        <v>-49576.380182</v>
      </c>
      <c r="W67" t="n">
        <v>207.310309</v>
      </c>
      <c r="X67" t="n">
        <v>739.3279659999999</v>
      </c>
      <c r="Z67" t="n">
        <v>83.68045600000001</v>
      </c>
    </row>
    <row r="68" ht="21" customHeight="1">
      <c r="A68" t="inlineStr">
        <is>
          <t>Trichiurus lepturus</t>
        </is>
      </c>
      <c r="B68" t="n">
        <v>4.42</v>
      </c>
      <c r="C68" t="n">
        <v>2630.267992</v>
      </c>
      <c r="D68" s="10" t="inlineStr">
        <is>
          <t>2 L pisc | 3 L pisc</t>
        </is>
      </c>
      <c r="H68" t="n">
        <v>1686.007244</v>
      </c>
      <c r="I68" t="n">
        <v>562.291264</v>
      </c>
      <c r="J68" t="n">
        <v>667.421881</v>
      </c>
      <c r="K68" t="n">
        <v>600.679693</v>
      </c>
      <c r="L68" t="n">
        <v>3541.417618</v>
      </c>
      <c r="M68" t="n">
        <v>1779.674544</v>
      </c>
      <c r="N68" t="n">
        <v>1779.674544</v>
      </c>
      <c r="O68" t="n">
        <v>491.036533</v>
      </c>
      <c r="P68" t="n">
        <v>120.796851</v>
      </c>
      <c r="Q68" t="n">
        <v>1779.674544</v>
      </c>
      <c r="R68" t="n">
        <v>183794.440851</v>
      </c>
      <c r="S68" t="n">
        <v>491.036533</v>
      </c>
      <c r="T68" t="n">
        <v>5645299.035557</v>
      </c>
      <c r="U68" t="n">
        <v>120.796851</v>
      </c>
      <c r="V68" t="n">
        <v>-5887325720.988076</v>
      </c>
      <c r="W68" t="n">
        <v>628.114208</v>
      </c>
      <c r="X68" t="n">
        <v>2283.896043</v>
      </c>
      <c r="Z68" t="n">
        <v>188.595494</v>
      </c>
    </row>
    <row r="69" ht="21" customHeight="1">
      <c r="A69" t="inlineStr">
        <is>
          <t>Alepes</t>
        </is>
      </c>
      <c r="B69" t="n">
        <v>3.32</v>
      </c>
      <c r="C69" t="n">
        <v>208.929613</v>
      </c>
      <c r="D69" s="10" t="inlineStr">
        <is>
          <t>2 Carangids | 3 Carangids</t>
        </is>
      </c>
      <c r="H69" t="n">
        <v>873.328216</v>
      </c>
      <c r="I69" t="n">
        <v>372.556809</v>
      </c>
      <c r="J69" t="n">
        <v>434.163448</v>
      </c>
      <c r="K69" t="n">
        <v>417.767363</v>
      </c>
      <c r="L69" t="n">
        <v>2160.134294</v>
      </c>
      <c r="M69" t="n">
        <v>1099.323673</v>
      </c>
      <c r="N69" t="n">
        <v>1099.323673</v>
      </c>
      <c r="O69" t="n">
        <v>332.917647</v>
      </c>
      <c r="P69" t="n">
        <v>90.527957</v>
      </c>
      <c r="Q69" t="n">
        <v>1099.323673</v>
      </c>
      <c r="R69" t="n">
        <v>1849500.59807</v>
      </c>
      <c r="S69" t="n">
        <v>332.917647</v>
      </c>
      <c r="T69" t="n">
        <v>19894910.028919</v>
      </c>
      <c r="U69" t="n">
        <v>90.527957</v>
      </c>
      <c r="V69" t="n">
        <v>-89296314.013887</v>
      </c>
      <c r="W69" t="n">
        <v>429.68266</v>
      </c>
      <c r="X69" t="n">
        <v>1415.097656</v>
      </c>
      <c r="Z69" t="n">
        <v>125.139702</v>
      </c>
    </row>
    <row r="70" ht="21" customHeight="1">
      <c r="A70" t="inlineStr">
        <is>
          <t>Euthynnus affinis</t>
        </is>
      </c>
      <c r="B70" t="n">
        <v>4.5</v>
      </c>
      <c r="C70" t="n">
        <v>3162.27766</v>
      </c>
      <c r="D70" s="10" t="inlineStr">
        <is>
          <t>Coastal scombrids</t>
        </is>
      </c>
      <c r="H70" t="n">
        <v>2147.494807</v>
      </c>
      <c r="I70" t="n">
        <v>968.897292</v>
      </c>
      <c r="J70" t="n">
        <v>1141.782334</v>
      </c>
      <c r="K70" t="n">
        <v>682.785836</v>
      </c>
      <c r="L70" t="n">
        <v>5797.992045</v>
      </c>
      <c r="M70" t="n">
        <v>2877.683424</v>
      </c>
      <c r="N70" t="n">
        <v>2877.683424</v>
      </c>
      <c r="O70" t="n">
        <v>566.1491569999999</v>
      </c>
      <c r="P70" t="n">
        <v>140.36865</v>
      </c>
      <c r="Q70" t="n">
        <v>2877.683424</v>
      </c>
      <c r="R70" t="n">
        <v>807621.7416600001</v>
      </c>
      <c r="S70" t="n">
        <v>566.1491569999999</v>
      </c>
      <c r="T70" t="n">
        <v>-50402915.268695</v>
      </c>
      <c r="U70" t="n">
        <v>140.36865</v>
      </c>
      <c r="V70" t="n">
        <v>-2.053794932427448e+19</v>
      </c>
      <c r="W70" t="n">
        <v>719.397057</v>
      </c>
      <c r="X70" t="n">
        <v>3792.756934</v>
      </c>
      <c r="Z70" t="n">
        <v>232.918062</v>
      </c>
    </row>
    <row r="71" ht="21" customHeight="1">
      <c r="A71" t="inlineStr">
        <is>
          <t>Trichiurus</t>
        </is>
      </c>
      <c r="B71" t="n">
        <v>4.42</v>
      </c>
      <c r="C71" t="n">
        <v>2630.267992</v>
      </c>
      <c r="D71" s="10" t="inlineStr">
        <is>
          <t>2 L pisc | 3 L pisc</t>
        </is>
      </c>
      <c r="H71" t="n">
        <v>1686.007244</v>
      </c>
      <c r="I71" t="n">
        <v>562.291264</v>
      </c>
      <c r="J71" t="n">
        <v>667.421881</v>
      </c>
      <c r="K71" t="n">
        <v>600.679693</v>
      </c>
      <c r="L71" t="n">
        <v>3541.417618</v>
      </c>
      <c r="M71" t="n">
        <v>1779.674544</v>
      </c>
      <c r="N71" t="n">
        <v>1779.674544</v>
      </c>
      <c r="O71" t="n">
        <v>491.036533</v>
      </c>
      <c r="P71" t="n">
        <v>120.796851</v>
      </c>
      <c r="Q71" t="n">
        <v>1779.674544</v>
      </c>
      <c r="R71" t="n">
        <v>183794.440851</v>
      </c>
      <c r="S71" t="n">
        <v>491.036533</v>
      </c>
      <c r="T71" t="n">
        <v>5645299.035557</v>
      </c>
      <c r="U71" t="n">
        <v>120.796851</v>
      </c>
      <c r="V71" t="n">
        <v>-5887325720.988076</v>
      </c>
      <c r="W71" t="n">
        <v>628.114208</v>
      </c>
      <c r="X71" t="n">
        <v>2283.896043</v>
      </c>
      <c r="Z71" t="n">
        <v>188.595494</v>
      </c>
    </row>
    <row r="72" ht="21" customHeight="1">
      <c r="A72" t="inlineStr">
        <is>
          <t>Portunus pelagicus</t>
        </is>
      </c>
      <c r="B72" t="n">
        <v>2.48</v>
      </c>
      <c r="C72" t="n">
        <v>30.199517</v>
      </c>
      <c r="D72" s="10" t="inlineStr">
        <is>
          <t>2 Crustaceans | 3 Crustaceans</t>
        </is>
      </c>
      <c r="H72" t="n">
        <v>16.647547</v>
      </c>
      <c r="I72" t="n">
        <v>15.13996</v>
      </c>
      <c r="J72" t="n">
        <v>15.13996</v>
      </c>
      <c r="K72" t="n">
        <v>14.107486</v>
      </c>
      <c r="L72" t="n">
        <v>88.61683499999999</v>
      </c>
      <c r="M72" t="n">
        <v>30.998352</v>
      </c>
      <c r="N72" t="n">
        <v>30.998352</v>
      </c>
      <c r="O72" t="n">
        <v>15.004935</v>
      </c>
      <c r="P72" t="n">
        <v>7.795329</v>
      </c>
      <c r="Q72" t="n">
        <v>30.998352</v>
      </c>
      <c r="R72" t="n">
        <v>30.998352</v>
      </c>
      <c r="S72" t="n">
        <v>15.004935</v>
      </c>
      <c r="T72" t="n">
        <v>15.004935</v>
      </c>
      <c r="U72" t="n">
        <v>7.795329</v>
      </c>
      <c r="V72" t="n">
        <v>7.795329</v>
      </c>
      <c r="W72" t="n">
        <v>15.392557</v>
      </c>
      <c r="X72" t="n">
        <v>34.031508</v>
      </c>
      <c r="Z72" t="n">
        <v>6.196734</v>
      </c>
    </row>
    <row r="73" ht="21" customHeight="1">
      <c r="A73" t="inlineStr">
        <is>
          <t>Penaeus merguiensis</t>
        </is>
      </c>
      <c r="B73" t="n">
        <v>3.77</v>
      </c>
      <c r="C73" t="n">
        <v>588.843655</v>
      </c>
      <c r="D73" s="10" t="inlineStr">
        <is>
          <t>2 Crustaceans | 3 Crustaceans</t>
        </is>
      </c>
      <c r="H73" t="n">
        <v>16.647547</v>
      </c>
      <c r="I73" t="n">
        <v>15.13996</v>
      </c>
      <c r="J73" t="n">
        <v>15.13996</v>
      </c>
      <c r="K73" t="n">
        <v>14.107486</v>
      </c>
      <c r="L73" t="n">
        <v>88.61683499999999</v>
      </c>
      <c r="M73" t="n">
        <v>30.998352</v>
      </c>
      <c r="N73" t="n">
        <v>30.998352</v>
      </c>
      <c r="O73" t="n">
        <v>15.004935</v>
      </c>
      <c r="P73" t="n">
        <v>7.795329</v>
      </c>
      <c r="Q73" t="n">
        <v>30.998352</v>
      </c>
      <c r="R73" t="n">
        <v>30.998352</v>
      </c>
      <c r="S73" t="n">
        <v>15.004935</v>
      </c>
      <c r="T73" t="n">
        <v>15.004935</v>
      </c>
      <c r="U73" t="n">
        <v>7.795329</v>
      </c>
      <c r="V73" t="n">
        <v>7.795329</v>
      </c>
      <c r="W73" t="n">
        <v>15.392557</v>
      </c>
      <c r="X73" t="n">
        <v>34.031508</v>
      </c>
      <c r="Z73" t="n">
        <v>6.196734</v>
      </c>
    </row>
    <row r="74" ht="21" customHeight="1">
      <c r="A74" t="inlineStr">
        <is>
          <t>Metapenaeus</t>
        </is>
      </c>
      <c r="B74" t="n">
        <v>2.7</v>
      </c>
      <c r="C74" t="n">
        <v>50.118723</v>
      </c>
      <c r="D74" s="10" t="inlineStr">
        <is>
          <t>2 Crustaceans | 3 Crustaceans</t>
        </is>
      </c>
      <c r="H74" t="n">
        <v>16.647547</v>
      </c>
      <c r="I74" t="n">
        <v>15.13996</v>
      </c>
      <c r="J74" t="n">
        <v>15.13996</v>
      </c>
      <c r="K74" t="n">
        <v>14.107486</v>
      </c>
      <c r="L74" t="n">
        <v>88.61683499999999</v>
      </c>
      <c r="M74" t="n">
        <v>30.998352</v>
      </c>
      <c r="N74" t="n">
        <v>30.998352</v>
      </c>
      <c r="O74" t="n">
        <v>15.004935</v>
      </c>
      <c r="P74" t="n">
        <v>7.795329</v>
      </c>
      <c r="Q74" t="n">
        <v>30.998352</v>
      </c>
      <c r="R74" t="n">
        <v>30.998352</v>
      </c>
      <c r="S74" t="n">
        <v>15.004935</v>
      </c>
      <c r="T74" t="n">
        <v>15.004935</v>
      </c>
      <c r="U74" t="n">
        <v>7.795329</v>
      </c>
      <c r="V74" t="n">
        <v>7.795329</v>
      </c>
      <c r="W74" t="n">
        <v>15.392557</v>
      </c>
      <c r="X74" t="n">
        <v>34.031508</v>
      </c>
      <c r="Z74" t="n">
        <v>6.196734</v>
      </c>
    </row>
    <row r="75" ht="21" customHeight="1">
      <c r="A75" t="inlineStr">
        <is>
          <t>Tegillarca granosa</t>
        </is>
      </c>
      <c r="B75" t="n">
        <v>2</v>
      </c>
      <c r="C75" t="n">
        <v>10</v>
      </c>
      <c r="D75" s="10" t="inlineStr">
        <is>
          <t>2 Macrobenthos | 3 Macrobenthos</t>
        </is>
      </c>
      <c r="H75" t="n">
        <v>14.010241</v>
      </c>
      <c r="I75" t="n">
        <v>13.386848</v>
      </c>
      <c r="J75" t="n">
        <v>13.386848</v>
      </c>
      <c r="K75" t="n">
        <v>12.189342</v>
      </c>
      <c r="L75" t="n">
        <v>106.719149</v>
      </c>
      <c r="M75" t="n">
        <v>46.737687</v>
      </c>
      <c r="N75" t="n">
        <v>46.737687</v>
      </c>
      <c r="O75" t="n">
        <v>22.234823</v>
      </c>
      <c r="P75" t="n">
        <v>9.814845999999999</v>
      </c>
      <c r="Q75" t="n">
        <v>46.737687</v>
      </c>
      <c r="R75" t="n">
        <v>46.737687</v>
      </c>
      <c r="S75" t="n">
        <v>22.234823</v>
      </c>
      <c r="T75" t="n">
        <v>22.234823</v>
      </c>
      <c r="U75" t="n">
        <v>9.814845999999999</v>
      </c>
      <c r="V75" t="n">
        <v>9.814845999999999</v>
      </c>
      <c r="W75" t="n">
        <v>30.831021</v>
      </c>
      <c r="X75" t="n">
        <v>72.485857</v>
      </c>
      <c r="Z75" t="n">
        <v>5.642741</v>
      </c>
    </row>
    <row r="76" ht="21" customHeight="1">
      <c r="A76" t="inlineStr">
        <is>
          <t>Setipinna taty</t>
        </is>
      </c>
      <c r="B76" t="n">
        <v>3.2</v>
      </c>
      <c r="C76" t="n">
        <v>158.489319</v>
      </c>
      <c r="D76" s="10" t="inlineStr">
        <is>
          <t>2 S pelagics | 3 S pelagics</t>
        </is>
      </c>
      <c r="H76" t="n">
        <v>93.087237</v>
      </c>
      <c r="I76" t="n">
        <v>47.55691</v>
      </c>
      <c r="J76" t="n">
        <v>60.271203</v>
      </c>
      <c r="K76" t="n">
        <v>56.323134</v>
      </c>
      <c r="L76" t="n">
        <v>234.01812</v>
      </c>
      <c r="M76" t="n">
        <v>119.363868</v>
      </c>
      <c r="N76" t="n">
        <v>119.363868</v>
      </c>
      <c r="O76" t="n">
        <v>45.511558</v>
      </c>
      <c r="P76" t="n">
        <v>18.627065</v>
      </c>
      <c r="Q76" t="n">
        <v>119.363868</v>
      </c>
      <c r="R76" t="n">
        <v>-24383.104584</v>
      </c>
      <c r="S76" t="n">
        <v>45.511558</v>
      </c>
      <c r="T76" t="n">
        <v>262858.692163</v>
      </c>
      <c r="U76" t="n">
        <v>18.627065</v>
      </c>
      <c r="V76" t="n">
        <v>-4562944.327372</v>
      </c>
      <c r="W76" t="n">
        <v>52.667461</v>
      </c>
      <c r="X76" t="n">
        <v>147.16235</v>
      </c>
      <c r="Z76" t="n">
        <v>27.466663</v>
      </c>
    </row>
    <row r="77" ht="21" customHeight="1">
      <c r="A77" t="inlineStr">
        <is>
          <t>Loliginidae</t>
        </is>
      </c>
      <c r="B77" t="n">
        <v>3.9</v>
      </c>
      <c r="C77" t="n">
        <v>794.3282349999999</v>
      </c>
      <c r="D77" s="10" t="inlineStr">
        <is>
          <t>Cephalopods</t>
        </is>
      </c>
      <c r="H77" t="n">
        <v>511.74881</v>
      </c>
      <c r="I77" t="n">
        <v>216.918809</v>
      </c>
      <c r="J77" t="n">
        <v>263.00192</v>
      </c>
      <c r="K77" t="n">
        <v>236.701728</v>
      </c>
      <c r="L77" t="n">
        <v>1154.79452</v>
      </c>
      <c r="M77" t="n">
        <v>584.6118269999999</v>
      </c>
      <c r="N77" t="n">
        <v>584.6118269999999</v>
      </c>
      <c r="O77" t="n">
        <v>163.325284</v>
      </c>
      <c r="P77" t="n">
        <v>47.00536</v>
      </c>
      <c r="Q77" t="n">
        <v>584.6118269999999</v>
      </c>
      <c r="R77" t="n">
        <v>-11656.405165</v>
      </c>
      <c r="S77" t="n">
        <v>163.325284</v>
      </c>
      <c r="T77" t="n">
        <v>14308.189116</v>
      </c>
      <c r="U77" t="n">
        <v>47.00536</v>
      </c>
      <c r="V77" t="n">
        <v>-49576.380182</v>
      </c>
      <c r="W77" t="n">
        <v>207.310309</v>
      </c>
      <c r="X77" t="n">
        <v>739.3279659999999</v>
      </c>
      <c r="Z77" t="n">
        <v>83.68045600000001</v>
      </c>
    </row>
    <row r="78" ht="21" customHeight="1">
      <c r="A78" t="inlineStr">
        <is>
          <t>Lethrinidae</t>
        </is>
      </c>
      <c r="B78" t="n">
        <v>3.59</v>
      </c>
      <c r="C78" t="n">
        <v>389.045145</v>
      </c>
      <c r="D78" s="10" t="inlineStr">
        <is>
          <t>2 L pisc comm | 3 L pisc comm</t>
        </is>
      </c>
      <c r="H78" t="n">
        <v>801.308671</v>
      </c>
      <c r="I78" t="n">
        <v>347.219292</v>
      </c>
      <c r="J78" t="n">
        <v>442.467638</v>
      </c>
      <c r="K78" t="n">
        <v>402.262611</v>
      </c>
      <c r="L78" t="n">
        <v>2161.417589</v>
      </c>
      <c r="M78" t="n">
        <v>1083.958638</v>
      </c>
      <c r="N78" t="n">
        <v>1083.958638</v>
      </c>
      <c r="O78" t="n">
        <v>300.122309</v>
      </c>
      <c r="P78" t="n">
        <v>80.463222</v>
      </c>
      <c r="Q78" t="n">
        <v>1083.958638</v>
      </c>
      <c r="R78" t="n">
        <v>4211.040307</v>
      </c>
      <c r="S78" t="n">
        <v>300.122309</v>
      </c>
      <c r="T78" t="n">
        <v>24938830.515997</v>
      </c>
      <c r="U78" t="n">
        <v>80.463222</v>
      </c>
      <c r="V78" t="n">
        <v>-1116515115.800599</v>
      </c>
      <c r="W78" t="n">
        <v>379.777929</v>
      </c>
      <c r="X78" t="n">
        <v>1380.363646</v>
      </c>
      <c r="Z78" t="n">
        <v>105.373581</v>
      </c>
    </row>
    <row r="79" ht="21" customHeight="1">
      <c r="A79" t="inlineStr">
        <is>
          <t>Setipinna phasa</t>
        </is>
      </c>
      <c r="B79" t="n">
        <v>3.25</v>
      </c>
      <c r="C79" t="n">
        <v>177.827941</v>
      </c>
      <c r="D79" s="10" t="inlineStr">
        <is>
          <t>2 S pelagics | 3 S pelagics</t>
        </is>
      </c>
      <c r="H79" t="n">
        <v>93.087237</v>
      </c>
      <c r="I79" t="n">
        <v>47.55691</v>
      </c>
      <c r="J79" t="n">
        <v>60.271203</v>
      </c>
      <c r="K79" t="n">
        <v>56.323134</v>
      </c>
      <c r="L79" t="n">
        <v>234.01812</v>
      </c>
      <c r="M79" t="n">
        <v>119.363868</v>
      </c>
      <c r="N79" t="n">
        <v>119.363868</v>
      </c>
      <c r="O79" t="n">
        <v>45.511558</v>
      </c>
      <c r="P79" t="n">
        <v>18.627065</v>
      </c>
      <c r="Q79" t="n">
        <v>119.363868</v>
      </c>
      <c r="R79" t="n">
        <v>-24383.104584</v>
      </c>
      <c r="S79" t="n">
        <v>45.511558</v>
      </c>
      <c r="T79" t="n">
        <v>262858.692163</v>
      </c>
      <c r="U79" t="n">
        <v>18.627065</v>
      </c>
      <c r="V79" t="n">
        <v>-4562944.327372</v>
      </c>
      <c r="W79" t="n">
        <v>52.667461</v>
      </c>
      <c r="X79" t="n">
        <v>147.16235</v>
      </c>
      <c r="Z79" t="n">
        <v>27.466663</v>
      </c>
    </row>
    <row r="80" ht="21" customHeight="1">
      <c r="A80" t="inlineStr">
        <is>
          <t>Auxis thazard</t>
        </is>
      </c>
      <c r="B80" t="n">
        <v>4.37</v>
      </c>
      <c r="C80" t="n">
        <v>2344.228815</v>
      </c>
      <c r="D80" s="10" t="inlineStr">
        <is>
          <t>Coastal scombrids</t>
        </is>
      </c>
      <c r="H80" t="n">
        <v>2147.494807</v>
      </c>
      <c r="I80" t="n">
        <v>968.897292</v>
      </c>
      <c r="J80" t="n">
        <v>1141.782334</v>
      </c>
      <c r="K80" t="n">
        <v>682.785836</v>
      </c>
      <c r="L80" t="n">
        <v>5797.992045</v>
      </c>
      <c r="M80" t="n">
        <v>2877.683424</v>
      </c>
      <c r="N80" t="n">
        <v>2877.683424</v>
      </c>
      <c r="O80" t="n">
        <v>566.1491569999999</v>
      </c>
      <c r="P80" t="n">
        <v>140.36865</v>
      </c>
      <c r="Q80" t="n">
        <v>2877.683424</v>
      </c>
      <c r="R80" t="n">
        <v>807621.7416600001</v>
      </c>
      <c r="S80" t="n">
        <v>566.1491569999999</v>
      </c>
      <c r="T80" t="n">
        <v>-50402915.268695</v>
      </c>
      <c r="U80" t="n">
        <v>140.36865</v>
      </c>
      <c r="V80" t="n">
        <v>-2.053794932427448e+19</v>
      </c>
      <c r="W80" t="n">
        <v>719.397057</v>
      </c>
      <c r="X80" t="n">
        <v>3792.756934</v>
      </c>
      <c r="Z80" t="n">
        <v>232.918062</v>
      </c>
    </row>
    <row r="81" ht="21" customHeight="1">
      <c r="A81" t="inlineStr">
        <is>
          <t>Miscellaneous aquatic invertebrates</t>
        </is>
      </c>
      <c r="B81" t="n">
        <v>2.43</v>
      </c>
      <c r="C81" t="n">
        <v>26.915348</v>
      </c>
      <c r="D81" s="10" t="inlineStr">
        <is>
          <t>2 Macrobenthos | 3 Macrobenthos</t>
        </is>
      </c>
      <c r="H81" t="n">
        <v>14.010241</v>
      </c>
      <c r="I81" t="n">
        <v>13.386848</v>
      </c>
      <c r="J81" t="n">
        <v>13.386848</v>
      </c>
      <c r="K81" t="n">
        <v>12.189342</v>
      </c>
      <c r="L81" t="n">
        <v>106.719149</v>
      </c>
      <c r="M81" t="n">
        <v>46.737687</v>
      </c>
      <c r="N81" t="n">
        <v>46.737687</v>
      </c>
      <c r="O81" t="n">
        <v>22.234823</v>
      </c>
      <c r="P81" t="n">
        <v>9.814845999999999</v>
      </c>
      <c r="Q81" t="n">
        <v>46.737687</v>
      </c>
      <c r="R81" t="n">
        <v>46.737687</v>
      </c>
      <c r="S81" t="n">
        <v>22.234823</v>
      </c>
      <c r="T81" t="n">
        <v>22.234823</v>
      </c>
      <c r="U81" t="n">
        <v>9.814845999999999</v>
      </c>
      <c r="V81" t="n">
        <v>9.814845999999999</v>
      </c>
      <c r="W81" t="n">
        <v>30.831021</v>
      </c>
      <c r="X81" t="n">
        <v>72.485857</v>
      </c>
      <c r="Z81" t="n">
        <v>5.642741</v>
      </c>
    </row>
    <row r="82" ht="21" customHeight="1">
      <c r="A82" t="inlineStr">
        <is>
          <t>Leiognathus</t>
        </is>
      </c>
      <c r="B82" t="n">
        <v>3.22</v>
      </c>
      <c r="C82" t="n">
        <v>165.958691</v>
      </c>
      <c r="D82" s="10" t="inlineStr">
        <is>
          <t>2 SM inv | 3 SM inv</t>
        </is>
      </c>
      <c r="H82" t="n">
        <v>91.813177</v>
      </c>
      <c r="I82" t="n">
        <v>52.413336</v>
      </c>
      <c r="J82" t="n">
        <v>62.649384</v>
      </c>
      <c r="K82" t="n">
        <v>58.645949</v>
      </c>
      <c r="L82" t="n">
        <v>358.382548</v>
      </c>
      <c r="M82" t="n">
        <v>163.84463</v>
      </c>
      <c r="N82" t="n">
        <v>163.84463</v>
      </c>
      <c r="O82" t="n">
        <v>65.16087</v>
      </c>
      <c r="P82" t="n">
        <v>23.726562</v>
      </c>
      <c r="Q82" t="n">
        <v>163.84463</v>
      </c>
      <c r="R82" t="n">
        <v>27231.721784</v>
      </c>
      <c r="S82" t="n">
        <v>65.16087</v>
      </c>
      <c r="T82" t="n">
        <v>247011.21003</v>
      </c>
      <c r="U82" t="n">
        <v>23.726562</v>
      </c>
      <c r="V82" t="n">
        <v>-1608691.090535</v>
      </c>
      <c r="W82" t="n">
        <v>85.655771</v>
      </c>
      <c r="X82" t="n">
        <v>226.381866</v>
      </c>
      <c r="Z82" t="n">
        <v>23.837652</v>
      </c>
    </row>
    <row r="83" ht="21" customHeight="1">
      <c r="A83" t="inlineStr">
        <is>
          <t>Lutjanidae</t>
        </is>
      </c>
      <c r="B83" t="n">
        <v>4.02</v>
      </c>
      <c r="C83" t="n">
        <v>1047.128548</v>
      </c>
      <c r="D83" s="10" t="inlineStr">
        <is>
          <t>2 L pisc comm | 3 L pisc comm</t>
        </is>
      </c>
      <c r="H83" t="n">
        <v>801.308671</v>
      </c>
      <c r="I83" t="n">
        <v>347.219292</v>
      </c>
      <c r="J83" t="n">
        <v>442.467638</v>
      </c>
      <c r="K83" t="n">
        <v>402.262611</v>
      </c>
      <c r="L83" t="n">
        <v>2161.417589</v>
      </c>
      <c r="M83" t="n">
        <v>1083.958638</v>
      </c>
      <c r="N83" t="n">
        <v>1083.958638</v>
      </c>
      <c r="O83" t="n">
        <v>300.122309</v>
      </c>
      <c r="P83" t="n">
        <v>80.463222</v>
      </c>
      <c r="Q83" t="n">
        <v>1083.958638</v>
      </c>
      <c r="R83" t="n">
        <v>4211.040307</v>
      </c>
      <c r="S83" t="n">
        <v>300.122309</v>
      </c>
      <c r="T83" t="n">
        <v>24938830.515997</v>
      </c>
      <c r="U83" t="n">
        <v>80.463222</v>
      </c>
      <c r="V83" t="n">
        <v>-1116515115.800599</v>
      </c>
      <c r="W83" t="n">
        <v>379.777929</v>
      </c>
      <c r="X83" t="n">
        <v>1380.363646</v>
      </c>
      <c r="Z83" t="n">
        <v>105.373581</v>
      </c>
    </row>
    <row r="84" ht="21" customHeight="1">
      <c r="A84" t="inlineStr">
        <is>
          <t>Penaeus</t>
        </is>
      </c>
      <c r="B84" t="n">
        <v>2.7</v>
      </c>
      <c r="C84" t="n">
        <v>50.118723</v>
      </c>
      <c r="D84" s="10" t="inlineStr">
        <is>
          <t>2 Crustaceans | 3 Crustaceans</t>
        </is>
      </c>
      <c r="H84" t="n">
        <v>16.647547</v>
      </c>
      <c r="I84" t="n">
        <v>15.13996</v>
      </c>
      <c r="J84" t="n">
        <v>15.13996</v>
      </c>
      <c r="K84" t="n">
        <v>14.107486</v>
      </c>
      <c r="L84" t="n">
        <v>88.61683499999999</v>
      </c>
      <c r="M84" t="n">
        <v>30.998352</v>
      </c>
      <c r="N84" t="n">
        <v>30.998352</v>
      </c>
      <c r="O84" t="n">
        <v>15.004935</v>
      </c>
      <c r="P84" t="n">
        <v>7.795329</v>
      </c>
      <c r="Q84" t="n">
        <v>30.998352</v>
      </c>
      <c r="R84" t="n">
        <v>30.998352</v>
      </c>
      <c r="S84" t="n">
        <v>15.004935</v>
      </c>
      <c r="T84" t="n">
        <v>15.004935</v>
      </c>
      <c r="U84" t="n">
        <v>7.795329</v>
      </c>
      <c r="V84" t="n">
        <v>7.795329</v>
      </c>
      <c r="W84" t="n">
        <v>15.392557</v>
      </c>
      <c r="X84" t="n">
        <v>34.031508</v>
      </c>
      <c r="Z84" t="n">
        <v>6.196734</v>
      </c>
    </row>
    <row r="85" ht="21" customHeight="1">
      <c r="A85" t="inlineStr">
        <is>
          <t>Katsuwonus pelamis</t>
        </is>
      </c>
      <c r="B85" t="n">
        <v>4.43</v>
      </c>
      <c r="C85" t="n">
        <v>2691.534804</v>
      </c>
      <c r="D85" s="10" t="inlineStr">
        <is>
          <t>Tuna-like</t>
        </is>
      </c>
      <c r="H85" t="n">
        <v>4024.005911</v>
      </c>
      <c r="I85" t="n">
        <v>1217.030544</v>
      </c>
      <c r="J85" t="n">
        <v>1425.466216</v>
      </c>
      <c r="K85" t="n">
        <v>1274.366797</v>
      </c>
      <c r="L85" t="n">
        <v>8472.950376000001</v>
      </c>
      <c r="M85" t="n">
        <v>4280.710601</v>
      </c>
      <c r="N85" t="n">
        <v>4280.710601</v>
      </c>
      <c r="O85" t="n">
        <v>1050.279426</v>
      </c>
      <c r="P85" t="n">
        <v>230.70519</v>
      </c>
      <c r="Q85" t="n">
        <v>4280.710601</v>
      </c>
      <c r="R85" t="n">
        <v>2938914.210776</v>
      </c>
      <c r="S85" t="n">
        <v>1050.279426</v>
      </c>
      <c r="T85" t="n">
        <v>-12560069.044484</v>
      </c>
      <c r="U85" t="n">
        <v>230.70519</v>
      </c>
      <c r="V85" t="n">
        <v>990357739.175012</v>
      </c>
      <c r="W85" t="n">
        <v>1374.354712</v>
      </c>
      <c r="X85" t="n">
        <v>5545.438014</v>
      </c>
      <c r="Z85" t="n">
        <v>369.948499</v>
      </c>
    </row>
    <row r="86" ht="21" customHeight="1">
      <c r="A86" t="inlineStr">
        <is>
          <t>Mollusca</t>
        </is>
      </c>
      <c r="B86" t="n">
        <v>2.1</v>
      </c>
      <c r="C86" t="n">
        <v>12.589254</v>
      </c>
      <c r="D86" s="10" t="inlineStr">
        <is>
          <t>2 Macrobenthos | 3 Macrobenthos</t>
        </is>
      </c>
      <c r="H86" t="n">
        <v>14.010241</v>
      </c>
      <c r="I86" t="n">
        <v>13.386848</v>
      </c>
      <c r="J86" t="n">
        <v>13.386848</v>
      </c>
      <c r="K86" t="n">
        <v>12.189342</v>
      </c>
      <c r="L86" t="n">
        <v>106.719149</v>
      </c>
      <c r="M86" t="n">
        <v>46.737687</v>
      </c>
      <c r="N86" t="n">
        <v>46.737687</v>
      </c>
      <c r="O86" t="n">
        <v>22.234823</v>
      </c>
      <c r="P86" t="n">
        <v>9.814845999999999</v>
      </c>
      <c r="Q86" t="n">
        <v>46.737687</v>
      </c>
      <c r="R86" t="n">
        <v>46.737687</v>
      </c>
      <c r="S86" t="n">
        <v>22.234823</v>
      </c>
      <c r="T86" t="n">
        <v>22.234823</v>
      </c>
      <c r="U86" t="n">
        <v>9.814845999999999</v>
      </c>
      <c r="V86" t="n">
        <v>9.814845999999999</v>
      </c>
      <c r="W86" t="n">
        <v>30.831021</v>
      </c>
      <c r="X86" t="n">
        <v>72.485857</v>
      </c>
      <c r="Z86" t="n">
        <v>5.642741</v>
      </c>
    </row>
    <row r="87" ht="21" customHeight="1">
      <c r="A87" t="inlineStr">
        <is>
          <t>Serranidae</t>
        </is>
      </c>
      <c r="B87" t="n">
        <v>3.98</v>
      </c>
      <c r="C87" t="n">
        <v>954.992586</v>
      </c>
      <c r="D87" s="10" t="inlineStr">
        <is>
          <t>2 L pisc comm | 3 L pisc comm</t>
        </is>
      </c>
      <c r="H87" t="n">
        <v>801.308671</v>
      </c>
      <c r="I87" t="n">
        <v>347.219292</v>
      </c>
      <c r="J87" t="n">
        <v>442.467638</v>
      </c>
      <c r="K87" t="n">
        <v>402.262611</v>
      </c>
      <c r="L87" t="n">
        <v>2161.417589</v>
      </c>
      <c r="M87" t="n">
        <v>1083.958638</v>
      </c>
      <c r="N87" t="n">
        <v>1083.958638</v>
      </c>
      <c r="O87" t="n">
        <v>300.122309</v>
      </c>
      <c r="P87" t="n">
        <v>80.463222</v>
      </c>
      <c r="Q87" t="n">
        <v>1083.958638</v>
      </c>
      <c r="R87" t="n">
        <v>4211.040307</v>
      </c>
      <c r="S87" t="n">
        <v>300.122309</v>
      </c>
      <c r="T87" t="n">
        <v>24938830.515997</v>
      </c>
      <c r="U87" t="n">
        <v>80.463222</v>
      </c>
      <c r="V87" t="n">
        <v>-1116515115.800599</v>
      </c>
      <c r="W87" t="n">
        <v>379.777929</v>
      </c>
      <c r="X87" t="n">
        <v>1380.363646</v>
      </c>
      <c r="Z87" t="n">
        <v>105.373581</v>
      </c>
    </row>
    <row r="88" ht="21" customHeight="1">
      <c r="A88" t="inlineStr">
        <is>
          <t>Auxis</t>
        </is>
      </c>
      <c r="B88" t="n">
        <v>4.24</v>
      </c>
      <c r="C88" t="n">
        <v>1737.800829</v>
      </c>
      <c r="D88" s="10" t="inlineStr">
        <is>
          <t>Coastal scombrids</t>
        </is>
      </c>
      <c r="H88" t="n">
        <v>2147.494807</v>
      </c>
      <c r="I88" t="n">
        <v>968.897292</v>
      </c>
      <c r="J88" t="n">
        <v>1141.782334</v>
      </c>
      <c r="K88" t="n">
        <v>682.785836</v>
      </c>
      <c r="L88" t="n">
        <v>5797.992045</v>
      </c>
      <c r="M88" t="n">
        <v>2877.683424</v>
      </c>
      <c r="N88" t="n">
        <v>2877.683424</v>
      </c>
      <c r="O88" t="n">
        <v>566.1491569999999</v>
      </c>
      <c r="P88" t="n">
        <v>140.36865</v>
      </c>
      <c r="Q88" t="n">
        <v>2877.683424</v>
      </c>
      <c r="R88" t="n">
        <v>807621.7416600001</v>
      </c>
      <c r="S88" t="n">
        <v>566.1491569999999</v>
      </c>
      <c r="T88" t="n">
        <v>-50402915.268695</v>
      </c>
      <c r="U88" t="n">
        <v>140.36865</v>
      </c>
      <c r="V88" t="n">
        <v>-2.053794932427448e+19</v>
      </c>
      <c r="W88" t="n">
        <v>719.397057</v>
      </c>
      <c r="X88" t="n">
        <v>3792.756934</v>
      </c>
      <c r="Z88" t="n">
        <v>232.918062</v>
      </c>
    </row>
    <row r="89" ht="21" customHeight="1">
      <c r="A89" t="inlineStr">
        <is>
          <t>Lactarius lactarius</t>
        </is>
      </c>
      <c r="B89" t="n">
        <v>3.97</v>
      </c>
      <c r="C89" t="n">
        <v>933.2543010000001</v>
      </c>
      <c r="D89" s="10" t="inlineStr">
        <is>
          <t>2 S pelagics | 3 S pelagics</t>
        </is>
      </c>
      <c r="H89" t="n">
        <v>93.087237</v>
      </c>
      <c r="I89" t="n">
        <v>47.55691</v>
      </c>
      <c r="J89" t="n">
        <v>60.271203</v>
      </c>
      <c r="K89" t="n">
        <v>56.323134</v>
      </c>
      <c r="L89" t="n">
        <v>234.01812</v>
      </c>
      <c r="M89" t="n">
        <v>119.363868</v>
      </c>
      <c r="N89" t="n">
        <v>119.363868</v>
      </c>
      <c r="O89" t="n">
        <v>45.511558</v>
      </c>
      <c r="P89" t="n">
        <v>18.627065</v>
      </c>
      <c r="Q89" t="n">
        <v>119.363868</v>
      </c>
      <c r="R89" t="n">
        <v>-24383.104584</v>
      </c>
      <c r="S89" t="n">
        <v>45.511558</v>
      </c>
      <c r="T89" t="n">
        <v>262858.692163</v>
      </c>
      <c r="U89" t="n">
        <v>18.627065</v>
      </c>
      <c r="V89" t="n">
        <v>-4562944.327372</v>
      </c>
      <c r="W89" t="n">
        <v>52.667461</v>
      </c>
      <c r="X89" t="n">
        <v>147.16235</v>
      </c>
      <c r="Z89" t="n">
        <v>27.466663</v>
      </c>
    </row>
    <row r="90" ht="21" customHeight="1">
      <c r="A90" t="inlineStr">
        <is>
          <t>Himantura</t>
        </is>
      </c>
      <c r="B90" t="n">
        <v>3.85</v>
      </c>
      <c r="C90" t="n">
        <v>707.945784</v>
      </c>
      <c r="D90" s="10" t="inlineStr">
        <is>
          <t>Coastal elasmobranch</t>
        </is>
      </c>
      <c r="H90" t="n">
        <v>3918.259862</v>
      </c>
      <c r="I90" t="n">
        <v>1355.349538</v>
      </c>
      <c r="J90" t="n">
        <v>1507.801381</v>
      </c>
      <c r="K90" t="n">
        <v>1423.364503</v>
      </c>
      <c r="L90" t="n">
        <v>16997.641054</v>
      </c>
      <c r="M90" t="n">
        <v>8379.450296999999</v>
      </c>
      <c r="N90" t="n">
        <v>8379.450296999999</v>
      </c>
      <c r="O90" t="n">
        <v>1747.163226</v>
      </c>
      <c r="P90" t="n">
        <v>316.077663</v>
      </c>
      <c r="Q90" t="n">
        <v>8379.450296999999</v>
      </c>
      <c r="R90" t="n">
        <v>88438129.351763</v>
      </c>
      <c r="S90" t="n">
        <v>1747.163226</v>
      </c>
      <c r="T90" t="n">
        <v>7107955.115117</v>
      </c>
      <c r="U90" t="n">
        <v>316.077663</v>
      </c>
      <c r="V90" t="n">
        <v>3.942428667430859e+22</v>
      </c>
      <c r="W90" t="n">
        <v>2309.611491</v>
      </c>
      <c r="X90" t="n">
        <v>11319.470971</v>
      </c>
      <c r="Z90" t="n">
        <v>269.913382</v>
      </c>
    </row>
    <row r="91" ht="21" customHeight="1">
      <c r="A91" t="inlineStr">
        <is>
          <t>Cynoglossus cynoglossus</t>
        </is>
      </c>
      <c r="B91" t="n">
        <v>3.5</v>
      </c>
      <c r="C91" t="n">
        <v>316.227766</v>
      </c>
      <c r="D91" s="10" t="inlineStr">
        <is>
          <t>2 SM inv | 3 SM inv</t>
        </is>
      </c>
      <c r="H91" t="n">
        <v>91.813177</v>
      </c>
      <c r="I91" t="n">
        <v>52.413336</v>
      </c>
      <c r="J91" t="n">
        <v>62.649384</v>
      </c>
      <c r="K91" t="n">
        <v>58.645949</v>
      </c>
      <c r="L91" t="n">
        <v>358.382548</v>
      </c>
      <c r="M91" t="n">
        <v>163.84463</v>
      </c>
      <c r="N91" t="n">
        <v>163.84463</v>
      </c>
      <c r="O91" t="n">
        <v>65.16087</v>
      </c>
      <c r="P91" t="n">
        <v>23.726562</v>
      </c>
      <c r="Q91" t="n">
        <v>163.84463</v>
      </c>
      <c r="R91" t="n">
        <v>27231.721784</v>
      </c>
      <c r="S91" t="n">
        <v>65.16087</v>
      </c>
      <c r="T91" t="n">
        <v>247011.21003</v>
      </c>
      <c r="U91" t="n">
        <v>23.726562</v>
      </c>
      <c r="V91" t="n">
        <v>-1608691.090535</v>
      </c>
      <c r="W91" t="n">
        <v>85.655771</v>
      </c>
      <c r="X91" t="n">
        <v>226.381866</v>
      </c>
      <c r="Z91" t="n">
        <v>23.837652</v>
      </c>
    </row>
    <row r="92" ht="21" customHeight="1">
      <c r="A92" t="inlineStr">
        <is>
          <t>Pampus</t>
        </is>
      </c>
      <c r="B92" t="n">
        <v>3.41</v>
      </c>
      <c r="C92" t="n">
        <v>257.039578</v>
      </c>
      <c r="D92" s="10" t="inlineStr">
        <is>
          <t>2 SM inv | 3 SM inv</t>
        </is>
      </c>
      <c r="H92" t="n">
        <v>91.813177</v>
      </c>
      <c r="I92" t="n">
        <v>52.413336</v>
      </c>
      <c r="J92" t="n">
        <v>62.649384</v>
      </c>
      <c r="K92" t="n">
        <v>58.645949</v>
      </c>
      <c r="L92" t="n">
        <v>358.382548</v>
      </c>
      <c r="M92" t="n">
        <v>163.84463</v>
      </c>
      <c r="N92" t="n">
        <v>163.84463</v>
      </c>
      <c r="O92" t="n">
        <v>65.16087</v>
      </c>
      <c r="P92" t="n">
        <v>23.726562</v>
      </c>
      <c r="Q92" t="n">
        <v>163.84463</v>
      </c>
      <c r="R92" t="n">
        <v>27231.721784</v>
      </c>
      <c r="S92" t="n">
        <v>65.16087</v>
      </c>
      <c r="T92" t="n">
        <v>247011.21003</v>
      </c>
      <c r="U92" t="n">
        <v>23.726562</v>
      </c>
      <c r="V92" t="n">
        <v>-1608691.090535</v>
      </c>
      <c r="W92" t="n">
        <v>85.655771</v>
      </c>
      <c r="X92" t="n">
        <v>226.381866</v>
      </c>
      <c r="Z92" t="n">
        <v>23.837652</v>
      </c>
    </row>
    <row r="93" ht="21" customHeight="1">
      <c r="A93" t="inlineStr">
        <is>
          <t>Thunnus tonggol</t>
        </is>
      </c>
      <c r="B93" t="n">
        <v>4.5</v>
      </c>
      <c r="C93" t="n">
        <v>3162.27766</v>
      </c>
      <c r="D93" s="10" t="inlineStr">
        <is>
          <t>Coastal scombrids</t>
        </is>
      </c>
      <c r="H93" t="n">
        <v>2147.494807</v>
      </c>
      <c r="I93" t="n">
        <v>968.897292</v>
      </c>
      <c r="J93" t="n">
        <v>1141.782334</v>
      </c>
      <c r="K93" t="n">
        <v>682.785836</v>
      </c>
      <c r="L93" t="n">
        <v>5797.992045</v>
      </c>
      <c r="M93" t="n">
        <v>2877.683424</v>
      </c>
      <c r="N93" t="n">
        <v>2877.683424</v>
      </c>
      <c r="O93" t="n">
        <v>566.1491569999999</v>
      </c>
      <c r="P93" t="n">
        <v>140.36865</v>
      </c>
      <c r="Q93" t="n">
        <v>2877.683424</v>
      </c>
      <c r="R93" t="n">
        <v>807621.7416600001</v>
      </c>
      <c r="S93" t="n">
        <v>566.1491569999999</v>
      </c>
      <c r="T93" t="n">
        <v>-50402915.268695</v>
      </c>
      <c r="U93" t="n">
        <v>140.36865</v>
      </c>
      <c r="V93" t="n">
        <v>-2.053794932427448e+19</v>
      </c>
      <c r="W93" t="n">
        <v>719.397057</v>
      </c>
      <c r="X93" t="n">
        <v>3792.756934</v>
      </c>
      <c r="Z93" t="n">
        <v>232.918062</v>
      </c>
    </row>
    <row r="94" ht="21" customHeight="1">
      <c r="A94" t="inlineStr">
        <is>
          <t>Pomadasys</t>
        </is>
      </c>
      <c r="B94" t="n">
        <v>3.59</v>
      </c>
      <c r="C94" t="n">
        <v>389.045145</v>
      </c>
      <c r="D94" s="10" t="inlineStr">
        <is>
          <t>2 SM pisc | 3 SM pisc</t>
        </is>
      </c>
      <c r="H94" t="n">
        <v>243.94607</v>
      </c>
      <c r="I94" t="n">
        <v>108.349841</v>
      </c>
      <c r="J94" t="n">
        <v>154.909098</v>
      </c>
      <c r="K94" t="n">
        <v>147.163643</v>
      </c>
      <c r="L94" t="n">
        <v>954.7607</v>
      </c>
      <c r="M94" t="n">
        <v>447.937281</v>
      </c>
      <c r="N94" t="n">
        <v>447.937281</v>
      </c>
      <c r="O94" t="n">
        <v>152.63502</v>
      </c>
      <c r="P94" t="n">
        <v>45.95733</v>
      </c>
      <c r="Q94" t="n">
        <v>447.937281</v>
      </c>
      <c r="R94" t="n">
        <v>-7864.592041</v>
      </c>
      <c r="S94" t="n">
        <v>152.63502</v>
      </c>
      <c r="T94" t="n">
        <v>791067.821395</v>
      </c>
      <c r="U94" t="n">
        <v>45.95733</v>
      </c>
      <c r="V94" t="n">
        <v>-22992541.193563</v>
      </c>
      <c r="W94" t="n">
        <v>192.62905</v>
      </c>
      <c r="X94" t="n">
        <v>583.6561809999999</v>
      </c>
      <c r="Z94" t="n">
        <v>48.362824</v>
      </c>
    </row>
    <row r="95" ht="21" customHeight="1">
      <c r="A95" t="inlineStr">
        <is>
          <t>Lepturacanthus savala</t>
        </is>
      </c>
      <c r="B95" t="n">
        <v>4.31</v>
      </c>
      <c r="C95" t="n">
        <v>2041.737945</v>
      </c>
      <c r="D95" s="10" t="inlineStr">
        <is>
          <t>2 L pisc | 3 L pisc</t>
        </is>
      </c>
      <c r="H95" t="n">
        <v>1686.007244</v>
      </c>
      <c r="I95" t="n">
        <v>562.291264</v>
      </c>
      <c r="J95" t="n">
        <v>667.421881</v>
      </c>
      <c r="K95" t="n">
        <v>600.679693</v>
      </c>
      <c r="L95" t="n">
        <v>3541.417618</v>
      </c>
      <c r="M95" t="n">
        <v>1779.674544</v>
      </c>
      <c r="N95" t="n">
        <v>1779.674544</v>
      </c>
      <c r="O95" t="n">
        <v>491.036533</v>
      </c>
      <c r="P95" t="n">
        <v>120.796851</v>
      </c>
      <c r="Q95" t="n">
        <v>1779.674544</v>
      </c>
      <c r="R95" t="n">
        <v>183794.440851</v>
      </c>
      <c r="S95" t="n">
        <v>491.036533</v>
      </c>
      <c r="T95" t="n">
        <v>5645299.035557</v>
      </c>
      <c r="U95" t="n">
        <v>120.796851</v>
      </c>
      <c r="V95" t="n">
        <v>-5887325720.988076</v>
      </c>
      <c r="W95" t="n">
        <v>628.114208</v>
      </c>
      <c r="X95" t="n">
        <v>2283.896043</v>
      </c>
      <c r="Z95" t="n">
        <v>188.595494</v>
      </c>
    </row>
    <row r="96" ht="21" customHeight="1">
      <c r="A96" t="inlineStr">
        <is>
          <t>Upeneus</t>
        </is>
      </c>
      <c r="B96" t="n">
        <v>3.54</v>
      </c>
      <c r="C96" t="n">
        <v>346.73685</v>
      </c>
      <c r="D96" s="10" t="inlineStr">
        <is>
          <t>2 SM inv | 3 SM inv</t>
        </is>
      </c>
      <c r="H96" t="n">
        <v>91.813177</v>
      </c>
      <c r="I96" t="n">
        <v>52.413336</v>
      </c>
      <c r="J96" t="n">
        <v>62.649384</v>
      </c>
      <c r="K96" t="n">
        <v>58.645949</v>
      </c>
      <c r="L96" t="n">
        <v>358.382548</v>
      </c>
      <c r="M96" t="n">
        <v>163.84463</v>
      </c>
      <c r="N96" t="n">
        <v>163.84463</v>
      </c>
      <c r="O96" t="n">
        <v>65.16087</v>
      </c>
      <c r="P96" t="n">
        <v>23.726562</v>
      </c>
      <c r="Q96" t="n">
        <v>163.84463</v>
      </c>
      <c r="R96" t="n">
        <v>27231.721784</v>
      </c>
      <c r="S96" t="n">
        <v>65.16087</v>
      </c>
      <c r="T96" t="n">
        <v>247011.21003</v>
      </c>
      <c r="U96" t="n">
        <v>23.726562</v>
      </c>
      <c r="V96" t="n">
        <v>-1608691.090535</v>
      </c>
      <c r="W96" t="n">
        <v>85.655771</v>
      </c>
      <c r="X96" t="n">
        <v>226.381866</v>
      </c>
      <c r="Z96" t="n">
        <v>23.837652</v>
      </c>
    </row>
    <row r="97" ht="21" customHeight="1">
      <c r="A97" t="inlineStr">
        <is>
          <t>Sardinella lemuru</t>
        </is>
      </c>
      <c r="B97" t="n">
        <v>2.48</v>
      </c>
      <c r="C97" t="n">
        <v>30.199517</v>
      </c>
      <c r="D97" s="10" t="inlineStr">
        <is>
          <t>2 S pelagics | 3 S pelagics</t>
        </is>
      </c>
      <c r="H97" t="n">
        <v>93.087237</v>
      </c>
      <c r="I97" t="n">
        <v>47.55691</v>
      </c>
      <c r="J97" t="n">
        <v>60.271203</v>
      </c>
      <c r="K97" t="n">
        <v>56.323134</v>
      </c>
      <c r="L97" t="n">
        <v>234.01812</v>
      </c>
      <c r="M97" t="n">
        <v>119.363868</v>
      </c>
      <c r="N97" t="n">
        <v>119.363868</v>
      </c>
      <c r="O97" t="n">
        <v>45.511558</v>
      </c>
      <c r="P97" t="n">
        <v>18.627065</v>
      </c>
      <c r="Q97" t="n">
        <v>119.363868</v>
      </c>
      <c r="R97" t="n">
        <v>-24383.104584</v>
      </c>
      <c r="S97" t="n">
        <v>45.511558</v>
      </c>
      <c r="T97" t="n">
        <v>262858.692163</v>
      </c>
      <c r="U97" t="n">
        <v>18.627065</v>
      </c>
      <c r="V97" t="n">
        <v>-4562944.327372</v>
      </c>
      <c r="W97" t="n">
        <v>52.667461</v>
      </c>
      <c r="X97" t="n">
        <v>147.16235</v>
      </c>
      <c r="Z97" t="n">
        <v>27.466663</v>
      </c>
    </row>
    <row r="98" ht="21" customHeight="1">
      <c r="A98" t="inlineStr">
        <is>
          <t>Epinephelus</t>
        </is>
      </c>
      <c r="B98" t="n">
        <v>3.84</v>
      </c>
      <c r="C98" t="n">
        <v>691.830971</v>
      </c>
      <c r="D98" s="10" t="inlineStr">
        <is>
          <t>2 L pisc comm | 3 L pisc comm</t>
        </is>
      </c>
      <c r="H98" t="n">
        <v>801.308671</v>
      </c>
      <c r="I98" t="n">
        <v>347.219292</v>
      </c>
      <c r="J98" t="n">
        <v>442.467638</v>
      </c>
      <c r="K98" t="n">
        <v>402.262611</v>
      </c>
      <c r="L98" t="n">
        <v>2161.417589</v>
      </c>
      <c r="M98" t="n">
        <v>1083.958638</v>
      </c>
      <c r="N98" t="n">
        <v>1083.958638</v>
      </c>
      <c r="O98" t="n">
        <v>300.122309</v>
      </c>
      <c r="P98" t="n">
        <v>80.463222</v>
      </c>
      <c r="Q98" t="n">
        <v>1083.958638</v>
      </c>
      <c r="R98" t="n">
        <v>4211.040307</v>
      </c>
      <c r="S98" t="n">
        <v>300.122309</v>
      </c>
      <c r="T98" t="n">
        <v>24938830.515997</v>
      </c>
      <c r="U98" t="n">
        <v>80.463222</v>
      </c>
      <c r="V98" t="n">
        <v>-1116515115.800599</v>
      </c>
      <c r="W98" t="n">
        <v>379.777929</v>
      </c>
      <c r="X98" t="n">
        <v>1380.363646</v>
      </c>
      <c r="Z98" t="n">
        <v>105.373581</v>
      </c>
    </row>
    <row r="99" ht="21" customHeight="1">
      <c r="A99" t="inlineStr">
        <is>
          <t>Sphyraenidae</t>
        </is>
      </c>
      <c r="B99" t="n">
        <v>4.4</v>
      </c>
      <c r="C99" t="n">
        <v>2511.886432</v>
      </c>
      <c r="D99" s="10" t="inlineStr">
        <is>
          <t>2 L pisc | 3 L pisc</t>
        </is>
      </c>
      <c r="H99" t="n">
        <v>1686.007244</v>
      </c>
      <c r="I99" t="n">
        <v>562.291264</v>
      </c>
      <c r="J99" t="n">
        <v>667.421881</v>
      </c>
      <c r="K99" t="n">
        <v>600.679693</v>
      </c>
      <c r="L99" t="n">
        <v>3541.417618</v>
      </c>
      <c r="M99" t="n">
        <v>1779.674544</v>
      </c>
      <c r="N99" t="n">
        <v>1779.674544</v>
      </c>
      <c r="O99" t="n">
        <v>491.036533</v>
      </c>
      <c r="P99" t="n">
        <v>120.796851</v>
      </c>
      <c r="Q99" t="n">
        <v>1779.674544</v>
      </c>
      <c r="R99" t="n">
        <v>183794.440851</v>
      </c>
      <c r="S99" t="n">
        <v>491.036533</v>
      </c>
      <c r="T99" t="n">
        <v>5645299.035557</v>
      </c>
      <c r="U99" t="n">
        <v>120.796851</v>
      </c>
      <c r="V99" t="n">
        <v>-5887325720.988076</v>
      </c>
      <c r="W99" t="n">
        <v>628.114208</v>
      </c>
      <c r="X99" t="n">
        <v>2283.896043</v>
      </c>
      <c r="Z99" t="n">
        <v>188.595494</v>
      </c>
    </row>
    <row r="100" ht="21" customHeight="1">
      <c r="A100" t="inlineStr">
        <is>
          <t>Coilia dussumieri</t>
        </is>
      </c>
      <c r="B100" t="n">
        <v>3.3</v>
      </c>
      <c r="C100" t="n">
        <v>199.526231</v>
      </c>
      <c r="D100" s="10" t="inlineStr">
        <is>
          <t>2 S pelagics | 3 S pelagics</t>
        </is>
      </c>
      <c r="H100" t="n">
        <v>93.087237</v>
      </c>
      <c r="I100" t="n">
        <v>47.55691</v>
      </c>
      <c r="J100" t="n">
        <v>60.271203</v>
      </c>
      <c r="K100" t="n">
        <v>56.323134</v>
      </c>
      <c r="L100" t="n">
        <v>234.01812</v>
      </c>
      <c r="M100" t="n">
        <v>119.363868</v>
      </c>
      <c r="N100" t="n">
        <v>119.363868</v>
      </c>
      <c r="O100" t="n">
        <v>45.511558</v>
      </c>
      <c r="P100" t="n">
        <v>18.627065</v>
      </c>
      <c r="Q100" t="n">
        <v>119.363868</v>
      </c>
      <c r="R100" t="n">
        <v>-24383.104584</v>
      </c>
      <c r="S100" t="n">
        <v>45.511558</v>
      </c>
      <c r="T100" t="n">
        <v>262858.692163</v>
      </c>
      <c r="U100" t="n">
        <v>18.627065</v>
      </c>
      <c r="V100" t="n">
        <v>-4562944.327372</v>
      </c>
      <c r="W100" t="n">
        <v>52.667461</v>
      </c>
      <c r="X100" t="n">
        <v>147.16235</v>
      </c>
      <c r="Z100" t="n">
        <v>27.466663</v>
      </c>
    </row>
    <row r="101" ht="21" customHeight="1">
      <c r="A101" t="inlineStr">
        <is>
          <t>Cynoglossus</t>
        </is>
      </c>
      <c r="B101" t="n">
        <v>3.36</v>
      </c>
      <c r="C101" t="n">
        <v>229.086765</v>
      </c>
      <c r="D101" s="10" t="inlineStr">
        <is>
          <t>2 SM inv | 3 SM inv</t>
        </is>
      </c>
      <c r="H101" t="n">
        <v>91.813177</v>
      </c>
      <c r="I101" t="n">
        <v>52.413336</v>
      </c>
      <c r="J101" t="n">
        <v>62.649384</v>
      </c>
      <c r="K101" t="n">
        <v>58.645949</v>
      </c>
      <c r="L101" t="n">
        <v>358.382548</v>
      </c>
      <c r="M101" t="n">
        <v>163.84463</v>
      </c>
      <c r="N101" t="n">
        <v>163.84463</v>
      </c>
      <c r="O101" t="n">
        <v>65.16087</v>
      </c>
      <c r="P101" t="n">
        <v>23.726562</v>
      </c>
      <c r="Q101" t="n">
        <v>163.84463</v>
      </c>
      <c r="R101" t="n">
        <v>27231.721784</v>
      </c>
      <c r="S101" t="n">
        <v>65.16087</v>
      </c>
      <c r="T101" t="n">
        <v>247011.21003</v>
      </c>
      <c r="U101" t="n">
        <v>23.726562</v>
      </c>
      <c r="V101" t="n">
        <v>-1608691.090535</v>
      </c>
      <c r="W101" t="n">
        <v>85.655771</v>
      </c>
      <c r="X101" t="n">
        <v>226.381866</v>
      </c>
      <c r="Z101" t="n">
        <v>23.837652</v>
      </c>
    </row>
    <row r="102" ht="21" customHeight="1">
      <c r="A102" t="inlineStr">
        <is>
          <t>Chirocentrus dorab</t>
        </is>
      </c>
      <c r="B102" t="n">
        <v>4.2</v>
      </c>
      <c r="C102" t="n">
        <v>1584.893192</v>
      </c>
      <c r="D102" s="10" t="inlineStr">
        <is>
          <t>2 L pisc | 3 L pisc</t>
        </is>
      </c>
      <c r="H102" t="n">
        <v>1686.007244</v>
      </c>
      <c r="I102" t="n">
        <v>562.291264</v>
      </c>
      <c r="J102" t="n">
        <v>667.421881</v>
      </c>
      <c r="K102" t="n">
        <v>600.679693</v>
      </c>
      <c r="L102" t="n">
        <v>3541.417618</v>
      </c>
      <c r="M102" t="n">
        <v>1779.674544</v>
      </c>
      <c r="N102" t="n">
        <v>1779.674544</v>
      </c>
      <c r="O102" t="n">
        <v>491.036533</v>
      </c>
      <c r="P102" t="n">
        <v>120.796851</v>
      </c>
      <c r="Q102" t="n">
        <v>1779.674544</v>
      </c>
      <c r="R102" t="n">
        <v>183794.440851</v>
      </c>
      <c r="S102" t="n">
        <v>491.036533</v>
      </c>
      <c r="T102" t="n">
        <v>5645299.035557</v>
      </c>
      <c r="U102" t="n">
        <v>120.796851</v>
      </c>
      <c r="V102" t="n">
        <v>-5887325720.988076</v>
      </c>
      <c r="W102" t="n">
        <v>628.114208</v>
      </c>
      <c r="X102" t="n">
        <v>2283.896043</v>
      </c>
      <c r="Z102" t="n">
        <v>188.595494</v>
      </c>
    </row>
    <row r="103" ht="21" customHeight="1">
      <c r="A103" t="inlineStr">
        <is>
          <t>Amblygaster sirm</t>
        </is>
      </c>
      <c r="B103" t="n">
        <v>3.2</v>
      </c>
      <c r="C103" t="n">
        <v>158.489319</v>
      </c>
      <c r="D103" s="10" t="inlineStr">
        <is>
          <t>2 S pelagics | 3 S pelagics</t>
        </is>
      </c>
      <c r="H103" t="n">
        <v>93.087237</v>
      </c>
      <c r="I103" t="n">
        <v>47.55691</v>
      </c>
      <c r="J103" t="n">
        <v>60.271203</v>
      </c>
      <c r="K103" t="n">
        <v>56.323134</v>
      </c>
      <c r="L103" t="n">
        <v>234.01812</v>
      </c>
      <c r="M103" t="n">
        <v>119.363868</v>
      </c>
      <c r="N103" t="n">
        <v>119.363868</v>
      </c>
      <c r="O103" t="n">
        <v>45.511558</v>
      </c>
      <c r="P103" t="n">
        <v>18.627065</v>
      </c>
      <c r="Q103" t="n">
        <v>119.363868</v>
      </c>
      <c r="R103" t="n">
        <v>-24383.104584</v>
      </c>
      <c r="S103" t="n">
        <v>45.511558</v>
      </c>
      <c r="T103" t="n">
        <v>262858.692163</v>
      </c>
      <c r="U103" t="n">
        <v>18.627065</v>
      </c>
      <c r="V103" t="n">
        <v>-4562944.327372</v>
      </c>
      <c r="W103" t="n">
        <v>52.667461</v>
      </c>
      <c r="X103" t="n">
        <v>147.16235</v>
      </c>
      <c r="Z103" t="n">
        <v>27.466663</v>
      </c>
    </row>
    <row r="104" ht="21" customHeight="1">
      <c r="A104" t="inlineStr">
        <is>
          <t>Sardinella gibbosa</t>
        </is>
      </c>
      <c r="B104" t="n">
        <v>2.85</v>
      </c>
      <c r="C104" t="n">
        <v>70.794578</v>
      </c>
      <c r="D104" s="10" t="inlineStr">
        <is>
          <t>2 S pelagics | 3 S pelagics</t>
        </is>
      </c>
      <c r="H104" t="n">
        <v>93.087237</v>
      </c>
      <c r="I104" t="n">
        <v>47.55691</v>
      </c>
      <c r="J104" t="n">
        <v>60.271203</v>
      </c>
      <c r="K104" t="n">
        <v>56.323134</v>
      </c>
      <c r="L104" t="n">
        <v>234.01812</v>
      </c>
      <c r="M104" t="n">
        <v>119.363868</v>
      </c>
      <c r="N104" t="n">
        <v>119.363868</v>
      </c>
      <c r="O104" t="n">
        <v>45.511558</v>
      </c>
      <c r="P104" t="n">
        <v>18.627065</v>
      </c>
      <c r="Q104" t="n">
        <v>119.363868</v>
      </c>
      <c r="R104" t="n">
        <v>-24383.104584</v>
      </c>
      <c r="S104" t="n">
        <v>45.511558</v>
      </c>
      <c r="T104" t="n">
        <v>262858.692163</v>
      </c>
      <c r="U104" t="n">
        <v>18.627065</v>
      </c>
      <c r="V104" t="n">
        <v>-4562944.327372</v>
      </c>
      <c r="W104" t="n">
        <v>52.667461</v>
      </c>
      <c r="X104" t="n">
        <v>147.16235</v>
      </c>
      <c r="Z104" t="n">
        <v>27.466663</v>
      </c>
    </row>
    <row r="105" ht="21" customHeight="1">
      <c r="A105" t="inlineStr">
        <is>
          <t>Netuma thalassina</t>
        </is>
      </c>
      <c r="B105" t="n">
        <v>3.54</v>
      </c>
      <c r="C105" t="n">
        <v>346.73685</v>
      </c>
      <c r="D105" s="10" t="inlineStr">
        <is>
          <t>2 Milkfish plus | 3 Milkfish plus</t>
        </is>
      </c>
      <c r="H105" t="n">
        <v>218.28464</v>
      </c>
      <c r="I105" t="n">
        <v>104.193219</v>
      </c>
      <c r="J105" t="n">
        <v>172.152545</v>
      </c>
      <c r="K105" t="n">
        <v>158.688167</v>
      </c>
      <c r="L105" t="n">
        <v>956.244957</v>
      </c>
      <c r="M105" t="n">
        <v>441.803024</v>
      </c>
      <c r="N105" t="n">
        <v>441.803024</v>
      </c>
      <c r="O105" t="n">
        <v>146.861303</v>
      </c>
      <c r="P105" t="n">
        <v>45.255525</v>
      </c>
      <c r="Q105" t="n">
        <v>441.803024</v>
      </c>
      <c r="R105" t="n">
        <v>186979.680387</v>
      </c>
      <c r="S105" t="n">
        <v>146.861303</v>
      </c>
      <c r="T105" t="n">
        <v>617040.751743</v>
      </c>
      <c r="U105" t="n">
        <v>45.255525</v>
      </c>
      <c r="V105" t="n">
        <v>-73441647.53175899</v>
      </c>
      <c r="W105" t="n">
        <v>191.757018</v>
      </c>
      <c r="X105" t="n">
        <v>597.4259</v>
      </c>
      <c r="Z105" t="n">
        <v>38.590302</v>
      </c>
    </row>
    <row r="106" ht="21" customHeight="1">
      <c r="A106" t="inlineStr">
        <is>
          <t>Lates calcarifer</t>
        </is>
      </c>
      <c r="B106" t="n">
        <v>4.35</v>
      </c>
      <c r="C106" t="n">
        <v>2238.721139</v>
      </c>
      <c r="D106" s="10" t="inlineStr">
        <is>
          <t>2 L pisc | 3 L pisc</t>
        </is>
      </c>
      <c r="H106" t="n">
        <v>1686.007244</v>
      </c>
      <c r="I106" t="n">
        <v>562.291264</v>
      </c>
      <c r="J106" t="n">
        <v>667.421881</v>
      </c>
      <c r="K106" t="n">
        <v>600.679693</v>
      </c>
      <c r="L106" t="n">
        <v>3541.417618</v>
      </c>
      <c r="M106" t="n">
        <v>1779.674544</v>
      </c>
      <c r="N106" t="n">
        <v>1779.674544</v>
      </c>
      <c r="O106" t="n">
        <v>491.036533</v>
      </c>
      <c r="P106" t="n">
        <v>120.796851</v>
      </c>
      <c r="Q106" t="n">
        <v>1779.674544</v>
      </c>
      <c r="R106" t="n">
        <v>183794.440851</v>
      </c>
      <c r="S106" t="n">
        <v>491.036533</v>
      </c>
      <c r="T106" t="n">
        <v>5645299.035557</v>
      </c>
      <c r="U106" t="n">
        <v>120.796851</v>
      </c>
      <c r="V106" t="n">
        <v>-5887325720.988076</v>
      </c>
      <c r="W106" t="n">
        <v>628.114208</v>
      </c>
      <c r="X106" t="n">
        <v>2283.896043</v>
      </c>
      <c r="Z106" t="n">
        <v>188.595494</v>
      </c>
    </row>
    <row r="107" ht="36" customHeight="1">
      <c r="A107" t="inlineStr">
        <is>
          <t>Carcharhinus</t>
        </is>
      </c>
      <c r="B107" t="n">
        <v>4.26</v>
      </c>
      <c r="C107" t="n">
        <v>1819.700859</v>
      </c>
      <c r="D107" s="10" t="inlineStr">
        <is>
          <t>Oceanic sharks | Coastal elasmobranch</t>
        </is>
      </c>
      <c r="H107" t="n">
        <v>4551.983566</v>
      </c>
      <c r="I107" t="n">
        <v>1849.529344</v>
      </c>
      <c r="J107" t="n">
        <v>2128.477647</v>
      </c>
      <c r="K107" t="n">
        <v>1617.722937</v>
      </c>
      <c r="L107" t="n">
        <v>18853.580958</v>
      </c>
      <c r="M107" t="n">
        <v>9369.706081</v>
      </c>
      <c r="N107" t="n">
        <v>9369.706081</v>
      </c>
      <c r="O107" t="n">
        <v>1729.015754</v>
      </c>
      <c r="P107" t="n">
        <v>320.600611</v>
      </c>
      <c r="Q107" t="n">
        <v>9369.706081</v>
      </c>
      <c r="R107" t="n">
        <v>86435005.18098401</v>
      </c>
      <c r="S107" t="n">
        <v>1729.015754</v>
      </c>
      <c r="T107" t="n">
        <v>5096235.486271</v>
      </c>
      <c r="U107" t="n">
        <v>320.600611</v>
      </c>
      <c r="V107" t="n">
        <v>3.597654801811849e+22</v>
      </c>
      <c r="W107" t="n">
        <v>2273.980267</v>
      </c>
      <c r="X107" t="n">
        <v>12560.590538</v>
      </c>
      <c r="Z107" t="n">
        <v>319.730135</v>
      </c>
    </row>
    <row r="108" ht="21" customHeight="1">
      <c r="A108" t="inlineStr">
        <is>
          <t>Haemulidae</t>
        </is>
      </c>
      <c r="B108" t="n">
        <v>3.36</v>
      </c>
      <c r="C108" t="n">
        <v>229.086765</v>
      </c>
      <c r="D108" s="10" t="inlineStr">
        <is>
          <t>2 SM pisc | 3 SM pisc</t>
        </is>
      </c>
      <c r="H108" t="n">
        <v>243.94607</v>
      </c>
      <c r="I108" t="n">
        <v>108.349841</v>
      </c>
      <c r="J108" t="n">
        <v>154.909098</v>
      </c>
      <c r="K108" t="n">
        <v>147.163643</v>
      </c>
      <c r="L108" t="n">
        <v>954.7607</v>
      </c>
      <c r="M108" t="n">
        <v>447.937281</v>
      </c>
      <c r="N108" t="n">
        <v>447.937281</v>
      </c>
      <c r="O108" t="n">
        <v>152.63502</v>
      </c>
      <c r="P108" t="n">
        <v>45.95733</v>
      </c>
      <c r="Q108" t="n">
        <v>447.937281</v>
      </c>
      <c r="R108" t="n">
        <v>-7864.592041</v>
      </c>
      <c r="S108" t="n">
        <v>152.63502</v>
      </c>
      <c r="T108" t="n">
        <v>791067.821395</v>
      </c>
      <c r="U108" t="n">
        <v>45.95733</v>
      </c>
      <c r="V108" t="n">
        <v>-22992541.193563</v>
      </c>
      <c r="W108" t="n">
        <v>192.62905</v>
      </c>
      <c r="X108" t="n">
        <v>583.6561809999999</v>
      </c>
      <c r="Z108" t="n">
        <v>48.362824</v>
      </c>
    </row>
    <row r="109" ht="21" customHeight="1">
      <c r="A109" t="inlineStr">
        <is>
          <t>Leptomelanosoma indicum</t>
        </is>
      </c>
      <c r="B109" t="n">
        <v>3.86</v>
      </c>
      <c r="C109" t="n">
        <v>724.43596</v>
      </c>
      <c r="D109" s="10" t="inlineStr">
        <is>
          <t>2 L pisc | 3 L pisc</t>
        </is>
      </c>
      <c r="H109" t="n">
        <v>1686.007244</v>
      </c>
      <c r="I109" t="n">
        <v>562.291264</v>
      </c>
      <c r="J109" t="n">
        <v>667.421881</v>
      </c>
      <c r="K109" t="n">
        <v>600.679693</v>
      </c>
      <c r="L109" t="n">
        <v>3541.417618</v>
      </c>
      <c r="M109" t="n">
        <v>1779.674544</v>
      </c>
      <c r="N109" t="n">
        <v>1779.674544</v>
      </c>
      <c r="O109" t="n">
        <v>491.036533</v>
      </c>
      <c r="P109" t="n">
        <v>120.796851</v>
      </c>
      <c r="Q109" t="n">
        <v>1779.674544</v>
      </c>
      <c r="R109" t="n">
        <v>183794.440851</v>
      </c>
      <c r="S109" t="n">
        <v>491.036533</v>
      </c>
      <c r="T109" t="n">
        <v>5645299.035557</v>
      </c>
      <c r="U109" t="n">
        <v>120.796851</v>
      </c>
      <c r="V109" t="n">
        <v>-5887325720.988076</v>
      </c>
      <c r="W109" t="n">
        <v>628.114208</v>
      </c>
      <c r="X109" t="n">
        <v>2283.896043</v>
      </c>
      <c r="Z109" t="n">
        <v>188.595494</v>
      </c>
    </row>
    <row r="110" ht="21" customHeight="1">
      <c r="A110" t="inlineStr">
        <is>
          <t>Scylla serrata</t>
        </is>
      </c>
      <c r="B110" t="n">
        <v>3.17</v>
      </c>
      <c r="C110" t="n">
        <v>147.910839</v>
      </c>
      <c r="D110" s="10" t="inlineStr">
        <is>
          <t>2 Crustaceans | 3 Crustaceans</t>
        </is>
      </c>
      <c r="H110" t="n">
        <v>16.647547</v>
      </c>
      <c r="I110" t="n">
        <v>15.13996</v>
      </c>
      <c r="J110" t="n">
        <v>15.13996</v>
      </c>
      <c r="K110" t="n">
        <v>14.107486</v>
      </c>
      <c r="L110" t="n">
        <v>88.61683499999999</v>
      </c>
      <c r="M110" t="n">
        <v>30.998352</v>
      </c>
      <c r="N110" t="n">
        <v>30.998352</v>
      </c>
      <c r="O110" t="n">
        <v>15.004935</v>
      </c>
      <c r="P110" t="n">
        <v>7.795329</v>
      </c>
      <c r="Q110" t="n">
        <v>30.998352</v>
      </c>
      <c r="R110" t="n">
        <v>30.998352</v>
      </c>
      <c r="S110" t="n">
        <v>15.004935</v>
      </c>
      <c r="T110" t="n">
        <v>15.004935</v>
      </c>
      <c r="U110" t="n">
        <v>7.795329</v>
      </c>
      <c r="V110" t="n">
        <v>7.795329</v>
      </c>
      <c r="W110" t="n">
        <v>15.392557</v>
      </c>
      <c r="X110" t="n">
        <v>34.031508</v>
      </c>
      <c r="Z110" t="n">
        <v>6.196734</v>
      </c>
    </row>
    <row r="111" ht="21" customHeight="1">
      <c r="A111" t="inlineStr">
        <is>
          <t>Thunnus obesus</t>
        </is>
      </c>
      <c r="B111" t="n">
        <v>4.49</v>
      </c>
      <c r="C111" t="n">
        <v>3090.295433</v>
      </c>
      <c r="D111" s="10" t="inlineStr">
        <is>
          <t>Bigeye tuna</t>
        </is>
      </c>
      <c r="H111" t="n">
        <v>4755.043773</v>
      </c>
      <c r="I111" t="n">
        <v>1527.369787</v>
      </c>
      <c r="J111" t="n">
        <v>1751.14715</v>
      </c>
      <c r="K111" t="n">
        <v>1576.032435</v>
      </c>
      <c r="L111" t="n">
        <v>7862.361226</v>
      </c>
      <c r="M111" t="n">
        <v>4156.24403</v>
      </c>
      <c r="N111" t="n">
        <v>4156.24403</v>
      </c>
      <c r="O111" t="n">
        <v>919.715265</v>
      </c>
      <c r="P111" t="n">
        <v>200.2984</v>
      </c>
      <c r="Q111" t="n">
        <v>4156.24403</v>
      </c>
      <c r="R111" t="n">
        <v>6832161.440479</v>
      </c>
      <c r="S111" t="n">
        <v>919.715265</v>
      </c>
      <c r="T111" t="n">
        <v>-8505614.389331</v>
      </c>
      <c r="U111" t="n">
        <v>200.2984</v>
      </c>
      <c r="V111" t="n">
        <v>4.999569563118292e+21</v>
      </c>
      <c r="W111" t="n">
        <v>1211.966785</v>
      </c>
      <c r="X111" t="n">
        <v>5182.343918</v>
      </c>
      <c r="Z111" t="n">
        <v>383.220019</v>
      </c>
    </row>
    <row r="112" ht="21" customHeight="1">
      <c r="A112" t="inlineStr">
        <is>
          <t>Octopodidae</t>
        </is>
      </c>
      <c r="B112" t="n">
        <v>3.59</v>
      </c>
      <c r="C112" t="n">
        <v>389.045145</v>
      </c>
      <c r="D112" s="10" t="inlineStr">
        <is>
          <t>Cephalopods</t>
        </is>
      </c>
      <c r="H112" t="n">
        <v>511.74881</v>
      </c>
      <c r="I112" t="n">
        <v>216.918809</v>
      </c>
      <c r="J112" t="n">
        <v>263.00192</v>
      </c>
      <c r="K112" t="n">
        <v>236.701728</v>
      </c>
      <c r="L112" t="n">
        <v>1154.79452</v>
      </c>
      <c r="M112" t="n">
        <v>584.6118269999999</v>
      </c>
      <c r="N112" t="n">
        <v>584.6118269999999</v>
      </c>
      <c r="O112" t="n">
        <v>163.325284</v>
      </c>
      <c r="P112" t="n">
        <v>47.00536</v>
      </c>
      <c r="Q112" t="n">
        <v>584.6118269999999</v>
      </c>
      <c r="R112" t="n">
        <v>-11656.405165</v>
      </c>
      <c r="S112" t="n">
        <v>163.325284</v>
      </c>
      <c r="T112" t="n">
        <v>14308.189116</v>
      </c>
      <c r="U112" t="n">
        <v>47.00536</v>
      </c>
      <c r="V112" t="n">
        <v>-49576.380182</v>
      </c>
      <c r="W112" t="n">
        <v>207.310309</v>
      </c>
      <c r="X112" t="n">
        <v>739.3279659999999</v>
      </c>
      <c r="Z112" t="n">
        <v>83.68045600000001</v>
      </c>
    </row>
    <row r="113" ht="21" customHeight="1">
      <c r="A113" t="inlineStr">
        <is>
          <t>Lutjanus</t>
        </is>
      </c>
      <c r="B113" t="n">
        <v>4.02</v>
      </c>
      <c r="C113" t="n">
        <v>1047.128548</v>
      </c>
      <c r="D113" s="10" t="inlineStr">
        <is>
          <t>2 L pisc comm | 3 L pisc comm</t>
        </is>
      </c>
      <c r="H113" t="n">
        <v>801.308671</v>
      </c>
      <c r="I113" t="n">
        <v>347.219292</v>
      </c>
      <c r="J113" t="n">
        <v>442.467638</v>
      </c>
      <c r="K113" t="n">
        <v>402.262611</v>
      </c>
      <c r="L113" t="n">
        <v>2161.417589</v>
      </c>
      <c r="M113" t="n">
        <v>1083.958638</v>
      </c>
      <c r="N113" t="n">
        <v>1083.958638</v>
      </c>
      <c r="O113" t="n">
        <v>300.122309</v>
      </c>
      <c r="P113" t="n">
        <v>80.463222</v>
      </c>
      <c r="Q113" t="n">
        <v>1083.958638</v>
      </c>
      <c r="R113" t="n">
        <v>4211.040307</v>
      </c>
      <c r="S113" t="n">
        <v>300.122309</v>
      </c>
      <c r="T113" t="n">
        <v>24938830.515997</v>
      </c>
      <c r="U113" t="n">
        <v>80.463222</v>
      </c>
      <c r="V113" t="n">
        <v>-1116515115.800599</v>
      </c>
      <c r="W113" t="n">
        <v>379.777929</v>
      </c>
      <c r="X113" t="n">
        <v>1380.363646</v>
      </c>
      <c r="Z113" t="n">
        <v>105.373581</v>
      </c>
    </row>
    <row r="114" ht="21" customHeight="1">
      <c r="A114" t="inlineStr">
        <is>
          <t>Monacanthidae</t>
        </is>
      </c>
      <c r="B114" t="n">
        <v>3</v>
      </c>
      <c r="C114" t="n">
        <v>100</v>
      </c>
      <c r="D114" s="10" t="inlineStr">
        <is>
          <t>2 SM inv | 3 SM inv</t>
        </is>
      </c>
      <c r="H114" t="n">
        <v>91.813177</v>
      </c>
      <c r="I114" t="n">
        <v>52.413336</v>
      </c>
      <c r="J114" t="n">
        <v>62.649384</v>
      </c>
      <c r="K114" t="n">
        <v>58.645949</v>
      </c>
      <c r="L114" t="n">
        <v>358.382548</v>
      </c>
      <c r="M114" t="n">
        <v>163.84463</v>
      </c>
      <c r="N114" t="n">
        <v>163.84463</v>
      </c>
      <c r="O114" t="n">
        <v>65.16087</v>
      </c>
      <c r="P114" t="n">
        <v>23.726562</v>
      </c>
      <c r="Q114" t="n">
        <v>163.84463</v>
      </c>
      <c r="R114" t="n">
        <v>27231.721784</v>
      </c>
      <c r="S114" t="n">
        <v>65.16087</v>
      </c>
      <c r="T114" t="n">
        <v>247011.21003</v>
      </c>
      <c r="U114" t="n">
        <v>23.726562</v>
      </c>
      <c r="V114" t="n">
        <v>-1608691.090535</v>
      </c>
      <c r="W114" t="n">
        <v>85.655771</v>
      </c>
      <c r="X114" t="n">
        <v>226.381866</v>
      </c>
      <c r="Z114" t="n">
        <v>23.837652</v>
      </c>
    </row>
    <row r="115" ht="21" customHeight="1">
      <c r="A115" t="inlineStr">
        <is>
          <t>Mugil</t>
        </is>
      </c>
      <c r="B115" t="n">
        <v>2.26</v>
      </c>
      <c r="C115" t="n">
        <v>18.197009</v>
      </c>
      <c r="D115" s="10" t="inlineStr">
        <is>
          <t>2 SM inv | 3 SM inv</t>
        </is>
      </c>
      <c r="H115" t="n">
        <v>91.813177</v>
      </c>
      <c r="I115" t="n">
        <v>52.413336</v>
      </c>
      <c r="J115" t="n">
        <v>62.649384</v>
      </c>
      <c r="K115" t="n">
        <v>58.645949</v>
      </c>
      <c r="L115" t="n">
        <v>358.382548</v>
      </c>
      <c r="M115" t="n">
        <v>163.84463</v>
      </c>
      <c r="N115" t="n">
        <v>163.84463</v>
      </c>
      <c r="O115" t="n">
        <v>65.16087</v>
      </c>
      <c r="P115" t="n">
        <v>23.726562</v>
      </c>
      <c r="Q115" t="n">
        <v>163.84463</v>
      </c>
      <c r="R115" t="n">
        <v>27231.721784</v>
      </c>
      <c r="S115" t="n">
        <v>65.16087</v>
      </c>
      <c r="T115" t="n">
        <v>247011.21003</v>
      </c>
      <c r="U115" t="n">
        <v>23.726562</v>
      </c>
      <c r="V115" t="n">
        <v>-1608691.090535</v>
      </c>
      <c r="W115" t="n">
        <v>85.655771</v>
      </c>
      <c r="X115" t="n">
        <v>226.381866</v>
      </c>
      <c r="Z115" t="n">
        <v>23.837652</v>
      </c>
    </row>
    <row r="116" ht="21" customHeight="1">
      <c r="A116" t="inlineStr">
        <is>
          <t>Escualosa thoracata</t>
        </is>
      </c>
      <c r="B116" t="n">
        <v>3.16</v>
      </c>
      <c r="C116" t="n">
        <v>144.543977</v>
      </c>
      <c r="D116" s="10" t="inlineStr">
        <is>
          <t>2 S pelagics | 3 S pelagics</t>
        </is>
      </c>
      <c r="H116" t="n">
        <v>93.087237</v>
      </c>
      <c r="I116" t="n">
        <v>47.55691</v>
      </c>
      <c r="J116" t="n">
        <v>60.271203</v>
      </c>
      <c r="K116" t="n">
        <v>56.323134</v>
      </c>
      <c r="L116" t="n">
        <v>234.01812</v>
      </c>
      <c r="M116" t="n">
        <v>119.363868</v>
      </c>
      <c r="N116" t="n">
        <v>119.363868</v>
      </c>
      <c r="O116" t="n">
        <v>45.511558</v>
      </c>
      <c r="P116" t="n">
        <v>18.627065</v>
      </c>
      <c r="Q116" t="n">
        <v>119.363868</v>
      </c>
      <c r="R116" t="n">
        <v>-24383.104584</v>
      </c>
      <c r="S116" t="n">
        <v>45.511558</v>
      </c>
      <c r="T116" t="n">
        <v>262858.692163</v>
      </c>
      <c r="U116" t="n">
        <v>18.627065</v>
      </c>
      <c r="V116" t="n">
        <v>-4562944.327372</v>
      </c>
      <c r="W116" t="n">
        <v>52.667461</v>
      </c>
      <c r="X116" t="n">
        <v>147.16235</v>
      </c>
      <c r="Z116" t="n">
        <v>27.466663</v>
      </c>
    </row>
    <row r="117" ht="21" customHeight="1">
      <c r="A117" t="inlineStr">
        <is>
          <t>Terapon</t>
        </is>
      </c>
      <c r="B117" t="n">
        <v>3.5</v>
      </c>
      <c r="C117" t="n">
        <v>316.227766</v>
      </c>
      <c r="D117" s="10" t="inlineStr">
        <is>
          <t>2 SM pisc | 3 SM pisc</t>
        </is>
      </c>
      <c r="H117" t="n">
        <v>243.94607</v>
      </c>
      <c r="I117" t="n">
        <v>108.349841</v>
      </c>
      <c r="J117" t="n">
        <v>154.909098</v>
      </c>
      <c r="K117" t="n">
        <v>147.163643</v>
      </c>
      <c r="L117" t="n">
        <v>954.7607</v>
      </c>
      <c r="M117" t="n">
        <v>447.937281</v>
      </c>
      <c r="N117" t="n">
        <v>447.937281</v>
      </c>
      <c r="O117" t="n">
        <v>152.63502</v>
      </c>
      <c r="P117" t="n">
        <v>45.95733</v>
      </c>
      <c r="Q117" t="n">
        <v>447.937281</v>
      </c>
      <c r="R117" t="n">
        <v>-7864.592041</v>
      </c>
      <c r="S117" t="n">
        <v>152.63502</v>
      </c>
      <c r="T117" t="n">
        <v>791067.821395</v>
      </c>
      <c r="U117" t="n">
        <v>45.95733</v>
      </c>
      <c r="V117" t="n">
        <v>-22992541.193563</v>
      </c>
      <c r="W117" t="n">
        <v>192.62905</v>
      </c>
      <c r="X117" t="n">
        <v>583.6561809999999</v>
      </c>
      <c r="Z117" t="n">
        <v>48.362824</v>
      </c>
    </row>
    <row r="118" ht="21" customHeight="1">
      <c r="A118" t="inlineStr">
        <is>
          <t>Parapenaeopsis stylifera</t>
        </is>
      </c>
      <c r="B118" t="n">
        <v>2.66</v>
      </c>
      <c r="C118" t="n">
        <v>45.708819</v>
      </c>
      <c r="D118" s="10" t="inlineStr">
        <is>
          <t>2 Crustaceans | 3 Crustaceans</t>
        </is>
      </c>
      <c r="H118" t="n">
        <v>16.647547</v>
      </c>
      <c r="I118" t="n">
        <v>15.13996</v>
      </c>
      <c r="J118" t="n">
        <v>15.13996</v>
      </c>
      <c r="K118" t="n">
        <v>14.107486</v>
      </c>
      <c r="L118" t="n">
        <v>88.61683499999999</v>
      </c>
      <c r="M118" t="n">
        <v>30.998352</v>
      </c>
      <c r="N118" t="n">
        <v>30.998352</v>
      </c>
      <c r="O118" t="n">
        <v>15.004935</v>
      </c>
      <c r="P118" t="n">
        <v>7.795329</v>
      </c>
      <c r="Q118" t="n">
        <v>30.998352</v>
      </c>
      <c r="R118" t="n">
        <v>30.998352</v>
      </c>
      <c r="S118" t="n">
        <v>15.004935</v>
      </c>
      <c r="T118" t="n">
        <v>15.004935</v>
      </c>
      <c r="U118" t="n">
        <v>7.795329</v>
      </c>
      <c r="V118" t="n">
        <v>7.795329</v>
      </c>
      <c r="W118" t="n">
        <v>15.392557</v>
      </c>
      <c r="X118" t="n">
        <v>34.031508</v>
      </c>
      <c r="Z118" t="n">
        <v>6.196734</v>
      </c>
    </row>
    <row r="119" ht="21" customHeight="1">
      <c r="A119" t="inlineStr">
        <is>
          <t>Metapenaeus tenuipes</t>
        </is>
      </c>
      <c r="B119" t="n">
        <v>3.39</v>
      </c>
      <c r="C119" t="n">
        <v>245.470892</v>
      </c>
      <c r="D119" s="10" t="inlineStr">
        <is>
          <t>2 Crustaceans | 3 Crustaceans</t>
        </is>
      </c>
      <c r="H119" t="n">
        <v>16.647547</v>
      </c>
      <c r="I119" t="n">
        <v>15.13996</v>
      </c>
      <c r="J119" t="n">
        <v>15.13996</v>
      </c>
      <c r="K119" t="n">
        <v>14.107486</v>
      </c>
      <c r="L119" t="n">
        <v>88.61683499999999</v>
      </c>
      <c r="M119" t="n">
        <v>30.998352</v>
      </c>
      <c r="N119" t="n">
        <v>30.998352</v>
      </c>
      <c r="O119" t="n">
        <v>15.004935</v>
      </c>
      <c r="P119" t="n">
        <v>7.795329</v>
      </c>
      <c r="Q119" t="n">
        <v>30.998352</v>
      </c>
      <c r="R119" t="n">
        <v>30.998352</v>
      </c>
      <c r="S119" t="n">
        <v>15.004935</v>
      </c>
      <c r="T119" t="n">
        <v>15.004935</v>
      </c>
      <c r="U119" t="n">
        <v>7.795329</v>
      </c>
      <c r="V119" t="n">
        <v>7.795329</v>
      </c>
      <c r="W119" t="n">
        <v>15.392557</v>
      </c>
      <c r="X119" t="n">
        <v>34.031508</v>
      </c>
      <c r="Z119" t="n">
        <v>6.196734</v>
      </c>
    </row>
    <row r="120" ht="21" customHeight="1">
      <c r="A120" t="inlineStr">
        <is>
          <t>Penaeus monodon</t>
        </is>
      </c>
      <c r="B120" t="n">
        <v>2.6</v>
      </c>
      <c r="C120" t="n">
        <v>39.810717</v>
      </c>
      <c r="D120" s="10" t="inlineStr">
        <is>
          <t>2 Crustaceans | 3 Crustaceans</t>
        </is>
      </c>
      <c r="H120" t="n">
        <v>16.647547</v>
      </c>
      <c r="I120" t="n">
        <v>15.13996</v>
      </c>
      <c r="J120" t="n">
        <v>15.13996</v>
      </c>
      <c r="K120" t="n">
        <v>14.107486</v>
      </c>
      <c r="L120" t="n">
        <v>88.61683499999999</v>
      </c>
      <c r="M120" t="n">
        <v>30.998352</v>
      </c>
      <c r="N120" t="n">
        <v>30.998352</v>
      </c>
      <c r="O120" t="n">
        <v>15.004935</v>
      </c>
      <c r="P120" t="n">
        <v>7.795329</v>
      </c>
      <c r="Q120" t="n">
        <v>30.998352</v>
      </c>
      <c r="R120" t="n">
        <v>30.998352</v>
      </c>
      <c r="S120" t="n">
        <v>15.004935</v>
      </c>
      <c r="T120" t="n">
        <v>15.004935</v>
      </c>
      <c r="U120" t="n">
        <v>7.795329</v>
      </c>
      <c r="V120" t="n">
        <v>7.795329</v>
      </c>
      <c r="W120" t="n">
        <v>15.392557</v>
      </c>
      <c r="X120" t="n">
        <v>34.031508</v>
      </c>
      <c r="Z120" t="n">
        <v>6.196734</v>
      </c>
    </row>
    <row r="121" ht="21" customHeight="1">
      <c r="A121" t="inlineStr">
        <is>
          <t>Lutjanus malabaricus</t>
        </is>
      </c>
      <c r="D121" s="10" t="inlineStr">
        <is>
          <t>2 L pisc comm | 3 L pisc comm</t>
        </is>
      </c>
      <c r="H121" t="n">
        <v>801.308671</v>
      </c>
      <c r="I121" t="n">
        <v>347.219292</v>
      </c>
      <c r="J121" t="n">
        <v>442.467638</v>
      </c>
      <c r="K121" t="n">
        <v>402.262611</v>
      </c>
      <c r="L121" t="n">
        <v>2161.417589</v>
      </c>
      <c r="M121" t="n">
        <v>1083.958638</v>
      </c>
      <c r="N121" t="n">
        <v>1083.958638</v>
      </c>
      <c r="O121" t="n">
        <v>300.122309</v>
      </c>
      <c r="P121" t="n">
        <v>80.463222</v>
      </c>
      <c r="Q121" t="n">
        <v>1083.958638</v>
      </c>
      <c r="R121" t="n">
        <v>4211.040307</v>
      </c>
      <c r="S121" t="n">
        <v>300.122309</v>
      </c>
      <c r="T121" t="n">
        <v>24938830.515997</v>
      </c>
      <c r="U121" t="n">
        <v>80.463222</v>
      </c>
      <c r="V121" t="n">
        <v>-1116515115.800599</v>
      </c>
      <c r="W121" t="n">
        <v>379.777929</v>
      </c>
      <c r="X121" t="n">
        <v>1380.363646</v>
      </c>
      <c r="Z121" t="n">
        <v>105.373581</v>
      </c>
    </row>
    <row r="122" ht="21" customHeight="1">
      <c r="A122" t="inlineStr">
        <is>
          <t>Anodontostoma chacunda</t>
        </is>
      </c>
      <c r="B122" t="n">
        <v>2.84</v>
      </c>
      <c r="C122" t="n">
        <v>69.183097</v>
      </c>
      <c r="D122" s="10" t="inlineStr">
        <is>
          <t>2 S pelagics | 3 S pelagics</t>
        </is>
      </c>
      <c r="H122" t="n">
        <v>93.087237</v>
      </c>
      <c r="I122" t="n">
        <v>47.55691</v>
      </c>
      <c r="J122" t="n">
        <v>60.271203</v>
      </c>
      <c r="K122" t="n">
        <v>56.323134</v>
      </c>
      <c r="L122" t="n">
        <v>234.01812</v>
      </c>
      <c r="M122" t="n">
        <v>119.363868</v>
      </c>
      <c r="N122" t="n">
        <v>119.363868</v>
      </c>
      <c r="O122" t="n">
        <v>45.511558</v>
      </c>
      <c r="P122" t="n">
        <v>18.627065</v>
      </c>
      <c r="Q122" t="n">
        <v>119.363868</v>
      </c>
      <c r="R122" t="n">
        <v>-24383.104584</v>
      </c>
      <c r="S122" t="n">
        <v>45.511558</v>
      </c>
      <c r="T122" t="n">
        <v>262858.692163</v>
      </c>
      <c r="U122" t="n">
        <v>18.627065</v>
      </c>
      <c r="V122" t="n">
        <v>-4562944.327372</v>
      </c>
      <c r="W122" t="n">
        <v>52.667461</v>
      </c>
      <c r="X122" t="n">
        <v>147.16235</v>
      </c>
      <c r="Z122" t="n">
        <v>27.466663</v>
      </c>
    </row>
    <row r="123" ht="21" customHeight="1">
      <c r="A123" t="inlineStr">
        <is>
          <t>Prionace glauca</t>
        </is>
      </c>
      <c r="B123" t="n">
        <v>4.35</v>
      </c>
      <c r="C123" t="n">
        <v>2238.721139</v>
      </c>
      <c r="D123" s="10" t="inlineStr">
        <is>
          <t>Oceanic sharks</t>
        </is>
      </c>
      <c r="H123" t="n">
        <v>5991.076951</v>
      </c>
      <c r="I123" t="n">
        <v>2971.739048</v>
      </c>
      <c r="J123" t="n">
        <v>3537.94222</v>
      </c>
      <c r="K123" t="n">
        <v>2059.082372</v>
      </c>
      <c r="L123" t="n">
        <v>23068.147688</v>
      </c>
      <c r="M123" t="n">
        <v>11618.431417</v>
      </c>
      <c r="N123" t="n">
        <v>11618.431417</v>
      </c>
      <c r="O123" t="n">
        <v>1687.805512</v>
      </c>
      <c r="P123" t="n">
        <v>330.871563</v>
      </c>
      <c r="Q123" t="n">
        <v>11618.431417</v>
      </c>
      <c r="R123" t="n">
        <v>81886204.615971</v>
      </c>
      <c r="S123" t="n">
        <v>1687.805512</v>
      </c>
      <c r="T123" t="n">
        <v>527915.899384</v>
      </c>
      <c r="U123" t="n">
        <v>330.871563</v>
      </c>
      <c r="V123" t="n">
        <v>2.81472402916843e+22</v>
      </c>
      <c r="W123" t="n">
        <v>2193.066995</v>
      </c>
      <c r="X123" t="n">
        <v>15378.990649</v>
      </c>
      <c r="Z123" t="n">
        <v>432.856659</v>
      </c>
    </row>
    <row r="124" ht="21" customHeight="1">
      <c r="A124" t="inlineStr">
        <is>
          <t>Nemipterus hexodon</t>
        </is>
      </c>
      <c r="B124" t="n">
        <v>3.93</v>
      </c>
      <c r="C124" t="n">
        <v>851.1380380000001</v>
      </c>
      <c r="D124" s="10" t="inlineStr">
        <is>
          <t>2 SM pisc | 3 SM pisc</t>
        </is>
      </c>
      <c r="H124" t="n">
        <v>243.94607</v>
      </c>
      <c r="I124" t="n">
        <v>108.349841</v>
      </c>
      <c r="J124" t="n">
        <v>154.909098</v>
      </c>
      <c r="K124" t="n">
        <v>147.163643</v>
      </c>
      <c r="L124" t="n">
        <v>954.7607</v>
      </c>
      <c r="M124" t="n">
        <v>447.937281</v>
      </c>
      <c r="N124" t="n">
        <v>447.937281</v>
      </c>
      <c r="O124" t="n">
        <v>152.63502</v>
      </c>
      <c r="P124" t="n">
        <v>45.95733</v>
      </c>
      <c r="Q124" t="n">
        <v>447.937281</v>
      </c>
      <c r="R124" t="n">
        <v>-7864.592041</v>
      </c>
      <c r="S124" t="n">
        <v>152.63502</v>
      </c>
      <c r="T124" t="n">
        <v>791067.821395</v>
      </c>
      <c r="U124" t="n">
        <v>45.95733</v>
      </c>
      <c r="V124" t="n">
        <v>-22992541.193563</v>
      </c>
      <c r="W124" t="n">
        <v>192.62905</v>
      </c>
      <c r="X124" t="n">
        <v>583.6561809999999</v>
      </c>
      <c r="Z124" t="n">
        <v>48.362824</v>
      </c>
    </row>
    <row r="125" ht="21" customHeight="1">
      <c r="A125" t="inlineStr">
        <is>
          <t>Sillaginidae</t>
        </is>
      </c>
      <c r="B125" t="n">
        <v>3.25</v>
      </c>
      <c r="C125" t="n">
        <v>177.827941</v>
      </c>
      <c r="D125" s="10" t="inlineStr">
        <is>
          <t>2 SM inv | 3 SM inv</t>
        </is>
      </c>
      <c r="H125" t="n">
        <v>91.813177</v>
      </c>
      <c r="I125" t="n">
        <v>52.413336</v>
      </c>
      <c r="J125" t="n">
        <v>62.649384</v>
      </c>
      <c r="K125" t="n">
        <v>58.645949</v>
      </c>
      <c r="L125" t="n">
        <v>358.382548</v>
      </c>
      <c r="M125" t="n">
        <v>163.84463</v>
      </c>
      <c r="N125" t="n">
        <v>163.84463</v>
      </c>
      <c r="O125" t="n">
        <v>65.16087</v>
      </c>
      <c r="P125" t="n">
        <v>23.726562</v>
      </c>
      <c r="Q125" t="n">
        <v>163.84463</v>
      </c>
      <c r="R125" t="n">
        <v>27231.721784</v>
      </c>
      <c r="S125" t="n">
        <v>65.16087</v>
      </c>
      <c r="T125" t="n">
        <v>247011.21003</v>
      </c>
      <c r="U125" t="n">
        <v>23.726562</v>
      </c>
      <c r="V125" t="n">
        <v>-1608691.090535</v>
      </c>
      <c r="W125" t="n">
        <v>85.655771</v>
      </c>
      <c r="X125" t="n">
        <v>226.381866</v>
      </c>
      <c r="Z125" t="n">
        <v>23.837652</v>
      </c>
    </row>
    <row r="126" ht="21" customHeight="1">
      <c r="A126" t="inlineStr">
        <is>
          <t>Placuna placenta</t>
        </is>
      </c>
      <c r="B126" t="n">
        <v>2.41</v>
      </c>
      <c r="C126" t="n">
        <v>25.703958</v>
      </c>
      <c r="D126" s="10" t="inlineStr">
        <is>
          <t>2 Macrobenthos | 3 Macrobenthos</t>
        </is>
      </c>
      <c r="H126" t="n">
        <v>14.010241</v>
      </c>
      <c r="I126" t="n">
        <v>13.386848</v>
      </c>
      <c r="J126" t="n">
        <v>13.386848</v>
      </c>
      <c r="K126" t="n">
        <v>12.189342</v>
      </c>
      <c r="L126" t="n">
        <v>106.719149</v>
      </c>
      <c r="M126" t="n">
        <v>46.737687</v>
      </c>
      <c r="N126" t="n">
        <v>46.737687</v>
      </c>
      <c r="O126" t="n">
        <v>22.234823</v>
      </c>
      <c r="P126" t="n">
        <v>9.814845999999999</v>
      </c>
      <c r="Q126" t="n">
        <v>46.737687</v>
      </c>
      <c r="R126" t="n">
        <v>46.737687</v>
      </c>
      <c r="S126" t="n">
        <v>22.234823</v>
      </c>
      <c r="T126" t="n">
        <v>22.234823</v>
      </c>
      <c r="U126" t="n">
        <v>9.814845999999999</v>
      </c>
      <c r="V126" t="n">
        <v>9.814845999999999</v>
      </c>
      <c r="W126" t="n">
        <v>30.831021</v>
      </c>
      <c r="X126" t="n">
        <v>72.485857</v>
      </c>
      <c r="Z126" t="n">
        <v>5.642741</v>
      </c>
    </row>
    <row r="127" ht="36" customHeight="1">
      <c r="A127" t="inlineStr">
        <is>
          <t>Chondrichthyes</t>
        </is>
      </c>
      <c r="B127" t="n">
        <v>4</v>
      </c>
      <c r="C127" t="n">
        <v>1000</v>
      </c>
      <c r="D127" s="10" t="inlineStr">
        <is>
          <t>Oceanic sharks | Coastal elasmobranch</t>
        </is>
      </c>
      <c r="H127" t="n">
        <v>4551.983566</v>
      </c>
      <c r="I127" t="n">
        <v>1849.529344</v>
      </c>
      <c r="J127" t="n">
        <v>2128.477647</v>
      </c>
      <c r="K127" t="n">
        <v>1617.722937</v>
      </c>
      <c r="L127" t="n">
        <v>18853.580958</v>
      </c>
      <c r="M127" t="n">
        <v>9369.706081</v>
      </c>
      <c r="N127" t="n">
        <v>9369.706081</v>
      </c>
      <c r="O127" t="n">
        <v>1729.015754</v>
      </c>
      <c r="P127" t="n">
        <v>320.600611</v>
      </c>
      <c r="Q127" t="n">
        <v>9369.706081</v>
      </c>
      <c r="R127" t="n">
        <v>86435005.18098401</v>
      </c>
      <c r="S127" t="n">
        <v>1729.015754</v>
      </c>
      <c r="T127" t="n">
        <v>5096235.486271</v>
      </c>
      <c r="U127" t="n">
        <v>320.600611</v>
      </c>
      <c r="V127" t="n">
        <v>3.597654801811849e+22</v>
      </c>
      <c r="W127" t="n">
        <v>2273.980267</v>
      </c>
      <c r="X127" t="n">
        <v>12560.590538</v>
      </c>
      <c r="Z127" t="n">
        <v>319.730135</v>
      </c>
    </row>
    <row r="128" ht="21" customHeight="1">
      <c r="A128" t="inlineStr">
        <is>
          <t>Terapon jarbua</t>
        </is>
      </c>
      <c r="B128" t="n">
        <v>3.93</v>
      </c>
      <c r="C128" t="n">
        <v>851.1380380000001</v>
      </c>
      <c r="D128" s="10" t="inlineStr">
        <is>
          <t>2 SM pisc | 3 SM pisc</t>
        </is>
      </c>
      <c r="H128" t="n">
        <v>243.94607</v>
      </c>
      <c r="I128" t="n">
        <v>108.349841</v>
      </c>
      <c r="J128" t="n">
        <v>154.909098</v>
      </c>
      <c r="K128" t="n">
        <v>147.163643</v>
      </c>
      <c r="L128" t="n">
        <v>954.7607</v>
      </c>
      <c r="M128" t="n">
        <v>447.937281</v>
      </c>
      <c r="N128" t="n">
        <v>447.937281</v>
      </c>
      <c r="O128" t="n">
        <v>152.63502</v>
      </c>
      <c r="P128" t="n">
        <v>45.95733</v>
      </c>
      <c r="Q128" t="n">
        <v>447.937281</v>
      </c>
      <c r="R128" t="n">
        <v>-7864.592041</v>
      </c>
      <c r="S128" t="n">
        <v>152.63502</v>
      </c>
      <c r="T128" t="n">
        <v>791067.821395</v>
      </c>
      <c r="U128" t="n">
        <v>45.95733</v>
      </c>
      <c r="V128" t="n">
        <v>-22992541.193563</v>
      </c>
      <c r="W128" t="n">
        <v>192.62905</v>
      </c>
      <c r="X128" t="n">
        <v>583.6561809999999</v>
      </c>
      <c r="Z128" t="n">
        <v>48.362824</v>
      </c>
    </row>
    <row r="129" ht="21" customHeight="1">
      <c r="A129" t="inlineStr">
        <is>
          <t>Upeneus vittatus</t>
        </is>
      </c>
      <c r="B129" t="n">
        <v>3.62</v>
      </c>
      <c r="C129" t="n">
        <v>416.869383</v>
      </c>
      <c r="D129" s="10" t="inlineStr">
        <is>
          <t>2 SM inv | 3 SM inv</t>
        </is>
      </c>
      <c r="H129" t="n">
        <v>91.813177</v>
      </c>
      <c r="I129" t="n">
        <v>52.413336</v>
      </c>
      <c r="J129" t="n">
        <v>62.649384</v>
      </c>
      <c r="K129" t="n">
        <v>58.645949</v>
      </c>
      <c r="L129" t="n">
        <v>358.382548</v>
      </c>
      <c r="M129" t="n">
        <v>163.84463</v>
      </c>
      <c r="N129" t="n">
        <v>163.84463</v>
      </c>
      <c r="O129" t="n">
        <v>65.16087</v>
      </c>
      <c r="P129" t="n">
        <v>23.726562</v>
      </c>
      <c r="Q129" t="n">
        <v>163.84463</v>
      </c>
      <c r="R129" t="n">
        <v>27231.721784</v>
      </c>
      <c r="S129" t="n">
        <v>65.16087</v>
      </c>
      <c r="T129" t="n">
        <v>247011.21003</v>
      </c>
      <c r="U129" t="n">
        <v>23.726562</v>
      </c>
      <c r="V129" t="n">
        <v>-1608691.090535</v>
      </c>
      <c r="W129" t="n">
        <v>85.655771</v>
      </c>
      <c r="X129" t="n">
        <v>226.381866</v>
      </c>
      <c r="Z129" t="n">
        <v>23.837652</v>
      </c>
    </row>
    <row r="130" ht="21" customHeight="1">
      <c r="A130" t="inlineStr">
        <is>
          <t>Teuthida</t>
        </is>
      </c>
      <c r="B130" t="n">
        <v>4.13</v>
      </c>
      <c r="C130" t="n">
        <v>1348.962883</v>
      </c>
      <c r="D130" s="10" t="inlineStr">
        <is>
          <t>Cephalopods</t>
        </is>
      </c>
      <c r="H130" t="n">
        <v>511.74881</v>
      </c>
      <c r="I130" t="n">
        <v>216.918809</v>
      </c>
      <c r="J130" t="n">
        <v>263.00192</v>
      </c>
      <c r="K130" t="n">
        <v>236.701728</v>
      </c>
      <c r="L130" t="n">
        <v>1154.79452</v>
      </c>
      <c r="M130" t="n">
        <v>584.6118269999999</v>
      </c>
      <c r="N130" t="n">
        <v>584.6118269999999</v>
      </c>
      <c r="O130" t="n">
        <v>163.325284</v>
      </c>
      <c r="P130" t="n">
        <v>47.00536</v>
      </c>
      <c r="Q130" t="n">
        <v>584.6118269999999</v>
      </c>
      <c r="R130" t="n">
        <v>-11656.405165</v>
      </c>
      <c r="S130" t="n">
        <v>163.325284</v>
      </c>
      <c r="T130" t="n">
        <v>14308.189116</v>
      </c>
      <c r="U130" t="n">
        <v>47.00536</v>
      </c>
      <c r="V130" t="n">
        <v>-49576.380182</v>
      </c>
      <c r="W130" t="n">
        <v>207.310309</v>
      </c>
      <c r="X130" t="n">
        <v>739.3279659999999</v>
      </c>
      <c r="Z130" t="n">
        <v>83.68045600000001</v>
      </c>
    </row>
    <row r="131" ht="21" customHeight="1">
      <c r="A131" t="inlineStr">
        <is>
          <t>Psettodidae</t>
        </is>
      </c>
      <c r="B131" t="n">
        <v>3.83</v>
      </c>
      <c r="C131" t="n">
        <v>676.082975</v>
      </c>
      <c r="D131" s="10" t="inlineStr">
        <is>
          <t>2 SM pisc | 3 SM pisc</t>
        </is>
      </c>
      <c r="H131" t="n">
        <v>243.94607</v>
      </c>
      <c r="I131" t="n">
        <v>108.349841</v>
      </c>
      <c r="J131" t="n">
        <v>154.909098</v>
      </c>
      <c r="K131" t="n">
        <v>147.163643</v>
      </c>
      <c r="L131" t="n">
        <v>954.7607</v>
      </c>
      <c r="M131" t="n">
        <v>447.937281</v>
      </c>
      <c r="N131" t="n">
        <v>447.937281</v>
      </c>
      <c r="O131" t="n">
        <v>152.63502</v>
      </c>
      <c r="P131" t="n">
        <v>45.95733</v>
      </c>
      <c r="Q131" t="n">
        <v>447.937281</v>
      </c>
      <c r="R131" t="n">
        <v>-7864.592041</v>
      </c>
      <c r="S131" t="n">
        <v>152.63502</v>
      </c>
      <c r="T131" t="n">
        <v>791067.821395</v>
      </c>
      <c r="U131" t="n">
        <v>45.95733</v>
      </c>
      <c r="V131" t="n">
        <v>-22992541.193563</v>
      </c>
      <c r="W131" t="n">
        <v>192.62905</v>
      </c>
      <c r="X131" t="n">
        <v>583.6561809999999</v>
      </c>
      <c r="Z131" t="n">
        <v>48.362824</v>
      </c>
    </row>
    <row r="132" ht="36" customHeight="1">
      <c r="A132" t="inlineStr">
        <is>
          <t>Tetraodontidae</t>
        </is>
      </c>
      <c r="B132" t="n">
        <v>3.5</v>
      </c>
      <c r="C132" t="n">
        <v>316.227766</v>
      </c>
      <c r="D132" s="10" t="inlineStr">
        <is>
          <t>2 Milkfish plus | 3 Milkfish plus | 2 SM inv | 3 SM inv</t>
        </is>
      </c>
      <c r="H132" t="n">
        <v>116.63848</v>
      </c>
      <c r="I132" t="n">
        <v>62.577299</v>
      </c>
      <c r="J132" t="n">
        <v>84.14394900000001</v>
      </c>
      <c r="K132" t="n">
        <v>78.28340900000001</v>
      </c>
      <c r="L132" t="n">
        <v>475.737996</v>
      </c>
      <c r="M132" t="n">
        <v>218.405565</v>
      </c>
      <c r="N132" t="n">
        <v>218.405565</v>
      </c>
      <c r="O132" t="n">
        <v>81.19798900000001</v>
      </c>
      <c r="P132" t="n">
        <v>27.95252</v>
      </c>
      <c r="Q132" t="n">
        <v>218.405565</v>
      </c>
      <c r="R132" t="n">
        <v>58588.9252</v>
      </c>
      <c r="S132" t="n">
        <v>81.19798900000001</v>
      </c>
      <c r="T132" t="n">
        <v>319644.949523</v>
      </c>
      <c r="U132" t="n">
        <v>27.95252</v>
      </c>
      <c r="V132" t="n">
        <v>-15708906.497566</v>
      </c>
      <c r="W132" t="n">
        <v>106.482569</v>
      </c>
      <c r="X132" t="n">
        <v>299.214742</v>
      </c>
      <c r="Z132" t="n">
        <v>26.733475</v>
      </c>
    </row>
    <row r="133" ht="21" customHeight="1">
      <c r="A133" t="inlineStr">
        <is>
          <t>Cephalopholis boenak</t>
        </is>
      </c>
      <c r="B133" t="n">
        <v>4.07</v>
      </c>
      <c r="C133" t="n">
        <v>1174.897555</v>
      </c>
      <c r="D133" s="10" t="inlineStr">
        <is>
          <t>2 L pisc comm | 3 L pisc comm</t>
        </is>
      </c>
      <c r="H133" t="n">
        <v>801.308671</v>
      </c>
      <c r="I133" t="n">
        <v>347.219292</v>
      </c>
      <c r="J133" t="n">
        <v>442.467638</v>
      </c>
      <c r="K133" t="n">
        <v>402.262611</v>
      </c>
      <c r="L133" t="n">
        <v>2161.417589</v>
      </c>
      <c r="M133" t="n">
        <v>1083.958638</v>
      </c>
      <c r="N133" t="n">
        <v>1083.958638</v>
      </c>
      <c r="O133" t="n">
        <v>300.122309</v>
      </c>
      <c r="P133" t="n">
        <v>80.463222</v>
      </c>
      <c r="Q133" t="n">
        <v>1083.958638</v>
      </c>
      <c r="R133" t="n">
        <v>4211.040307</v>
      </c>
      <c r="S133" t="n">
        <v>300.122309</v>
      </c>
      <c r="T133" t="n">
        <v>24938830.515997</v>
      </c>
      <c r="U133" t="n">
        <v>80.463222</v>
      </c>
      <c r="V133" t="n">
        <v>-1116515115.800599</v>
      </c>
      <c r="W133" t="n">
        <v>379.777929</v>
      </c>
      <c r="X133" t="n">
        <v>1380.363646</v>
      </c>
      <c r="Z133" t="n">
        <v>105.373581</v>
      </c>
    </row>
    <row r="134" ht="21" customHeight="1">
      <c r="A134" t="inlineStr">
        <is>
          <t>Muraenesox</t>
        </is>
      </c>
      <c r="B134" t="n">
        <v>3.99</v>
      </c>
      <c r="C134" t="n">
        <v>977.237221</v>
      </c>
      <c r="D134" s="10" t="inlineStr">
        <is>
          <t>2 L pisc | 3 L pisc</t>
        </is>
      </c>
      <c r="H134" t="n">
        <v>1686.007244</v>
      </c>
      <c r="I134" t="n">
        <v>562.291264</v>
      </c>
      <c r="J134" t="n">
        <v>667.421881</v>
      </c>
      <c r="K134" t="n">
        <v>600.679693</v>
      </c>
      <c r="L134" t="n">
        <v>3541.417618</v>
      </c>
      <c r="M134" t="n">
        <v>1779.674544</v>
      </c>
      <c r="N134" t="n">
        <v>1779.674544</v>
      </c>
      <c r="O134" t="n">
        <v>491.036533</v>
      </c>
      <c r="P134" t="n">
        <v>120.796851</v>
      </c>
      <c r="Q134" t="n">
        <v>1779.674544</v>
      </c>
      <c r="R134" t="n">
        <v>183794.440851</v>
      </c>
      <c r="S134" t="n">
        <v>491.036533</v>
      </c>
      <c r="T134" t="n">
        <v>5645299.035557</v>
      </c>
      <c r="U134" t="n">
        <v>120.796851</v>
      </c>
      <c r="V134" t="n">
        <v>-5887325720.988076</v>
      </c>
      <c r="W134" t="n">
        <v>628.114208</v>
      </c>
      <c r="X134" t="n">
        <v>2283.896043</v>
      </c>
      <c r="Z134" t="n">
        <v>188.595494</v>
      </c>
    </row>
    <row r="135" ht="21" customHeight="1">
      <c r="A135" t="inlineStr">
        <is>
          <t>Selar crumenophthalmus</t>
        </is>
      </c>
      <c r="B135" t="n">
        <v>3.81</v>
      </c>
      <c r="C135" t="n">
        <v>645.654229</v>
      </c>
      <c r="D135" s="10" t="inlineStr">
        <is>
          <t>2 Carangids | 3 Carangids</t>
        </is>
      </c>
      <c r="H135" t="n">
        <v>873.328216</v>
      </c>
      <c r="I135" t="n">
        <v>372.556809</v>
      </c>
      <c r="J135" t="n">
        <v>434.163448</v>
      </c>
      <c r="K135" t="n">
        <v>417.767363</v>
      </c>
      <c r="L135" t="n">
        <v>2160.134294</v>
      </c>
      <c r="M135" t="n">
        <v>1099.323673</v>
      </c>
      <c r="N135" t="n">
        <v>1099.323673</v>
      </c>
      <c r="O135" t="n">
        <v>332.917647</v>
      </c>
      <c r="P135" t="n">
        <v>90.527957</v>
      </c>
      <c r="Q135" t="n">
        <v>1099.323673</v>
      </c>
      <c r="R135" t="n">
        <v>1849500.59807</v>
      </c>
      <c r="S135" t="n">
        <v>332.917647</v>
      </c>
      <c r="T135" t="n">
        <v>19894910.028919</v>
      </c>
      <c r="U135" t="n">
        <v>90.527957</v>
      </c>
      <c r="V135" t="n">
        <v>-89296314.013887</v>
      </c>
      <c r="W135" t="n">
        <v>429.68266</v>
      </c>
      <c r="X135" t="n">
        <v>1415.097656</v>
      </c>
      <c r="Z135" t="n">
        <v>125.139702</v>
      </c>
    </row>
    <row r="136" ht="36" customHeight="1">
      <c r="A136" t="inlineStr">
        <is>
          <t>Soleidae</t>
        </is>
      </c>
      <c r="B136" t="n">
        <v>3.15</v>
      </c>
      <c r="C136" t="n">
        <v>141.253754</v>
      </c>
      <c r="D136" s="10" t="inlineStr">
        <is>
          <t>2 SM inv | 3 SM inv | 2 SM pisc | 3 SM pisc</t>
        </is>
      </c>
      <c r="H136" t="n">
        <v>157.129104</v>
      </c>
      <c r="I136" t="n">
        <v>76.428817</v>
      </c>
      <c r="J136" t="n">
        <v>102.259679</v>
      </c>
      <c r="K136" t="n">
        <v>96.649665</v>
      </c>
      <c r="L136" t="n">
        <v>614.42837</v>
      </c>
      <c r="M136" t="n">
        <v>285.815457</v>
      </c>
      <c r="N136" t="n">
        <v>285.815457</v>
      </c>
      <c r="O136" t="n">
        <v>102.716556</v>
      </c>
      <c r="P136" t="n">
        <v>33.271002</v>
      </c>
      <c r="Q136" t="n">
        <v>285.815457</v>
      </c>
      <c r="R136" t="n">
        <v>12163.657147</v>
      </c>
      <c r="S136" t="n">
        <v>102.716556</v>
      </c>
      <c r="T136" t="n">
        <v>480593.580731</v>
      </c>
      <c r="U136" t="n">
        <v>33.271002</v>
      </c>
      <c r="V136" t="n">
        <v>-10789519.514344</v>
      </c>
      <c r="W136" t="n">
        <v>131.58311</v>
      </c>
      <c r="X136" t="n">
        <v>379.772119</v>
      </c>
      <c r="Z136" t="n">
        <v>34.367159</v>
      </c>
    </row>
    <row r="137" ht="21" customHeight="1">
      <c r="A137" t="inlineStr">
        <is>
          <t>Sillago</t>
        </is>
      </c>
      <c r="B137" t="n">
        <v>3.33</v>
      </c>
      <c r="C137" t="n">
        <v>213.796209</v>
      </c>
      <c r="D137" s="10" t="inlineStr">
        <is>
          <t>2 SM inv | 3 SM inv</t>
        </is>
      </c>
      <c r="H137" t="n">
        <v>91.813177</v>
      </c>
      <c r="I137" t="n">
        <v>52.413336</v>
      </c>
      <c r="J137" t="n">
        <v>62.649384</v>
      </c>
      <c r="K137" t="n">
        <v>58.645949</v>
      </c>
      <c r="L137" t="n">
        <v>358.382548</v>
      </c>
      <c r="M137" t="n">
        <v>163.84463</v>
      </c>
      <c r="N137" t="n">
        <v>163.84463</v>
      </c>
      <c r="O137" t="n">
        <v>65.16087</v>
      </c>
      <c r="P137" t="n">
        <v>23.726562</v>
      </c>
      <c r="Q137" t="n">
        <v>163.84463</v>
      </c>
      <c r="R137" t="n">
        <v>27231.721784</v>
      </c>
      <c r="S137" t="n">
        <v>65.16087</v>
      </c>
      <c r="T137" t="n">
        <v>247011.21003</v>
      </c>
      <c r="U137" t="n">
        <v>23.726562</v>
      </c>
      <c r="V137" t="n">
        <v>-1608691.090535</v>
      </c>
      <c r="W137" t="n">
        <v>85.655771</v>
      </c>
      <c r="X137" t="n">
        <v>226.381866</v>
      </c>
      <c r="Z137" t="n">
        <v>23.837652</v>
      </c>
    </row>
    <row r="138" ht="21" customHeight="1">
      <c r="A138" t="inlineStr">
        <is>
          <t>Veneridae</t>
        </is>
      </c>
      <c r="B138" t="n">
        <v>2</v>
      </c>
      <c r="C138" t="n">
        <v>10</v>
      </c>
      <c r="D138" s="10" t="inlineStr">
        <is>
          <t>2 Macrobenthos | 3 Macrobenthos</t>
        </is>
      </c>
      <c r="H138" t="n">
        <v>14.010241</v>
      </c>
      <c r="I138" t="n">
        <v>13.386848</v>
      </c>
      <c r="J138" t="n">
        <v>13.386848</v>
      </c>
      <c r="K138" t="n">
        <v>12.189342</v>
      </c>
      <c r="L138" t="n">
        <v>106.719149</v>
      </c>
      <c r="M138" t="n">
        <v>46.737687</v>
      </c>
      <c r="N138" t="n">
        <v>46.737687</v>
      </c>
      <c r="O138" t="n">
        <v>22.234823</v>
      </c>
      <c r="P138" t="n">
        <v>9.814845999999999</v>
      </c>
      <c r="Q138" t="n">
        <v>46.737687</v>
      </c>
      <c r="R138" t="n">
        <v>46.737687</v>
      </c>
      <c r="S138" t="n">
        <v>22.234823</v>
      </c>
      <c r="T138" t="n">
        <v>22.234823</v>
      </c>
      <c r="U138" t="n">
        <v>9.814845999999999</v>
      </c>
      <c r="V138" t="n">
        <v>9.814845999999999</v>
      </c>
      <c r="W138" t="n">
        <v>30.831021</v>
      </c>
      <c r="X138" t="n">
        <v>72.485857</v>
      </c>
      <c r="Z138" t="n">
        <v>5.642741</v>
      </c>
    </row>
    <row r="139" ht="21" customHeight="1">
      <c r="A139" t="inlineStr">
        <is>
          <t>Pampus chinensis</t>
        </is>
      </c>
      <c r="B139" t="n">
        <v>3.6</v>
      </c>
      <c r="C139" t="n">
        <v>398.107171</v>
      </c>
      <c r="D139" s="10" t="inlineStr">
        <is>
          <t>2 SM inv | 3 SM inv</t>
        </is>
      </c>
      <c r="H139" t="n">
        <v>91.813177</v>
      </c>
      <c r="I139" t="n">
        <v>52.413336</v>
      </c>
      <c r="J139" t="n">
        <v>62.649384</v>
      </c>
      <c r="K139" t="n">
        <v>58.645949</v>
      </c>
      <c r="L139" t="n">
        <v>358.382548</v>
      </c>
      <c r="M139" t="n">
        <v>163.84463</v>
      </c>
      <c r="N139" t="n">
        <v>163.84463</v>
      </c>
      <c r="O139" t="n">
        <v>65.16087</v>
      </c>
      <c r="P139" t="n">
        <v>23.726562</v>
      </c>
      <c r="Q139" t="n">
        <v>163.84463</v>
      </c>
      <c r="R139" t="n">
        <v>27231.721784</v>
      </c>
      <c r="S139" t="n">
        <v>65.16087</v>
      </c>
      <c r="T139" t="n">
        <v>247011.21003</v>
      </c>
      <c r="U139" t="n">
        <v>23.726562</v>
      </c>
      <c r="V139" t="n">
        <v>-1608691.090535</v>
      </c>
      <c r="W139" t="n">
        <v>85.655771</v>
      </c>
      <c r="X139" t="n">
        <v>226.381866</v>
      </c>
      <c r="Z139" t="n">
        <v>23.837652</v>
      </c>
    </row>
    <row r="140" ht="21" customHeight="1">
      <c r="A140" t="inlineStr">
        <is>
          <t>Hemiramphus</t>
        </is>
      </c>
      <c r="B140" t="n">
        <v>3.05</v>
      </c>
      <c r="C140" t="n">
        <v>112.201845</v>
      </c>
      <c r="D140" s="10" t="inlineStr">
        <is>
          <t>2 S pelagics | 3 S pelagics</t>
        </is>
      </c>
      <c r="H140" t="n">
        <v>93.087237</v>
      </c>
      <c r="I140" t="n">
        <v>47.55691</v>
      </c>
      <c r="J140" t="n">
        <v>60.271203</v>
      </c>
      <c r="K140" t="n">
        <v>56.323134</v>
      </c>
      <c r="L140" t="n">
        <v>234.01812</v>
      </c>
      <c r="M140" t="n">
        <v>119.363868</v>
      </c>
      <c r="N140" t="n">
        <v>119.363868</v>
      </c>
      <c r="O140" t="n">
        <v>45.511558</v>
      </c>
      <c r="P140" t="n">
        <v>18.627065</v>
      </c>
      <c r="Q140" t="n">
        <v>119.363868</v>
      </c>
      <c r="R140" t="n">
        <v>-24383.104584</v>
      </c>
      <c r="S140" t="n">
        <v>45.511558</v>
      </c>
      <c r="T140" t="n">
        <v>262858.692163</v>
      </c>
      <c r="U140" t="n">
        <v>18.627065</v>
      </c>
      <c r="V140" t="n">
        <v>-4562944.327372</v>
      </c>
      <c r="W140" t="n">
        <v>52.667461</v>
      </c>
      <c r="X140" t="n">
        <v>147.16235</v>
      </c>
      <c r="Z140" t="n">
        <v>27.466663</v>
      </c>
    </row>
    <row r="141" ht="21" customHeight="1">
      <c r="A141" t="inlineStr">
        <is>
          <t>Carcharhinus falciformis</t>
        </is>
      </c>
      <c r="B141" t="n">
        <v>4.51</v>
      </c>
      <c r="C141" t="n">
        <v>3235.936569</v>
      </c>
      <c r="D141" s="10" t="inlineStr">
        <is>
          <t>Oceanic sharks</t>
        </is>
      </c>
      <c r="H141" t="n">
        <v>5991.076951</v>
      </c>
      <c r="I141" t="n">
        <v>2971.739048</v>
      </c>
      <c r="J141" t="n">
        <v>3537.94222</v>
      </c>
      <c r="K141" t="n">
        <v>2059.082372</v>
      </c>
      <c r="L141" t="n">
        <v>23068.147688</v>
      </c>
      <c r="M141" t="n">
        <v>11618.431417</v>
      </c>
      <c r="N141" t="n">
        <v>11618.431417</v>
      </c>
      <c r="O141" t="n">
        <v>1687.805512</v>
      </c>
      <c r="P141" t="n">
        <v>330.871563</v>
      </c>
      <c r="Q141" t="n">
        <v>11618.431417</v>
      </c>
      <c r="R141" t="n">
        <v>81886204.615971</v>
      </c>
      <c r="S141" t="n">
        <v>1687.805512</v>
      </c>
      <c r="T141" t="n">
        <v>527915.899384</v>
      </c>
      <c r="U141" t="n">
        <v>330.871563</v>
      </c>
      <c r="V141" t="n">
        <v>2.81472402916843e+22</v>
      </c>
      <c r="W141" t="n">
        <v>2193.066995</v>
      </c>
      <c r="X141" t="n">
        <v>15378.990649</v>
      </c>
      <c r="Z141" t="n">
        <v>432.856659</v>
      </c>
    </row>
    <row r="142" ht="21" customHeight="1">
      <c r="A142" t="inlineStr">
        <is>
          <t>Metapenaeus brevicornis</t>
        </is>
      </c>
      <c r="B142" t="n">
        <v>3.39</v>
      </c>
      <c r="C142" t="n">
        <v>245.470892</v>
      </c>
      <c r="D142" s="10" t="inlineStr">
        <is>
          <t>2 Crustaceans | 3 Crustaceans</t>
        </is>
      </c>
      <c r="H142" t="n">
        <v>16.647547</v>
      </c>
      <c r="I142" t="n">
        <v>15.13996</v>
      </c>
      <c r="J142" t="n">
        <v>15.13996</v>
      </c>
      <c r="K142" t="n">
        <v>14.107486</v>
      </c>
      <c r="L142" t="n">
        <v>88.61683499999999</v>
      </c>
      <c r="M142" t="n">
        <v>30.998352</v>
      </c>
      <c r="N142" t="n">
        <v>30.998352</v>
      </c>
      <c r="O142" t="n">
        <v>15.004935</v>
      </c>
      <c r="P142" t="n">
        <v>7.795329</v>
      </c>
      <c r="Q142" t="n">
        <v>30.998352</v>
      </c>
      <c r="R142" t="n">
        <v>30.998352</v>
      </c>
      <c r="S142" t="n">
        <v>15.004935</v>
      </c>
      <c r="T142" t="n">
        <v>15.004935</v>
      </c>
      <c r="U142" t="n">
        <v>7.795329</v>
      </c>
      <c r="V142" t="n">
        <v>7.795329</v>
      </c>
      <c r="W142" t="n">
        <v>15.392557</v>
      </c>
      <c r="X142" t="n">
        <v>34.031508</v>
      </c>
      <c r="Z142" t="n">
        <v>6.196734</v>
      </c>
    </row>
    <row r="143" ht="21" customHeight="1">
      <c r="A143" t="inlineStr">
        <is>
          <t>Psettodes erumei</t>
        </is>
      </c>
      <c r="B143" t="n">
        <v>4.39</v>
      </c>
      <c r="C143" t="n">
        <v>2454.708916</v>
      </c>
      <c r="D143" s="10" t="inlineStr">
        <is>
          <t>2 SM pisc | 3 SM pisc</t>
        </is>
      </c>
      <c r="H143" t="n">
        <v>243.94607</v>
      </c>
      <c r="I143" t="n">
        <v>108.349841</v>
      </c>
      <c r="J143" t="n">
        <v>154.909098</v>
      </c>
      <c r="K143" t="n">
        <v>147.163643</v>
      </c>
      <c r="L143" t="n">
        <v>954.7607</v>
      </c>
      <c r="M143" t="n">
        <v>447.937281</v>
      </c>
      <c r="N143" t="n">
        <v>447.937281</v>
      </c>
      <c r="O143" t="n">
        <v>152.63502</v>
      </c>
      <c r="P143" t="n">
        <v>45.95733</v>
      </c>
      <c r="Q143" t="n">
        <v>447.937281</v>
      </c>
      <c r="R143" t="n">
        <v>-7864.592041</v>
      </c>
      <c r="S143" t="n">
        <v>152.63502</v>
      </c>
      <c r="T143" t="n">
        <v>791067.821395</v>
      </c>
      <c r="U143" t="n">
        <v>45.95733</v>
      </c>
      <c r="V143" t="n">
        <v>-22992541.193563</v>
      </c>
      <c r="W143" t="n">
        <v>192.62905</v>
      </c>
      <c r="X143" t="n">
        <v>583.6561809999999</v>
      </c>
      <c r="Z143" t="n">
        <v>48.362824</v>
      </c>
    </row>
    <row r="144" ht="21" customHeight="1">
      <c r="A144" t="inlineStr">
        <is>
          <t>Myliobatidae</t>
        </is>
      </c>
      <c r="B144" t="n">
        <v>3.36</v>
      </c>
      <c r="C144" t="n">
        <v>229.086765</v>
      </c>
      <c r="D144" s="10" t="inlineStr">
        <is>
          <t>Coastal elasmobranch</t>
        </is>
      </c>
      <c r="H144" t="n">
        <v>3918.259862</v>
      </c>
      <c r="I144" t="n">
        <v>1355.349538</v>
      </c>
      <c r="J144" t="n">
        <v>1507.801381</v>
      </c>
      <c r="K144" t="n">
        <v>1423.364503</v>
      </c>
      <c r="L144" t="n">
        <v>16997.641054</v>
      </c>
      <c r="M144" t="n">
        <v>8379.450296999999</v>
      </c>
      <c r="N144" t="n">
        <v>8379.450296999999</v>
      </c>
      <c r="O144" t="n">
        <v>1747.163226</v>
      </c>
      <c r="P144" t="n">
        <v>316.077663</v>
      </c>
      <c r="Q144" t="n">
        <v>8379.450296999999</v>
      </c>
      <c r="R144" t="n">
        <v>88438129.351763</v>
      </c>
      <c r="S144" t="n">
        <v>1747.163226</v>
      </c>
      <c r="T144" t="n">
        <v>7107955.115117</v>
      </c>
      <c r="U144" t="n">
        <v>316.077663</v>
      </c>
      <c r="V144" t="n">
        <v>3.942428667430859e+22</v>
      </c>
      <c r="W144" t="n">
        <v>2309.611491</v>
      </c>
      <c r="X144" t="n">
        <v>11319.470971</v>
      </c>
      <c r="Z144" t="n">
        <v>269.913382</v>
      </c>
    </row>
    <row r="145" ht="21" customHeight="1">
      <c r="A145" t="inlineStr">
        <is>
          <t>Acanthuridae</t>
        </is>
      </c>
      <c r="B145" t="n">
        <v>2.28</v>
      </c>
      <c r="C145" t="n">
        <v>19.054607</v>
      </c>
      <c r="D145" s="10" t="inlineStr">
        <is>
          <t>2 SM inv | 3 SM inv</t>
        </is>
      </c>
      <c r="H145" t="n">
        <v>91.813177</v>
      </c>
      <c r="I145" t="n">
        <v>52.413336</v>
      </c>
      <c r="J145" t="n">
        <v>62.649384</v>
      </c>
      <c r="K145" t="n">
        <v>58.645949</v>
      </c>
      <c r="L145" t="n">
        <v>358.382548</v>
      </c>
      <c r="M145" t="n">
        <v>163.84463</v>
      </c>
      <c r="N145" t="n">
        <v>163.84463</v>
      </c>
      <c r="O145" t="n">
        <v>65.16087</v>
      </c>
      <c r="P145" t="n">
        <v>23.726562</v>
      </c>
      <c r="Q145" t="n">
        <v>163.84463</v>
      </c>
      <c r="R145" t="n">
        <v>27231.721784</v>
      </c>
      <c r="S145" t="n">
        <v>65.16087</v>
      </c>
      <c r="T145" t="n">
        <v>247011.21003</v>
      </c>
      <c r="U145" t="n">
        <v>23.726562</v>
      </c>
      <c r="V145" t="n">
        <v>-1608691.090535</v>
      </c>
      <c r="W145" t="n">
        <v>85.655771</v>
      </c>
      <c r="X145" t="n">
        <v>226.381866</v>
      </c>
      <c r="Z145" t="n">
        <v>23.837652</v>
      </c>
    </row>
    <row r="146" ht="21" customHeight="1">
      <c r="A146" t="inlineStr">
        <is>
          <t>Caranx sexfasciatus</t>
        </is>
      </c>
      <c r="B146" t="n">
        <v>4.5</v>
      </c>
      <c r="C146" t="n">
        <v>3162.27766</v>
      </c>
      <c r="D146" s="10" t="inlineStr">
        <is>
          <t>2 Carangids | 3 Carangids</t>
        </is>
      </c>
      <c r="H146" t="n">
        <v>873.328216</v>
      </c>
      <c r="I146" t="n">
        <v>372.556809</v>
      </c>
      <c r="J146" t="n">
        <v>434.163448</v>
      </c>
      <c r="K146" t="n">
        <v>417.767363</v>
      </c>
      <c r="L146" t="n">
        <v>2160.134294</v>
      </c>
      <c r="M146" t="n">
        <v>1099.323673</v>
      </c>
      <c r="N146" t="n">
        <v>1099.323673</v>
      </c>
      <c r="O146" t="n">
        <v>332.917647</v>
      </c>
      <c r="P146" t="n">
        <v>90.527957</v>
      </c>
      <c r="Q146" t="n">
        <v>1099.323673</v>
      </c>
      <c r="R146" t="n">
        <v>1849500.59807</v>
      </c>
      <c r="S146" t="n">
        <v>332.917647</v>
      </c>
      <c r="T146" t="n">
        <v>19894910.028919</v>
      </c>
      <c r="U146" t="n">
        <v>90.527957</v>
      </c>
      <c r="V146" t="n">
        <v>-89296314.013887</v>
      </c>
      <c r="W146" t="n">
        <v>429.68266</v>
      </c>
      <c r="X146" t="n">
        <v>1415.097656</v>
      </c>
      <c r="Z146" t="n">
        <v>125.139702</v>
      </c>
    </row>
    <row r="147" ht="21" customHeight="1">
      <c r="A147" t="inlineStr">
        <is>
          <t>Polynemus paradiseus</t>
        </is>
      </c>
      <c r="B147" t="n">
        <v>3.86</v>
      </c>
      <c r="C147" t="n">
        <v>724.43596</v>
      </c>
      <c r="D147" s="10" t="inlineStr">
        <is>
          <t>2 SM pisc | 3 SM pisc</t>
        </is>
      </c>
      <c r="H147" t="n">
        <v>243.94607</v>
      </c>
      <c r="I147" t="n">
        <v>108.349841</v>
      </c>
      <c r="J147" t="n">
        <v>154.909098</v>
      </c>
      <c r="K147" t="n">
        <v>147.163643</v>
      </c>
      <c r="L147" t="n">
        <v>954.7607</v>
      </c>
      <c r="M147" t="n">
        <v>447.937281</v>
      </c>
      <c r="N147" t="n">
        <v>447.937281</v>
      </c>
      <c r="O147" t="n">
        <v>152.63502</v>
      </c>
      <c r="P147" t="n">
        <v>45.95733</v>
      </c>
      <c r="Q147" t="n">
        <v>447.937281</v>
      </c>
      <c r="R147" t="n">
        <v>-7864.592041</v>
      </c>
      <c r="S147" t="n">
        <v>152.63502</v>
      </c>
      <c r="T147" t="n">
        <v>791067.821395</v>
      </c>
      <c r="U147" t="n">
        <v>45.95733</v>
      </c>
      <c r="V147" t="n">
        <v>-22992541.193563</v>
      </c>
      <c r="W147" t="n">
        <v>192.62905</v>
      </c>
      <c r="X147" t="n">
        <v>583.6561809999999</v>
      </c>
      <c r="Z147" t="n">
        <v>48.362824</v>
      </c>
    </row>
    <row r="148" ht="21" customHeight="1">
      <c r="A148" t="inlineStr">
        <is>
          <t>Bramidae</t>
        </is>
      </c>
      <c r="D148" s="10" t="inlineStr">
        <is>
          <t>2 SM pisc | 3 SM pisc</t>
        </is>
      </c>
      <c r="H148" t="n">
        <v>243.94607</v>
      </c>
      <c r="I148" t="n">
        <v>108.349841</v>
      </c>
      <c r="J148" t="n">
        <v>154.909098</v>
      </c>
      <c r="K148" t="n">
        <v>147.163643</v>
      </c>
      <c r="L148" t="n">
        <v>954.7607</v>
      </c>
      <c r="M148" t="n">
        <v>447.937281</v>
      </c>
      <c r="N148" t="n">
        <v>447.937281</v>
      </c>
      <c r="O148" t="n">
        <v>152.63502</v>
      </c>
      <c r="P148" t="n">
        <v>45.95733</v>
      </c>
      <c r="Q148" t="n">
        <v>447.937281</v>
      </c>
      <c r="R148" t="n">
        <v>-7864.592041</v>
      </c>
      <c r="S148" t="n">
        <v>152.63502</v>
      </c>
      <c r="T148" t="n">
        <v>791067.821395</v>
      </c>
      <c r="U148" t="n">
        <v>45.95733</v>
      </c>
      <c r="V148" t="n">
        <v>-22992541.193563</v>
      </c>
      <c r="W148" t="n">
        <v>192.62905</v>
      </c>
      <c r="X148" t="n">
        <v>583.6561809999999</v>
      </c>
      <c r="Z148" t="n">
        <v>48.362824</v>
      </c>
    </row>
    <row r="149" ht="21" customHeight="1">
      <c r="A149" t="inlineStr">
        <is>
          <t>Lethrinus nebulosus</t>
        </is>
      </c>
      <c r="B149" t="n">
        <v>3.76</v>
      </c>
      <c r="C149" t="n">
        <v>575.439937</v>
      </c>
      <c r="D149" s="10" t="inlineStr">
        <is>
          <t>2 L pisc comm | 3 L pisc comm</t>
        </is>
      </c>
      <c r="H149" t="n">
        <v>801.308671</v>
      </c>
      <c r="I149" t="n">
        <v>347.219292</v>
      </c>
      <c r="J149" t="n">
        <v>442.467638</v>
      </c>
      <c r="K149" t="n">
        <v>402.262611</v>
      </c>
      <c r="L149" t="n">
        <v>2161.417589</v>
      </c>
      <c r="M149" t="n">
        <v>1083.958638</v>
      </c>
      <c r="N149" t="n">
        <v>1083.958638</v>
      </c>
      <c r="O149" t="n">
        <v>300.122309</v>
      </c>
      <c r="P149" t="n">
        <v>80.463222</v>
      </c>
      <c r="Q149" t="n">
        <v>1083.958638</v>
      </c>
      <c r="R149" t="n">
        <v>4211.040307</v>
      </c>
      <c r="S149" t="n">
        <v>300.122309</v>
      </c>
      <c r="T149" t="n">
        <v>24938830.515997</v>
      </c>
      <c r="U149" t="n">
        <v>80.463222</v>
      </c>
      <c r="V149" t="n">
        <v>-1116515115.800599</v>
      </c>
      <c r="W149" t="n">
        <v>379.777929</v>
      </c>
      <c r="X149" t="n">
        <v>1380.363646</v>
      </c>
      <c r="Z149" t="n">
        <v>105.373581</v>
      </c>
    </row>
    <row r="150" ht="21" customHeight="1">
      <c r="A150" t="inlineStr">
        <is>
          <t>Caranx ignobilis</t>
        </is>
      </c>
      <c r="B150" t="n">
        <v>4.22</v>
      </c>
      <c r="C150" t="n">
        <v>1659.586907</v>
      </c>
      <c r="D150" s="10" t="inlineStr">
        <is>
          <t>2 Carangids | 3 Carangids</t>
        </is>
      </c>
      <c r="H150" t="n">
        <v>873.328216</v>
      </c>
      <c r="I150" t="n">
        <v>372.556809</v>
      </c>
      <c r="J150" t="n">
        <v>434.163448</v>
      </c>
      <c r="K150" t="n">
        <v>417.767363</v>
      </c>
      <c r="L150" t="n">
        <v>2160.134294</v>
      </c>
      <c r="M150" t="n">
        <v>1099.323673</v>
      </c>
      <c r="N150" t="n">
        <v>1099.323673</v>
      </c>
      <c r="O150" t="n">
        <v>332.917647</v>
      </c>
      <c r="P150" t="n">
        <v>90.527957</v>
      </c>
      <c r="Q150" t="n">
        <v>1099.323673</v>
      </c>
      <c r="R150" t="n">
        <v>1849500.59807</v>
      </c>
      <c r="S150" t="n">
        <v>332.917647</v>
      </c>
      <c r="T150" t="n">
        <v>19894910.028919</v>
      </c>
      <c r="U150" t="n">
        <v>90.527957</v>
      </c>
      <c r="V150" t="n">
        <v>-89296314.013887</v>
      </c>
      <c r="W150" t="n">
        <v>429.68266</v>
      </c>
      <c r="X150" t="n">
        <v>1415.097656</v>
      </c>
      <c r="Z150" t="n">
        <v>125.139702</v>
      </c>
    </row>
    <row r="151" ht="21" customHeight="1">
      <c r="A151" t="inlineStr">
        <is>
          <t>Caranx melampygus</t>
        </is>
      </c>
      <c r="B151" t="n">
        <v>4.49</v>
      </c>
      <c r="C151" t="n">
        <v>3090.295433</v>
      </c>
      <c r="D151" s="10" t="inlineStr">
        <is>
          <t>2 Carangids | 3 Carangids</t>
        </is>
      </c>
      <c r="H151" t="n">
        <v>873.328216</v>
      </c>
      <c r="I151" t="n">
        <v>372.556809</v>
      </c>
      <c r="J151" t="n">
        <v>434.163448</v>
      </c>
      <c r="K151" t="n">
        <v>417.767363</v>
      </c>
      <c r="L151" t="n">
        <v>2160.134294</v>
      </c>
      <c r="M151" t="n">
        <v>1099.323673</v>
      </c>
      <c r="N151" t="n">
        <v>1099.323673</v>
      </c>
      <c r="O151" t="n">
        <v>332.917647</v>
      </c>
      <c r="P151" t="n">
        <v>90.527957</v>
      </c>
      <c r="Q151" t="n">
        <v>1099.323673</v>
      </c>
      <c r="R151" t="n">
        <v>1849500.59807</v>
      </c>
      <c r="S151" t="n">
        <v>332.917647</v>
      </c>
      <c r="T151" t="n">
        <v>19894910.028919</v>
      </c>
      <c r="U151" t="n">
        <v>90.527957</v>
      </c>
      <c r="V151" t="n">
        <v>-89296314.013887</v>
      </c>
      <c r="W151" t="n">
        <v>429.68266</v>
      </c>
      <c r="X151" t="n">
        <v>1415.097656</v>
      </c>
      <c r="Z151" t="n">
        <v>125.139702</v>
      </c>
    </row>
    <row r="152" ht="21" customHeight="1">
      <c r="A152" t="inlineStr">
        <is>
          <t>Penaeus semisulcatus</t>
        </is>
      </c>
      <c r="B152" t="n">
        <v>2</v>
      </c>
      <c r="C152" t="n">
        <v>10</v>
      </c>
      <c r="D152" s="10" t="inlineStr">
        <is>
          <t>2 Crustaceans | 3 Crustaceans</t>
        </is>
      </c>
      <c r="H152" t="n">
        <v>16.647547</v>
      </c>
      <c r="I152" t="n">
        <v>15.13996</v>
      </c>
      <c r="J152" t="n">
        <v>15.13996</v>
      </c>
      <c r="K152" t="n">
        <v>14.107486</v>
      </c>
      <c r="L152" t="n">
        <v>88.61683499999999</v>
      </c>
      <c r="M152" t="n">
        <v>30.998352</v>
      </c>
      <c r="N152" t="n">
        <v>30.998352</v>
      </c>
      <c r="O152" t="n">
        <v>15.004935</v>
      </c>
      <c r="P152" t="n">
        <v>7.795329</v>
      </c>
      <c r="Q152" t="n">
        <v>30.998352</v>
      </c>
      <c r="R152" t="n">
        <v>30.998352</v>
      </c>
      <c r="S152" t="n">
        <v>15.004935</v>
      </c>
      <c r="T152" t="n">
        <v>15.004935</v>
      </c>
      <c r="U152" t="n">
        <v>7.795329</v>
      </c>
      <c r="V152" t="n">
        <v>7.795329</v>
      </c>
      <c r="W152" t="n">
        <v>15.392557</v>
      </c>
      <c r="X152" t="n">
        <v>34.031508</v>
      </c>
      <c r="Z152" t="n">
        <v>6.196734</v>
      </c>
    </row>
    <row r="153" ht="21" customHeight="1">
      <c r="A153" t="inlineStr">
        <is>
          <t>Isurus</t>
        </is>
      </c>
      <c r="B153" t="n">
        <v>4.5</v>
      </c>
      <c r="C153" t="n">
        <v>3162.27766</v>
      </c>
      <c r="D153" s="10" t="inlineStr">
        <is>
          <t>Oceanic sharks</t>
        </is>
      </c>
      <c r="H153" t="n">
        <v>5991.076951</v>
      </c>
      <c r="I153" t="n">
        <v>2971.739048</v>
      </c>
      <c r="J153" t="n">
        <v>3537.94222</v>
      </c>
      <c r="K153" t="n">
        <v>2059.082372</v>
      </c>
      <c r="L153" t="n">
        <v>23068.147688</v>
      </c>
      <c r="M153" t="n">
        <v>11618.431417</v>
      </c>
      <c r="N153" t="n">
        <v>11618.431417</v>
      </c>
      <c r="O153" t="n">
        <v>1687.805512</v>
      </c>
      <c r="P153" t="n">
        <v>330.871563</v>
      </c>
      <c r="Q153" t="n">
        <v>11618.431417</v>
      </c>
      <c r="R153" t="n">
        <v>81886204.615971</v>
      </c>
      <c r="S153" t="n">
        <v>1687.805512</v>
      </c>
      <c r="T153" t="n">
        <v>527915.899384</v>
      </c>
      <c r="U153" t="n">
        <v>330.871563</v>
      </c>
      <c r="V153" t="n">
        <v>2.81472402916843e+22</v>
      </c>
      <c r="W153" t="n">
        <v>2193.066995</v>
      </c>
      <c r="X153" t="n">
        <v>15378.990649</v>
      </c>
      <c r="Z153" t="n">
        <v>432.856659</v>
      </c>
    </row>
    <row r="154" ht="21" customHeight="1">
      <c r="A154" t="inlineStr">
        <is>
          <t>Nemipterus japonicus</t>
        </is>
      </c>
      <c r="B154" t="n">
        <v>3.77</v>
      </c>
      <c r="C154" t="n">
        <v>588.843655</v>
      </c>
      <c r="D154" s="10" t="inlineStr">
        <is>
          <t>2 SM pisc | 3 SM pisc</t>
        </is>
      </c>
      <c r="H154" t="n">
        <v>243.94607</v>
      </c>
      <c r="I154" t="n">
        <v>108.349841</v>
      </c>
      <c r="J154" t="n">
        <v>154.909098</v>
      </c>
      <c r="K154" t="n">
        <v>147.163643</v>
      </c>
      <c r="L154" t="n">
        <v>954.7607</v>
      </c>
      <c r="M154" t="n">
        <v>447.937281</v>
      </c>
      <c r="N154" t="n">
        <v>447.937281</v>
      </c>
      <c r="O154" t="n">
        <v>152.63502</v>
      </c>
      <c r="P154" t="n">
        <v>45.95733</v>
      </c>
      <c r="Q154" t="n">
        <v>447.937281</v>
      </c>
      <c r="R154" t="n">
        <v>-7864.592041</v>
      </c>
      <c r="S154" t="n">
        <v>152.63502</v>
      </c>
      <c r="T154" t="n">
        <v>791067.821395</v>
      </c>
      <c r="U154" t="n">
        <v>45.95733</v>
      </c>
      <c r="V154" t="n">
        <v>-22992541.193563</v>
      </c>
      <c r="W154" t="n">
        <v>192.62905</v>
      </c>
      <c r="X154" t="n">
        <v>583.6561809999999</v>
      </c>
      <c r="Z154" t="n">
        <v>48.362824</v>
      </c>
    </row>
    <row r="155" ht="21" customHeight="1">
      <c r="A155" t="inlineStr">
        <is>
          <t>Penaeus latisulcatus</t>
        </is>
      </c>
      <c r="B155" t="n">
        <v>2.7</v>
      </c>
      <c r="C155" t="n">
        <v>50.118723</v>
      </c>
      <c r="D155" s="10" t="inlineStr">
        <is>
          <t>2 Crustaceans | 3 Crustaceans</t>
        </is>
      </c>
      <c r="H155" t="n">
        <v>16.647547</v>
      </c>
      <c r="I155" t="n">
        <v>15.13996</v>
      </c>
      <c r="J155" t="n">
        <v>15.13996</v>
      </c>
      <c r="K155" t="n">
        <v>14.107486</v>
      </c>
      <c r="L155" t="n">
        <v>88.61683499999999</v>
      </c>
      <c r="M155" t="n">
        <v>30.998352</v>
      </c>
      <c r="N155" t="n">
        <v>30.998352</v>
      </c>
      <c r="O155" t="n">
        <v>15.004935</v>
      </c>
      <c r="P155" t="n">
        <v>7.795329</v>
      </c>
      <c r="Q155" t="n">
        <v>30.998352</v>
      </c>
      <c r="R155" t="n">
        <v>30.998352</v>
      </c>
      <c r="S155" t="n">
        <v>15.004935</v>
      </c>
      <c r="T155" t="n">
        <v>15.004935</v>
      </c>
      <c r="U155" t="n">
        <v>7.795329</v>
      </c>
      <c r="V155" t="n">
        <v>7.795329</v>
      </c>
      <c r="W155" t="n">
        <v>15.392557</v>
      </c>
      <c r="X155" t="n">
        <v>34.031508</v>
      </c>
      <c r="Z155" t="n">
        <v>6.196734</v>
      </c>
    </row>
    <row r="156" ht="21" customHeight="1">
      <c r="A156" t="inlineStr">
        <is>
          <t>Caesio cuning</t>
        </is>
      </c>
      <c r="B156" t="n">
        <v>3.4</v>
      </c>
      <c r="C156" t="n">
        <v>251.188643</v>
      </c>
      <c r="D156" s="10" t="inlineStr">
        <is>
          <t>2 SM inv | 3 SM inv</t>
        </is>
      </c>
      <c r="H156" t="n">
        <v>91.813177</v>
      </c>
      <c r="I156" t="n">
        <v>52.413336</v>
      </c>
      <c r="J156" t="n">
        <v>62.649384</v>
      </c>
      <c r="K156" t="n">
        <v>58.645949</v>
      </c>
      <c r="L156" t="n">
        <v>358.382548</v>
      </c>
      <c r="M156" t="n">
        <v>163.84463</v>
      </c>
      <c r="N156" t="n">
        <v>163.84463</v>
      </c>
      <c r="O156" t="n">
        <v>65.16087</v>
      </c>
      <c r="P156" t="n">
        <v>23.726562</v>
      </c>
      <c r="Q156" t="n">
        <v>163.84463</v>
      </c>
      <c r="R156" t="n">
        <v>27231.721784</v>
      </c>
      <c r="S156" t="n">
        <v>65.16087</v>
      </c>
      <c r="T156" t="n">
        <v>247011.21003</v>
      </c>
      <c r="U156" t="n">
        <v>23.726562</v>
      </c>
      <c r="V156" t="n">
        <v>-1608691.090535</v>
      </c>
      <c r="W156" t="n">
        <v>85.655771</v>
      </c>
      <c r="X156" t="n">
        <v>226.381866</v>
      </c>
      <c r="Z156" t="n">
        <v>23.837652</v>
      </c>
    </row>
    <row r="157" ht="21" customHeight="1">
      <c r="A157" t="inlineStr">
        <is>
          <t>Stromateidae</t>
        </is>
      </c>
      <c r="B157" t="n">
        <v>3.62</v>
      </c>
      <c r="C157" t="n">
        <v>416.869383</v>
      </c>
      <c r="D157" s="10" t="inlineStr">
        <is>
          <t>2 SM inv | 3 SM inv</t>
        </is>
      </c>
      <c r="H157" t="n">
        <v>91.813177</v>
      </c>
      <c r="I157" t="n">
        <v>52.413336</v>
      </c>
      <c r="J157" t="n">
        <v>62.649384</v>
      </c>
      <c r="K157" t="n">
        <v>58.645949</v>
      </c>
      <c r="L157" t="n">
        <v>358.382548</v>
      </c>
      <c r="M157" t="n">
        <v>163.84463</v>
      </c>
      <c r="N157" t="n">
        <v>163.84463</v>
      </c>
      <c r="O157" t="n">
        <v>65.16087</v>
      </c>
      <c r="P157" t="n">
        <v>23.726562</v>
      </c>
      <c r="Q157" t="n">
        <v>163.84463</v>
      </c>
      <c r="R157" t="n">
        <v>27231.721784</v>
      </c>
      <c r="S157" t="n">
        <v>65.16087</v>
      </c>
      <c r="T157" t="n">
        <v>247011.21003</v>
      </c>
      <c r="U157" t="n">
        <v>23.726562</v>
      </c>
      <c r="V157" t="n">
        <v>-1608691.090535</v>
      </c>
      <c r="W157" t="n">
        <v>85.655771</v>
      </c>
      <c r="X157" t="n">
        <v>226.381866</v>
      </c>
      <c r="Z157" t="n">
        <v>23.837652</v>
      </c>
    </row>
    <row r="158" ht="36" customHeight="1">
      <c r="A158" t="inlineStr">
        <is>
          <t>Gobiidae</t>
        </is>
      </c>
      <c r="B158" t="n">
        <v>3.11</v>
      </c>
      <c r="C158" t="n">
        <v>128.824955</v>
      </c>
      <c r="D158" s="10" t="inlineStr">
        <is>
          <t>2 SM inv | 3 SM inv | 2 SM pisc | 3 SM pisc</t>
        </is>
      </c>
      <c r="H158" t="n">
        <v>157.129104</v>
      </c>
      <c r="I158" t="n">
        <v>76.428817</v>
      </c>
      <c r="J158" t="n">
        <v>102.259679</v>
      </c>
      <c r="K158" t="n">
        <v>96.649665</v>
      </c>
      <c r="L158" t="n">
        <v>614.42837</v>
      </c>
      <c r="M158" t="n">
        <v>285.815457</v>
      </c>
      <c r="N158" t="n">
        <v>285.815457</v>
      </c>
      <c r="O158" t="n">
        <v>102.716556</v>
      </c>
      <c r="P158" t="n">
        <v>33.271002</v>
      </c>
      <c r="Q158" t="n">
        <v>285.815457</v>
      </c>
      <c r="R158" t="n">
        <v>12163.657147</v>
      </c>
      <c r="S158" t="n">
        <v>102.716556</v>
      </c>
      <c r="T158" t="n">
        <v>480593.580731</v>
      </c>
      <c r="U158" t="n">
        <v>33.271002</v>
      </c>
      <c r="V158" t="n">
        <v>-10789519.514344</v>
      </c>
      <c r="W158" t="n">
        <v>131.58311</v>
      </c>
      <c r="X158" t="n">
        <v>379.772119</v>
      </c>
      <c r="Z158" t="n">
        <v>34.367159</v>
      </c>
    </row>
    <row r="159" ht="21" customHeight="1">
      <c r="A159" t="inlineStr">
        <is>
          <t>Deveximentum insidiator</t>
        </is>
      </c>
      <c r="B159" t="n">
        <v>2.86</v>
      </c>
      <c r="C159" t="n">
        <v>72.443596</v>
      </c>
      <c r="D159" s="10" t="inlineStr">
        <is>
          <t>2 SM inv | 3 SM inv</t>
        </is>
      </c>
      <c r="H159" t="n">
        <v>91.813177</v>
      </c>
      <c r="I159" t="n">
        <v>52.413336</v>
      </c>
      <c r="J159" t="n">
        <v>62.649384</v>
      </c>
      <c r="K159" t="n">
        <v>58.645949</v>
      </c>
      <c r="L159" t="n">
        <v>358.382548</v>
      </c>
      <c r="M159" t="n">
        <v>163.84463</v>
      </c>
      <c r="N159" t="n">
        <v>163.84463</v>
      </c>
      <c r="O159" t="n">
        <v>65.16087</v>
      </c>
      <c r="P159" t="n">
        <v>23.726562</v>
      </c>
      <c r="Q159" t="n">
        <v>163.84463</v>
      </c>
      <c r="R159" t="n">
        <v>27231.721784</v>
      </c>
      <c r="S159" t="n">
        <v>65.16087</v>
      </c>
      <c r="T159" t="n">
        <v>247011.21003</v>
      </c>
      <c r="U159" t="n">
        <v>23.726562</v>
      </c>
      <c r="V159" t="n">
        <v>-1608691.090535</v>
      </c>
      <c r="W159" t="n">
        <v>85.655771</v>
      </c>
      <c r="X159" t="n">
        <v>226.381866</v>
      </c>
      <c r="Z159" t="n">
        <v>23.837652</v>
      </c>
    </row>
    <row r="160" ht="21" customHeight="1">
      <c r="A160" t="inlineStr">
        <is>
          <t>Plotosidae</t>
        </is>
      </c>
      <c r="B160" t="n">
        <v>3.49</v>
      </c>
      <c r="C160" t="n">
        <v>309.029543</v>
      </c>
      <c r="D160" s="10" t="inlineStr">
        <is>
          <t>2 L pisc | 3 L pisc</t>
        </is>
      </c>
      <c r="H160" t="n">
        <v>1686.007244</v>
      </c>
      <c r="I160" t="n">
        <v>562.291264</v>
      </c>
      <c r="J160" t="n">
        <v>667.421881</v>
      </c>
      <c r="K160" t="n">
        <v>600.679693</v>
      </c>
      <c r="L160" t="n">
        <v>3541.417618</v>
      </c>
      <c r="M160" t="n">
        <v>1779.674544</v>
      </c>
      <c r="N160" t="n">
        <v>1779.674544</v>
      </c>
      <c r="O160" t="n">
        <v>491.036533</v>
      </c>
      <c r="P160" t="n">
        <v>120.796851</v>
      </c>
      <c r="Q160" t="n">
        <v>1779.674544</v>
      </c>
      <c r="R160" t="n">
        <v>183794.440851</v>
      </c>
      <c r="S160" t="n">
        <v>491.036533</v>
      </c>
      <c r="T160" t="n">
        <v>5645299.035557</v>
      </c>
      <c r="U160" t="n">
        <v>120.796851</v>
      </c>
      <c r="V160" t="n">
        <v>-5887325720.988076</v>
      </c>
      <c r="W160" t="n">
        <v>628.114208</v>
      </c>
      <c r="X160" t="n">
        <v>2283.896043</v>
      </c>
      <c r="Z160" t="n">
        <v>188.595494</v>
      </c>
    </row>
    <row r="161" ht="21" customHeight="1">
      <c r="A161" t="inlineStr">
        <is>
          <t>Xiphias gladius</t>
        </is>
      </c>
      <c r="B161" t="n">
        <v>4.53</v>
      </c>
      <c r="C161" t="n">
        <v>3388.441561</v>
      </c>
      <c r="D161" s="10" t="inlineStr">
        <is>
          <t>Tuna-like</t>
        </is>
      </c>
      <c r="H161" t="n">
        <v>4024.005911</v>
      </c>
      <c r="I161" t="n">
        <v>1217.030544</v>
      </c>
      <c r="J161" t="n">
        <v>1425.466216</v>
      </c>
      <c r="K161" t="n">
        <v>1274.366797</v>
      </c>
      <c r="L161" t="n">
        <v>8472.950376000001</v>
      </c>
      <c r="M161" t="n">
        <v>4280.710601</v>
      </c>
      <c r="N161" t="n">
        <v>4280.710601</v>
      </c>
      <c r="O161" t="n">
        <v>1050.279426</v>
      </c>
      <c r="P161" t="n">
        <v>230.70519</v>
      </c>
      <c r="Q161" t="n">
        <v>4280.710601</v>
      </c>
      <c r="R161" t="n">
        <v>2938914.210776</v>
      </c>
      <c r="S161" t="n">
        <v>1050.279426</v>
      </c>
      <c r="T161" t="n">
        <v>-12560069.044484</v>
      </c>
      <c r="U161" t="n">
        <v>230.70519</v>
      </c>
      <c r="V161" t="n">
        <v>990357739.175012</v>
      </c>
      <c r="W161" t="n">
        <v>1374.354712</v>
      </c>
      <c r="X161" t="n">
        <v>5545.438014</v>
      </c>
      <c r="Z161" t="n">
        <v>369.948499</v>
      </c>
    </row>
    <row r="162" ht="21" customHeight="1">
      <c r="A162" t="inlineStr">
        <is>
          <t>Malacostraca</t>
        </is>
      </c>
      <c r="B162" t="n">
        <v>3</v>
      </c>
      <c r="C162" t="n">
        <v>100</v>
      </c>
      <c r="D162" s="10" t="inlineStr">
        <is>
          <t>2 Crustaceans | 3 Crustaceans</t>
        </is>
      </c>
      <c r="H162" t="n">
        <v>16.647547</v>
      </c>
      <c r="I162" t="n">
        <v>15.13996</v>
      </c>
      <c r="J162" t="n">
        <v>15.13996</v>
      </c>
      <c r="K162" t="n">
        <v>14.107486</v>
      </c>
      <c r="L162" t="n">
        <v>88.61683499999999</v>
      </c>
      <c r="M162" t="n">
        <v>30.998352</v>
      </c>
      <c r="N162" t="n">
        <v>30.998352</v>
      </c>
      <c r="O162" t="n">
        <v>15.004935</v>
      </c>
      <c r="P162" t="n">
        <v>7.795329</v>
      </c>
      <c r="Q162" t="n">
        <v>30.998352</v>
      </c>
      <c r="R162" t="n">
        <v>30.998352</v>
      </c>
      <c r="S162" t="n">
        <v>15.004935</v>
      </c>
      <c r="T162" t="n">
        <v>15.004935</v>
      </c>
      <c r="U162" t="n">
        <v>7.795329</v>
      </c>
      <c r="V162" t="n">
        <v>7.795329</v>
      </c>
      <c r="W162" t="n">
        <v>15.392557</v>
      </c>
      <c r="X162" t="n">
        <v>34.031508</v>
      </c>
      <c r="Z162" t="n">
        <v>6.196734</v>
      </c>
    </row>
    <row r="163" ht="21" customHeight="1">
      <c r="A163" t="inlineStr">
        <is>
          <t>Sparidae</t>
        </is>
      </c>
      <c r="B163" t="n">
        <v>3.31</v>
      </c>
      <c r="C163" t="n">
        <v>204.173794</v>
      </c>
      <c r="D163" s="10" t="inlineStr">
        <is>
          <t>2 SM inv | 3 SM inv</t>
        </is>
      </c>
      <c r="H163" t="n">
        <v>91.813177</v>
      </c>
      <c r="I163" t="n">
        <v>52.413336</v>
      </c>
      <c r="J163" t="n">
        <v>62.649384</v>
      </c>
      <c r="K163" t="n">
        <v>58.645949</v>
      </c>
      <c r="L163" t="n">
        <v>358.382548</v>
      </c>
      <c r="M163" t="n">
        <v>163.84463</v>
      </c>
      <c r="N163" t="n">
        <v>163.84463</v>
      </c>
      <c r="O163" t="n">
        <v>65.16087</v>
      </c>
      <c r="P163" t="n">
        <v>23.726562</v>
      </c>
      <c r="Q163" t="n">
        <v>163.84463</v>
      </c>
      <c r="R163" t="n">
        <v>27231.721784</v>
      </c>
      <c r="S163" t="n">
        <v>65.16087</v>
      </c>
      <c r="T163" t="n">
        <v>247011.21003</v>
      </c>
      <c r="U163" t="n">
        <v>23.726562</v>
      </c>
      <c r="V163" t="n">
        <v>-1608691.090535</v>
      </c>
      <c r="W163" t="n">
        <v>85.655771</v>
      </c>
      <c r="X163" t="n">
        <v>226.381866</v>
      </c>
      <c r="Z163" t="n">
        <v>23.837652</v>
      </c>
    </row>
    <row r="164" ht="21" customHeight="1">
      <c r="A164" t="inlineStr">
        <is>
          <t>Bothidae</t>
        </is>
      </c>
      <c r="B164" t="n">
        <v>3.77</v>
      </c>
      <c r="C164" t="n">
        <v>588.843655</v>
      </c>
      <c r="D164" s="10" t="inlineStr">
        <is>
          <t>2 SM inv | 3 SM inv</t>
        </is>
      </c>
      <c r="H164" t="n">
        <v>91.813177</v>
      </c>
      <c r="I164" t="n">
        <v>52.413336</v>
      </c>
      <c r="J164" t="n">
        <v>62.649384</v>
      </c>
      <c r="K164" t="n">
        <v>58.645949</v>
      </c>
      <c r="L164" t="n">
        <v>358.382548</v>
      </c>
      <c r="M164" t="n">
        <v>163.84463</v>
      </c>
      <c r="N164" t="n">
        <v>163.84463</v>
      </c>
      <c r="O164" t="n">
        <v>65.16087</v>
      </c>
      <c r="P164" t="n">
        <v>23.726562</v>
      </c>
      <c r="Q164" t="n">
        <v>163.84463</v>
      </c>
      <c r="R164" t="n">
        <v>27231.721784</v>
      </c>
      <c r="S164" t="n">
        <v>65.16087</v>
      </c>
      <c r="T164" t="n">
        <v>247011.21003</v>
      </c>
      <c r="U164" t="n">
        <v>23.726562</v>
      </c>
      <c r="V164" t="n">
        <v>-1608691.090535</v>
      </c>
      <c r="W164" t="n">
        <v>85.655771</v>
      </c>
      <c r="X164" t="n">
        <v>226.381866</v>
      </c>
      <c r="Z164" t="n">
        <v>23.837652</v>
      </c>
    </row>
    <row r="165" ht="21" customHeight="1">
      <c r="A165" t="inlineStr">
        <is>
          <t>Ganjampenaeopsis uncta</t>
        </is>
      </c>
      <c r="B165" t="n">
        <v>3.01</v>
      </c>
      <c r="C165" t="n">
        <v>102.329299</v>
      </c>
      <c r="D165" s="10" t="inlineStr">
        <is>
          <t>2 Crustaceans | 3 Crustaceans</t>
        </is>
      </c>
      <c r="H165" t="n">
        <v>16.647547</v>
      </c>
      <c r="I165" t="n">
        <v>15.13996</v>
      </c>
      <c r="J165" t="n">
        <v>15.13996</v>
      </c>
      <c r="K165" t="n">
        <v>14.107486</v>
      </c>
      <c r="L165" t="n">
        <v>88.61683499999999</v>
      </c>
      <c r="M165" t="n">
        <v>30.998352</v>
      </c>
      <c r="N165" t="n">
        <v>30.998352</v>
      </c>
      <c r="O165" t="n">
        <v>15.004935</v>
      </c>
      <c r="P165" t="n">
        <v>7.795329</v>
      </c>
      <c r="Q165" t="n">
        <v>30.998352</v>
      </c>
      <c r="R165" t="n">
        <v>30.998352</v>
      </c>
      <c r="S165" t="n">
        <v>15.004935</v>
      </c>
      <c r="T165" t="n">
        <v>15.004935</v>
      </c>
      <c r="U165" t="n">
        <v>7.795329</v>
      </c>
      <c r="V165" t="n">
        <v>7.795329</v>
      </c>
      <c r="W165" t="n">
        <v>15.392557</v>
      </c>
      <c r="X165" t="n">
        <v>34.031508</v>
      </c>
      <c r="Z165" t="n">
        <v>6.196734</v>
      </c>
    </row>
    <row r="166" ht="21" customHeight="1">
      <c r="A166" t="inlineStr">
        <is>
          <t>Mierspenaeopsis hardwickii</t>
        </is>
      </c>
      <c r="B166" t="n">
        <v>2.71</v>
      </c>
      <c r="C166" t="n">
        <v>51.286138</v>
      </c>
      <c r="D166" s="10" t="inlineStr">
        <is>
          <t>2 Crustaceans | 3 Crustaceans</t>
        </is>
      </c>
      <c r="H166" t="n">
        <v>16.647547</v>
      </c>
      <c r="I166" t="n">
        <v>15.13996</v>
      </c>
      <c r="J166" t="n">
        <v>15.13996</v>
      </c>
      <c r="K166" t="n">
        <v>14.107486</v>
      </c>
      <c r="L166" t="n">
        <v>88.61683499999999</v>
      </c>
      <c r="M166" t="n">
        <v>30.998352</v>
      </c>
      <c r="N166" t="n">
        <v>30.998352</v>
      </c>
      <c r="O166" t="n">
        <v>15.004935</v>
      </c>
      <c r="P166" t="n">
        <v>7.795329</v>
      </c>
      <c r="Q166" t="n">
        <v>30.998352</v>
      </c>
      <c r="R166" t="n">
        <v>30.998352</v>
      </c>
      <c r="S166" t="n">
        <v>15.004935</v>
      </c>
      <c r="T166" t="n">
        <v>15.004935</v>
      </c>
      <c r="U166" t="n">
        <v>7.795329</v>
      </c>
      <c r="V166" t="n">
        <v>7.795329</v>
      </c>
      <c r="W166" t="n">
        <v>15.392557</v>
      </c>
      <c r="X166" t="n">
        <v>34.031508</v>
      </c>
      <c r="Z166" t="n">
        <v>6.196734</v>
      </c>
    </row>
    <row r="167" ht="21" customHeight="1">
      <c r="A167" t="inlineStr">
        <is>
          <t>Lutjanus johnii</t>
        </is>
      </c>
      <c r="B167" t="n">
        <v>4.2</v>
      </c>
      <c r="C167" t="n">
        <v>1584.893192</v>
      </c>
      <c r="D167" s="10" t="inlineStr">
        <is>
          <t>2 L pisc comm | 3 L pisc comm</t>
        </is>
      </c>
      <c r="H167" t="n">
        <v>801.308671</v>
      </c>
      <c r="I167" t="n">
        <v>347.219292</v>
      </c>
      <c r="J167" t="n">
        <v>442.467638</v>
      </c>
      <c r="K167" t="n">
        <v>402.262611</v>
      </c>
      <c r="L167" t="n">
        <v>2161.417589</v>
      </c>
      <c r="M167" t="n">
        <v>1083.958638</v>
      </c>
      <c r="N167" t="n">
        <v>1083.958638</v>
      </c>
      <c r="O167" t="n">
        <v>300.122309</v>
      </c>
      <c r="P167" t="n">
        <v>80.463222</v>
      </c>
      <c r="Q167" t="n">
        <v>1083.958638</v>
      </c>
      <c r="R167" t="n">
        <v>4211.040307</v>
      </c>
      <c r="S167" t="n">
        <v>300.122309</v>
      </c>
      <c r="T167" t="n">
        <v>24938830.515997</v>
      </c>
      <c r="U167" t="n">
        <v>80.463222</v>
      </c>
      <c r="V167" t="n">
        <v>-1116515115.800599</v>
      </c>
      <c r="W167" t="n">
        <v>379.777929</v>
      </c>
      <c r="X167" t="n">
        <v>1380.363646</v>
      </c>
      <c r="Z167" t="n">
        <v>105.373581</v>
      </c>
    </row>
    <row r="168" ht="21" customHeight="1">
      <c r="A168" t="inlineStr">
        <is>
          <t>Istiophoridae</t>
        </is>
      </c>
      <c r="B168" t="n">
        <v>4.48</v>
      </c>
      <c r="C168" t="n">
        <v>3019.95172</v>
      </c>
      <c r="D168" s="10" t="inlineStr">
        <is>
          <t>Tuna-like</t>
        </is>
      </c>
      <c r="H168" t="n">
        <v>4024.005911</v>
      </c>
      <c r="I168" t="n">
        <v>1217.030544</v>
      </c>
      <c r="J168" t="n">
        <v>1425.466216</v>
      </c>
      <c r="K168" t="n">
        <v>1274.366797</v>
      </c>
      <c r="L168" t="n">
        <v>8472.950376000001</v>
      </c>
      <c r="M168" t="n">
        <v>4280.710601</v>
      </c>
      <c r="N168" t="n">
        <v>4280.710601</v>
      </c>
      <c r="O168" t="n">
        <v>1050.279426</v>
      </c>
      <c r="P168" t="n">
        <v>230.70519</v>
      </c>
      <c r="Q168" t="n">
        <v>4280.710601</v>
      </c>
      <c r="R168" t="n">
        <v>2938914.210776</v>
      </c>
      <c r="S168" t="n">
        <v>1050.279426</v>
      </c>
      <c r="T168" t="n">
        <v>-12560069.044484</v>
      </c>
      <c r="U168" t="n">
        <v>230.70519</v>
      </c>
      <c r="V168" t="n">
        <v>990357739.175012</v>
      </c>
      <c r="W168" t="n">
        <v>1374.354712</v>
      </c>
      <c r="X168" t="n">
        <v>5545.438014</v>
      </c>
      <c r="Z168" t="n">
        <v>369.948499</v>
      </c>
    </row>
    <row r="169" ht="21" customHeight="1">
      <c r="A169" t="inlineStr">
        <is>
          <t>Thunnus</t>
        </is>
      </c>
      <c r="B169" t="n">
        <v>4.34</v>
      </c>
      <c r="C169" t="n">
        <v>2187.761624</v>
      </c>
      <c r="D169" s="10" t="inlineStr">
        <is>
          <t>Tuna-like</t>
        </is>
      </c>
      <c r="H169" t="n">
        <v>4024.005911</v>
      </c>
      <c r="I169" t="n">
        <v>1217.030544</v>
      </c>
      <c r="J169" t="n">
        <v>1425.466216</v>
      </c>
      <c r="K169" t="n">
        <v>1274.366797</v>
      </c>
      <c r="L169" t="n">
        <v>8472.950376000001</v>
      </c>
      <c r="M169" t="n">
        <v>4280.710601</v>
      </c>
      <c r="N169" t="n">
        <v>4280.710601</v>
      </c>
      <c r="O169" t="n">
        <v>1050.279426</v>
      </c>
      <c r="P169" t="n">
        <v>230.70519</v>
      </c>
      <c r="Q169" t="n">
        <v>4280.710601</v>
      </c>
      <c r="R169" t="n">
        <v>2938914.210776</v>
      </c>
      <c r="S169" t="n">
        <v>1050.279426</v>
      </c>
      <c r="T169" t="n">
        <v>-12560069.044484</v>
      </c>
      <c r="U169" t="n">
        <v>230.70519</v>
      </c>
      <c r="V169" t="n">
        <v>990357739.175012</v>
      </c>
      <c r="W169" t="n">
        <v>1374.354712</v>
      </c>
      <c r="X169" t="n">
        <v>5545.438014</v>
      </c>
      <c r="Z169" t="n">
        <v>369.948499</v>
      </c>
    </row>
    <row r="170" ht="21" customHeight="1">
      <c r="A170" t="inlineStr">
        <is>
          <t>Sergestidae</t>
        </is>
      </c>
      <c r="B170" t="n">
        <v>2.93</v>
      </c>
      <c r="C170" t="n">
        <v>85.113804</v>
      </c>
      <c r="D170" s="10" t="inlineStr">
        <is>
          <t>2 Crustaceans | 3 Crustaceans</t>
        </is>
      </c>
      <c r="H170" t="n">
        <v>16.647547</v>
      </c>
      <c r="I170" t="n">
        <v>15.13996</v>
      </c>
      <c r="J170" t="n">
        <v>15.13996</v>
      </c>
      <c r="K170" t="n">
        <v>14.107486</v>
      </c>
      <c r="L170" t="n">
        <v>88.61683499999999</v>
      </c>
      <c r="M170" t="n">
        <v>30.998352</v>
      </c>
      <c r="N170" t="n">
        <v>30.998352</v>
      </c>
      <c r="O170" t="n">
        <v>15.004935</v>
      </c>
      <c r="P170" t="n">
        <v>7.795329</v>
      </c>
      <c r="Q170" t="n">
        <v>30.998352</v>
      </c>
      <c r="R170" t="n">
        <v>30.998352</v>
      </c>
      <c r="S170" t="n">
        <v>15.004935</v>
      </c>
      <c r="T170" t="n">
        <v>15.004935</v>
      </c>
      <c r="U170" t="n">
        <v>7.795329</v>
      </c>
      <c r="V170" t="n">
        <v>7.795329</v>
      </c>
      <c r="W170" t="n">
        <v>15.392557</v>
      </c>
      <c r="X170" t="n">
        <v>34.031508</v>
      </c>
      <c r="Z170" t="n">
        <v>6.196734</v>
      </c>
    </row>
    <row r="171" ht="21" customHeight="1">
      <c r="A171" t="inlineStr">
        <is>
          <t>Siganus</t>
        </is>
      </c>
      <c r="B171" t="n">
        <v>2.11</v>
      </c>
      <c r="C171" t="n">
        <v>12.882496</v>
      </c>
      <c r="D171" s="10" t="inlineStr">
        <is>
          <t>2 SM inv | 3 SM inv</t>
        </is>
      </c>
      <c r="H171" t="n">
        <v>91.813177</v>
      </c>
      <c r="I171" t="n">
        <v>52.413336</v>
      </c>
      <c r="J171" t="n">
        <v>62.649384</v>
      </c>
      <c r="K171" t="n">
        <v>58.645949</v>
      </c>
      <c r="L171" t="n">
        <v>358.382548</v>
      </c>
      <c r="M171" t="n">
        <v>163.84463</v>
      </c>
      <c r="N171" t="n">
        <v>163.84463</v>
      </c>
      <c r="O171" t="n">
        <v>65.16087</v>
      </c>
      <c r="P171" t="n">
        <v>23.726562</v>
      </c>
      <c r="Q171" t="n">
        <v>163.84463</v>
      </c>
      <c r="R171" t="n">
        <v>27231.721784</v>
      </c>
      <c r="S171" t="n">
        <v>65.16087</v>
      </c>
      <c r="T171" t="n">
        <v>247011.21003</v>
      </c>
      <c r="U171" t="n">
        <v>23.726562</v>
      </c>
      <c r="V171" t="n">
        <v>-1608691.090535</v>
      </c>
      <c r="W171" t="n">
        <v>85.655771</v>
      </c>
      <c r="X171" t="n">
        <v>226.381866</v>
      </c>
      <c r="Z171" t="n">
        <v>23.837652</v>
      </c>
    </row>
    <row r="172" ht="21" customHeight="1">
      <c r="A172" t="inlineStr">
        <is>
          <t>Ilisha elongata</t>
        </is>
      </c>
      <c r="B172" t="n">
        <v>3.79</v>
      </c>
      <c r="C172" t="n">
        <v>616.595002</v>
      </c>
      <c r="D172" s="10" t="inlineStr">
        <is>
          <t>2-3 Hilsa</t>
        </is>
      </c>
      <c r="H172" t="n">
        <v>23.560064</v>
      </c>
      <c r="I172" t="n">
        <v>21.103549</v>
      </c>
      <c r="J172" t="n">
        <v>21.103549</v>
      </c>
      <c r="K172" t="n">
        <v>19.731818</v>
      </c>
      <c r="L172" t="n">
        <v>22.758135</v>
      </c>
      <c r="M172" t="n">
        <v>21.103549</v>
      </c>
      <c r="N172" t="n">
        <v>21.103549</v>
      </c>
      <c r="O172" t="n">
        <v>7.089398</v>
      </c>
      <c r="P172" t="n">
        <v>4.870813</v>
      </c>
      <c r="Q172" t="n">
        <v>21.103549</v>
      </c>
      <c r="R172" t="n">
        <v>21.103549</v>
      </c>
      <c r="S172" t="n">
        <v>7.089398</v>
      </c>
      <c r="T172" t="n">
        <v>7.089398</v>
      </c>
      <c r="U172" t="n">
        <v>4.870813</v>
      </c>
      <c r="V172" t="n">
        <v>4.870813</v>
      </c>
      <c r="W172" t="n">
        <v>7.31875</v>
      </c>
      <c r="X172" t="n">
        <v>20.841773</v>
      </c>
      <c r="Z172" t="n">
        <v>9.909916000000001</v>
      </c>
    </row>
    <row r="173" ht="21" customHeight="1">
      <c r="A173" t="inlineStr">
        <is>
          <t>Plotosus</t>
        </is>
      </c>
      <c r="B173" t="n">
        <v>3.49</v>
      </c>
      <c r="C173" t="n">
        <v>309.029543</v>
      </c>
      <c r="D173" s="10" t="inlineStr">
        <is>
          <t>2 L pisc | 3 L pisc</t>
        </is>
      </c>
      <c r="H173" t="n">
        <v>1686.007244</v>
      </c>
      <c r="I173" t="n">
        <v>562.291264</v>
      </c>
      <c r="J173" t="n">
        <v>667.421881</v>
      </c>
      <c r="K173" t="n">
        <v>600.679693</v>
      </c>
      <c r="L173" t="n">
        <v>3541.417618</v>
      </c>
      <c r="M173" t="n">
        <v>1779.674544</v>
      </c>
      <c r="N173" t="n">
        <v>1779.674544</v>
      </c>
      <c r="O173" t="n">
        <v>491.036533</v>
      </c>
      <c r="P173" t="n">
        <v>120.796851</v>
      </c>
      <c r="Q173" t="n">
        <v>1779.674544</v>
      </c>
      <c r="R173" t="n">
        <v>183794.440851</v>
      </c>
      <c r="S173" t="n">
        <v>491.036533</v>
      </c>
      <c r="T173" t="n">
        <v>5645299.035557</v>
      </c>
      <c r="U173" t="n">
        <v>120.796851</v>
      </c>
      <c r="V173" t="n">
        <v>-5887325720.988076</v>
      </c>
      <c r="W173" t="n">
        <v>628.114208</v>
      </c>
      <c r="X173" t="n">
        <v>2283.896043</v>
      </c>
      <c r="Z173" t="n">
        <v>188.595494</v>
      </c>
    </row>
    <row r="174" ht="21" customHeight="1">
      <c r="A174" t="inlineStr">
        <is>
          <t>Caranx</t>
        </is>
      </c>
      <c r="B174" t="n">
        <v>4.12</v>
      </c>
      <c r="C174" t="n">
        <v>1318.256739</v>
      </c>
      <c r="D174" s="10" t="inlineStr">
        <is>
          <t>2 Carangids | 3 Carangids</t>
        </is>
      </c>
      <c r="H174" t="n">
        <v>873.328216</v>
      </c>
      <c r="I174" t="n">
        <v>372.556809</v>
      </c>
      <c r="J174" t="n">
        <v>434.163448</v>
      </c>
      <c r="K174" t="n">
        <v>417.767363</v>
      </c>
      <c r="L174" t="n">
        <v>2160.134294</v>
      </c>
      <c r="M174" t="n">
        <v>1099.323673</v>
      </c>
      <c r="N174" t="n">
        <v>1099.323673</v>
      </c>
      <c r="O174" t="n">
        <v>332.917647</v>
      </c>
      <c r="P174" t="n">
        <v>90.527957</v>
      </c>
      <c r="Q174" t="n">
        <v>1099.323673</v>
      </c>
      <c r="R174" t="n">
        <v>1849500.59807</v>
      </c>
      <c r="S174" t="n">
        <v>332.917647</v>
      </c>
      <c r="T174" t="n">
        <v>19894910.028919</v>
      </c>
      <c r="U174" t="n">
        <v>90.527957</v>
      </c>
      <c r="V174" t="n">
        <v>-89296314.013887</v>
      </c>
      <c r="W174" t="n">
        <v>429.68266</v>
      </c>
      <c r="X174" t="n">
        <v>1415.097656</v>
      </c>
      <c r="Z174" t="n">
        <v>125.139702</v>
      </c>
    </row>
    <row r="175" ht="21" customHeight="1">
      <c r="A175" t="inlineStr">
        <is>
          <t>Carangoides</t>
        </is>
      </c>
      <c r="B175" t="n">
        <v>4.34</v>
      </c>
      <c r="C175" t="n">
        <v>2187.761624</v>
      </c>
      <c r="D175" s="10" t="inlineStr">
        <is>
          <t>2 Carangids | 3 Carangids</t>
        </is>
      </c>
      <c r="H175" t="n">
        <v>873.328216</v>
      </c>
      <c r="I175" t="n">
        <v>372.556809</v>
      </c>
      <c r="J175" t="n">
        <v>434.163448</v>
      </c>
      <c r="K175" t="n">
        <v>417.767363</v>
      </c>
      <c r="L175" t="n">
        <v>2160.134294</v>
      </c>
      <c r="M175" t="n">
        <v>1099.323673</v>
      </c>
      <c r="N175" t="n">
        <v>1099.323673</v>
      </c>
      <c r="O175" t="n">
        <v>332.917647</v>
      </c>
      <c r="P175" t="n">
        <v>90.527957</v>
      </c>
      <c r="Q175" t="n">
        <v>1099.323673</v>
      </c>
      <c r="R175" t="n">
        <v>1849500.59807</v>
      </c>
      <c r="S175" t="n">
        <v>332.917647</v>
      </c>
      <c r="T175" t="n">
        <v>19894910.028919</v>
      </c>
      <c r="U175" t="n">
        <v>90.527957</v>
      </c>
      <c r="V175" t="n">
        <v>-89296314.013887</v>
      </c>
      <c r="W175" t="n">
        <v>429.68266</v>
      </c>
      <c r="X175" t="n">
        <v>1415.097656</v>
      </c>
      <c r="Z175" t="n">
        <v>125.139702</v>
      </c>
    </row>
    <row r="176" ht="21" customHeight="1">
      <c r="A176" t="inlineStr">
        <is>
          <t>Penaeus indicus</t>
        </is>
      </c>
      <c r="B176" t="n">
        <v>2.7</v>
      </c>
      <c r="C176" t="n">
        <v>50.118723</v>
      </c>
      <c r="D176" s="10" t="inlineStr">
        <is>
          <t>2 Crustaceans | 3 Crustaceans</t>
        </is>
      </c>
      <c r="H176" t="n">
        <v>16.647547</v>
      </c>
      <c r="I176" t="n">
        <v>15.13996</v>
      </c>
      <c r="J176" t="n">
        <v>15.13996</v>
      </c>
      <c r="K176" t="n">
        <v>14.107486</v>
      </c>
      <c r="L176" t="n">
        <v>88.61683499999999</v>
      </c>
      <c r="M176" t="n">
        <v>30.998352</v>
      </c>
      <c r="N176" t="n">
        <v>30.998352</v>
      </c>
      <c r="O176" t="n">
        <v>15.004935</v>
      </c>
      <c r="P176" t="n">
        <v>7.795329</v>
      </c>
      <c r="Q176" t="n">
        <v>30.998352</v>
      </c>
      <c r="R176" t="n">
        <v>30.998352</v>
      </c>
      <c r="S176" t="n">
        <v>15.004935</v>
      </c>
      <c r="T176" t="n">
        <v>15.004935</v>
      </c>
      <c r="U176" t="n">
        <v>7.795329</v>
      </c>
      <c r="V176" t="n">
        <v>7.795329</v>
      </c>
      <c r="W176" t="n">
        <v>15.392557</v>
      </c>
      <c r="X176" t="n">
        <v>34.031508</v>
      </c>
      <c r="Z176" t="n">
        <v>6.196734</v>
      </c>
    </row>
    <row r="177" ht="21" customHeight="1">
      <c r="A177" t="inlineStr">
        <is>
          <t>Gudusia chapra</t>
        </is>
      </c>
      <c r="B177" t="n">
        <v>2.31</v>
      </c>
      <c r="C177" t="n">
        <v>20.417379</v>
      </c>
      <c r="D177" s="10" t="inlineStr">
        <is>
          <t>2-3 Hilsa</t>
        </is>
      </c>
      <c r="H177" t="n">
        <v>23.560064</v>
      </c>
      <c r="I177" t="n">
        <v>21.103549</v>
      </c>
      <c r="J177" t="n">
        <v>21.103549</v>
      </c>
      <c r="K177" t="n">
        <v>19.731818</v>
      </c>
      <c r="L177" t="n">
        <v>22.758135</v>
      </c>
      <c r="M177" t="n">
        <v>21.103549</v>
      </c>
      <c r="N177" t="n">
        <v>21.103549</v>
      </c>
      <c r="O177" t="n">
        <v>7.089398</v>
      </c>
      <c r="P177" t="n">
        <v>4.870813</v>
      </c>
      <c r="Q177" t="n">
        <v>21.103549</v>
      </c>
      <c r="R177" t="n">
        <v>21.103549</v>
      </c>
      <c r="S177" t="n">
        <v>7.089398</v>
      </c>
      <c r="T177" t="n">
        <v>7.089398</v>
      </c>
      <c r="U177" t="n">
        <v>4.870813</v>
      </c>
      <c r="V177" t="n">
        <v>4.870813</v>
      </c>
      <c r="W177" t="n">
        <v>7.31875</v>
      </c>
      <c r="X177" t="n">
        <v>20.841773</v>
      </c>
      <c r="Z177" t="n">
        <v>9.909916000000001</v>
      </c>
    </row>
    <row r="178" ht="21" customHeight="1">
      <c r="A178" t="inlineStr">
        <is>
          <t>Portunus</t>
        </is>
      </c>
      <c r="B178" t="n">
        <v>3.26</v>
      </c>
      <c r="C178" t="n">
        <v>181.970086</v>
      </c>
      <c r="D178" s="10" t="inlineStr">
        <is>
          <t>2 Crustaceans | 3 Crustaceans</t>
        </is>
      </c>
      <c r="H178" t="n">
        <v>16.647547</v>
      </c>
      <c r="I178" t="n">
        <v>15.13996</v>
      </c>
      <c r="J178" t="n">
        <v>15.13996</v>
      </c>
      <c r="K178" t="n">
        <v>14.107486</v>
      </c>
      <c r="L178" t="n">
        <v>88.61683499999999</v>
      </c>
      <c r="M178" t="n">
        <v>30.998352</v>
      </c>
      <c r="N178" t="n">
        <v>30.998352</v>
      </c>
      <c r="O178" t="n">
        <v>15.004935</v>
      </c>
      <c r="P178" t="n">
        <v>7.795329</v>
      </c>
      <c r="Q178" t="n">
        <v>30.998352</v>
      </c>
      <c r="R178" t="n">
        <v>30.998352</v>
      </c>
      <c r="S178" t="n">
        <v>15.004935</v>
      </c>
      <c r="T178" t="n">
        <v>15.004935</v>
      </c>
      <c r="U178" t="n">
        <v>7.795329</v>
      </c>
      <c r="V178" t="n">
        <v>7.795329</v>
      </c>
      <c r="W178" t="n">
        <v>15.392557</v>
      </c>
      <c r="X178" t="n">
        <v>34.031508</v>
      </c>
      <c r="Z178" t="n">
        <v>6.196734</v>
      </c>
    </row>
    <row r="179" ht="21" customHeight="1">
      <c r="A179" t="inlineStr">
        <is>
          <t>Metapenaeus monoceros</t>
        </is>
      </c>
      <c r="B179" t="n">
        <v>2.7</v>
      </c>
      <c r="C179" t="n">
        <v>50.118723</v>
      </c>
      <c r="D179" s="10" t="inlineStr">
        <is>
          <t>2 Crustaceans | 3 Crustaceans</t>
        </is>
      </c>
      <c r="H179" t="n">
        <v>16.647547</v>
      </c>
      <c r="I179" t="n">
        <v>15.13996</v>
      </c>
      <c r="J179" t="n">
        <v>15.13996</v>
      </c>
      <c r="K179" t="n">
        <v>14.107486</v>
      </c>
      <c r="L179" t="n">
        <v>88.61683499999999</v>
      </c>
      <c r="M179" t="n">
        <v>30.998352</v>
      </c>
      <c r="N179" t="n">
        <v>30.998352</v>
      </c>
      <c r="O179" t="n">
        <v>15.004935</v>
      </c>
      <c r="P179" t="n">
        <v>7.795329</v>
      </c>
      <c r="Q179" t="n">
        <v>30.998352</v>
      </c>
      <c r="R179" t="n">
        <v>30.998352</v>
      </c>
      <c r="S179" t="n">
        <v>15.004935</v>
      </c>
      <c r="T179" t="n">
        <v>15.004935</v>
      </c>
      <c r="U179" t="n">
        <v>7.795329</v>
      </c>
      <c r="V179" t="n">
        <v>7.795329</v>
      </c>
      <c r="W179" t="n">
        <v>15.392557</v>
      </c>
      <c r="X179" t="n">
        <v>34.031508</v>
      </c>
      <c r="Z179" t="n">
        <v>6.196734</v>
      </c>
    </row>
    <row r="180" ht="21" customHeight="1">
      <c r="A180" t="inlineStr">
        <is>
          <t>Palinuridae</t>
        </is>
      </c>
      <c r="B180" t="n">
        <v>3.14</v>
      </c>
      <c r="C180" t="n">
        <v>138.038426</v>
      </c>
      <c r="D180" s="10" t="inlineStr">
        <is>
          <t>2 Crustaceans | 3 Crustaceans</t>
        </is>
      </c>
      <c r="H180" t="n">
        <v>16.647547</v>
      </c>
      <c r="I180" t="n">
        <v>15.13996</v>
      </c>
      <c r="J180" t="n">
        <v>15.13996</v>
      </c>
      <c r="K180" t="n">
        <v>14.107486</v>
      </c>
      <c r="L180" t="n">
        <v>88.61683499999999</v>
      </c>
      <c r="M180" t="n">
        <v>30.998352</v>
      </c>
      <c r="N180" t="n">
        <v>30.998352</v>
      </c>
      <c r="O180" t="n">
        <v>15.004935</v>
      </c>
      <c r="P180" t="n">
        <v>7.795329</v>
      </c>
      <c r="Q180" t="n">
        <v>30.998352</v>
      </c>
      <c r="R180" t="n">
        <v>30.998352</v>
      </c>
      <c r="S180" t="n">
        <v>15.004935</v>
      </c>
      <c r="T180" t="n">
        <v>15.004935</v>
      </c>
      <c r="U180" t="n">
        <v>7.795329</v>
      </c>
      <c r="V180" t="n">
        <v>7.795329</v>
      </c>
      <c r="W180" t="n">
        <v>15.392557</v>
      </c>
      <c r="X180" t="n">
        <v>34.031508</v>
      </c>
      <c r="Z180" t="n">
        <v>6.196734</v>
      </c>
    </row>
    <row r="181" ht="21" customHeight="1">
      <c r="A181" t="inlineStr">
        <is>
          <t>Dussumieria</t>
        </is>
      </c>
      <c r="B181" t="n">
        <v>3.4</v>
      </c>
      <c r="C181" t="n">
        <v>251.188643</v>
      </c>
      <c r="D181" s="10" t="inlineStr">
        <is>
          <t>2 S pelagics | 3 S pelagics</t>
        </is>
      </c>
      <c r="H181" t="n">
        <v>93.087237</v>
      </c>
      <c r="I181" t="n">
        <v>47.55691</v>
      </c>
      <c r="J181" t="n">
        <v>60.271203</v>
      </c>
      <c r="K181" t="n">
        <v>56.323134</v>
      </c>
      <c r="L181" t="n">
        <v>234.01812</v>
      </c>
      <c r="M181" t="n">
        <v>119.363868</v>
      </c>
      <c r="N181" t="n">
        <v>119.363868</v>
      </c>
      <c r="O181" t="n">
        <v>45.511558</v>
      </c>
      <c r="P181" t="n">
        <v>18.627065</v>
      </c>
      <c r="Q181" t="n">
        <v>119.363868</v>
      </c>
      <c r="R181" t="n">
        <v>-24383.104584</v>
      </c>
      <c r="S181" t="n">
        <v>45.511558</v>
      </c>
      <c r="T181" t="n">
        <v>262858.692163</v>
      </c>
      <c r="U181" t="n">
        <v>18.627065</v>
      </c>
      <c r="V181" t="n">
        <v>-4562944.327372</v>
      </c>
      <c r="W181" t="n">
        <v>52.667461</v>
      </c>
      <c r="X181" t="n">
        <v>147.16235</v>
      </c>
      <c r="Z181" t="n">
        <v>27.466663</v>
      </c>
    </row>
    <row r="182" ht="21" customHeight="1">
      <c r="A182" t="inlineStr">
        <is>
          <t>Sepioteuthis lessoniana</t>
        </is>
      </c>
      <c r="B182" t="n">
        <v>3.98</v>
      </c>
      <c r="C182" t="n">
        <v>954.992586</v>
      </c>
      <c r="D182" s="10" t="inlineStr">
        <is>
          <t>Cephalopods</t>
        </is>
      </c>
      <c r="H182" t="n">
        <v>511.74881</v>
      </c>
      <c r="I182" t="n">
        <v>216.918809</v>
      </c>
      <c r="J182" t="n">
        <v>263.00192</v>
      </c>
      <c r="K182" t="n">
        <v>236.701728</v>
      </c>
      <c r="L182" t="n">
        <v>1154.79452</v>
      </c>
      <c r="M182" t="n">
        <v>584.6118269999999</v>
      </c>
      <c r="N182" t="n">
        <v>584.6118269999999</v>
      </c>
      <c r="O182" t="n">
        <v>163.325284</v>
      </c>
      <c r="P182" t="n">
        <v>47.00536</v>
      </c>
      <c r="Q182" t="n">
        <v>584.6118269999999</v>
      </c>
      <c r="R182" t="n">
        <v>-11656.405165</v>
      </c>
      <c r="S182" t="n">
        <v>163.325284</v>
      </c>
      <c r="T182" t="n">
        <v>14308.189116</v>
      </c>
      <c r="U182" t="n">
        <v>47.00536</v>
      </c>
      <c r="V182" t="n">
        <v>-49576.380182</v>
      </c>
      <c r="W182" t="n">
        <v>207.310309</v>
      </c>
      <c r="X182" t="n">
        <v>739.3279659999999</v>
      </c>
      <c r="Z182" t="n">
        <v>83.68045600000001</v>
      </c>
    </row>
    <row r="183" ht="21" customHeight="1">
      <c r="A183" t="inlineStr">
        <is>
          <t>Seriolina nigrofasciata</t>
        </is>
      </c>
      <c r="B183" t="n">
        <v>4.17</v>
      </c>
      <c r="C183" t="n">
        <v>1479.108388</v>
      </c>
      <c r="D183" s="10" t="inlineStr">
        <is>
          <t>2 Carangids | 3 Carangids</t>
        </is>
      </c>
      <c r="H183" t="n">
        <v>873.328216</v>
      </c>
      <c r="I183" t="n">
        <v>372.556809</v>
      </c>
      <c r="J183" t="n">
        <v>434.163448</v>
      </c>
      <c r="K183" t="n">
        <v>417.767363</v>
      </c>
      <c r="L183" t="n">
        <v>2160.134294</v>
      </c>
      <c r="M183" t="n">
        <v>1099.323673</v>
      </c>
      <c r="N183" t="n">
        <v>1099.323673</v>
      </c>
      <c r="O183" t="n">
        <v>332.917647</v>
      </c>
      <c r="P183" t="n">
        <v>90.527957</v>
      </c>
      <c r="Q183" t="n">
        <v>1099.323673</v>
      </c>
      <c r="R183" t="n">
        <v>1849500.59807</v>
      </c>
      <c r="S183" t="n">
        <v>332.917647</v>
      </c>
      <c r="T183" t="n">
        <v>19894910.028919</v>
      </c>
      <c r="U183" t="n">
        <v>90.527957</v>
      </c>
      <c r="V183" t="n">
        <v>-89296314.013887</v>
      </c>
      <c r="W183" t="n">
        <v>429.68266</v>
      </c>
      <c r="X183" t="n">
        <v>1415.097656</v>
      </c>
      <c r="Z183" t="n">
        <v>125.139702</v>
      </c>
    </row>
    <row r="184" ht="21" customHeight="1">
      <c r="A184" t="inlineStr">
        <is>
          <t>Scorpaenidae</t>
        </is>
      </c>
      <c r="B184" t="n">
        <v>3.92</v>
      </c>
      <c r="C184" t="n">
        <v>831.763771</v>
      </c>
      <c r="D184" s="10" t="inlineStr">
        <is>
          <t>2 SM pisc | 3 SM pisc</t>
        </is>
      </c>
      <c r="H184" t="n">
        <v>243.94607</v>
      </c>
      <c r="I184" t="n">
        <v>108.349841</v>
      </c>
      <c r="J184" t="n">
        <v>154.909098</v>
      </c>
      <c r="K184" t="n">
        <v>147.163643</v>
      </c>
      <c r="L184" t="n">
        <v>954.7607</v>
      </c>
      <c r="M184" t="n">
        <v>447.937281</v>
      </c>
      <c r="N184" t="n">
        <v>447.937281</v>
      </c>
      <c r="O184" t="n">
        <v>152.63502</v>
      </c>
      <c r="P184" t="n">
        <v>45.95733</v>
      </c>
      <c r="Q184" t="n">
        <v>447.937281</v>
      </c>
      <c r="R184" t="n">
        <v>-7864.592041</v>
      </c>
      <c r="S184" t="n">
        <v>152.63502</v>
      </c>
      <c r="T184" t="n">
        <v>791067.821395</v>
      </c>
      <c r="U184" t="n">
        <v>45.95733</v>
      </c>
      <c r="V184" t="n">
        <v>-22992541.193563</v>
      </c>
      <c r="W184" t="n">
        <v>192.62905</v>
      </c>
      <c r="X184" t="n">
        <v>583.6561809999999</v>
      </c>
      <c r="Z184" t="n">
        <v>48.362824</v>
      </c>
    </row>
    <row r="185" ht="21" customHeight="1">
      <c r="A185" t="inlineStr">
        <is>
          <t>Muraenesox cinereus</t>
        </is>
      </c>
      <c r="B185" t="n">
        <v>4.38</v>
      </c>
      <c r="C185" t="n">
        <v>2398.832919</v>
      </c>
      <c r="D185" s="10" t="inlineStr">
        <is>
          <t>2 L pisc | 3 L pisc</t>
        </is>
      </c>
      <c r="H185" t="n">
        <v>1686.007244</v>
      </c>
      <c r="I185" t="n">
        <v>562.291264</v>
      </c>
      <c r="J185" t="n">
        <v>667.421881</v>
      </c>
      <c r="K185" t="n">
        <v>600.679693</v>
      </c>
      <c r="L185" t="n">
        <v>3541.417618</v>
      </c>
      <c r="M185" t="n">
        <v>1779.674544</v>
      </c>
      <c r="N185" t="n">
        <v>1779.674544</v>
      </c>
      <c r="O185" t="n">
        <v>491.036533</v>
      </c>
      <c r="P185" t="n">
        <v>120.796851</v>
      </c>
      <c r="Q185" t="n">
        <v>1779.674544</v>
      </c>
      <c r="R185" t="n">
        <v>183794.440851</v>
      </c>
      <c r="S185" t="n">
        <v>491.036533</v>
      </c>
      <c r="T185" t="n">
        <v>5645299.035557</v>
      </c>
      <c r="U185" t="n">
        <v>120.796851</v>
      </c>
      <c r="V185" t="n">
        <v>-5887325720.988076</v>
      </c>
      <c r="W185" t="n">
        <v>628.114208</v>
      </c>
      <c r="X185" t="n">
        <v>2283.896043</v>
      </c>
      <c r="Z185" t="n">
        <v>188.595494</v>
      </c>
    </row>
    <row r="186" ht="21" customHeight="1">
      <c r="A186" t="inlineStr">
        <is>
          <t>Balistidae</t>
        </is>
      </c>
      <c r="B186" t="n">
        <v>3.25</v>
      </c>
      <c r="C186" t="n">
        <v>177.827941</v>
      </c>
      <c r="D186" s="10" t="inlineStr">
        <is>
          <t>2 SM pisc | 3 SM pisc</t>
        </is>
      </c>
      <c r="H186" t="n">
        <v>243.94607</v>
      </c>
      <c r="I186" t="n">
        <v>108.349841</v>
      </c>
      <c r="J186" t="n">
        <v>154.909098</v>
      </c>
      <c r="K186" t="n">
        <v>147.163643</v>
      </c>
      <c r="L186" t="n">
        <v>954.7607</v>
      </c>
      <c r="M186" t="n">
        <v>447.937281</v>
      </c>
      <c r="N186" t="n">
        <v>447.937281</v>
      </c>
      <c r="O186" t="n">
        <v>152.63502</v>
      </c>
      <c r="P186" t="n">
        <v>45.95733</v>
      </c>
      <c r="Q186" t="n">
        <v>447.937281</v>
      </c>
      <c r="R186" t="n">
        <v>-7864.592041</v>
      </c>
      <c r="S186" t="n">
        <v>152.63502</v>
      </c>
      <c r="T186" t="n">
        <v>791067.821395</v>
      </c>
      <c r="U186" t="n">
        <v>45.95733</v>
      </c>
      <c r="V186" t="n">
        <v>-22992541.193563</v>
      </c>
      <c r="W186" t="n">
        <v>192.62905</v>
      </c>
      <c r="X186" t="n">
        <v>583.6561809999999</v>
      </c>
      <c r="Z186" t="n">
        <v>48.362824</v>
      </c>
    </row>
    <row r="187" ht="21" customHeight="1">
      <c r="A187" t="inlineStr">
        <is>
          <t>Coryphaena</t>
        </is>
      </c>
      <c r="B187" t="n">
        <v>4.49</v>
      </c>
      <c r="C187" t="n">
        <v>3090.295433</v>
      </c>
      <c r="D187" s="10" t="inlineStr">
        <is>
          <t>2 L pisc | 3 L pisc</t>
        </is>
      </c>
      <c r="H187" t="n">
        <v>1686.007244</v>
      </c>
      <c r="I187" t="n">
        <v>562.291264</v>
      </c>
      <c r="J187" t="n">
        <v>667.421881</v>
      </c>
      <c r="K187" t="n">
        <v>600.679693</v>
      </c>
      <c r="L187" t="n">
        <v>3541.417618</v>
      </c>
      <c r="M187" t="n">
        <v>1779.674544</v>
      </c>
      <c r="N187" t="n">
        <v>1779.674544</v>
      </c>
      <c r="O187" t="n">
        <v>491.036533</v>
      </c>
      <c r="P187" t="n">
        <v>120.796851</v>
      </c>
      <c r="Q187" t="n">
        <v>1779.674544</v>
      </c>
      <c r="R187" t="n">
        <v>183794.440851</v>
      </c>
      <c r="S187" t="n">
        <v>491.036533</v>
      </c>
      <c r="T187" t="n">
        <v>5645299.035557</v>
      </c>
      <c r="U187" t="n">
        <v>120.796851</v>
      </c>
      <c r="V187" t="n">
        <v>-5887325720.988076</v>
      </c>
      <c r="W187" t="n">
        <v>628.114208</v>
      </c>
      <c r="X187" t="n">
        <v>2283.896043</v>
      </c>
      <c r="Z187" t="n">
        <v>188.595494</v>
      </c>
    </row>
    <row r="188" ht="21" customHeight="1">
      <c r="A188" t="inlineStr">
        <is>
          <t>Gerreidae</t>
        </is>
      </c>
      <c r="B188" t="n">
        <v>3.03</v>
      </c>
      <c r="C188" t="n">
        <v>107.151931</v>
      </c>
      <c r="D188" s="10" t="inlineStr">
        <is>
          <t>2 SM inv | 3 SM inv</t>
        </is>
      </c>
      <c r="H188" t="n">
        <v>91.813177</v>
      </c>
      <c r="I188" t="n">
        <v>52.413336</v>
      </c>
      <c r="J188" t="n">
        <v>62.649384</v>
      </c>
      <c r="K188" t="n">
        <v>58.645949</v>
      </c>
      <c r="L188" t="n">
        <v>358.382548</v>
      </c>
      <c r="M188" t="n">
        <v>163.84463</v>
      </c>
      <c r="N188" t="n">
        <v>163.84463</v>
      </c>
      <c r="O188" t="n">
        <v>65.16087</v>
      </c>
      <c r="P188" t="n">
        <v>23.726562</v>
      </c>
      <c r="Q188" t="n">
        <v>163.84463</v>
      </c>
      <c r="R188" t="n">
        <v>27231.721784</v>
      </c>
      <c r="S188" t="n">
        <v>65.16087</v>
      </c>
      <c r="T188" t="n">
        <v>247011.21003</v>
      </c>
      <c r="U188" t="n">
        <v>23.726562</v>
      </c>
      <c r="V188" t="n">
        <v>-1608691.090535</v>
      </c>
      <c r="W188" t="n">
        <v>85.655771</v>
      </c>
      <c r="X188" t="n">
        <v>226.381866</v>
      </c>
      <c r="Z188" t="n">
        <v>23.837652</v>
      </c>
    </row>
    <row r="189" ht="21" customHeight="1">
      <c r="A189" t="inlineStr">
        <is>
          <t>Alopias</t>
        </is>
      </c>
      <c r="B189" t="n">
        <v>4.5</v>
      </c>
      <c r="C189" t="n">
        <v>3162.27766</v>
      </c>
      <c r="D189" s="10" t="inlineStr">
        <is>
          <t>Oceanic sharks</t>
        </is>
      </c>
      <c r="H189" t="n">
        <v>5991.076951</v>
      </c>
      <c r="I189" t="n">
        <v>2971.739048</v>
      </c>
      <c r="J189" t="n">
        <v>3537.94222</v>
      </c>
      <c r="K189" t="n">
        <v>2059.082372</v>
      </c>
      <c r="L189" t="n">
        <v>23068.147688</v>
      </c>
      <c r="M189" t="n">
        <v>11618.431417</v>
      </c>
      <c r="N189" t="n">
        <v>11618.431417</v>
      </c>
      <c r="O189" t="n">
        <v>1687.805512</v>
      </c>
      <c r="P189" t="n">
        <v>330.871563</v>
      </c>
      <c r="Q189" t="n">
        <v>11618.431417</v>
      </c>
      <c r="R189" t="n">
        <v>81886204.615971</v>
      </c>
      <c r="S189" t="n">
        <v>1687.805512</v>
      </c>
      <c r="T189" t="n">
        <v>527915.899384</v>
      </c>
      <c r="U189" t="n">
        <v>330.871563</v>
      </c>
      <c r="V189" t="n">
        <v>2.81472402916843e+22</v>
      </c>
      <c r="W189" t="n">
        <v>2193.066995</v>
      </c>
      <c r="X189" t="n">
        <v>15378.990649</v>
      </c>
      <c r="Z189" t="n">
        <v>432.856659</v>
      </c>
    </row>
    <row r="190" ht="21" customHeight="1">
      <c r="A190" t="inlineStr">
        <is>
          <t>Pristipomoides</t>
        </is>
      </c>
      <c r="B190" t="n">
        <v>3.91</v>
      </c>
      <c r="C190" t="n">
        <v>812.830516</v>
      </c>
      <c r="D190" s="10" t="inlineStr">
        <is>
          <t>2 L pisc comm | 3 L pisc comm</t>
        </is>
      </c>
      <c r="H190" t="n">
        <v>801.308671</v>
      </c>
      <c r="I190" t="n">
        <v>347.219292</v>
      </c>
      <c r="J190" t="n">
        <v>442.467638</v>
      </c>
      <c r="K190" t="n">
        <v>402.262611</v>
      </c>
      <c r="L190" t="n">
        <v>2161.417589</v>
      </c>
      <c r="M190" t="n">
        <v>1083.958638</v>
      </c>
      <c r="N190" t="n">
        <v>1083.958638</v>
      </c>
      <c r="O190" t="n">
        <v>300.122309</v>
      </c>
      <c r="P190" t="n">
        <v>80.463222</v>
      </c>
      <c r="Q190" t="n">
        <v>1083.958638</v>
      </c>
      <c r="R190" t="n">
        <v>4211.040307</v>
      </c>
      <c r="S190" t="n">
        <v>300.122309</v>
      </c>
      <c r="T190" t="n">
        <v>24938830.515997</v>
      </c>
      <c r="U190" t="n">
        <v>80.463222</v>
      </c>
      <c r="V190" t="n">
        <v>-1116515115.800599</v>
      </c>
      <c r="W190" t="n">
        <v>379.777929</v>
      </c>
      <c r="X190" t="n">
        <v>1380.363646</v>
      </c>
      <c r="Z190" t="n">
        <v>105.373581</v>
      </c>
    </row>
    <row r="191" ht="21" customHeight="1">
      <c r="A191" t="inlineStr">
        <is>
          <t>Kajikia audax</t>
        </is>
      </c>
      <c r="B191" t="n">
        <v>4.58</v>
      </c>
      <c r="C191" t="n">
        <v>3801.893963</v>
      </c>
      <c r="D191" s="10" t="inlineStr">
        <is>
          <t>Marlins</t>
        </is>
      </c>
      <c r="H191" t="n">
        <v>5989.447934</v>
      </c>
      <c r="I191" t="n">
        <v>1542.438431</v>
      </c>
      <c r="J191" t="n">
        <v>1794.218258</v>
      </c>
      <c r="K191" t="n">
        <v>1614.796433</v>
      </c>
      <c r="L191" t="n">
        <v>9568.973695000001</v>
      </c>
      <c r="M191" t="n">
        <v>4788.829752</v>
      </c>
      <c r="N191" t="n">
        <v>4788.829752</v>
      </c>
      <c r="O191" t="n">
        <v>1140.772844</v>
      </c>
      <c r="P191" t="n">
        <v>243.396173</v>
      </c>
      <c r="Q191" t="n">
        <v>4788.829752</v>
      </c>
      <c r="R191" t="n">
        <v>9999810.241127999</v>
      </c>
      <c r="S191" t="n">
        <v>1140.772844</v>
      </c>
      <c r="T191" t="n">
        <v>-23395473.234111</v>
      </c>
      <c r="U191" t="n">
        <v>243.396173</v>
      </c>
      <c r="V191" t="n">
        <v>5.725268511697413e+21</v>
      </c>
      <c r="W191" t="n">
        <v>1457.39335</v>
      </c>
      <c r="X191" t="n">
        <v>6271.847617</v>
      </c>
      <c r="Z191" t="n">
        <v>474.696495</v>
      </c>
    </row>
    <row r="192" ht="21" customHeight="1">
      <c r="A192" t="inlineStr">
        <is>
          <t>Modiolus</t>
        </is>
      </c>
      <c r="D192" s="10" t="inlineStr">
        <is>
          <t>2 Macrobenthos | 3 Macrobenthos</t>
        </is>
      </c>
      <c r="H192" t="n">
        <v>14.010241</v>
      </c>
      <c r="I192" t="n">
        <v>13.386848</v>
      </c>
      <c r="J192" t="n">
        <v>13.386848</v>
      </c>
      <c r="K192" t="n">
        <v>12.189342</v>
      </c>
      <c r="L192" t="n">
        <v>106.719149</v>
      </c>
      <c r="M192" t="n">
        <v>46.737687</v>
      </c>
      <c r="N192" t="n">
        <v>46.737687</v>
      </c>
      <c r="O192" t="n">
        <v>22.234823</v>
      </c>
      <c r="P192" t="n">
        <v>9.814845999999999</v>
      </c>
      <c r="Q192" t="n">
        <v>46.737687</v>
      </c>
      <c r="R192" t="n">
        <v>46.737687</v>
      </c>
      <c r="S192" t="n">
        <v>22.234823</v>
      </c>
      <c r="T192" t="n">
        <v>22.234823</v>
      </c>
      <c r="U192" t="n">
        <v>9.814845999999999</v>
      </c>
      <c r="V192" t="n">
        <v>9.814845999999999</v>
      </c>
      <c r="W192" t="n">
        <v>30.831021</v>
      </c>
      <c r="X192" t="n">
        <v>72.485857</v>
      </c>
      <c r="Z192" t="n">
        <v>5.642741</v>
      </c>
    </row>
    <row r="193" ht="21" customHeight="1">
      <c r="A193" t="inlineStr">
        <is>
          <t>Scomberoides</t>
        </is>
      </c>
      <c r="B193" t="n">
        <v>4.47</v>
      </c>
      <c r="C193" t="n">
        <v>2951.209227</v>
      </c>
      <c r="D193" s="10" t="inlineStr">
        <is>
          <t>2 Carangids | 3 Carangids</t>
        </is>
      </c>
      <c r="H193" t="n">
        <v>873.328216</v>
      </c>
      <c r="I193" t="n">
        <v>372.556809</v>
      </c>
      <c r="J193" t="n">
        <v>434.163448</v>
      </c>
      <c r="K193" t="n">
        <v>417.767363</v>
      </c>
      <c r="L193" t="n">
        <v>2160.134294</v>
      </c>
      <c r="M193" t="n">
        <v>1099.323673</v>
      </c>
      <c r="N193" t="n">
        <v>1099.323673</v>
      </c>
      <c r="O193" t="n">
        <v>332.917647</v>
      </c>
      <c r="P193" t="n">
        <v>90.527957</v>
      </c>
      <c r="Q193" t="n">
        <v>1099.323673</v>
      </c>
      <c r="R193" t="n">
        <v>1849500.59807</v>
      </c>
      <c r="S193" t="n">
        <v>332.917647</v>
      </c>
      <c r="T193" t="n">
        <v>19894910.028919</v>
      </c>
      <c r="U193" t="n">
        <v>90.527957</v>
      </c>
      <c r="V193" t="n">
        <v>-89296314.013887</v>
      </c>
      <c r="W193" t="n">
        <v>429.68266</v>
      </c>
      <c r="X193" t="n">
        <v>1415.097656</v>
      </c>
      <c r="Z193" t="n">
        <v>125.139702</v>
      </c>
    </row>
    <row r="194" ht="21" customHeight="1">
      <c r="A194" t="inlineStr">
        <is>
          <t>Octopus</t>
        </is>
      </c>
      <c r="B194" t="n">
        <v>3.8</v>
      </c>
      <c r="C194" t="n">
        <v>630.957344</v>
      </c>
      <c r="D194" s="10" t="inlineStr">
        <is>
          <t>Cephalopods</t>
        </is>
      </c>
      <c r="H194" t="n">
        <v>511.74881</v>
      </c>
      <c r="I194" t="n">
        <v>216.918809</v>
      </c>
      <c r="J194" t="n">
        <v>263.00192</v>
      </c>
      <c r="K194" t="n">
        <v>236.701728</v>
      </c>
      <c r="L194" t="n">
        <v>1154.79452</v>
      </c>
      <c r="M194" t="n">
        <v>584.6118269999999</v>
      </c>
      <c r="N194" t="n">
        <v>584.6118269999999</v>
      </c>
      <c r="O194" t="n">
        <v>163.325284</v>
      </c>
      <c r="P194" t="n">
        <v>47.00536</v>
      </c>
      <c r="Q194" t="n">
        <v>584.6118269999999</v>
      </c>
      <c r="R194" t="n">
        <v>-11656.405165</v>
      </c>
      <c r="S194" t="n">
        <v>163.325284</v>
      </c>
      <c r="T194" t="n">
        <v>14308.189116</v>
      </c>
      <c r="U194" t="n">
        <v>47.00536</v>
      </c>
      <c r="V194" t="n">
        <v>-49576.380182</v>
      </c>
      <c r="W194" t="n">
        <v>207.310309</v>
      </c>
      <c r="X194" t="n">
        <v>739.3279659999999</v>
      </c>
      <c r="Z194" t="n">
        <v>83.68045600000001</v>
      </c>
    </row>
    <row r="195" ht="21" customHeight="1">
      <c r="A195" t="inlineStr">
        <is>
          <t>Penaeus japonicus</t>
        </is>
      </c>
      <c r="B195" t="n">
        <v>2.7</v>
      </c>
      <c r="C195" t="n">
        <v>50.118723</v>
      </c>
      <c r="D195" s="10" t="inlineStr">
        <is>
          <t>2 Crustaceans | 3 Crustaceans</t>
        </is>
      </c>
      <c r="H195" t="n">
        <v>16.647547</v>
      </c>
      <c r="I195" t="n">
        <v>15.13996</v>
      </c>
      <c r="J195" t="n">
        <v>15.13996</v>
      </c>
      <c r="K195" t="n">
        <v>14.107486</v>
      </c>
      <c r="L195" t="n">
        <v>88.61683499999999</v>
      </c>
      <c r="M195" t="n">
        <v>30.998352</v>
      </c>
      <c r="N195" t="n">
        <v>30.998352</v>
      </c>
      <c r="O195" t="n">
        <v>15.004935</v>
      </c>
      <c r="P195" t="n">
        <v>7.795329</v>
      </c>
      <c r="Q195" t="n">
        <v>30.998352</v>
      </c>
      <c r="R195" t="n">
        <v>30.998352</v>
      </c>
      <c r="S195" t="n">
        <v>15.004935</v>
      </c>
      <c r="T195" t="n">
        <v>15.004935</v>
      </c>
      <c r="U195" t="n">
        <v>7.795329</v>
      </c>
      <c r="V195" t="n">
        <v>7.795329</v>
      </c>
      <c r="W195" t="n">
        <v>15.392557</v>
      </c>
      <c r="X195" t="n">
        <v>34.031508</v>
      </c>
      <c r="Z195" t="n">
        <v>6.196734</v>
      </c>
    </row>
    <row r="196" ht="21" customHeight="1">
      <c r="A196" t="inlineStr">
        <is>
          <t>Anchoviella</t>
        </is>
      </c>
      <c r="B196" t="n">
        <v>3.18</v>
      </c>
      <c r="C196" t="n">
        <v>151.356125</v>
      </c>
      <c r="D196" s="10" t="inlineStr">
        <is>
          <t>2 S pelagics | 3 S pelagics</t>
        </is>
      </c>
      <c r="H196" t="n">
        <v>93.087237</v>
      </c>
      <c r="I196" t="n">
        <v>47.55691</v>
      </c>
      <c r="J196" t="n">
        <v>60.271203</v>
      </c>
      <c r="K196" t="n">
        <v>56.323134</v>
      </c>
      <c r="L196" t="n">
        <v>234.01812</v>
      </c>
      <c r="M196" t="n">
        <v>119.363868</v>
      </c>
      <c r="N196" t="n">
        <v>119.363868</v>
      </c>
      <c r="O196" t="n">
        <v>45.511558</v>
      </c>
      <c r="P196" t="n">
        <v>18.627065</v>
      </c>
      <c r="Q196" t="n">
        <v>119.363868</v>
      </c>
      <c r="R196" t="n">
        <v>-24383.104584</v>
      </c>
      <c r="S196" t="n">
        <v>45.511558</v>
      </c>
      <c r="T196" t="n">
        <v>262858.692163</v>
      </c>
      <c r="U196" t="n">
        <v>18.627065</v>
      </c>
      <c r="V196" t="n">
        <v>-4562944.327372</v>
      </c>
      <c r="W196" t="n">
        <v>52.667461</v>
      </c>
      <c r="X196" t="n">
        <v>147.16235</v>
      </c>
      <c r="Z196" t="n">
        <v>27.466663</v>
      </c>
    </row>
    <row r="197" ht="21" customHeight="1">
      <c r="A197" t="inlineStr">
        <is>
          <t>Mierspenaeopsis sculptilis</t>
        </is>
      </c>
      <c r="B197" t="n">
        <v>2.71</v>
      </c>
      <c r="C197" t="n">
        <v>51.286138</v>
      </c>
      <c r="D197" s="10" t="inlineStr">
        <is>
          <t>2 Crustaceans | 3 Crustaceans</t>
        </is>
      </c>
      <c r="H197" t="n">
        <v>16.647547</v>
      </c>
      <c r="I197" t="n">
        <v>15.13996</v>
      </c>
      <c r="J197" t="n">
        <v>15.13996</v>
      </c>
      <c r="K197" t="n">
        <v>14.107486</v>
      </c>
      <c r="L197" t="n">
        <v>88.61683499999999</v>
      </c>
      <c r="M197" t="n">
        <v>30.998352</v>
      </c>
      <c r="N197" t="n">
        <v>30.998352</v>
      </c>
      <c r="O197" t="n">
        <v>15.004935</v>
      </c>
      <c r="P197" t="n">
        <v>7.795329</v>
      </c>
      <c r="Q197" t="n">
        <v>30.998352</v>
      </c>
      <c r="R197" t="n">
        <v>30.998352</v>
      </c>
      <c r="S197" t="n">
        <v>15.004935</v>
      </c>
      <c r="T197" t="n">
        <v>15.004935</v>
      </c>
      <c r="U197" t="n">
        <v>7.795329</v>
      </c>
      <c r="V197" t="n">
        <v>7.795329</v>
      </c>
      <c r="W197" t="n">
        <v>15.392557</v>
      </c>
      <c r="X197" t="n">
        <v>34.031508</v>
      </c>
      <c r="Z197" t="n">
        <v>6.196734</v>
      </c>
    </row>
    <row r="198" ht="21" customHeight="1">
      <c r="A198" t="inlineStr">
        <is>
          <t>Holothuroidea</t>
        </is>
      </c>
      <c r="B198" t="n">
        <v>2</v>
      </c>
      <c r="C198" t="n">
        <v>10</v>
      </c>
      <c r="D198" s="10" t="inlineStr">
        <is>
          <t>2 Macrobenthos | 3 Macrobenthos</t>
        </is>
      </c>
      <c r="H198" t="n">
        <v>14.010241</v>
      </c>
      <c r="I198" t="n">
        <v>13.386848</v>
      </c>
      <c r="J198" t="n">
        <v>13.386848</v>
      </c>
      <c r="K198" t="n">
        <v>12.189342</v>
      </c>
      <c r="L198" t="n">
        <v>106.719149</v>
      </c>
      <c r="M198" t="n">
        <v>46.737687</v>
      </c>
      <c r="N198" t="n">
        <v>46.737687</v>
      </c>
      <c r="O198" t="n">
        <v>22.234823</v>
      </c>
      <c r="P198" t="n">
        <v>9.814845999999999</v>
      </c>
      <c r="Q198" t="n">
        <v>46.737687</v>
      </c>
      <c r="R198" t="n">
        <v>46.737687</v>
      </c>
      <c r="S198" t="n">
        <v>22.234823</v>
      </c>
      <c r="T198" t="n">
        <v>22.234823</v>
      </c>
      <c r="U198" t="n">
        <v>9.814845999999999</v>
      </c>
      <c r="V198" t="n">
        <v>9.814845999999999</v>
      </c>
      <c r="W198" t="n">
        <v>30.831021</v>
      </c>
      <c r="X198" t="n">
        <v>72.485857</v>
      </c>
      <c r="Z198" t="n">
        <v>5.642741</v>
      </c>
    </row>
    <row r="199" ht="21" customHeight="1">
      <c r="A199" t="inlineStr">
        <is>
          <t>Octopoda</t>
        </is>
      </c>
      <c r="B199" t="n">
        <v>3.58</v>
      </c>
      <c r="C199" t="n">
        <v>380.189396</v>
      </c>
      <c r="D199" s="10" t="inlineStr">
        <is>
          <t>Cephalopods</t>
        </is>
      </c>
      <c r="H199" t="n">
        <v>511.74881</v>
      </c>
      <c r="I199" t="n">
        <v>216.918809</v>
      </c>
      <c r="J199" t="n">
        <v>263.00192</v>
      </c>
      <c r="K199" t="n">
        <v>236.701728</v>
      </c>
      <c r="L199" t="n">
        <v>1154.79452</v>
      </c>
      <c r="M199" t="n">
        <v>584.6118269999999</v>
      </c>
      <c r="N199" t="n">
        <v>584.6118269999999</v>
      </c>
      <c r="O199" t="n">
        <v>163.325284</v>
      </c>
      <c r="P199" t="n">
        <v>47.00536</v>
      </c>
      <c r="Q199" t="n">
        <v>584.6118269999999</v>
      </c>
      <c r="R199" t="n">
        <v>-11656.405165</v>
      </c>
      <c r="S199" t="n">
        <v>163.325284</v>
      </c>
      <c r="T199" t="n">
        <v>14308.189116</v>
      </c>
      <c r="U199" t="n">
        <v>47.00536</v>
      </c>
      <c r="V199" t="n">
        <v>-49576.380182</v>
      </c>
      <c r="W199" t="n">
        <v>207.310309</v>
      </c>
      <c r="X199" t="n">
        <v>739.3279659999999</v>
      </c>
      <c r="Z199" t="n">
        <v>83.68045600000001</v>
      </c>
    </row>
    <row r="200" ht="21" customHeight="1">
      <c r="A200" t="inlineStr">
        <is>
          <t>Scyphozoa</t>
        </is>
      </c>
      <c r="D200" s="10" t="inlineStr">
        <is>
          <t>Jellyfish</t>
        </is>
      </c>
      <c r="H200" t="n">
        <v>71.445972</v>
      </c>
      <c r="I200" t="n">
        <v>392.817059</v>
      </c>
      <c r="J200" t="n">
        <v>392.817059</v>
      </c>
      <c r="K200" t="n">
        <v>25.925926</v>
      </c>
      <c r="L200" t="n">
        <v>392.817059</v>
      </c>
      <c r="M200" t="n">
        <v>392.817059</v>
      </c>
      <c r="N200" t="n">
        <v>392.817059</v>
      </c>
      <c r="O200" t="n">
        <v>15.555556</v>
      </c>
      <c r="P200" t="n">
        <v>9.955556</v>
      </c>
      <c r="Q200" t="n">
        <v>392.817059</v>
      </c>
      <c r="R200" t="n">
        <v>392.817059</v>
      </c>
      <c r="S200" t="n">
        <v>15.555556</v>
      </c>
      <c r="T200" t="n">
        <v>15.555556</v>
      </c>
      <c r="U200" t="n">
        <v>9.955556</v>
      </c>
      <c r="V200" t="n">
        <v>9.955556</v>
      </c>
      <c r="W200" t="n">
        <v>15.908519</v>
      </c>
      <c r="X200" t="n">
        <v>405.819791</v>
      </c>
      <c r="Z200" t="n">
        <v>26.883496</v>
      </c>
    </row>
    <row r="201" ht="21" customHeight="1">
      <c r="A201" t="inlineStr">
        <is>
          <t>Siganus canaliculatus</t>
        </is>
      </c>
      <c r="B201" t="n">
        <v>2.76</v>
      </c>
      <c r="C201" t="n">
        <v>57.543994</v>
      </c>
      <c r="D201" s="10" t="inlineStr">
        <is>
          <t>2 SM inv | 3 SM inv</t>
        </is>
      </c>
      <c r="H201" t="n">
        <v>91.813177</v>
      </c>
      <c r="I201" t="n">
        <v>52.413336</v>
      </c>
      <c r="J201" t="n">
        <v>62.649384</v>
      </c>
      <c r="K201" t="n">
        <v>58.645949</v>
      </c>
      <c r="L201" t="n">
        <v>358.382548</v>
      </c>
      <c r="M201" t="n">
        <v>163.84463</v>
      </c>
      <c r="N201" t="n">
        <v>163.84463</v>
      </c>
      <c r="O201" t="n">
        <v>65.16087</v>
      </c>
      <c r="P201" t="n">
        <v>23.726562</v>
      </c>
      <c r="Q201" t="n">
        <v>163.84463</v>
      </c>
      <c r="R201" t="n">
        <v>27231.721784</v>
      </c>
      <c r="S201" t="n">
        <v>65.16087</v>
      </c>
      <c r="T201" t="n">
        <v>247011.21003</v>
      </c>
      <c r="U201" t="n">
        <v>23.726562</v>
      </c>
      <c r="V201" t="n">
        <v>-1608691.090535</v>
      </c>
      <c r="W201" t="n">
        <v>85.655771</v>
      </c>
      <c r="X201" t="n">
        <v>226.381866</v>
      </c>
      <c r="Z201" t="n">
        <v>23.837652</v>
      </c>
    </row>
    <row r="202" ht="21" customHeight="1">
      <c r="A202" t="inlineStr">
        <is>
          <t>Chirocentrus nudus</t>
        </is>
      </c>
      <c r="B202" t="n">
        <v>4.19</v>
      </c>
      <c r="C202" t="n">
        <v>1548.816619</v>
      </c>
      <c r="D202" s="10" t="inlineStr">
        <is>
          <t>2 L pisc | 3 L pisc</t>
        </is>
      </c>
      <c r="H202" t="n">
        <v>1686.007244</v>
      </c>
      <c r="I202" t="n">
        <v>562.291264</v>
      </c>
      <c r="J202" t="n">
        <v>667.421881</v>
      </c>
      <c r="K202" t="n">
        <v>600.679693</v>
      </c>
      <c r="L202" t="n">
        <v>3541.417618</v>
      </c>
      <c r="M202" t="n">
        <v>1779.674544</v>
      </c>
      <c r="N202" t="n">
        <v>1779.674544</v>
      </c>
      <c r="O202" t="n">
        <v>491.036533</v>
      </c>
      <c r="P202" t="n">
        <v>120.796851</v>
      </c>
      <c r="Q202" t="n">
        <v>1779.674544</v>
      </c>
      <c r="R202" t="n">
        <v>183794.440851</v>
      </c>
      <c r="S202" t="n">
        <v>491.036533</v>
      </c>
      <c r="T202" t="n">
        <v>5645299.035557</v>
      </c>
      <c r="U202" t="n">
        <v>120.796851</v>
      </c>
      <c r="V202" t="n">
        <v>-5887325720.988076</v>
      </c>
      <c r="W202" t="n">
        <v>628.114208</v>
      </c>
      <c r="X202" t="n">
        <v>2283.896043</v>
      </c>
      <c r="Z202" t="n">
        <v>188.595494</v>
      </c>
    </row>
    <row r="203" ht="36" customHeight="1">
      <c r="A203" t="inlineStr">
        <is>
          <t>Pleuronectiformes</t>
        </is>
      </c>
      <c r="B203" t="n">
        <v>3.57</v>
      </c>
      <c r="C203" t="n">
        <v>371.535229</v>
      </c>
      <c r="D203" s="10" t="inlineStr">
        <is>
          <t>2 SM inv | 3 SM inv | 2 SM pisc | 3 SM pisc</t>
        </is>
      </c>
      <c r="H203" t="n">
        <v>157.129104</v>
      </c>
      <c r="I203" t="n">
        <v>76.428817</v>
      </c>
      <c r="J203" t="n">
        <v>102.259679</v>
      </c>
      <c r="K203" t="n">
        <v>96.649665</v>
      </c>
      <c r="L203" t="n">
        <v>614.42837</v>
      </c>
      <c r="M203" t="n">
        <v>285.815457</v>
      </c>
      <c r="N203" t="n">
        <v>285.815457</v>
      </c>
      <c r="O203" t="n">
        <v>102.716556</v>
      </c>
      <c r="P203" t="n">
        <v>33.271002</v>
      </c>
      <c r="Q203" t="n">
        <v>285.815457</v>
      </c>
      <c r="R203" t="n">
        <v>12163.657147</v>
      </c>
      <c r="S203" t="n">
        <v>102.716556</v>
      </c>
      <c r="T203" t="n">
        <v>480593.580731</v>
      </c>
      <c r="U203" t="n">
        <v>33.271002</v>
      </c>
      <c r="V203" t="n">
        <v>-10789519.514344</v>
      </c>
      <c r="W203" t="n">
        <v>131.58311</v>
      </c>
      <c r="X203" t="n">
        <v>379.772119</v>
      </c>
      <c r="Z203" t="n">
        <v>34.367159</v>
      </c>
    </row>
    <row r="204" ht="21" customHeight="1">
      <c r="A204" t="inlineStr">
        <is>
          <t>Elagatis bipinnulata</t>
        </is>
      </c>
      <c r="B204" t="n">
        <v>4.27</v>
      </c>
      <c r="C204" t="n">
        <v>1862.087137</v>
      </c>
      <c r="D204" s="10" t="inlineStr">
        <is>
          <t>2 Carangids | 3 Carangids</t>
        </is>
      </c>
      <c r="H204" t="n">
        <v>873.328216</v>
      </c>
      <c r="I204" t="n">
        <v>372.556809</v>
      </c>
      <c r="J204" t="n">
        <v>434.163448</v>
      </c>
      <c r="K204" t="n">
        <v>417.767363</v>
      </c>
      <c r="L204" t="n">
        <v>2160.134294</v>
      </c>
      <c r="M204" t="n">
        <v>1099.323673</v>
      </c>
      <c r="N204" t="n">
        <v>1099.323673</v>
      </c>
      <c r="O204" t="n">
        <v>332.917647</v>
      </c>
      <c r="P204" t="n">
        <v>90.527957</v>
      </c>
      <c r="Q204" t="n">
        <v>1099.323673</v>
      </c>
      <c r="R204" t="n">
        <v>1849500.59807</v>
      </c>
      <c r="S204" t="n">
        <v>332.917647</v>
      </c>
      <c r="T204" t="n">
        <v>19894910.028919</v>
      </c>
      <c r="U204" t="n">
        <v>90.527957</v>
      </c>
      <c r="V204" t="n">
        <v>-89296314.013887</v>
      </c>
      <c r="W204" t="n">
        <v>429.68266</v>
      </c>
      <c r="X204" t="n">
        <v>1415.097656</v>
      </c>
      <c r="Z204" t="n">
        <v>125.139702</v>
      </c>
    </row>
    <row r="205" ht="21" customHeight="1">
      <c r="A205" t="inlineStr">
        <is>
          <t>Gerres</t>
        </is>
      </c>
      <c r="B205" t="n">
        <v>3.27</v>
      </c>
      <c r="C205" t="n">
        <v>186.208714</v>
      </c>
      <c r="D205" s="10" t="inlineStr">
        <is>
          <t>2 SM inv | 3 SM inv</t>
        </is>
      </c>
      <c r="H205" t="n">
        <v>91.813177</v>
      </c>
      <c r="I205" t="n">
        <v>52.413336</v>
      </c>
      <c r="J205" t="n">
        <v>62.649384</v>
      </c>
      <c r="K205" t="n">
        <v>58.645949</v>
      </c>
      <c r="L205" t="n">
        <v>358.382548</v>
      </c>
      <c r="M205" t="n">
        <v>163.84463</v>
      </c>
      <c r="N205" t="n">
        <v>163.84463</v>
      </c>
      <c r="O205" t="n">
        <v>65.16087</v>
      </c>
      <c r="P205" t="n">
        <v>23.726562</v>
      </c>
      <c r="Q205" t="n">
        <v>163.84463</v>
      </c>
      <c r="R205" t="n">
        <v>27231.721784</v>
      </c>
      <c r="S205" t="n">
        <v>65.16087</v>
      </c>
      <c r="T205" t="n">
        <v>247011.21003</v>
      </c>
      <c r="U205" t="n">
        <v>23.726562</v>
      </c>
      <c r="V205" t="n">
        <v>-1608691.090535</v>
      </c>
      <c r="W205" t="n">
        <v>85.655771</v>
      </c>
      <c r="X205" t="n">
        <v>226.381866</v>
      </c>
      <c r="Z205" t="n">
        <v>23.837652</v>
      </c>
    </row>
    <row r="206" ht="21" customHeight="1">
      <c r="A206" t="inlineStr">
        <is>
          <t>Perna viridis</t>
        </is>
      </c>
      <c r="B206" t="n">
        <v>2</v>
      </c>
      <c r="C206" t="n">
        <v>10</v>
      </c>
      <c r="D206" s="10" t="inlineStr">
        <is>
          <t>2 Macrobenthos | 3 Macrobenthos</t>
        </is>
      </c>
      <c r="H206" t="n">
        <v>14.010241</v>
      </c>
      <c r="I206" t="n">
        <v>13.386848</v>
      </c>
      <c r="J206" t="n">
        <v>13.386848</v>
      </c>
      <c r="K206" t="n">
        <v>12.189342</v>
      </c>
      <c r="L206" t="n">
        <v>106.719149</v>
      </c>
      <c r="M206" t="n">
        <v>46.737687</v>
      </c>
      <c r="N206" t="n">
        <v>46.737687</v>
      </c>
      <c r="O206" t="n">
        <v>22.234823</v>
      </c>
      <c r="P206" t="n">
        <v>9.814845999999999</v>
      </c>
      <c r="Q206" t="n">
        <v>46.737687</v>
      </c>
      <c r="R206" t="n">
        <v>46.737687</v>
      </c>
      <c r="S206" t="n">
        <v>22.234823</v>
      </c>
      <c r="T206" t="n">
        <v>22.234823</v>
      </c>
      <c r="U206" t="n">
        <v>9.814845999999999</v>
      </c>
      <c r="V206" t="n">
        <v>9.814845999999999</v>
      </c>
      <c r="W206" t="n">
        <v>30.831021</v>
      </c>
      <c r="X206" t="n">
        <v>72.485857</v>
      </c>
      <c r="Z206" t="n">
        <v>5.642741</v>
      </c>
    </row>
    <row r="207" ht="21" customHeight="1">
      <c r="A207" t="inlineStr">
        <is>
          <t>Solenocera crassicornis</t>
        </is>
      </c>
      <c r="B207" t="n">
        <v>2.2</v>
      </c>
      <c r="C207" t="n">
        <v>15.848932</v>
      </c>
      <c r="D207" s="10" t="inlineStr">
        <is>
          <t>2 Crustaceans | 3 Crustaceans</t>
        </is>
      </c>
      <c r="H207" t="n">
        <v>16.647547</v>
      </c>
      <c r="I207" t="n">
        <v>15.13996</v>
      </c>
      <c r="J207" t="n">
        <v>15.13996</v>
      </c>
      <c r="K207" t="n">
        <v>14.107486</v>
      </c>
      <c r="L207" t="n">
        <v>88.61683499999999</v>
      </c>
      <c r="M207" t="n">
        <v>30.998352</v>
      </c>
      <c r="N207" t="n">
        <v>30.998352</v>
      </c>
      <c r="O207" t="n">
        <v>15.004935</v>
      </c>
      <c r="P207" t="n">
        <v>7.795329</v>
      </c>
      <c r="Q207" t="n">
        <v>30.998352</v>
      </c>
      <c r="R207" t="n">
        <v>30.998352</v>
      </c>
      <c r="S207" t="n">
        <v>15.004935</v>
      </c>
      <c r="T207" t="n">
        <v>15.004935</v>
      </c>
      <c r="U207" t="n">
        <v>7.795329</v>
      </c>
      <c r="V207" t="n">
        <v>7.795329</v>
      </c>
      <c r="W207" t="n">
        <v>15.392557</v>
      </c>
      <c r="X207" t="n">
        <v>34.031508</v>
      </c>
      <c r="Z207" t="n">
        <v>6.196734</v>
      </c>
    </row>
    <row r="208" ht="21" customHeight="1">
      <c r="A208" t="inlineStr">
        <is>
          <t>Platycephalus indicus</t>
        </is>
      </c>
      <c r="B208" t="n">
        <v>3.6</v>
      </c>
      <c r="C208" t="n">
        <v>398.107171</v>
      </c>
      <c r="D208" s="10" t="inlineStr">
        <is>
          <t>2 L pisc | 3 L pisc</t>
        </is>
      </c>
      <c r="H208" t="n">
        <v>1686.007244</v>
      </c>
      <c r="I208" t="n">
        <v>562.291264</v>
      </c>
      <c r="J208" t="n">
        <v>667.421881</v>
      </c>
      <c r="K208" t="n">
        <v>600.679693</v>
      </c>
      <c r="L208" t="n">
        <v>3541.417618</v>
      </c>
      <c r="M208" t="n">
        <v>1779.674544</v>
      </c>
      <c r="N208" t="n">
        <v>1779.674544</v>
      </c>
      <c r="O208" t="n">
        <v>491.036533</v>
      </c>
      <c r="P208" t="n">
        <v>120.796851</v>
      </c>
      <c r="Q208" t="n">
        <v>1779.674544</v>
      </c>
      <c r="R208" t="n">
        <v>183794.440851</v>
      </c>
      <c r="S208" t="n">
        <v>491.036533</v>
      </c>
      <c r="T208" t="n">
        <v>5645299.035557</v>
      </c>
      <c r="U208" t="n">
        <v>120.796851</v>
      </c>
      <c r="V208" t="n">
        <v>-5887325720.988076</v>
      </c>
      <c r="W208" t="n">
        <v>628.114208</v>
      </c>
      <c r="X208" t="n">
        <v>2283.896043</v>
      </c>
      <c r="Z208" t="n">
        <v>188.595494</v>
      </c>
    </row>
    <row r="209" ht="21" customHeight="1">
      <c r="A209" t="inlineStr">
        <is>
          <t>Scombroidei</t>
        </is>
      </c>
      <c r="B209" t="n">
        <v>4.2</v>
      </c>
      <c r="C209" t="n">
        <v>1584.893192</v>
      </c>
      <c r="D209" s="10" t="inlineStr">
        <is>
          <t>Tuna-like | Coastal scombrids</t>
        </is>
      </c>
      <c r="H209" t="n">
        <v>2410.745287</v>
      </c>
      <c r="I209" t="n">
        <v>1003.70721</v>
      </c>
      <c r="J209" t="n">
        <v>1181.57955</v>
      </c>
      <c r="K209" t="n">
        <v>765.77707</v>
      </c>
      <c r="L209" t="n">
        <v>6173.254447</v>
      </c>
      <c r="M209" t="n">
        <v>3074.510172</v>
      </c>
      <c r="N209" t="n">
        <v>3074.510172</v>
      </c>
      <c r="O209" t="n">
        <v>634.066435</v>
      </c>
      <c r="P209" t="n">
        <v>153.04171</v>
      </c>
      <c r="Q209" t="n">
        <v>3074.510172</v>
      </c>
      <c r="R209" t="n">
        <v>1106614.784781</v>
      </c>
      <c r="S209" t="n">
        <v>634.066435</v>
      </c>
      <c r="T209" t="n">
        <v>-45094048.505034</v>
      </c>
      <c r="U209" t="n">
        <v>153.04171</v>
      </c>
      <c r="V209" t="n">
        <v>-1.765673801367001e+19</v>
      </c>
      <c r="W209" t="n">
        <v>811.27923</v>
      </c>
      <c r="X209" t="n">
        <v>4038.635647</v>
      </c>
      <c r="Z209" t="n">
        <v>252.141677</v>
      </c>
    </row>
    <row r="210" ht="21" customHeight="1">
      <c r="A210" t="inlineStr">
        <is>
          <t>Dasyatidae</t>
        </is>
      </c>
      <c r="B210" t="n">
        <v>3.38</v>
      </c>
      <c r="C210" t="n">
        <v>239.883292</v>
      </c>
      <c r="D210" s="10" t="inlineStr">
        <is>
          <t>Coastal elasmobranch</t>
        </is>
      </c>
      <c r="H210" t="n">
        <v>3918.259862</v>
      </c>
      <c r="I210" t="n">
        <v>1355.349538</v>
      </c>
      <c r="J210" t="n">
        <v>1507.801381</v>
      </c>
      <c r="K210" t="n">
        <v>1423.364503</v>
      </c>
      <c r="L210" t="n">
        <v>16997.641054</v>
      </c>
      <c r="M210" t="n">
        <v>8379.450296999999</v>
      </c>
      <c r="N210" t="n">
        <v>8379.450296999999</v>
      </c>
      <c r="O210" t="n">
        <v>1747.163226</v>
      </c>
      <c r="P210" t="n">
        <v>316.077663</v>
      </c>
      <c r="Q210" t="n">
        <v>8379.450296999999</v>
      </c>
      <c r="R210" t="n">
        <v>88438129.351763</v>
      </c>
      <c r="S210" t="n">
        <v>1747.163226</v>
      </c>
      <c r="T210" t="n">
        <v>7107955.115117</v>
      </c>
      <c r="U210" t="n">
        <v>316.077663</v>
      </c>
      <c r="V210" t="n">
        <v>3.942428667430859e+22</v>
      </c>
      <c r="W210" t="n">
        <v>2309.611491</v>
      </c>
      <c r="X210" t="n">
        <v>11319.470971</v>
      </c>
      <c r="Z210" t="n">
        <v>269.913382</v>
      </c>
    </row>
    <row r="211" ht="36" customHeight="1">
      <c r="A211" t="inlineStr">
        <is>
          <t>Carcharhinidae</t>
        </is>
      </c>
      <c r="B211" t="n">
        <v>4.24</v>
      </c>
      <c r="C211" t="n">
        <v>1737.800829</v>
      </c>
      <c r="D211" s="10" t="inlineStr">
        <is>
          <t>Oceanic sharks | Coastal elasmobranch</t>
        </is>
      </c>
      <c r="H211" t="n">
        <v>4551.983566</v>
      </c>
      <c r="I211" t="n">
        <v>1849.529344</v>
      </c>
      <c r="J211" t="n">
        <v>2128.477647</v>
      </c>
      <c r="K211" t="n">
        <v>1617.722937</v>
      </c>
      <c r="L211" t="n">
        <v>18853.580958</v>
      </c>
      <c r="M211" t="n">
        <v>9369.706081</v>
      </c>
      <c r="N211" t="n">
        <v>9369.706081</v>
      </c>
      <c r="O211" t="n">
        <v>1729.015754</v>
      </c>
      <c r="P211" t="n">
        <v>320.600611</v>
      </c>
      <c r="Q211" t="n">
        <v>9369.706081</v>
      </c>
      <c r="R211" t="n">
        <v>86435005.18098401</v>
      </c>
      <c r="S211" t="n">
        <v>1729.015754</v>
      </c>
      <c r="T211" t="n">
        <v>5096235.486271</v>
      </c>
      <c r="U211" t="n">
        <v>320.600611</v>
      </c>
      <c r="V211" t="n">
        <v>3.597654801811849e+22</v>
      </c>
      <c r="W211" t="n">
        <v>2273.980267</v>
      </c>
      <c r="X211" t="n">
        <v>12560.590538</v>
      </c>
      <c r="Z211" t="n">
        <v>319.730135</v>
      </c>
    </row>
    <row r="212" ht="36" customHeight="1">
      <c r="A212" t="inlineStr">
        <is>
          <t>Holocentridae</t>
        </is>
      </c>
      <c r="B212" t="n">
        <v>3.49</v>
      </c>
      <c r="C212" t="n">
        <v>309.029543</v>
      </c>
      <c r="D212" s="10" t="inlineStr">
        <is>
          <t>2 SM inv | 3 SM inv | 2 SM pisc | 3 SM pisc</t>
        </is>
      </c>
      <c r="H212" t="n">
        <v>157.129104</v>
      </c>
      <c r="I212" t="n">
        <v>76.428817</v>
      </c>
      <c r="J212" t="n">
        <v>102.259679</v>
      </c>
      <c r="K212" t="n">
        <v>96.649665</v>
      </c>
      <c r="L212" t="n">
        <v>614.42837</v>
      </c>
      <c r="M212" t="n">
        <v>285.815457</v>
      </c>
      <c r="N212" t="n">
        <v>285.815457</v>
      </c>
      <c r="O212" t="n">
        <v>102.716556</v>
      </c>
      <c r="P212" t="n">
        <v>33.271002</v>
      </c>
      <c r="Q212" t="n">
        <v>285.815457</v>
      </c>
      <c r="R212" t="n">
        <v>12163.657147</v>
      </c>
      <c r="S212" t="n">
        <v>102.716556</v>
      </c>
      <c r="T212" t="n">
        <v>480593.580731</v>
      </c>
      <c r="U212" t="n">
        <v>33.271002</v>
      </c>
      <c r="V212" t="n">
        <v>-10789519.514344</v>
      </c>
      <c r="W212" t="n">
        <v>131.58311</v>
      </c>
      <c r="X212" t="n">
        <v>379.772119</v>
      </c>
      <c r="Z212" t="n">
        <v>34.367159</v>
      </c>
    </row>
    <row r="213" ht="21" customHeight="1">
      <c r="A213" t="inlineStr">
        <is>
          <t>Scolopsis</t>
        </is>
      </c>
      <c r="B213" t="n">
        <v>3.3</v>
      </c>
      <c r="C213" t="n">
        <v>199.526231</v>
      </c>
      <c r="D213" s="10" t="inlineStr">
        <is>
          <t>2 SM pisc | 3 SM pisc</t>
        </is>
      </c>
      <c r="H213" t="n">
        <v>243.94607</v>
      </c>
      <c r="I213" t="n">
        <v>108.349841</v>
      </c>
      <c r="J213" t="n">
        <v>154.909098</v>
      </c>
      <c r="K213" t="n">
        <v>147.163643</v>
      </c>
      <c r="L213" t="n">
        <v>954.7607</v>
      </c>
      <c r="M213" t="n">
        <v>447.937281</v>
      </c>
      <c r="N213" t="n">
        <v>447.937281</v>
      </c>
      <c r="O213" t="n">
        <v>152.63502</v>
      </c>
      <c r="P213" t="n">
        <v>45.95733</v>
      </c>
      <c r="Q213" t="n">
        <v>447.937281</v>
      </c>
      <c r="R213" t="n">
        <v>-7864.592041</v>
      </c>
      <c r="S213" t="n">
        <v>152.63502</v>
      </c>
      <c r="T213" t="n">
        <v>791067.821395</v>
      </c>
      <c r="U213" t="n">
        <v>45.95733</v>
      </c>
      <c r="V213" t="n">
        <v>-22992541.193563</v>
      </c>
      <c r="W213" t="n">
        <v>192.62905</v>
      </c>
      <c r="X213" t="n">
        <v>583.6561809999999</v>
      </c>
      <c r="Z213" t="n">
        <v>48.362824</v>
      </c>
    </row>
    <row r="214" ht="21" customHeight="1">
      <c r="A214" t="inlineStr">
        <is>
          <t>Paphia</t>
        </is>
      </c>
      <c r="B214" t="n">
        <v>2</v>
      </c>
      <c r="C214" t="n">
        <v>10</v>
      </c>
      <c r="D214" s="10" t="inlineStr">
        <is>
          <t>2 Macrobenthos | 3 Macrobenthos</t>
        </is>
      </c>
      <c r="H214" t="n">
        <v>14.010241</v>
      </c>
      <c r="I214" t="n">
        <v>13.386848</v>
      </c>
      <c r="J214" t="n">
        <v>13.386848</v>
      </c>
      <c r="K214" t="n">
        <v>12.189342</v>
      </c>
      <c r="L214" t="n">
        <v>106.719149</v>
      </c>
      <c r="M214" t="n">
        <v>46.737687</v>
      </c>
      <c r="N214" t="n">
        <v>46.737687</v>
      </c>
      <c r="O214" t="n">
        <v>22.234823</v>
      </c>
      <c r="P214" t="n">
        <v>9.814845999999999</v>
      </c>
      <c r="Q214" t="n">
        <v>46.737687</v>
      </c>
      <c r="R214" t="n">
        <v>46.737687</v>
      </c>
      <c r="S214" t="n">
        <v>22.234823</v>
      </c>
      <c r="T214" t="n">
        <v>22.234823</v>
      </c>
      <c r="U214" t="n">
        <v>9.814845999999999</v>
      </c>
      <c r="V214" t="n">
        <v>9.814845999999999</v>
      </c>
      <c r="W214" t="n">
        <v>30.831021</v>
      </c>
      <c r="X214" t="n">
        <v>72.485857</v>
      </c>
      <c r="Z214" t="n">
        <v>5.642741</v>
      </c>
    </row>
    <row r="215" ht="21" customHeight="1">
      <c r="A215" t="inlineStr">
        <is>
          <t>Mytilidae</t>
        </is>
      </c>
      <c r="B215" t="n">
        <v>2</v>
      </c>
      <c r="C215" t="n">
        <v>10</v>
      </c>
      <c r="D215" s="10" t="inlineStr">
        <is>
          <t>2 Macrobenthos | 3 Macrobenthos</t>
        </is>
      </c>
      <c r="H215" t="n">
        <v>14.010241</v>
      </c>
      <c r="I215" t="n">
        <v>13.386848</v>
      </c>
      <c r="J215" t="n">
        <v>13.386848</v>
      </c>
      <c r="K215" t="n">
        <v>12.189342</v>
      </c>
      <c r="L215" t="n">
        <v>106.719149</v>
      </c>
      <c r="M215" t="n">
        <v>46.737687</v>
      </c>
      <c r="N215" t="n">
        <v>46.737687</v>
      </c>
      <c r="O215" t="n">
        <v>22.234823</v>
      </c>
      <c r="P215" t="n">
        <v>9.814845999999999</v>
      </c>
      <c r="Q215" t="n">
        <v>46.737687</v>
      </c>
      <c r="R215" t="n">
        <v>46.737687</v>
      </c>
      <c r="S215" t="n">
        <v>22.234823</v>
      </c>
      <c r="T215" t="n">
        <v>22.234823</v>
      </c>
      <c r="U215" t="n">
        <v>9.814845999999999</v>
      </c>
      <c r="V215" t="n">
        <v>9.814845999999999</v>
      </c>
      <c r="W215" t="n">
        <v>30.831021</v>
      </c>
      <c r="X215" t="n">
        <v>72.485857</v>
      </c>
      <c r="Z215" t="n">
        <v>5.642741</v>
      </c>
    </row>
    <row r="216" ht="21" customHeight="1">
      <c r="A216" t="inlineStr">
        <is>
          <t>Gastropoda</t>
        </is>
      </c>
      <c r="B216" t="n">
        <v>3.06</v>
      </c>
      <c r="C216" t="n">
        <v>114.815362</v>
      </c>
      <c r="D216" s="10" t="inlineStr">
        <is>
          <t>2 Macrobenthos | 3 Macrobenthos</t>
        </is>
      </c>
      <c r="H216" t="n">
        <v>14.010241</v>
      </c>
      <c r="I216" t="n">
        <v>13.386848</v>
      </c>
      <c r="J216" t="n">
        <v>13.386848</v>
      </c>
      <c r="K216" t="n">
        <v>12.189342</v>
      </c>
      <c r="L216" t="n">
        <v>106.719149</v>
      </c>
      <c r="M216" t="n">
        <v>46.737687</v>
      </c>
      <c r="N216" t="n">
        <v>46.737687</v>
      </c>
      <c r="O216" t="n">
        <v>22.234823</v>
      </c>
      <c r="P216" t="n">
        <v>9.814845999999999</v>
      </c>
      <c r="Q216" t="n">
        <v>46.737687</v>
      </c>
      <c r="R216" t="n">
        <v>46.737687</v>
      </c>
      <c r="S216" t="n">
        <v>22.234823</v>
      </c>
      <c r="T216" t="n">
        <v>22.234823</v>
      </c>
      <c r="U216" t="n">
        <v>9.814845999999999</v>
      </c>
      <c r="V216" t="n">
        <v>9.814845999999999</v>
      </c>
      <c r="W216" t="n">
        <v>30.831021</v>
      </c>
      <c r="X216" t="n">
        <v>72.485857</v>
      </c>
      <c r="Z216" t="n">
        <v>5.642741</v>
      </c>
    </row>
    <row r="217" ht="21" customHeight="1">
      <c r="A217" t="inlineStr">
        <is>
          <t>Eleutheronema tetradactylum</t>
        </is>
      </c>
      <c r="B217" t="n">
        <v>4.06</v>
      </c>
      <c r="C217" t="n">
        <v>1148.153621</v>
      </c>
      <c r="D217" s="10" t="inlineStr">
        <is>
          <t>2 L pisc | 3 L pisc</t>
        </is>
      </c>
      <c r="H217" t="n">
        <v>1686.007244</v>
      </c>
      <c r="I217" t="n">
        <v>562.291264</v>
      </c>
      <c r="J217" t="n">
        <v>667.421881</v>
      </c>
      <c r="K217" t="n">
        <v>600.679693</v>
      </c>
      <c r="L217" t="n">
        <v>3541.417618</v>
      </c>
      <c r="M217" t="n">
        <v>1779.674544</v>
      </c>
      <c r="N217" t="n">
        <v>1779.674544</v>
      </c>
      <c r="O217" t="n">
        <v>491.036533</v>
      </c>
      <c r="P217" t="n">
        <v>120.796851</v>
      </c>
      <c r="Q217" t="n">
        <v>1779.674544</v>
      </c>
      <c r="R217" t="n">
        <v>183794.440851</v>
      </c>
      <c r="S217" t="n">
        <v>491.036533</v>
      </c>
      <c r="T217" t="n">
        <v>5645299.035557</v>
      </c>
      <c r="U217" t="n">
        <v>120.796851</v>
      </c>
      <c r="V217" t="n">
        <v>-5887325720.988076</v>
      </c>
      <c r="W217" t="n">
        <v>628.114208</v>
      </c>
      <c r="X217" t="n">
        <v>2283.896043</v>
      </c>
      <c r="Z217" t="n">
        <v>188.595494</v>
      </c>
    </row>
    <row r="218" ht="21" customHeight="1">
      <c r="A218" t="inlineStr">
        <is>
          <t>Sphyrna</t>
        </is>
      </c>
      <c r="B218" t="n">
        <v>4.2</v>
      </c>
      <c r="C218" t="n">
        <v>1584.893192</v>
      </c>
      <c r="D218" s="10" t="inlineStr">
        <is>
          <t>Oceanic sharks</t>
        </is>
      </c>
      <c r="H218" t="n">
        <v>5991.076951</v>
      </c>
      <c r="I218" t="n">
        <v>2971.739048</v>
      </c>
      <c r="J218" t="n">
        <v>3537.94222</v>
      </c>
      <c r="K218" t="n">
        <v>2059.082372</v>
      </c>
      <c r="L218" t="n">
        <v>23068.147688</v>
      </c>
      <c r="M218" t="n">
        <v>11618.431417</v>
      </c>
      <c r="N218" t="n">
        <v>11618.431417</v>
      </c>
      <c r="O218" t="n">
        <v>1687.805512</v>
      </c>
      <c r="P218" t="n">
        <v>330.871563</v>
      </c>
      <c r="Q218" t="n">
        <v>11618.431417</v>
      </c>
      <c r="R218" t="n">
        <v>81886204.615971</v>
      </c>
      <c r="S218" t="n">
        <v>1687.805512</v>
      </c>
      <c r="T218" t="n">
        <v>527915.899384</v>
      </c>
      <c r="U218" t="n">
        <v>330.871563</v>
      </c>
      <c r="V218" t="n">
        <v>2.81472402916843e+22</v>
      </c>
      <c r="W218" t="n">
        <v>2193.066995</v>
      </c>
      <c r="X218" t="n">
        <v>15378.990649</v>
      </c>
      <c r="Z218" t="n">
        <v>432.856659</v>
      </c>
    </row>
    <row r="219" ht="21" customHeight="1">
      <c r="A219" t="inlineStr">
        <is>
          <t>Thunnus alalunga</t>
        </is>
      </c>
      <c r="B219" t="n">
        <v>4.3</v>
      </c>
      <c r="C219" t="n">
        <v>1995.262315</v>
      </c>
      <c r="D219" s="10" t="inlineStr">
        <is>
          <t>Tuna-like</t>
        </is>
      </c>
      <c r="H219" t="n">
        <v>4024.005911</v>
      </c>
      <c r="I219" t="n">
        <v>1217.030544</v>
      </c>
      <c r="J219" t="n">
        <v>1425.466216</v>
      </c>
      <c r="K219" t="n">
        <v>1274.366797</v>
      </c>
      <c r="L219" t="n">
        <v>8472.950376000001</v>
      </c>
      <c r="M219" t="n">
        <v>4280.710601</v>
      </c>
      <c r="N219" t="n">
        <v>4280.710601</v>
      </c>
      <c r="O219" t="n">
        <v>1050.279426</v>
      </c>
      <c r="P219" t="n">
        <v>230.70519</v>
      </c>
      <c r="Q219" t="n">
        <v>4280.710601</v>
      </c>
      <c r="R219" t="n">
        <v>2938914.210776</v>
      </c>
      <c r="S219" t="n">
        <v>1050.279426</v>
      </c>
      <c r="T219" t="n">
        <v>-12560069.044484</v>
      </c>
      <c r="U219" t="n">
        <v>230.70519</v>
      </c>
      <c r="V219" t="n">
        <v>990357739.175012</v>
      </c>
      <c r="W219" t="n">
        <v>1374.354712</v>
      </c>
      <c r="X219" t="n">
        <v>5545.438014</v>
      </c>
      <c r="Z219" t="n">
        <v>369.948499</v>
      </c>
    </row>
    <row r="220" ht="21" customHeight="1">
      <c r="A220" t="inlineStr">
        <is>
          <t>Caesio</t>
        </is>
      </c>
      <c r="B220" t="n">
        <v>3.4</v>
      </c>
      <c r="C220" t="n">
        <v>251.188643</v>
      </c>
      <c r="D220" s="10" t="inlineStr">
        <is>
          <t>2 SM inv | 3 SM inv</t>
        </is>
      </c>
      <c r="H220" t="n">
        <v>91.813177</v>
      </c>
      <c r="I220" t="n">
        <v>52.413336</v>
      </c>
      <c r="J220" t="n">
        <v>62.649384</v>
      </c>
      <c r="K220" t="n">
        <v>58.645949</v>
      </c>
      <c r="L220" t="n">
        <v>358.382548</v>
      </c>
      <c r="M220" t="n">
        <v>163.84463</v>
      </c>
      <c r="N220" t="n">
        <v>163.84463</v>
      </c>
      <c r="O220" t="n">
        <v>65.16087</v>
      </c>
      <c r="P220" t="n">
        <v>23.726562</v>
      </c>
      <c r="Q220" t="n">
        <v>163.84463</v>
      </c>
      <c r="R220" t="n">
        <v>27231.721784</v>
      </c>
      <c r="S220" t="n">
        <v>65.16087</v>
      </c>
      <c r="T220" t="n">
        <v>247011.21003</v>
      </c>
      <c r="U220" t="n">
        <v>23.726562</v>
      </c>
      <c r="V220" t="n">
        <v>-1608691.090535</v>
      </c>
      <c r="W220" t="n">
        <v>85.655771</v>
      </c>
      <c r="X220" t="n">
        <v>226.381866</v>
      </c>
      <c r="Z220" t="n">
        <v>23.837652</v>
      </c>
    </row>
    <row r="221" ht="21" customHeight="1">
      <c r="A221" t="inlineStr">
        <is>
          <t>Plectorhinchus</t>
        </is>
      </c>
      <c r="B221" t="n">
        <v>3.43</v>
      </c>
      <c r="C221" t="n">
        <v>269.15348</v>
      </c>
      <c r="D221" s="10" t="inlineStr">
        <is>
          <t>2 SM pisc | 3 SM pisc</t>
        </is>
      </c>
      <c r="H221" t="n">
        <v>243.94607</v>
      </c>
      <c r="I221" t="n">
        <v>108.349841</v>
      </c>
      <c r="J221" t="n">
        <v>154.909098</v>
      </c>
      <c r="K221" t="n">
        <v>147.163643</v>
      </c>
      <c r="L221" t="n">
        <v>954.7607</v>
      </c>
      <c r="M221" t="n">
        <v>447.937281</v>
      </c>
      <c r="N221" t="n">
        <v>447.937281</v>
      </c>
      <c r="O221" t="n">
        <v>152.63502</v>
      </c>
      <c r="P221" t="n">
        <v>45.95733</v>
      </c>
      <c r="Q221" t="n">
        <v>447.937281</v>
      </c>
      <c r="R221" t="n">
        <v>-7864.592041</v>
      </c>
      <c r="S221" t="n">
        <v>152.63502</v>
      </c>
      <c r="T221" t="n">
        <v>791067.821395</v>
      </c>
      <c r="U221" t="n">
        <v>45.95733</v>
      </c>
      <c r="V221" t="n">
        <v>-22992541.193563</v>
      </c>
      <c r="W221" t="n">
        <v>192.62905</v>
      </c>
      <c r="X221" t="n">
        <v>583.6561809999999</v>
      </c>
      <c r="Z221" t="n">
        <v>48.362824</v>
      </c>
    </row>
    <row r="222" ht="21" customHeight="1">
      <c r="A222" t="inlineStr">
        <is>
          <t>Dussumieria elopsoides</t>
        </is>
      </c>
      <c r="B222" t="n">
        <v>3.4</v>
      </c>
      <c r="C222" t="n">
        <v>251.188643</v>
      </c>
      <c r="D222" s="10" t="inlineStr">
        <is>
          <t>2 S pelagics | 3 S pelagics</t>
        </is>
      </c>
      <c r="H222" t="n">
        <v>93.087237</v>
      </c>
      <c r="I222" t="n">
        <v>47.55691</v>
      </c>
      <c r="J222" t="n">
        <v>60.271203</v>
      </c>
      <c r="K222" t="n">
        <v>56.323134</v>
      </c>
      <c r="L222" t="n">
        <v>234.01812</v>
      </c>
      <c r="M222" t="n">
        <v>119.363868</v>
      </c>
      <c r="N222" t="n">
        <v>119.363868</v>
      </c>
      <c r="O222" t="n">
        <v>45.511558</v>
      </c>
      <c r="P222" t="n">
        <v>18.627065</v>
      </c>
      <c r="Q222" t="n">
        <v>119.363868</v>
      </c>
      <c r="R222" t="n">
        <v>-24383.104584</v>
      </c>
      <c r="S222" t="n">
        <v>45.511558</v>
      </c>
      <c r="T222" t="n">
        <v>262858.692163</v>
      </c>
      <c r="U222" t="n">
        <v>18.627065</v>
      </c>
      <c r="V222" t="n">
        <v>-4562944.327372</v>
      </c>
      <c r="W222" t="n">
        <v>52.667461</v>
      </c>
      <c r="X222" t="n">
        <v>147.16235</v>
      </c>
      <c r="Z222" t="n">
        <v>27.466663</v>
      </c>
    </row>
    <row r="223" ht="21" customHeight="1">
      <c r="A223" t="inlineStr">
        <is>
          <t>Panulirus longipes</t>
        </is>
      </c>
      <c r="B223" t="n">
        <v>2.6</v>
      </c>
      <c r="C223" t="n">
        <v>39.810717</v>
      </c>
      <c r="D223" s="10" t="inlineStr">
        <is>
          <t>2 Crustaceans | 3 Crustaceans</t>
        </is>
      </c>
      <c r="H223" t="n">
        <v>16.647547</v>
      </c>
      <c r="I223" t="n">
        <v>15.13996</v>
      </c>
      <c r="J223" t="n">
        <v>15.13996</v>
      </c>
      <c r="K223" t="n">
        <v>14.107486</v>
      </c>
      <c r="L223" t="n">
        <v>88.61683499999999</v>
      </c>
      <c r="M223" t="n">
        <v>30.998352</v>
      </c>
      <c r="N223" t="n">
        <v>30.998352</v>
      </c>
      <c r="O223" t="n">
        <v>15.004935</v>
      </c>
      <c r="P223" t="n">
        <v>7.795329</v>
      </c>
      <c r="Q223" t="n">
        <v>30.998352</v>
      </c>
      <c r="R223" t="n">
        <v>30.998352</v>
      </c>
      <c r="S223" t="n">
        <v>15.004935</v>
      </c>
      <c r="T223" t="n">
        <v>15.004935</v>
      </c>
      <c r="U223" t="n">
        <v>7.795329</v>
      </c>
      <c r="V223" t="n">
        <v>7.795329</v>
      </c>
      <c r="W223" t="n">
        <v>15.392557</v>
      </c>
      <c r="X223" t="n">
        <v>34.031508</v>
      </c>
      <c r="Z223" t="n">
        <v>6.196734</v>
      </c>
    </row>
    <row r="224" ht="21" customHeight="1">
      <c r="A224" t="inlineStr">
        <is>
          <t>Pteriomorphia</t>
        </is>
      </c>
      <c r="B224" t="n">
        <v>2.27</v>
      </c>
      <c r="C224" t="n">
        <v>18.620871</v>
      </c>
      <c r="D224" s="10" t="inlineStr">
        <is>
          <t>2 Macrobenthos | 3 Macrobenthos</t>
        </is>
      </c>
      <c r="H224" t="n">
        <v>14.010241</v>
      </c>
      <c r="I224" t="n">
        <v>13.386848</v>
      </c>
      <c r="J224" t="n">
        <v>13.386848</v>
      </c>
      <c r="K224" t="n">
        <v>12.189342</v>
      </c>
      <c r="L224" t="n">
        <v>106.719149</v>
      </c>
      <c r="M224" t="n">
        <v>46.737687</v>
      </c>
      <c r="N224" t="n">
        <v>46.737687</v>
      </c>
      <c r="O224" t="n">
        <v>22.234823</v>
      </c>
      <c r="P224" t="n">
        <v>9.814845999999999</v>
      </c>
      <c r="Q224" t="n">
        <v>46.737687</v>
      </c>
      <c r="R224" t="n">
        <v>46.737687</v>
      </c>
      <c r="S224" t="n">
        <v>22.234823</v>
      </c>
      <c r="T224" t="n">
        <v>22.234823</v>
      </c>
      <c r="U224" t="n">
        <v>9.814845999999999</v>
      </c>
      <c r="V224" t="n">
        <v>9.814845999999999</v>
      </c>
      <c r="W224" t="n">
        <v>30.831021</v>
      </c>
      <c r="X224" t="n">
        <v>72.485857</v>
      </c>
      <c r="Z224" t="n">
        <v>5.642741</v>
      </c>
    </row>
    <row r="225" ht="21" customHeight="1">
      <c r="A225" t="inlineStr">
        <is>
          <t>Lutjanus quinquelineatus</t>
        </is>
      </c>
      <c r="B225" t="n">
        <v>3.68</v>
      </c>
      <c r="C225" t="n">
        <v>478.630092</v>
      </c>
      <c r="D225" s="10" t="inlineStr">
        <is>
          <t>2 L pisc comm | 3 L pisc comm</t>
        </is>
      </c>
      <c r="H225" t="n">
        <v>801.308671</v>
      </c>
      <c r="I225" t="n">
        <v>347.219292</v>
      </c>
      <c r="J225" t="n">
        <v>442.467638</v>
      </c>
      <c r="K225" t="n">
        <v>402.262611</v>
      </c>
      <c r="L225" t="n">
        <v>2161.417589</v>
      </c>
      <c r="M225" t="n">
        <v>1083.958638</v>
      </c>
      <c r="N225" t="n">
        <v>1083.958638</v>
      </c>
      <c r="O225" t="n">
        <v>300.122309</v>
      </c>
      <c r="P225" t="n">
        <v>80.463222</v>
      </c>
      <c r="Q225" t="n">
        <v>1083.958638</v>
      </c>
      <c r="R225" t="n">
        <v>4211.040307</v>
      </c>
      <c r="S225" t="n">
        <v>300.122309</v>
      </c>
      <c r="T225" t="n">
        <v>24938830.515997</v>
      </c>
      <c r="U225" t="n">
        <v>80.463222</v>
      </c>
      <c r="V225" t="n">
        <v>-1116515115.800599</v>
      </c>
      <c r="W225" t="n">
        <v>379.777929</v>
      </c>
      <c r="X225" t="n">
        <v>1380.363646</v>
      </c>
      <c r="Z225" t="n">
        <v>105.373581</v>
      </c>
    </row>
    <row r="226" ht="21" customHeight="1">
      <c r="A226" t="inlineStr">
        <is>
          <t>Arcidae</t>
        </is>
      </c>
      <c r="B226" t="n">
        <v>2</v>
      </c>
      <c r="C226" t="n">
        <v>10</v>
      </c>
      <c r="D226" s="10" t="inlineStr">
        <is>
          <t>2 Macrobenthos | 3 Macrobenthos</t>
        </is>
      </c>
      <c r="H226" t="n">
        <v>14.010241</v>
      </c>
      <c r="I226" t="n">
        <v>13.386848</v>
      </c>
      <c r="J226" t="n">
        <v>13.386848</v>
      </c>
      <c r="K226" t="n">
        <v>12.189342</v>
      </c>
      <c r="L226" t="n">
        <v>106.719149</v>
      </c>
      <c r="M226" t="n">
        <v>46.737687</v>
      </c>
      <c r="N226" t="n">
        <v>46.737687</v>
      </c>
      <c r="O226" t="n">
        <v>22.234823</v>
      </c>
      <c r="P226" t="n">
        <v>9.814845999999999</v>
      </c>
      <c r="Q226" t="n">
        <v>46.737687</v>
      </c>
      <c r="R226" t="n">
        <v>46.737687</v>
      </c>
      <c r="S226" t="n">
        <v>22.234823</v>
      </c>
      <c r="T226" t="n">
        <v>22.234823</v>
      </c>
      <c r="U226" t="n">
        <v>9.814845999999999</v>
      </c>
      <c r="V226" t="n">
        <v>9.814845999999999</v>
      </c>
      <c r="W226" t="n">
        <v>30.831021</v>
      </c>
      <c r="X226" t="n">
        <v>72.485857</v>
      </c>
      <c r="Z226" t="n">
        <v>5.642741</v>
      </c>
    </row>
    <row r="227" ht="21" customHeight="1">
      <c r="A227" t="inlineStr">
        <is>
          <t>Rachycentron canadum</t>
        </is>
      </c>
      <c r="B227" t="n">
        <v>3.96</v>
      </c>
      <c r="C227" t="n">
        <v>912.010839</v>
      </c>
      <c r="D227" s="10" t="inlineStr">
        <is>
          <t>2 L pisc | 3 L pisc</t>
        </is>
      </c>
      <c r="H227" t="n">
        <v>1686.007244</v>
      </c>
      <c r="I227" t="n">
        <v>562.291264</v>
      </c>
      <c r="J227" t="n">
        <v>667.421881</v>
      </c>
      <c r="K227" t="n">
        <v>600.679693</v>
      </c>
      <c r="L227" t="n">
        <v>3541.417618</v>
      </c>
      <c r="M227" t="n">
        <v>1779.674544</v>
      </c>
      <c r="N227" t="n">
        <v>1779.674544</v>
      </c>
      <c r="O227" t="n">
        <v>491.036533</v>
      </c>
      <c r="P227" t="n">
        <v>120.796851</v>
      </c>
      <c r="Q227" t="n">
        <v>1779.674544</v>
      </c>
      <c r="R227" t="n">
        <v>183794.440851</v>
      </c>
      <c r="S227" t="n">
        <v>491.036533</v>
      </c>
      <c r="T227" t="n">
        <v>5645299.035557</v>
      </c>
      <c r="U227" t="n">
        <v>120.796851</v>
      </c>
      <c r="V227" t="n">
        <v>-5887325720.988076</v>
      </c>
      <c r="W227" t="n">
        <v>628.114208</v>
      </c>
      <c r="X227" t="n">
        <v>2283.896043</v>
      </c>
      <c r="Z227" t="n">
        <v>188.595494</v>
      </c>
    </row>
    <row r="228" ht="21" customHeight="1">
      <c r="A228" t="inlineStr">
        <is>
          <t>Istiompax indica</t>
        </is>
      </c>
      <c r="B228" t="n">
        <v>4.5</v>
      </c>
      <c r="C228" t="n">
        <v>3162.27766</v>
      </c>
      <c r="D228" s="10" t="inlineStr">
        <is>
          <t>Tuna-like</t>
        </is>
      </c>
      <c r="H228" t="n">
        <v>4024.005911</v>
      </c>
      <c r="I228" t="n">
        <v>1217.030544</v>
      </c>
      <c r="J228" t="n">
        <v>1425.466216</v>
      </c>
      <c r="K228" t="n">
        <v>1274.366797</v>
      </c>
      <c r="L228" t="n">
        <v>8472.950376000001</v>
      </c>
      <c r="M228" t="n">
        <v>4280.710601</v>
      </c>
      <c r="N228" t="n">
        <v>4280.710601</v>
      </c>
      <c r="O228" t="n">
        <v>1050.279426</v>
      </c>
      <c r="P228" t="n">
        <v>230.70519</v>
      </c>
      <c r="Q228" t="n">
        <v>4280.710601</v>
      </c>
      <c r="R228" t="n">
        <v>2938914.210776</v>
      </c>
      <c r="S228" t="n">
        <v>1050.279426</v>
      </c>
      <c r="T228" t="n">
        <v>-12560069.044484</v>
      </c>
      <c r="U228" t="n">
        <v>230.70519</v>
      </c>
      <c r="V228" t="n">
        <v>990357739.175012</v>
      </c>
      <c r="W228" t="n">
        <v>1374.354712</v>
      </c>
      <c r="X228" t="n">
        <v>5545.438014</v>
      </c>
      <c r="Z228" t="n">
        <v>369.948499</v>
      </c>
    </row>
    <row r="229" ht="21" customHeight="1">
      <c r="A229" t="inlineStr">
        <is>
          <t>Auxis rochei</t>
        </is>
      </c>
      <c r="B229" t="n">
        <v>4.13</v>
      </c>
      <c r="C229" t="n">
        <v>1348.962883</v>
      </c>
      <c r="D229" s="10" t="inlineStr">
        <is>
          <t>Coastal scombrids</t>
        </is>
      </c>
      <c r="H229" t="n">
        <v>2147.494807</v>
      </c>
      <c r="I229" t="n">
        <v>968.897292</v>
      </c>
      <c r="J229" t="n">
        <v>1141.782334</v>
      </c>
      <c r="K229" t="n">
        <v>682.785836</v>
      </c>
      <c r="L229" t="n">
        <v>5797.992045</v>
      </c>
      <c r="M229" t="n">
        <v>2877.683424</v>
      </c>
      <c r="N229" t="n">
        <v>2877.683424</v>
      </c>
      <c r="O229" t="n">
        <v>566.1491569999999</v>
      </c>
      <c r="P229" t="n">
        <v>140.36865</v>
      </c>
      <c r="Q229" t="n">
        <v>2877.683424</v>
      </c>
      <c r="R229" t="n">
        <v>807621.7416600001</v>
      </c>
      <c r="S229" t="n">
        <v>566.1491569999999</v>
      </c>
      <c r="T229" t="n">
        <v>-50402915.268695</v>
      </c>
      <c r="U229" t="n">
        <v>140.36865</v>
      </c>
      <c r="V229" t="n">
        <v>-2.053794932427448e+19</v>
      </c>
      <c r="W229" t="n">
        <v>719.397057</v>
      </c>
      <c r="X229" t="n">
        <v>3792.756934</v>
      </c>
      <c r="Z229" t="n">
        <v>232.918062</v>
      </c>
    </row>
    <row r="230" ht="21" customHeight="1">
      <c r="A230" t="inlineStr">
        <is>
          <t>Acanthocybium solandri</t>
        </is>
      </c>
      <c r="B230" t="n">
        <v>4.26</v>
      </c>
      <c r="C230" t="n">
        <v>1819.700859</v>
      </c>
      <c r="D230" s="10" t="inlineStr">
        <is>
          <t>Tuna-like</t>
        </is>
      </c>
      <c r="H230" t="n">
        <v>4024.005911</v>
      </c>
      <c r="I230" t="n">
        <v>1217.030544</v>
      </c>
      <c r="J230" t="n">
        <v>1425.466216</v>
      </c>
      <c r="K230" t="n">
        <v>1274.366797</v>
      </c>
      <c r="L230" t="n">
        <v>8472.950376000001</v>
      </c>
      <c r="M230" t="n">
        <v>4280.710601</v>
      </c>
      <c r="N230" t="n">
        <v>4280.710601</v>
      </c>
      <c r="O230" t="n">
        <v>1050.279426</v>
      </c>
      <c r="P230" t="n">
        <v>230.70519</v>
      </c>
      <c r="Q230" t="n">
        <v>4280.710601</v>
      </c>
      <c r="R230" t="n">
        <v>2938914.210776</v>
      </c>
      <c r="S230" t="n">
        <v>1050.279426</v>
      </c>
      <c r="T230" t="n">
        <v>-12560069.044484</v>
      </c>
      <c r="U230" t="n">
        <v>230.70519</v>
      </c>
      <c r="V230" t="n">
        <v>990357739.175012</v>
      </c>
      <c r="W230" t="n">
        <v>1374.354712</v>
      </c>
      <c r="X230" t="n">
        <v>5545.438014</v>
      </c>
      <c r="Z230" t="n">
        <v>369.948499</v>
      </c>
    </row>
    <row r="231" ht="21" customHeight="1">
      <c r="A231" t="inlineStr">
        <is>
          <t>Sarda orientalis</t>
        </is>
      </c>
      <c r="B231" t="n">
        <v>4.21</v>
      </c>
      <c r="C231" t="n">
        <v>1621.810097</v>
      </c>
      <c r="D231" s="10" t="inlineStr">
        <is>
          <t>Coastal scombrids</t>
        </is>
      </c>
      <c r="H231" t="n">
        <v>2147.494807</v>
      </c>
      <c r="I231" t="n">
        <v>968.897292</v>
      </c>
      <c r="J231" t="n">
        <v>1141.782334</v>
      </c>
      <c r="K231" t="n">
        <v>682.785836</v>
      </c>
      <c r="L231" t="n">
        <v>5797.992045</v>
      </c>
      <c r="M231" t="n">
        <v>2877.683424</v>
      </c>
      <c r="N231" t="n">
        <v>2877.683424</v>
      </c>
      <c r="O231" t="n">
        <v>566.1491569999999</v>
      </c>
      <c r="P231" t="n">
        <v>140.36865</v>
      </c>
      <c r="Q231" t="n">
        <v>2877.683424</v>
      </c>
      <c r="R231" t="n">
        <v>807621.7416600001</v>
      </c>
      <c r="S231" t="n">
        <v>566.1491569999999</v>
      </c>
      <c r="T231" t="n">
        <v>-50402915.268695</v>
      </c>
      <c r="U231" t="n">
        <v>140.36865</v>
      </c>
      <c r="V231" t="n">
        <v>-2.053794932427448e+19</v>
      </c>
      <c r="W231" t="n">
        <v>719.397057</v>
      </c>
      <c r="X231" t="n">
        <v>3792.756934</v>
      </c>
      <c r="Z231" t="n">
        <v>232.918062</v>
      </c>
    </row>
    <row r="232" ht="21" customHeight="1">
      <c r="A232" t="inlineStr">
        <is>
          <t>Sardinella fimbriata</t>
        </is>
      </c>
      <c r="B232" t="n">
        <v>2.7</v>
      </c>
      <c r="C232" t="n">
        <v>50.118723</v>
      </c>
      <c r="D232" s="10" t="inlineStr">
        <is>
          <t>2 S pelagics | 3 S pelagics</t>
        </is>
      </c>
      <c r="H232" t="n">
        <v>93.087237</v>
      </c>
      <c r="I232" t="n">
        <v>47.55691</v>
      </c>
      <c r="J232" t="n">
        <v>60.271203</v>
      </c>
      <c r="K232" t="n">
        <v>56.323134</v>
      </c>
      <c r="L232" t="n">
        <v>234.01812</v>
      </c>
      <c r="M232" t="n">
        <v>119.363868</v>
      </c>
      <c r="N232" t="n">
        <v>119.363868</v>
      </c>
      <c r="O232" t="n">
        <v>45.511558</v>
      </c>
      <c r="P232" t="n">
        <v>18.627065</v>
      </c>
      <c r="Q232" t="n">
        <v>119.363868</v>
      </c>
      <c r="R232" t="n">
        <v>-24383.104584</v>
      </c>
      <c r="S232" t="n">
        <v>45.511558</v>
      </c>
      <c r="T232" t="n">
        <v>262858.692163</v>
      </c>
      <c r="U232" t="n">
        <v>18.627065</v>
      </c>
      <c r="V232" t="n">
        <v>-4562944.327372</v>
      </c>
      <c r="W232" t="n">
        <v>52.667461</v>
      </c>
      <c r="X232" t="n">
        <v>147.16235</v>
      </c>
      <c r="Z232" t="n">
        <v>27.466663</v>
      </c>
    </row>
    <row r="233" ht="21" customHeight="1">
      <c r="A233" t="inlineStr">
        <is>
          <t>Gazza minuta</t>
        </is>
      </c>
      <c r="B233" t="n">
        <v>4.19</v>
      </c>
      <c r="C233" t="n">
        <v>1548.816619</v>
      </c>
      <c r="D233" s="10" t="inlineStr">
        <is>
          <t>2 SM inv | 3 SM inv</t>
        </is>
      </c>
      <c r="H233" t="n">
        <v>91.813177</v>
      </c>
      <c r="I233" t="n">
        <v>52.413336</v>
      </c>
      <c r="J233" t="n">
        <v>62.649384</v>
      </c>
      <c r="K233" t="n">
        <v>58.645949</v>
      </c>
      <c r="L233" t="n">
        <v>358.382548</v>
      </c>
      <c r="M233" t="n">
        <v>163.84463</v>
      </c>
      <c r="N233" t="n">
        <v>163.84463</v>
      </c>
      <c r="O233" t="n">
        <v>65.16087</v>
      </c>
      <c r="P233" t="n">
        <v>23.726562</v>
      </c>
      <c r="Q233" t="n">
        <v>163.84463</v>
      </c>
      <c r="R233" t="n">
        <v>27231.721784</v>
      </c>
      <c r="S233" t="n">
        <v>65.16087</v>
      </c>
      <c r="T233" t="n">
        <v>247011.21003</v>
      </c>
      <c r="U233" t="n">
        <v>23.726562</v>
      </c>
      <c r="V233" t="n">
        <v>-1608691.090535</v>
      </c>
      <c r="W233" t="n">
        <v>85.655771</v>
      </c>
      <c r="X233" t="n">
        <v>226.381866</v>
      </c>
      <c r="Z233" t="n">
        <v>23.837652</v>
      </c>
    </row>
    <row r="234" ht="21" customHeight="1">
      <c r="A234" t="inlineStr">
        <is>
          <t>Panulirus homarus</t>
        </is>
      </c>
      <c r="B234" t="n">
        <v>3.33</v>
      </c>
      <c r="C234" t="n">
        <v>213.796209</v>
      </c>
      <c r="D234" s="10" t="inlineStr">
        <is>
          <t>2 Crustaceans | 3 Crustaceans</t>
        </is>
      </c>
      <c r="H234" t="n">
        <v>16.647547</v>
      </c>
      <c r="I234" t="n">
        <v>15.13996</v>
      </c>
      <c r="J234" t="n">
        <v>15.13996</v>
      </c>
      <c r="K234" t="n">
        <v>14.107486</v>
      </c>
      <c r="L234" t="n">
        <v>88.61683499999999</v>
      </c>
      <c r="M234" t="n">
        <v>30.998352</v>
      </c>
      <c r="N234" t="n">
        <v>30.998352</v>
      </c>
      <c r="O234" t="n">
        <v>15.004935</v>
      </c>
      <c r="P234" t="n">
        <v>7.795329</v>
      </c>
      <c r="Q234" t="n">
        <v>30.998352</v>
      </c>
      <c r="R234" t="n">
        <v>30.998352</v>
      </c>
      <c r="S234" t="n">
        <v>15.004935</v>
      </c>
      <c r="T234" t="n">
        <v>15.004935</v>
      </c>
      <c r="U234" t="n">
        <v>7.795329</v>
      </c>
      <c r="V234" t="n">
        <v>7.795329</v>
      </c>
      <c r="W234" t="n">
        <v>15.392557</v>
      </c>
      <c r="X234" t="n">
        <v>34.031508</v>
      </c>
      <c r="Z234" t="n">
        <v>6.196734</v>
      </c>
    </row>
    <row r="235" ht="21" customHeight="1">
      <c r="A235" t="inlineStr">
        <is>
          <t>Crassostrea</t>
        </is>
      </c>
      <c r="D235" s="10" t="inlineStr">
        <is>
          <t>2 Macrobenthos | 3 Macrobenthos</t>
        </is>
      </c>
      <c r="H235" t="n">
        <v>14.010241</v>
      </c>
      <c r="I235" t="n">
        <v>13.386848</v>
      </c>
      <c r="J235" t="n">
        <v>13.386848</v>
      </c>
      <c r="K235" t="n">
        <v>12.189342</v>
      </c>
      <c r="L235" t="n">
        <v>106.719149</v>
      </c>
      <c r="M235" t="n">
        <v>46.737687</v>
      </c>
      <c r="N235" t="n">
        <v>46.737687</v>
      </c>
      <c r="O235" t="n">
        <v>22.234823</v>
      </c>
      <c r="P235" t="n">
        <v>9.814845999999999</v>
      </c>
      <c r="Q235" t="n">
        <v>46.737687</v>
      </c>
      <c r="R235" t="n">
        <v>46.737687</v>
      </c>
      <c r="S235" t="n">
        <v>22.234823</v>
      </c>
      <c r="T235" t="n">
        <v>22.234823</v>
      </c>
      <c r="U235" t="n">
        <v>9.814845999999999</v>
      </c>
      <c r="V235" t="n">
        <v>9.814845999999999</v>
      </c>
      <c r="W235" t="n">
        <v>30.831021</v>
      </c>
      <c r="X235" t="n">
        <v>72.485857</v>
      </c>
      <c r="Z235" t="n">
        <v>5.642741</v>
      </c>
    </row>
    <row r="236" ht="21" customHeight="1">
      <c r="A236" t="inlineStr">
        <is>
          <t>Drepane</t>
        </is>
      </c>
      <c r="B236" t="n">
        <v>3.32</v>
      </c>
      <c r="C236" t="n">
        <v>208.929613</v>
      </c>
      <c r="D236" s="10" t="inlineStr">
        <is>
          <t>2 SM pisc | 3 SM pisc</t>
        </is>
      </c>
      <c r="H236" t="n">
        <v>243.94607</v>
      </c>
      <c r="I236" t="n">
        <v>108.349841</v>
      </c>
      <c r="J236" t="n">
        <v>154.909098</v>
      </c>
      <c r="K236" t="n">
        <v>147.163643</v>
      </c>
      <c r="L236" t="n">
        <v>954.7607</v>
      </c>
      <c r="M236" t="n">
        <v>447.937281</v>
      </c>
      <c r="N236" t="n">
        <v>447.937281</v>
      </c>
      <c r="O236" t="n">
        <v>152.63502</v>
      </c>
      <c r="P236" t="n">
        <v>45.95733</v>
      </c>
      <c r="Q236" t="n">
        <v>447.937281</v>
      </c>
      <c r="R236" t="n">
        <v>-7864.592041</v>
      </c>
      <c r="S236" t="n">
        <v>152.63502</v>
      </c>
      <c r="T236" t="n">
        <v>791067.821395</v>
      </c>
      <c r="U236" t="n">
        <v>45.95733</v>
      </c>
      <c r="V236" t="n">
        <v>-22992541.193563</v>
      </c>
      <c r="W236" t="n">
        <v>192.62905</v>
      </c>
      <c r="X236" t="n">
        <v>583.6561809999999</v>
      </c>
      <c r="Z236" t="n">
        <v>48.362824</v>
      </c>
    </row>
    <row r="237" ht="21" customHeight="1">
      <c r="A237" t="inlineStr">
        <is>
          <t>Coryphaena hippurus</t>
        </is>
      </c>
      <c r="B237" t="n">
        <v>4.37</v>
      </c>
      <c r="C237" t="n">
        <v>2344.228815</v>
      </c>
      <c r="D237" s="10" t="inlineStr">
        <is>
          <t>2 L pisc | 3 L pisc</t>
        </is>
      </c>
      <c r="H237" t="n">
        <v>1686.007244</v>
      </c>
      <c r="I237" t="n">
        <v>562.291264</v>
      </c>
      <c r="J237" t="n">
        <v>667.421881</v>
      </c>
      <c r="K237" t="n">
        <v>600.679693</v>
      </c>
      <c r="L237" t="n">
        <v>3541.417618</v>
      </c>
      <c r="M237" t="n">
        <v>1779.674544</v>
      </c>
      <c r="N237" t="n">
        <v>1779.674544</v>
      </c>
      <c r="O237" t="n">
        <v>491.036533</v>
      </c>
      <c r="P237" t="n">
        <v>120.796851</v>
      </c>
      <c r="Q237" t="n">
        <v>1779.674544</v>
      </c>
      <c r="R237" t="n">
        <v>183794.440851</v>
      </c>
      <c r="S237" t="n">
        <v>491.036533</v>
      </c>
      <c r="T237" t="n">
        <v>5645299.035557</v>
      </c>
      <c r="U237" t="n">
        <v>120.796851</v>
      </c>
      <c r="V237" t="n">
        <v>-5887325720.988076</v>
      </c>
      <c r="W237" t="n">
        <v>628.114208</v>
      </c>
      <c r="X237" t="n">
        <v>2283.896043</v>
      </c>
      <c r="Z237" t="n">
        <v>188.595494</v>
      </c>
    </row>
    <row r="238" ht="21" customHeight="1">
      <c r="A238" t="inlineStr">
        <is>
          <t>Latidae</t>
        </is>
      </c>
      <c r="B238" t="n">
        <v>4.35</v>
      </c>
      <c r="C238" t="n">
        <v>2238.721139</v>
      </c>
      <c r="D238" s="10" t="inlineStr">
        <is>
          <t>2 L pisc | 3 L pisc</t>
        </is>
      </c>
      <c r="H238" t="n">
        <v>1686.007244</v>
      </c>
      <c r="I238" t="n">
        <v>562.291264</v>
      </c>
      <c r="J238" t="n">
        <v>667.421881</v>
      </c>
      <c r="K238" t="n">
        <v>600.679693</v>
      </c>
      <c r="L238" t="n">
        <v>3541.417618</v>
      </c>
      <c r="M238" t="n">
        <v>1779.674544</v>
      </c>
      <c r="N238" t="n">
        <v>1779.674544</v>
      </c>
      <c r="O238" t="n">
        <v>491.036533</v>
      </c>
      <c r="P238" t="n">
        <v>120.796851</v>
      </c>
      <c r="Q238" t="n">
        <v>1779.674544</v>
      </c>
      <c r="R238" t="n">
        <v>183794.440851</v>
      </c>
      <c r="S238" t="n">
        <v>491.036533</v>
      </c>
      <c r="T238" t="n">
        <v>5645299.035557</v>
      </c>
      <c r="U238" t="n">
        <v>120.796851</v>
      </c>
      <c r="V238" t="n">
        <v>-5887325720.988076</v>
      </c>
      <c r="W238" t="n">
        <v>628.114208</v>
      </c>
      <c r="X238" t="n">
        <v>2283.896043</v>
      </c>
      <c r="Z238" t="n">
        <v>188.595494</v>
      </c>
    </row>
    <row r="239" ht="21" customHeight="1">
      <c r="A239" t="inlineStr">
        <is>
          <t>Carcharhinus longimanus</t>
        </is>
      </c>
      <c r="B239" t="n">
        <v>4.16</v>
      </c>
      <c r="C239" t="n">
        <v>1445.439771</v>
      </c>
      <c r="D239" s="10" t="inlineStr">
        <is>
          <t>Oceanic sharks</t>
        </is>
      </c>
      <c r="H239" t="n">
        <v>5991.076951</v>
      </c>
      <c r="I239" t="n">
        <v>2971.739048</v>
      </c>
      <c r="J239" t="n">
        <v>3537.94222</v>
      </c>
      <c r="K239" t="n">
        <v>2059.082372</v>
      </c>
      <c r="L239" t="n">
        <v>23068.147688</v>
      </c>
      <c r="M239" t="n">
        <v>11618.431417</v>
      </c>
      <c r="N239" t="n">
        <v>11618.431417</v>
      </c>
      <c r="O239" t="n">
        <v>1687.805512</v>
      </c>
      <c r="P239" t="n">
        <v>330.871563</v>
      </c>
      <c r="Q239" t="n">
        <v>11618.431417</v>
      </c>
      <c r="R239" t="n">
        <v>81886204.615971</v>
      </c>
      <c r="S239" t="n">
        <v>1687.805512</v>
      </c>
      <c r="T239" t="n">
        <v>527915.899384</v>
      </c>
      <c r="U239" t="n">
        <v>330.871563</v>
      </c>
      <c r="V239" t="n">
        <v>2.81472402916843e+22</v>
      </c>
      <c r="W239" t="n">
        <v>2193.066995</v>
      </c>
      <c r="X239" t="n">
        <v>15378.990649</v>
      </c>
      <c r="Z239" t="n">
        <v>432.856659</v>
      </c>
    </row>
    <row r="240" ht="21" customHeight="1">
      <c r="A240" t="inlineStr">
        <is>
          <t>Thenus orientalis</t>
        </is>
      </c>
      <c r="B240" t="n">
        <v>2.5</v>
      </c>
      <c r="C240" t="n">
        <v>31.622777</v>
      </c>
      <c r="D240" s="10" t="inlineStr">
        <is>
          <t>2 Crustaceans | 3 Crustaceans</t>
        </is>
      </c>
      <c r="H240" t="n">
        <v>16.647547</v>
      </c>
      <c r="I240" t="n">
        <v>15.13996</v>
      </c>
      <c r="J240" t="n">
        <v>15.13996</v>
      </c>
      <c r="K240" t="n">
        <v>14.107486</v>
      </c>
      <c r="L240" t="n">
        <v>88.61683499999999</v>
      </c>
      <c r="M240" t="n">
        <v>30.998352</v>
      </c>
      <c r="N240" t="n">
        <v>30.998352</v>
      </c>
      <c r="O240" t="n">
        <v>15.004935</v>
      </c>
      <c r="P240" t="n">
        <v>7.795329</v>
      </c>
      <c r="Q240" t="n">
        <v>30.998352</v>
      </c>
      <c r="R240" t="n">
        <v>30.998352</v>
      </c>
      <c r="S240" t="n">
        <v>15.004935</v>
      </c>
      <c r="T240" t="n">
        <v>15.004935</v>
      </c>
      <c r="U240" t="n">
        <v>7.795329</v>
      </c>
      <c r="V240" t="n">
        <v>7.795329</v>
      </c>
      <c r="W240" t="n">
        <v>15.392557</v>
      </c>
      <c r="X240" t="n">
        <v>34.031508</v>
      </c>
      <c r="Z240" t="n">
        <v>6.196734</v>
      </c>
    </row>
    <row r="241" ht="21" customHeight="1">
      <c r="A241" t="inlineStr">
        <is>
          <t>Istiophorus platypterus</t>
        </is>
      </c>
      <c r="B241" t="n">
        <v>4.5</v>
      </c>
      <c r="C241" t="n">
        <v>3162.27766</v>
      </c>
      <c r="D241" s="10" t="inlineStr">
        <is>
          <t>Tuna-like</t>
        </is>
      </c>
      <c r="H241" t="n">
        <v>4024.005911</v>
      </c>
      <c r="I241" t="n">
        <v>1217.030544</v>
      </c>
      <c r="J241" t="n">
        <v>1425.466216</v>
      </c>
      <c r="K241" t="n">
        <v>1274.366797</v>
      </c>
      <c r="L241" t="n">
        <v>8472.950376000001</v>
      </c>
      <c r="M241" t="n">
        <v>4280.710601</v>
      </c>
      <c r="N241" t="n">
        <v>4280.710601</v>
      </c>
      <c r="O241" t="n">
        <v>1050.279426</v>
      </c>
      <c r="P241" t="n">
        <v>230.70519</v>
      </c>
      <c r="Q241" t="n">
        <v>4280.710601</v>
      </c>
      <c r="R241" t="n">
        <v>2938914.210776</v>
      </c>
      <c r="S241" t="n">
        <v>1050.279426</v>
      </c>
      <c r="T241" t="n">
        <v>-12560069.044484</v>
      </c>
      <c r="U241" t="n">
        <v>230.70519</v>
      </c>
      <c r="V241" t="n">
        <v>990357739.175012</v>
      </c>
      <c r="W241" t="n">
        <v>1374.354712</v>
      </c>
      <c r="X241" t="n">
        <v>5545.438014</v>
      </c>
      <c r="Z241" t="n">
        <v>369.948499</v>
      </c>
    </row>
    <row r="242" ht="21" customHeight="1">
      <c r="A242" t="inlineStr">
        <is>
          <t>Trochus niloticus</t>
        </is>
      </c>
      <c r="D242" s="10" t="inlineStr">
        <is>
          <t>2 Macrobenthos | 3 Macrobenthos</t>
        </is>
      </c>
      <c r="H242" t="n">
        <v>14.010241</v>
      </c>
      <c r="I242" t="n">
        <v>13.386848</v>
      </c>
      <c r="J242" t="n">
        <v>13.386848</v>
      </c>
      <c r="K242" t="n">
        <v>12.189342</v>
      </c>
      <c r="L242" t="n">
        <v>106.719149</v>
      </c>
      <c r="M242" t="n">
        <v>46.737687</v>
      </c>
      <c r="N242" t="n">
        <v>46.737687</v>
      </c>
      <c r="O242" t="n">
        <v>22.234823</v>
      </c>
      <c r="P242" t="n">
        <v>9.814845999999999</v>
      </c>
      <c r="Q242" t="n">
        <v>46.737687</v>
      </c>
      <c r="R242" t="n">
        <v>46.737687</v>
      </c>
      <c r="S242" t="n">
        <v>22.234823</v>
      </c>
      <c r="T242" t="n">
        <v>22.234823</v>
      </c>
      <c r="U242" t="n">
        <v>9.814845999999999</v>
      </c>
      <c r="V242" t="n">
        <v>9.814845999999999</v>
      </c>
      <c r="W242" t="n">
        <v>30.831021</v>
      </c>
      <c r="X242" t="n">
        <v>72.485857</v>
      </c>
      <c r="Z242" t="n">
        <v>5.642741</v>
      </c>
    </row>
    <row r="243" ht="21" customHeight="1">
      <c r="A243" t="inlineStr">
        <is>
          <t>Sillago sihama</t>
        </is>
      </c>
      <c r="B243" t="n">
        <v>3.33</v>
      </c>
      <c r="C243" t="n">
        <v>213.796209</v>
      </c>
      <c r="D243" s="10" t="inlineStr">
        <is>
          <t>2 SM inv | 3 SM inv</t>
        </is>
      </c>
      <c r="H243" t="n">
        <v>91.813177</v>
      </c>
      <c r="I243" t="n">
        <v>52.413336</v>
      </c>
      <c r="J243" t="n">
        <v>62.649384</v>
      </c>
      <c r="K243" t="n">
        <v>58.645949</v>
      </c>
      <c r="L243" t="n">
        <v>358.382548</v>
      </c>
      <c r="M243" t="n">
        <v>163.84463</v>
      </c>
      <c r="N243" t="n">
        <v>163.84463</v>
      </c>
      <c r="O243" t="n">
        <v>65.16087</v>
      </c>
      <c r="P243" t="n">
        <v>23.726562</v>
      </c>
      <c r="Q243" t="n">
        <v>163.84463</v>
      </c>
      <c r="R243" t="n">
        <v>27231.721784</v>
      </c>
      <c r="S243" t="n">
        <v>65.16087</v>
      </c>
      <c r="T243" t="n">
        <v>247011.21003</v>
      </c>
      <c r="U243" t="n">
        <v>23.726562</v>
      </c>
      <c r="V243" t="n">
        <v>-1608691.090535</v>
      </c>
      <c r="W243" t="n">
        <v>85.655771</v>
      </c>
      <c r="X243" t="n">
        <v>226.381866</v>
      </c>
      <c r="Z243" t="n">
        <v>23.837652</v>
      </c>
    </row>
    <row r="244" ht="21" customHeight="1">
      <c r="A244" t="inlineStr">
        <is>
          <t>Isurus oxyrinchus</t>
        </is>
      </c>
      <c r="B244" t="n">
        <v>4.5</v>
      </c>
      <c r="C244" t="n">
        <v>3162.27766</v>
      </c>
      <c r="D244" s="10" t="inlineStr">
        <is>
          <t>Oceanic sharks</t>
        </is>
      </c>
      <c r="H244" t="n">
        <v>5991.076951</v>
      </c>
      <c r="I244" t="n">
        <v>2971.739048</v>
      </c>
      <c r="J244" t="n">
        <v>3537.94222</v>
      </c>
      <c r="K244" t="n">
        <v>2059.082372</v>
      </c>
      <c r="L244" t="n">
        <v>23068.147688</v>
      </c>
      <c r="M244" t="n">
        <v>11618.431417</v>
      </c>
      <c r="N244" t="n">
        <v>11618.431417</v>
      </c>
      <c r="O244" t="n">
        <v>1687.805512</v>
      </c>
      <c r="P244" t="n">
        <v>330.871563</v>
      </c>
      <c r="Q244" t="n">
        <v>11618.431417</v>
      </c>
      <c r="R244" t="n">
        <v>81886204.615971</v>
      </c>
      <c r="S244" t="n">
        <v>1687.805512</v>
      </c>
      <c r="T244" t="n">
        <v>527915.899384</v>
      </c>
      <c r="U244" t="n">
        <v>330.871563</v>
      </c>
      <c r="V244" t="n">
        <v>2.81472402916843e+22</v>
      </c>
      <c r="W244" t="n">
        <v>2193.066995</v>
      </c>
      <c r="X244" t="n">
        <v>15378.990649</v>
      </c>
      <c r="Z244" t="n">
        <v>432.856659</v>
      </c>
    </row>
    <row r="245" ht="21" customHeight="1">
      <c r="A245" t="inlineStr">
        <is>
          <t>Scatophagus</t>
        </is>
      </c>
      <c r="B245" t="n">
        <v>2.75</v>
      </c>
      <c r="C245" t="n">
        <v>56.234133</v>
      </c>
      <c r="D245" s="10" t="inlineStr">
        <is>
          <t>2 SM inv | 3 SM inv</t>
        </is>
      </c>
      <c r="H245" t="n">
        <v>91.813177</v>
      </c>
      <c r="I245" t="n">
        <v>52.413336</v>
      </c>
      <c r="J245" t="n">
        <v>62.649384</v>
      </c>
      <c r="K245" t="n">
        <v>58.645949</v>
      </c>
      <c r="L245" t="n">
        <v>358.382548</v>
      </c>
      <c r="M245" t="n">
        <v>163.84463</v>
      </c>
      <c r="N245" t="n">
        <v>163.84463</v>
      </c>
      <c r="O245" t="n">
        <v>65.16087</v>
      </c>
      <c r="P245" t="n">
        <v>23.726562</v>
      </c>
      <c r="Q245" t="n">
        <v>163.84463</v>
      </c>
      <c r="R245" t="n">
        <v>27231.721784</v>
      </c>
      <c r="S245" t="n">
        <v>65.16087</v>
      </c>
      <c r="T245" t="n">
        <v>247011.21003</v>
      </c>
      <c r="U245" t="n">
        <v>23.726562</v>
      </c>
      <c r="V245" t="n">
        <v>-1608691.090535</v>
      </c>
      <c r="W245" t="n">
        <v>85.655771</v>
      </c>
      <c r="X245" t="n">
        <v>226.381866</v>
      </c>
      <c r="Z245" t="n">
        <v>23.837652</v>
      </c>
    </row>
    <row r="246" ht="21" customHeight="1">
      <c r="A246" t="inlineStr">
        <is>
          <t>Scyris indica</t>
        </is>
      </c>
      <c r="B246" t="n">
        <v>4.09</v>
      </c>
      <c r="C246" t="n">
        <v>1230.268771</v>
      </c>
      <c r="D246" s="10" t="inlineStr">
        <is>
          <t>2 Carangids | 3 Carangids</t>
        </is>
      </c>
      <c r="H246" t="n">
        <v>873.328216</v>
      </c>
      <c r="I246" t="n">
        <v>372.556809</v>
      </c>
      <c r="J246" t="n">
        <v>434.163448</v>
      </c>
      <c r="K246" t="n">
        <v>417.767363</v>
      </c>
      <c r="L246" t="n">
        <v>2160.134294</v>
      </c>
      <c r="M246" t="n">
        <v>1099.323673</v>
      </c>
      <c r="N246" t="n">
        <v>1099.323673</v>
      </c>
      <c r="O246" t="n">
        <v>332.917647</v>
      </c>
      <c r="P246" t="n">
        <v>90.527957</v>
      </c>
      <c r="Q246" t="n">
        <v>1099.323673</v>
      </c>
      <c r="R246" t="n">
        <v>1849500.59807</v>
      </c>
      <c r="S246" t="n">
        <v>332.917647</v>
      </c>
      <c r="T246" t="n">
        <v>19894910.028919</v>
      </c>
      <c r="U246" t="n">
        <v>90.527957</v>
      </c>
      <c r="V246" t="n">
        <v>-89296314.013887</v>
      </c>
      <c r="W246" t="n">
        <v>429.68266</v>
      </c>
      <c r="X246" t="n">
        <v>1415.097656</v>
      </c>
      <c r="Z246" t="n">
        <v>125.139702</v>
      </c>
    </row>
    <row r="247" ht="21" customHeight="1">
      <c r="A247" t="inlineStr">
        <is>
          <t>Pellona ditchela</t>
        </is>
      </c>
      <c r="B247" t="n">
        <v>3.37</v>
      </c>
      <c r="C247" t="n">
        <v>234.422882</v>
      </c>
      <c r="D247" s="10" t="inlineStr">
        <is>
          <t>2 S pelagics | 3 S pelagics</t>
        </is>
      </c>
      <c r="H247" t="n">
        <v>93.087237</v>
      </c>
      <c r="I247" t="n">
        <v>47.55691</v>
      </c>
      <c r="J247" t="n">
        <v>60.271203</v>
      </c>
      <c r="K247" t="n">
        <v>56.323134</v>
      </c>
      <c r="L247" t="n">
        <v>234.01812</v>
      </c>
      <c r="M247" t="n">
        <v>119.363868</v>
      </c>
      <c r="N247" t="n">
        <v>119.363868</v>
      </c>
      <c r="O247" t="n">
        <v>45.511558</v>
      </c>
      <c r="P247" t="n">
        <v>18.627065</v>
      </c>
      <c r="Q247" t="n">
        <v>119.363868</v>
      </c>
      <c r="R247" t="n">
        <v>-24383.104584</v>
      </c>
      <c r="S247" t="n">
        <v>45.511558</v>
      </c>
      <c r="T247" t="n">
        <v>262858.692163</v>
      </c>
      <c r="U247" t="n">
        <v>18.627065</v>
      </c>
      <c r="V247" t="n">
        <v>-4562944.327372</v>
      </c>
      <c r="W247" t="n">
        <v>52.667461</v>
      </c>
      <c r="X247" t="n">
        <v>147.16235</v>
      </c>
      <c r="Z247" t="n">
        <v>27.466663</v>
      </c>
    </row>
    <row r="248" ht="21" customHeight="1">
      <c r="A248" t="inlineStr">
        <is>
          <t>Panulirus</t>
        </is>
      </c>
      <c r="B248" t="n">
        <v>2.6</v>
      </c>
      <c r="C248" t="n">
        <v>39.810717</v>
      </c>
      <c r="D248" s="10" t="inlineStr">
        <is>
          <t>2 Crustaceans | 3 Crustaceans</t>
        </is>
      </c>
      <c r="H248" t="n">
        <v>16.647547</v>
      </c>
      <c r="I248" t="n">
        <v>15.13996</v>
      </c>
      <c r="J248" t="n">
        <v>15.13996</v>
      </c>
      <c r="K248" t="n">
        <v>14.107486</v>
      </c>
      <c r="L248" t="n">
        <v>88.61683499999999</v>
      </c>
      <c r="M248" t="n">
        <v>30.998352</v>
      </c>
      <c r="N248" t="n">
        <v>30.998352</v>
      </c>
      <c r="O248" t="n">
        <v>15.004935</v>
      </c>
      <c r="P248" t="n">
        <v>7.795329</v>
      </c>
      <c r="Q248" t="n">
        <v>30.998352</v>
      </c>
      <c r="R248" t="n">
        <v>30.998352</v>
      </c>
      <c r="S248" t="n">
        <v>15.004935</v>
      </c>
      <c r="T248" t="n">
        <v>15.004935</v>
      </c>
      <c r="U248" t="n">
        <v>7.795329</v>
      </c>
      <c r="V248" t="n">
        <v>7.795329</v>
      </c>
      <c r="W248" t="n">
        <v>15.392557</v>
      </c>
      <c r="X248" t="n">
        <v>34.031508</v>
      </c>
      <c r="Z248" t="n">
        <v>6.196734</v>
      </c>
    </row>
    <row r="249" ht="36" customHeight="1">
      <c r="A249" t="inlineStr">
        <is>
          <t>Lamniformes</t>
        </is>
      </c>
      <c r="D249" s="10" t="inlineStr">
        <is>
          <t>Oceanic sharks | Coastal elasmobranch</t>
        </is>
      </c>
      <c r="H249" t="n">
        <v>4551.983566</v>
      </c>
      <c r="I249" t="n">
        <v>1849.529344</v>
      </c>
      <c r="J249" t="n">
        <v>2128.477647</v>
      </c>
      <c r="K249" t="n">
        <v>1617.722937</v>
      </c>
      <c r="L249" t="n">
        <v>18853.580958</v>
      </c>
      <c r="M249" t="n">
        <v>9369.706081</v>
      </c>
      <c r="N249" t="n">
        <v>9369.706081</v>
      </c>
      <c r="O249" t="n">
        <v>1729.015754</v>
      </c>
      <c r="P249" t="n">
        <v>320.600611</v>
      </c>
      <c r="Q249" t="n">
        <v>9369.706081</v>
      </c>
      <c r="R249" t="n">
        <v>86435005.18098401</v>
      </c>
      <c r="S249" t="n">
        <v>1729.015754</v>
      </c>
      <c r="T249" t="n">
        <v>5096235.486271</v>
      </c>
      <c r="U249" t="n">
        <v>320.600611</v>
      </c>
      <c r="V249" t="n">
        <v>3.597654801811849e+22</v>
      </c>
      <c r="W249" t="n">
        <v>2273.980267</v>
      </c>
      <c r="X249" t="n">
        <v>12560.590538</v>
      </c>
      <c r="Z249" t="n">
        <v>319.730135</v>
      </c>
    </row>
    <row r="250" ht="21" customHeight="1">
      <c r="A250" t="inlineStr">
        <is>
          <t>Siganidae</t>
        </is>
      </c>
      <c r="B250" t="n">
        <v>2.11</v>
      </c>
      <c r="C250" t="n">
        <v>12.882496</v>
      </c>
      <c r="D250" s="10" t="inlineStr">
        <is>
          <t>2 SM inv | 3 SM inv</t>
        </is>
      </c>
      <c r="H250" t="n">
        <v>91.813177</v>
      </c>
      <c r="I250" t="n">
        <v>52.413336</v>
      </c>
      <c r="J250" t="n">
        <v>62.649384</v>
      </c>
      <c r="K250" t="n">
        <v>58.645949</v>
      </c>
      <c r="L250" t="n">
        <v>358.382548</v>
      </c>
      <c r="M250" t="n">
        <v>163.84463</v>
      </c>
      <c r="N250" t="n">
        <v>163.84463</v>
      </c>
      <c r="O250" t="n">
        <v>65.16087</v>
      </c>
      <c r="P250" t="n">
        <v>23.726562</v>
      </c>
      <c r="Q250" t="n">
        <v>163.84463</v>
      </c>
      <c r="R250" t="n">
        <v>27231.721784</v>
      </c>
      <c r="S250" t="n">
        <v>65.16087</v>
      </c>
      <c r="T250" t="n">
        <v>247011.21003</v>
      </c>
      <c r="U250" t="n">
        <v>23.726562</v>
      </c>
      <c r="V250" t="n">
        <v>-1608691.090535</v>
      </c>
      <c r="W250" t="n">
        <v>85.655771</v>
      </c>
      <c r="X250" t="n">
        <v>226.381866</v>
      </c>
      <c r="Z250" t="n">
        <v>23.837652</v>
      </c>
    </row>
    <row r="251" ht="21" customHeight="1">
      <c r="A251" t="inlineStr">
        <is>
          <t>Holothuriidae</t>
        </is>
      </c>
      <c r="B251" t="n">
        <v>2</v>
      </c>
      <c r="C251" t="n">
        <v>10</v>
      </c>
      <c r="D251" s="10" t="inlineStr">
        <is>
          <t>2 Macrobenthos | 3 Macrobenthos</t>
        </is>
      </c>
      <c r="H251" t="n">
        <v>14.010241</v>
      </c>
      <c r="I251" t="n">
        <v>13.386848</v>
      </c>
      <c r="J251" t="n">
        <v>13.386848</v>
      </c>
      <c r="K251" t="n">
        <v>12.189342</v>
      </c>
      <c r="L251" t="n">
        <v>106.719149</v>
      </c>
      <c r="M251" t="n">
        <v>46.737687</v>
      </c>
      <c r="N251" t="n">
        <v>46.737687</v>
      </c>
      <c r="O251" t="n">
        <v>22.234823</v>
      </c>
      <c r="P251" t="n">
        <v>9.814845999999999</v>
      </c>
      <c r="Q251" t="n">
        <v>46.737687</v>
      </c>
      <c r="R251" t="n">
        <v>46.737687</v>
      </c>
      <c r="S251" t="n">
        <v>22.234823</v>
      </c>
      <c r="T251" t="n">
        <v>22.234823</v>
      </c>
      <c r="U251" t="n">
        <v>9.814845999999999</v>
      </c>
      <c r="V251" t="n">
        <v>9.814845999999999</v>
      </c>
      <c r="W251" t="n">
        <v>30.831021</v>
      </c>
      <c r="X251" t="n">
        <v>72.485857</v>
      </c>
      <c r="Z251" t="n">
        <v>5.642741</v>
      </c>
    </row>
    <row r="252" ht="21" customHeight="1">
      <c r="A252" t="inlineStr">
        <is>
          <t>Holothuria leucospilota</t>
        </is>
      </c>
      <c r="B252" t="n">
        <v>2</v>
      </c>
      <c r="C252" t="n">
        <v>10</v>
      </c>
      <c r="D252" s="10" t="inlineStr">
        <is>
          <t>2 Macrobenthos | 3 Macrobenthos</t>
        </is>
      </c>
      <c r="H252" t="n">
        <v>14.010241</v>
      </c>
      <c r="I252" t="n">
        <v>13.386848</v>
      </c>
      <c r="J252" t="n">
        <v>13.386848</v>
      </c>
      <c r="K252" t="n">
        <v>12.189342</v>
      </c>
      <c r="L252" t="n">
        <v>106.719149</v>
      </c>
      <c r="M252" t="n">
        <v>46.737687</v>
      </c>
      <c r="N252" t="n">
        <v>46.737687</v>
      </c>
      <c r="O252" t="n">
        <v>22.234823</v>
      </c>
      <c r="P252" t="n">
        <v>9.814845999999999</v>
      </c>
      <c r="Q252" t="n">
        <v>46.737687</v>
      </c>
      <c r="R252" t="n">
        <v>46.737687</v>
      </c>
      <c r="S252" t="n">
        <v>22.234823</v>
      </c>
      <c r="T252" t="n">
        <v>22.234823</v>
      </c>
      <c r="U252" t="n">
        <v>9.814845999999999</v>
      </c>
      <c r="V252" t="n">
        <v>9.814845999999999</v>
      </c>
      <c r="W252" t="n">
        <v>30.831021</v>
      </c>
      <c r="X252" t="n">
        <v>72.485857</v>
      </c>
      <c r="Z252" t="n">
        <v>5.642741</v>
      </c>
    </row>
    <row r="253" ht="21" customHeight="1">
      <c r="A253" t="inlineStr">
        <is>
          <t>Caesionidae</t>
        </is>
      </c>
      <c r="B253" t="n">
        <v>3.39</v>
      </c>
      <c r="C253" t="n">
        <v>245.470892</v>
      </c>
      <c r="D253" s="10" t="inlineStr">
        <is>
          <t>2 SM inv | 3 SM inv</t>
        </is>
      </c>
      <c r="H253" t="n">
        <v>91.813177</v>
      </c>
      <c r="I253" t="n">
        <v>52.413336</v>
      </c>
      <c r="J253" t="n">
        <v>62.649384</v>
      </c>
      <c r="K253" t="n">
        <v>58.645949</v>
      </c>
      <c r="L253" t="n">
        <v>358.382548</v>
      </c>
      <c r="M253" t="n">
        <v>163.84463</v>
      </c>
      <c r="N253" t="n">
        <v>163.84463</v>
      </c>
      <c r="O253" t="n">
        <v>65.16087</v>
      </c>
      <c r="P253" t="n">
        <v>23.726562</v>
      </c>
      <c r="Q253" t="n">
        <v>163.84463</v>
      </c>
      <c r="R253" t="n">
        <v>27231.721784</v>
      </c>
      <c r="S253" t="n">
        <v>65.16087</v>
      </c>
      <c r="T253" t="n">
        <v>247011.21003</v>
      </c>
      <c r="U253" t="n">
        <v>23.726562</v>
      </c>
      <c r="V253" t="n">
        <v>-1608691.090535</v>
      </c>
      <c r="W253" t="n">
        <v>85.655771</v>
      </c>
      <c r="X253" t="n">
        <v>226.381866</v>
      </c>
      <c r="Z253" t="n">
        <v>23.837652</v>
      </c>
    </row>
    <row r="254" ht="21" customHeight="1">
      <c r="A254" t="inlineStr">
        <is>
          <t>Scomberomorus lineolatus</t>
        </is>
      </c>
      <c r="B254" t="n">
        <v>4.5</v>
      </c>
      <c r="C254" t="n">
        <v>3162.27766</v>
      </c>
      <c r="D254" s="10" t="inlineStr">
        <is>
          <t>Coastal scombrids</t>
        </is>
      </c>
      <c r="H254" t="n">
        <v>2147.494807</v>
      </c>
      <c r="I254" t="n">
        <v>968.897292</v>
      </c>
      <c r="J254" t="n">
        <v>1141.782334</v>
      </c>
      <c r="K254" t="n">
        <v>682.785836</v>
      </c>
      <c r="L254" t="n">
        <v>5797.992045</v>
      </c>
      <c r="M254" t="n">
        <v>2877.683424</v>
      </c>
      <c r="N254" t="n">
        <v>2877.683424</v>
      </c>
      <c r="O254" t="n">
        <v>566.1491569999999</v>
      </c>
      <c r="P254" t="n">
        <v>140.36865</v>
      </c>
      <c r="Q254" t="n">
        <v>2877.683424</v>
      </c>
      <c r="R254" t="n">
        <v>807621.7416600001</v>
      </c>
      <c r="S254" t="n">
        <v>566.1491569999999</v>
      </c>
      <c r="T254" t="n">
        <v>-50402915.268695</v>
      </c>
      <c r="U254" t="n">
        <v>140.36865</v>
      </c>
      <c r="V254" t="n">
        <v>-2.053794932427448e+19</v>
      </c>
      <c r="W254" t="n">
        <v>719.397057</v>
      </c>
      <c r="X254" t="n">
        <v>3792.756934</v>
      </c>
      <c r="Z254" t="n">
        <v>232.918062</v>
      </c>
    </row>
    <row r="255" ht="21" customHeight="1">
      <c r="A255" t="inlineStr">
        <is>
          <t>Stichopus</t>
        </is>
      </c>
      <c r="B255" t="n">
        <v>2.3</v>
      </c>
      <c r="C255" t="n">
        <v>19.952623</v>
      </c>
      <c r="D255" s="10" t="inlineStr">
        <is>
          <t>2 Macrobenthos | 3 Macrobenthos</t>
        </is>
      </c>
      <c r="H255" t="n">
        <v>14.010241</v>
      </c>
      <c r="I255" t="n">
        <v>13.386848</v>
      </c>
      <c r="J255" t="n">
        <v>13.386848</v>
      </c>
      <c r="K255" t="n">
        <v>12.189342</v>
      </c>
      <c r="L255" t="n">
        <v>106.719149</v>
      </c>
      <c r="M255" t="n">
        <v>46.737687</v>
      </c>
      <c r="N255" t="n">
        <v>46.737687</v>
      </c>
      <c r="O255" t="n">
        <v>22.234823</v>
      </c>
      <c r="P255" t="n">
        <v>9.814845999999999</v>
      </c>
      <c r="Q255" t="n">
        <v>46.737687</v>
      </c>
      <c r="R255" t="n">
        <v>46.737687</v>
      </c>
      <c r="S255" t="n">
        <v>22.234823</v>
      </c>
      <c r="T255" t="n">
        <v>22.234823</v>
      </c>
      <c r="U255" t="n">
        <v>9.814845999999999</v>
      </c>
      <c r="V255" t="n">
        <v>9.814845999999999</v>
      </c>
      <c r="W255" t="n">
        <v>30.831021</v>
      </c>
      <c r="X255" t="n">
        <v>72.485857</v>
      </c>
      <c r="Z255" t="n">
        <v>5.642741</v>
      </c>
    </row>
    <row r="256" ht="21" customHeight="1">
      <c r="A256" t="inlineStr">
        <is>
          <t>Sphyrnidae</t>
        </is>
      </c>
      <c r="B256" t="n">
        <v>4.19</v>
      </c>
      <c r="C256" t="n">
        <v>1548.816619</v>
      </c>
      <c r="D256" s="10" t="inlineStr">
        <is>
          <t>Oceanic sharks</t>
        </is>
      </c>
      <c r="H256" t="n">
        <v>5991.076951</v>
      </c>
      <c r="I256" t="n">
        <v>2971.739048</v>
      </c>
      <c r="J256" t="n">
        <v>3537.94222</v>
      </c>
      <c r="K256" t="n">
        <v>2059.082372</v>
      </c>
      <c r="L256" t="n">
        <v>23068.147688</v>
      </c>
      <c r="M256" t="n">
        <v>11618.431417</v>
      </c>
      <c r="N256" t="n">
        <v>11618.431417</v>
      </c>
      <c r="O256" t="n">
        <v>1687.805512</v>
      </c>
      <c r="P256" t="n">
        <v>330.871563</v>
      </c>
      <c r="Q256" t="n">
        <v>11618.431417</v>
      </c>
      <c r="R256" t="n">
        <v>81886204.615971</v>
      </c>
      <c r="S256" t="n">
        <v>1687.805512</v>
      </c>
      <c r="T256" t="n">
        <v>527915.899384</v>
      </c>
      <c r="U256" t="n">
        <v>330.871563</v>
      </c>
      <c r="V256" t="n">
        <v>2.81472402916843e+22</v>
      </c>
      <c r="W256" t="n">
        <v>2193.066995</v>
      </c>
      <c r="X256" t="n">
        <v>15378.990649</v>
      </c>
      <c r="Z256" t="n">
        <v>432.856659</v>
      </c>
    </row>
    <row r="257" ht="21" customHeight="1">
      <c r="A257" t="inlineStr">
        <is>
          <t>Platycaranx malabaricus</t>
        </is>
      </c>
      <c r="B257" t="n">
        <v>3.88</v>
      </c>
      <c r="C257" t="n">
        <v>758.577575</v>
      </c>
      <c r="D257" s="10" t="inlineStr">
        <is>
          <t>2 Carangids | 3 Carangids</t>
        </is>
      </c>
      <c r="H257" t="n">
        <v>873.328216</v>
      </c>
      <c r="I257" t="n">
        <v>372.556809</v>
      </c>
      <c r="J257" t="n">
        <v>434.163448</v>
      </c>
      <c r="K257" t="n">
        <v>417.767363</v>
      </c>
      <c r="L257" t="n">
        <v>2160.134294</v>
      </c>
      <c r="M257" t="n">
        <v>1099.323673</v>
      </c>
      <c r="N257" t="n">
        <v>1099.323673</v>
      </c>
      <c r="O257" t="n">
        <v>332.917647</v>
      </c>
      <c r="P257" t="n">
        <v>90.527957</v>
      </c>
      <c r="Q257" t="n">
        <v>1099.323673</v>
      </c>
      <c r="R257" t="n">
        <v>1849500.59807</v>
      </c>
      <c r="S257" t="n">
        <v>332.917647</v>
      </c>
      <c r="T257" t="n">
        <v>19894910.028919</v>
      </c>
      <c r="U257" t="n">
        <v>90.527957</v>
      </c>
      <c r="V257" t="n">
        <v>-89296314.013887</v>
      </c>
      <c r="W257" t="n">
        <v>429.68266</v>
      </c>
      <c r="X257" t="n">
        <v>1415.097656</v>
      </c>
      <c r="Z257" t="n">
        <v>125.139702</v>
      </c>
    </row>
    <row r="258" ht="21" customHeight="1">
      <c r="A258" t="inlineStr">
        <is>
          <t>Priacanthidae</t>
        </is>
      </c>
      <c r="D258" s="10" t="inlineStr">
        <is>
          <t>2 SM pisc | 3 SM pisc</t>
        </is>
      </c>
      <c r="H258" t="n">
        <v>243.94607</v>
      </c>
      <c r="I258" t="n">
        <v>108.349841</v>
      </c>
      <c r="J258" t="n">
        <v>154.909098</v>
      </c>
      <c r="K258" t="n">
        <v>147.163643</v>
      </c>
      <c r="L258" t="n">
        <v>954.7607</v>
      </c>
      <c r="M258" t="n">
        <v>447.937281</v>
      </c>
      <c r="N258" t="n">
        <v>447.937281</v>
      </c>
      <c r="O258" t="n">
        <v>152.63502</v>
      </c>
      <c r="P258" t="n">
        <v>45.95733</v>
      </c>
      <c r="Q258" t="n">
        <v>447.937281</v>
      </c>
      <c r="R258" t="n">
        <v>-7864.592041</v>
      </c>
      <c r="S258" t="n">
        <v>152.63502</v>
      </c>
      <c r="T258" t="n">
        <v>791067.821395</v>
      </c>
      <c r="U258" t="n">
        <v>45.95733</v>
      </c>
      <c r="V258" t="n">
        <v>-22992541.193563</v>
      </c>
      <c r="W258" t="n">
        <v>192.62905</v>
      </c>
      <c r="X258" t="n">
        <v>583.6561809999999</v>
      </c>
      <c r="Z258" t="n">
        <v>48.362824</v>
      </c>
    </row>
    <row r="259" ht="21" customHeight="1">
      <c r="A259" t="inlineStr">
        <is>
          <t>Alopias vulpinus</t>
        </is>
      </c>
      <c r="B259" t="n">
        <v>4.5</v>
      </c>
      <c r="C259" t="n">
        <v>3162.27766</v>
      </c>
      <c r="D259" s="10" t="inlineStr">
        <is>
          <t>Oceanic sharks</t>
        </is>
      </c>
      <c r="H259" t="n">
        <v>5991.076951</v>
      </c>
      <c r="I259" t="n">
        <v>2971.739048</v>
      </c>
      <c r="J259" t="n">
        <v>3537.94222</v>
      </c>
      <c r="K259" t="n">
        <v>2059.082372</v>
      </c>
      <c r="L259" t="n">
        <v>23068.147688</v>
      </c>
      <c r="M259" t="n">
        <v>11618.431417</v>
      </c>
      <c r="N259" t="n">
        <v>11618.431417</v>
      </c>
      <c r="O259" t="n">
        <v>1687.805512</v>
      </c>
      <c r="P259" t="n">
        <v>330.871563</v>
      </c>
      <c r="Q259" t="n">
        <v>11618.431417</v>
      </c>
      <c r="R259" t="n">
        <v>81886204.615971</v>
      </c>
      <c r="S259" t="n">
        <v>1687.805512</v>
      </c>
      <c r="T259" t="n">
        <v>527915.899384</v>
      </c>
      <c r="U259" t="n">
        <v>330.871563</v>
      </c>
      <c r="V259" t="n">
        <v>2.81472402916843e+22</v>
      </c>
      <c r="W259" t="n">
        <v>2193.066995</v>
      </c>
      <c r="X259" t="n">
        <v>15378.990649</v>
      </c>
      <c r="Z259" t="n">
        <v>432.856659</v>
      </c>
    </row>
    <row r="260" ht="21" customHeight="1">
      <c r="A260" t="inlineStr">
        <is>
          <t>Alopias pelagicus</t>
        </is>
      </c>
      <c r="B260" t="n">
        <v>4.5</v>
      </c>
      <c r="C260" t="n">
        <v>3162.27766</v>
      </c>
      <c r="D260" s="10" t="inlineStr">
        <is>
          <t>Oceanic sharks</t>
        </is>
      </c>
      <c r="H260" t="n">
        <v>5991.076951</v>
      </c>
      <c r="I260" t="n">
        <v>2971.739048</v>
      </c>
      <c r="J260" t="n">
        <v>3537.94222</v>
      </c>
      <c r="K260" t="n">
        <v>2059.082372</v>
      </c>
      <c r="L260" t="n">
        <v>23068.147688</v>
      </c>
      <c r="M260" t="n">
        <v>11618.431417</v>
      </c>
      <c r="N260" t="n">
        <v>11618.431417</v>
      </c>
      <c r="O260" t="n">
        <v>1687.805512</v>
      </c>
      <c r="P260" t="n">
        <v>330.871563</v>
      </c>
      <c r="Q260" t="n">
        <v>11618.431417</v>
      </c>
      <c r="R260" t="n">
        <v>81886204.615971</v>
      </c>
      <c r="S260" t="n">
        <v>1687.805512</v>
      </c>
      <c r="T260" t="n">
        <v>527915.899384</v>
      </c>
      <c r="U260" t="n">
        <v>330.871563</v>
      </c>
      <c r="V260" t="n">
        <v>2.81472402916843e+22</v>
      </c>
      <c r="W260" t="n">
        <v>2193.066995</v>
      </c>
      <c r="X260" t="n">
        <v>15378.990649</v>
      </c>
      <c r="Z260" t="n">
        <v>432.856659</v>
      </c>
    </row>
    <row r="261" ht="21" customHeight="1">
      <c r="A261" t="inlineStr">
        <is>
          <t>Alopias superciliosus</t>
        </is>
      </c>
      <c r="B261" t="n">
        <v>4.51</v>
      </c>
      <c r="C261" t="n">
        <v>3235.936569</v>
      </c>
      <c r="D261" s="10" t="inlineStr">
        <is>
          <t>Oceanic sharks</t>
        </is>
      </c>
      <c r="H261" t="n">
        <v>5991.076951</v>
      </c>
      <c r="I261" t="n">
        <v>2971.739048</v>
      </c>
      <c r="J261" t="n">
        <v>3537.94222</v>
      </c>
      <c r="K261" t="n">
        <v>2059.082372</v>
      </c>
      <c r="L261" t="n">
        <v>23068.147688</v>
      </c>
      <c r="M261" t="n">
        <v>11618.431417</v>
      </c>
      <c r="N261" t="n">
        <v>11618.431417</v>
      </c>
      <c r="O261" t="n">
        <v>1687.805512</v>
      </c>
      <c r="P261" t="n">
        <v>330.871563</v>
      </c>
      <c r="Q261" t="n">
        <v>11618.431417</v>
      </c>
      <c r="R261" t="n">
        <v>81886204.615971</v>
      </c>
      <c r="S261" t="n">
        <v>1687.805512</v>
      </c>
      <c r="T261" t="n">
        <v>527915.899384</v>
      </c>
      <c r="U261" t="n">
        <v>330.871563</v>
      </c>
      <c r="V261" t="n">
        <v>2.81472402916843e+22</v>
      </c>
      <c r="W261" t="n">
        <v>2193.066995</v>
      </c>
      <c r="X261" t="n">
        <v>15378.990649</v>
      </c>
      <c r="Z261" t="n">
        <v>432.856659</v>
      </c>
    </row>
    <row r="262" ht="21" customHeight="1">
      <c r="A262" t="inlineStr">
        <is>
          <t>Tridacna</t>
        </is>
      </c>
      <c r="B262" t="n">
        <v>2.12</v>
      </c>
      <c r="C262" t="n">
        <v>13.182567</v>
      </c>
      <c r="D262" s="10" t="inlineStr">
        <is>
          <t>2 Macrobenthos | 3 Macrobenthos</t>
        </is>
      </c>
      <c r="H262" t="n">
        <v>14.010241</v>
      </c>
      <c r="I262" t="n">
        <v>13.386848</v>
      </c>
      <c r="J262" t="n">
        <v>13.386848</v>
      </c>
      <c r="K262" t="n">
        <v>12.189342</v>
      </c>
      <c r="L262" t="n">
        <v>106.719149</v>
      </c>
      <c r="M262" t="n">
        <v>46.737687</v>
      </c>
      <c r="N262" t="n">
        <v>46.737687</v>
      </c>
      <c r="O262" t="n">
        <v>22.234823</v>
      </c>
      <c r="P262" t="n">
        <v>9.814845999999999</v>
      </c>
      <c r="Q262" t="n">
        <v>46.737687</v>
      </c>
      <c r="R262" t="n">
        <v>46.737687</v>
      </c>
      <c r="S262" t="n">
        <v>22.234823</v>
      </c>
      <c r="T262" t="n">
        <v>22.234823</v>
      </c>
      <c r="U262" t="n">
        <v>9.814845999999999</v>
      </c>
      <c r="V262" t="n">
        <v>9.814845999999999</v>
      </c>
      <c r="W262" t="n">
        <v>30.831021</v>
      </c>
      <c r="X262" t="n">
        <v>72.485857</v>
      </c>
      <c r="Z262" t="n">
        <v>5.642741</v>
      </c>
    </row>
    <row r="263" ht="21" customHeight="1">
      <c r="A263" t="inlineStr">
        <is>
          <t>Chanos chanos</t>
        </is>
      </c>
      <c r="B263" t="n">
        <v>2.03</v>
      </c>
      <c r="C263" t="n">
        <v>10.715193</v>
      </c>
      <c r="D263" s="10" t="inlineStr">
        <is>
          <t>2 Milkfish plus | 3 Milkfish plus</t>
        </is>
      </c>
      <c r="H263" t="n">
        <v>218.28464</v>
      </c>
      <c r="I263" t="n">
        <v>104.193219</v>
      </c>
      <c r="J263" t="n">
        <v>172.152545</v>
      </c>
      <c r="K263" t="n">
        <v>158.688167</v>
      </c>
      <c r="L263" t="n">
        <v>956.244957</v>
      </c>
      <c r="M263" t="n">
        <v>441.803024</v>
      </c>
      <c r="N263" t="n">
        <v>441.803024</v>
      </c>
      <c r="O263" t="n">
        <v>146.861303</v>
      </c>
      <c r="P263" t="n">
        <v>45.255525</v>
      </c>
      <c r="Q263" t="n">
        <v>441.803024</v>
      </c>
      <c r="R263" t="n">
        <v>186979.680387</v>
      </c>
      <c r="S263" t="n">
        <v>146.861303</v>
      </c>
      <c r="T263" t="n">
        <v>617040.751743</v>
      </c>
      <c r="U263" t="n">
        <v>45.255525</v>
      </c>
      <c r="V263" t="n">
        <v>-73441647.53175899</v>
      </c>
      <c r="W263" t="n">
        <v>191.757018</v>
      </c>
      <c r="X263" t="n">
        <v>597.4259</v>
      </c>
      <c r="Z263" t="n">
        <v>38.590302</v>
      </c>
    </row>
    <row r="264" ht="21" customHeight="1">
      <c r="A264" t="inlineStr">
        <is>
          <t>Muraenesocidae</t>
        </is>
      </c>
      <c r="B264" t="n">
        <v>3.9</v>
      </c>
      <c r="C264" t="n">
        <v>794.3282349999999</v>
      </c>
      <c r="D264" s="10" t="inlineStr">
        <is>
          <t>2 L pisc | 3 L pisc</t>
        </is>
      </c>
      <c r="H264" t="n">
        <v>1686.007244</v>
      </c>
      <c r="I264" t="n">
        <v>562.291264</v>
      </c>
      <c r="J264" t="n">
        <v>667.421881</v>
      </c>
      <c r="K264" t="n">
        <v>600.679693</v>
      </c>
      <c r="L264" t="n">
        <v>3541.417618</v>
      </c>
      <c r="M264" t="n">
        <v>1779.674544</v>
      </c>
      <c r="N264" t="n">
        <v>1779.674544</v>
      </c>
      <c r="O264" t="n">
        <v>491.036533</v>
      </c>
      <c r="P264" t="n">
        <v>120.796851</v>
      </c>
      <c r="Q264" t="n">
        <v>1779.674544</v>
      </c>
      <c r="R264" t="n">
        <v>183794.440851</v>
      </c>
      <c r="S264" t="n">
        <v>491.036533</v>
      </c>
      <c r="T264" t="n">
        <v>5645299.035557</v>
      </c>
      <c r="U264" t="n">
        <v>120.796851</v>
      </c>
      <c r="V264" t="n">
        <v>-5887325720.988076</v>
      </c>
      <c r="W264" t="n">
        <v>628.114208</v>
      </c>
      <c r="X264" t="n">
        <v>2283.896043</v>
      </c>
      <c r="Z264" t="n">
        <v>188.595494</v>
      </c>
    </row>
    <row r="265" ht="21" customHeight="1">
      <c r="A265" t="inlineStr">
        <is>
          <t>Aluterus</t>
        </is>
      </c>
      <c r="B265" t="n">
        <v>2.81</v>
      </c>
      <c r="C265" t="n">
        <v>64.565423</v>
      </c>
      <c r="D265" s="10" t="inlineStr">
        <is>
          <t>2 SM inv | 3 SM inv</t>
        </is>
      </c>
      <c r="H265" t="n">
        <v>91.813177</v>
      </c>
      <c r="I265" t="n">
        <v>52.413336</v>
      </c>
      <c r="J265" t="n">
        <v>62.649384</v>
      </c>
      <c r="K265" t="n">
        <v>58.645949</v>
      </c>
      <c r="L265" t="n">
        <v>358.382548</v>
      </c>
      <c r="M265" t="n">
        <v>163.84463</v>
      </c>
      <c r="N265" t="n">
        <v>163.84463</v>
      </c>
      <c r="O265" t="n">
        <v>65.16087</v>
      </c>
      <c r="P265" t="n">
        <v>23.726562</v>
      </c>
      <c r="Q265" t="n">
        <v>163.84463</v>
      </c>
      <c r="R265" t="n">
        <v>27231.721784</v>
      </c>
      <c r="S265" t="n">
        <v>65.16087</v>
      </c>
      <c r="T265" t="n">
        <v>247011.21003</v>
      </c>
      <c r="U265" t="n">
        <v>23.726562</v>
      </c>
      <c r="V265" t="n">
        <v>-1608691.090535</v>
      </c>
      <c r="W265" t="n">
        <v>85.655771</v>
      </c>
      <c r="X265" t="n">
        <v>226.381866</v>
      </c>
      <c r="Z265" t="n">
        <v>23.837652</v>
      </c>
    </row>
    <row r="266" ht="21" customHeight="1">
      <c r="A266" t="inlineStr">
        <is>
          <t>Panulirus penicillatus</t>
        </is>
      </c>
      <c r="B266" t="n">
        <v>3.57</v>
      </c>
      <c r="C266" t="n">
        <v>371.535229</v>
      </c>
      <c r="D266" s="10" t="inlineStr">
        <is>
          <t>2 Crustaceans | 3 Crustaceans</t>
        </is>
      </c>
      <c r="H266" t="n">
        <v>16.647547</v>
      </c>
      <c r="I266" t="n">
        <v>15.13996</v>
      </c>
      <c r="J266" t="n">
        <v>15.13996</v>
      </c>
      <c r="K266" t="n">
        <v>14.107486</v>
      </c>
      <c r="L266" t="n">
        <v>88.61683499999999</v>
      </c>
      <c r="M266" t="n">
        <v>30.998352</v>
      </c>
      <c r="N266" t="n">
        <v>30.998352</v>
      </c>
      <c r="O266" t="n">
        <v>15.004935</v>
      </c>
      <c r="P266" t="n">
        <v>7.795329</v>
      </c>
      <c r="Q266" t="n">
        <v>30.998352</v>
      </c>
      <c r="R266" t="n">
        <v>30.998352</v>
      </c>
      <c r="S266" t="n">
        <v>15.004935</v>
      </c>
      <c r="T266" t="n">
        <v>15.004935</v>
      </c>
      <c r="U266" t="n">
        <v>7.795329</v>
      </c>
      <c r="V266" t="n">
        <v>7.795329</v>
      </c>
      <c r="W266" t="n">
        <v>15.392557</v>
      </c>
      <c r="X266" t="n">
        <v>34.031508</v>
      </c>
      <c r="Z266" t="n">
        <v>6.196734</v>
      </c>
    </row>
    <row r="267" ht="21" customHeight="1">
      <c r="A267" t="inlineStr">
        <is>
          <t>Panulirus versicolor</t>
        </is>
      </c>
      <c r="B267" t="n">
        <v>3.57</v>
      </c>
      <c r="C267" t="n">
        <v>371.535229</v>
      </c>
      <c r="D267" s="10" t="inlineStr">
        <is>
          <t>2 Crustaceans | 3 Crustaceans</t>
        </is>
      </c>
      <c r="H267" t="n">
        <v>16.647547</v>
      </c>
      <c r="I267" t="n">
        <v>15.13996</v>
      </c>
      <c r="J267" t="n">
        <v>15.13996</v>
      </c>
      <c r="K267" t="n">
        <v>14.107486</v>
      </c>
      <c r="L267" t="n">
        <v>88.61683499999999</v>
      </c>
      <c r="M267" t="n">
        <v>30.998352</v>
      </c>
      <c r="N267" t="n">
        <v>30.998352</v>
      </c>
      <c r="O267" t="n">
        <v>15.004935</v>
      </c>
      <c r="P267" t="n">
        <v>7.795329</v>
      </c>
      <c r="Q267" t="n">
        <v>30.998352</v>
      </c>
      <c r="R267" t="n">
        <v>30.998352</v>
      </c>
      <c r="S267" t="n">
        <v>15.004935</v>
      </c>
      <c r="T267" t="n">
        <v>15.004935</v>
      </c>
      <c r="U267" t="n">
        <v>7.795329</v>
      </c>
      <c r="V267" t="n">
        <v>7.795329</v>
      </c>
      <c r="W267" t="n">
        <v>15.392557</v>
      </c>
      <c r="X267" t="n">
        <v>34.031508</v>
      </c>
      <c r="Z267" t="n">
        <v>6.196734</v>
      </c>
    </row>
    <row r="268" ht="21" customHeight="1">
      <c r="A268" t="inlineStr">
        <is>
          <t>Carcharhinus sorrah</t>
        </is>
      </c>
      <c r="B268" t="n">
        <v>4.15</v>
      </c>
      <c r="C268" t="n">
        <v>1412.537545</v>
      </c>
      <c r="D268" s="10" t="inlineStr">
        <is>
          <t>Coastal elasmobranch</t>
        </is>
      </c>
      <c r="H268" t="n">
        <v>3918.259862</v>
      </c>
      <c r="I268" t="n">
        <v>1355.349538</v>
      </c>
      <c r="J268" t="n">
        <v>1507.801381</v>
      </c>
      <c r="K268" t="n">
        <v>1423.364503</v>
      </c>
      <c r="L268" t="n">
        <v>16997.641054</v>
      </c>
      <c r="M268" t="n">
        <v>8379.450296999999</v>
      </c>
      <c r="N268" t="n">
        <v>8379.450296999999</v>
      </c>
      <c r="O268" t="n">
        <v>1747.163226</v>
      </c>
      <c r="P268" t="n">
        <v>316.077663</v>
      </c>
      <c r="Q268" t="n">
        <v>8379.450296999999</v>
      </c>
      <c r="R268" t="n">
        <v>88438129.351763</v>
      </c>
      <c r="S268" t="n">
        <v>1747.163226</v>
      </c>
      <c r="T268" t="n">
        <v>7107955.115117</v>
      </c>
      <c r="U268" t="n">
        <v>316.077663</v>
      </c>
      <c r="V268" t="n">
        <v>3.942428667430859e+22</v>
      </c>
      <c r="W268" t="n">
        <v>2309.611491</v>
      </c>
      <c r="X268" t="n">
        <v>11319.470971</v>
      </c>
      <c r="Z268" t="n">
        <v>269.913382</v>
      </c>
    </row>
    <row r="269" ht="21" customHeight="1">
      <c r="A269" t="inlineStr">
        <is>
          <t>Carcharhinus limbatus</t>
        </is>
      </c>
      <c r="B269" t="n">
        <v>4.37</v>
      </c>
      <c r="C269" t="n">
        <v>2344.228815</v>
      </c>
      <c r="D269" s="10" t="inlineStr">
        <is>
          <t>Coastal elasmobranch</t>
        </is>
      </c>
      <c r="H269" t="n">
        <v>3918.259862</v>
      </c>
      <c r="I269" t="n">
        <v>1355.349538</v>
      </c>
      <c r="J269" t="n">
        <v>1507.801381</v>
      </c>
      <c r="K269" t="n">
        <v>1423.364503</v>
      </c>
      <c r="L269" t="n">
        <v>16997.641054</v>
      </c>
      <c r="M269" t="n">
        <v>8379.450296999999</v>
      </c>
      <c r="N269" t="n">
        <v>8379.450296999999</v>
      </c>
      <c r="O269" t="n">
        <v>1747.163226</v>
      </c>
      <c r="P269" t="n">
        <v>316.077663</v>
      </c>
      <c r="Q269" t="n">
        <v>8379.450296999999</v>
      </c>
      <c r="R269" t="n">
        <v>88438129.351763</v>
      </c>
      <c r="S269" t="n">
        <v>1747.163226</v>
      </c>
      <c r="T269" t="n">
        <v>7107955.115117</v>
      </c>
      <c r="U269" t="n">
        <v>316.077663</v>
      </c>
      <c r="V269" t="n">
        <v>3.942428667430859e+22</v>
      </c>
      <c r="W269" t="n">
        <v>2309.611491</v>
      </c>
      <c r="X269" t="n">
        <v>11319.470971</v>
      </c>
      <c r="Z269" t="n">
        <v>269.913382</v>
      </c>
    </row>
    <row r="270" ht="21" customHeight="1">
      <c r="A270" t="inlineStr">
        <is>
          <t>Carcharhinus albimarginatus</t>
        </is>
      </c>
      <c r="B270" t="n">
        <v>4.21</v>
      </c>
      <c r="C270" t="n">
        <v>1621.810097</v>
      </c>
      <c r="D270" s="10" t="inlineStr">
        <is>
          <t>Coastal elasmobranch</t>
        </is>
      </c>
      <c r="H270" t="n">
        <v>3918.259862</v>
      </c>
      <c r="I270" t="n">
        <v>1355.349538</v>
      </c>
      <c r="J270" t="n">
        <v>1507.801381</v>
      </c>
      <c r="K270" t="n">
        <v>1423.364503</v>
      </c>
      <c r="L270" t="n">
        <v>16997.641054</v>
      </c>
      <c r="M270" t="n">
        <v>8379.450296999999</v>
      </c>
      <c r="N270" t="n">
        <v>8379.450296999999</v>
      </c>
      <c r="O270" t="n">
        <v>1747.163226</v>
      </c>
      <c r="P270" t="n">
        <v>316.077663</v>
      </c>
      <c r="Q270" t="n">
        <v>8379.450296999999</v>
      </c>
      <c r="R270" t="n">
        <v>88438129.351763</v>
      </c>
      <c r="S270" t="n">
        <v>1747.163226</v>
      </c>
      <c r="T270" t="n">
        <v>7107955.115117</v>
      </c>
      <c r="U270" t="n">
        <v>316.077663</v>
      </c>
      <c r="V270" t="n">
        <v>3.942428667430859e+22</v>
      </c>
      <c r="W270" t="n">
        <v>2309.611491</v>
      </c>
      <c r="X270" t="n">
        <v>11319.470971</v>
      </c>
      <c r="Z270" t="n">
        <v>269.913382</v>
      </c>
    </row>
    <row r="271" ht="21" customHeight="1">
      <c r="A271" t="inlineStr">
        <is>
          <t>Carcharhinus melanopterus</t>
        </is>
      </c>
      <c r="B271" t="n">
        <v>3.94</v>
      </c>
      <c r="C271" t="n">
        <v>870.96359</v>
      </c>
      <c r="D271" s="10" t="inlineStr">
        <is>
          <t>Coastal elasmobranch</t>
        </is>
      </c>
      <c r="H271" t="n">
        <v>3918.259862</v>
      </c>
      <c r="I271" t="n">
        <v>1355.349538</v>
      </c>
      <c r="J271" t="n">
        <v>1507.801381</v>
      </c>
      <c r="K271" t="n">
        <v>1423.364503</v>
      </c>
      <c r="L271" t="n">
        <v>16997.641054</v>
      </c>
      <c r="M271" t="n">
        <v>8379.450296999999</v>
      </c>
      <c r="N271" t="n">
        <v>8379.450296999999</v>
      </c>
      <c r="O271" t="n">
        <v>1747.163226</v>
      </c>
      <c r="P271" t="n">
        <v>316.077663</v>
      </c>
      <c r="Q271" t="n">
        <v>8379.450296999999</v>
      </c>
      <c r="R271" t="n">
        <v>88438129.351763</v>
      </c>
      <c r="S271" t="n">
        <v>1747.163226</v>
      </c>
      <c r="T271" t="n">
        <v>7107955.115117</v>
      </c>
      <c r="U271" t="n">
        <v>316.077663</v>
      </c>
      <c r="V271" t="n">
        <v>3.942428667430859e+22</v>
      </c>
      <c r="W271" t="n">
        <v>2309.611491</v>
      </c>
      <c r="X271" t="n">
        <v>11319.470971</v>
      </c>
      <c r="Z271" t="n">
        <v>269.913382</v>
      </c>
    </row>
    <row r="272" ht="21" customHeight="1">
      <c r="A272" t="inlineStr">
        <is>
          <t>Carcharhinus amblyrhynchos</t>
        </is>
      </c>
      <c r="B272" t="n">
        <v>4.11</v>
      </c>
      <c r="C272" t="n">
        <v>1288.249552</v>
      </c>
      <c r="D272" s="10" t="inlineStr">
        <is>
          <t>Coastal elasmobranch</t>
        </is>
      </c>
      <c r="H272" t="n">
        <v>3918.259862</v>
      </c>
      <c r="I272" t="n">
        <v>1355.349538</v>
      </c>
      <c r="J272" t="n">
        <v>1507.801381</v>
      </c>
      <c r="K272" t="n">
        <v>1423.364503</v>
      </c>
      <c r="L272" t="n">
        <v>16997.641054</v>
      </c>
      <c r="M272" t="n">
        <v>8379.450296999999</v>
      </c>
      <c r="N272" t="n">
        <v>8379.450296999999</v>
      </c>
      <c r="O272" t="n">
        <v>1747.163226</v>
      </c>
      <c r="P272" t="n">
        <v>316.077663</v>
      </c>
      <c r="Q272" t="n">
        <v>8379.450296999999</v>
      </c>
      <c r="R272" t="n">
        <v>88438129.351763</v>
      </c>
      <c r="S272" t="n">
        <v>1747.163226</v>
      </c>
      <c r="T272" t="n">
        <v>7107955.115117</v>
      </c>
      <c r="U272" t="n">
        <v>316.077663</v>
      </c>
      <c r="V272" t="n">
        <v>3.942428667430859e+22</v>
      </c>
      <c r="W272" t="n">
        <v>2309.611491</v>
      </c>
      <c r="X272" t="n">
        <v>11319.470971</v>
      </c>
      <c r="Z272" t="n">
        <v>269.913382</v>
      </c>
    </row>
    <row r="273" ht="21" customHeight="1">
      <c r="A273" t="inlineStr">
        <is>
          <t>Galeocerdo cuvier</t>
        </is>
      </c>
      <c r="B273" t="n">
        <v>4.54</v>
      </c>
      <c r="C273" t="n">
        <v>3467.368505</v>
      </c>
      <c r="D273" s="10" t="inlineStr">
        <is>
          <t>Coastal elasmobranch</t>
        </is>
      </c>
      <c r="H273" t="n">
        <v>3918.259862</v>
      </c>
      <c r="I273" t="n">
        <v>1355.349538</v>
      </c>
      <c r="J273" t="n">
        <v>1507.801381</v>
      </c>
      <c r="K273" t="n">
        <v>1423.364503</v>
      </c>
      <c r="L273" t="n">
        <v>16997.641054</v>
      </c>
      <c r="M273" t="n">
        <v>8379.450296999999</v>
      </c>
      <c r="N273" t="n">
        <v>8379.450296999999</v>
      </c>
      <c r="O273" t="n">
        <v>1747.163226</v>
      </c>
      <c r="P273" t="n">
        <v>316.077663</v>
      </c>
      <c r="Q273" t="n">
        <v>8379.450296999999</v>
      </c>
      <c r="R273" t="n">
        <v>88438129.351763</v>
      </c>
      <c r="S273" t="n">
        <v>1747.163226</v>
      </c>
      <c r="T273" t="n">
        <v>7107955.115117</v>
      </c>
      <c r="U273" t="n">
        <v>316.077663</v>
      </c>
      <c r="V273" t="n">
        <v>3.942428667430859e+22</v>
      </c>
      <c r="W273" t="n">
        <v>2309.611491</v>
      </c>
      <c r="X273" t="n">
        <v>11319.470971</v>
      </c>
      <c r="Z273" t="n">
        <v>269.913382</v>
      </c>
    </row>
    <row r="274" ht="21" customHeight="1">
      <c r="A274" t="inlineStr">
        <is>
          <t>Istiophorus</t>
        </is>
      </c>
      <c r="B274" t="n">
        <v>4.5</v>
      </c>
      <c r="C274" t="n">
        <v>3162.27766</v>
      </c>
      <c r="D274" s="10" t="inlineStr">
        <is>
          <t>Tuna-like</t>
        </is>
      </c>
      <c r="H274" t="n">
        <v>4024.005911</v>
      </c>
      <c r="I274" t="n">
        <v>1217.030544</v>
      </c>
      <c r="J274" t="n">
        <v>1425.466216</v>
      </c>
      <c r="K274" t="n">
        <v>1274.366797</v>
      </c>
      <c r="L274" t="n">
        <v>8472.950376000001</v>
      </c>
      <c r="M274" t="n">
        <v>4280.710601</v>
      </c>
      <c r="N274" t="n">
        <v>4280.710601</v>
      </c>
      <c r="O274" t="n">
        <v>1050.279426</v>
      </c>
      <c r="P274" t="n">
        <v>230.70519</v>
      </c>
      <c r="Q274" t="n">
        <v>4280.710601</v>
      </c>
      <c r="R274" t="n">
        <v>2938914.210776</v>
      </c>
      <c r="S274" t="n">
        <v>1050.279426</v>
      </c>
      <c r="T274" t="n">
        <v>-12560069.044484</v>
      </c>
      <c r="U274" t="n">
        <v>230.70519</v>
      </c>
      <c r="V274" t="n">
        <v>990357739.175012</v>
      </c>
      <c r="W274" t="n">
        <v>1374.354712</v>
      </c>
      <c r="X274" t="n">
        <v>5545.438014</v>
      </c>
      <c r="Z274" t="n">
        <v>369.948499</v>
      </c>
    </row>
    <row r="275" ht="21" customHeight="1">
      <c r="A275" t="inlineStr">
        <is>
          <t>Hyporhamphus</t>
        </is>
      </c>
      <c r="B275" t="n">
        <v>3.3</v>
      </c>
      <c r="C275" t="n">
        <v>199.526231</v>
      </c>
      <c r="D275" s="10" t="inlineStr">
        <is>
          <t>2 S pelagics | 3 S pelagics</t>
        </is>
      </c>
      <c r="H275" t="n">
        <v>93.087237</v>
      </c>
      <c r="I275" t="n">
        <v>47.55691</v>
      </c>
      <c r="J275" t="n">
        <v>60.271203</v>
      </c>
      <c r="K275" t="n">
        <v>56.323134</v>
      </c>
      <c r="L275" t="n">
        <v>234.01812</v>
      </c>
      <c r="M275" t="n">
        <v>119.363868</v>
      </c>
      <c r="N275" t="n">
        <v>119.363868</v>
      </c>
      <c r="O275" t="n">
        <v>45.511558</v>
      </c>
      <c r="P275" t="n">
        <v>18.627065</v>
      </c>
      <c r="Q275" t="n">
        <v>119.363868</v>
      </c>
      <c r="R275" t="n">
        <v>-24383.104584</v>
      </c>
      <c r="S275" t="n">
        <v>45.511558</v>
      </c>
      <c r="T275" t="n">
        <v>262858.692163</v>
      </c>
      <c r="U275" t="n">
        <v>18.627065</v>
      </c>
      <c r="V275" t="n">
        <v>-4562944.327372</v>
      </c>
      <c r="W275" t="n">
        <v>52.667461</v>
      </c>
      <c r="X275" t="n">
        <v>147.16235</v>
      </c>
      <c r="Z275" t="n">
        <v>27.466663</v>
      </c>
    </row>
    <row r="276" ht="21" customHeight="1">
      <c r="A276" t="inlineStr">
        <is>
          <t>Lethrinus</t>
        </is>
      </c>
      <c r="B276" t="n">
        <v>3.75</v>
      </c>
      <c r="C276" t="n">
        <v>562.341325</v>
      </c>
      <c r="D276" s="10" t="inlineStr">
        <is>
          <t>2 L pisc comm | 3 L pisc comm</t>
        </is>
      </c>
      <c r="H276" t="n">
        <v>801.308671</v>
      </c>
      <c r="I276" t="n">
        <v>347.219292</v>
      </c>
      <c r="J276" t="n">
        <v>442.467638</v>
      </c>
      <c r="K276" t="n">
        <v>402.262611</v>
      </c>
      <c r="L276" t="n">
        <v>2161.417589</v>
      </c>
      <c r="M276" t="n">
        <v>1083.958638</v>
      </c>
      <c r="N276" t="n">
        <v>1083.958638</v>
      </c>
      <c r="O276" t="n">
        <v>300.122309</v>
      </c>
      <c r="P276" t="n">
        <v>80.463222</v>
      </c>
      <c r="Q276" t="n">
        <v>1083.958638</v>
      </c>
      <c r="R276" t="n">
        <v>4211.040307</v>
      </c>
      <c r="S276" t="n">
        <v>300.122309</v>
      </c>
      <c r="T276" t="n">
        <v>24938830.515997</v>
      </c>
      <c r="U276" t="n">
        <v>80.463222</v>
      </c>
      <c r="V276" t="n">
        <v>-1116515115.800599</v>
      </c>
      <c r="W276" t="n">
        <v>379.777929</v>
      </c>
      <c r="X276" t="n">
        <v>1380.363646</v>
      </c>
      <c r="Z276" t="n">
        <v>105.373581</v>
      </c>
    </row>
    <row r="277" ht="21" customHeight="1">
      <c r="A277" t="inlineStr">
        <is>
          <t>Sphyrna zygaena</t>
        </is>
      </c>
      <c r="B277" t="n">
        <v>4.94</v>
      </c>
      <c r="C277" t="n">
        <v>8709.635899999999</v>
      </c>
      <c r="D277" s="10" t="inlineStr">
        <is>
          <t>Oceanic sharks</t>
        </is>
      </c>
      <c r="H277" t="n">
        <v>5991.076951</v>
      </c>
      <c r="I277" t="n">
        <v>2971.739048</v>
      </c>
      <c r="J277" t="n">
        <v>3537.94222</v>
      </c>
      <c r="K277" t="n">
        <v>2059.082372</v>
      </c>
      <c r="L277" t="n">
        <v>23068.147688</v>
      </c>
      <c r="M277" t="n">
        <v>11618.431417</v>
      </c>
      <c r="N277" t="n">
        <v>11618.431417</v>
      </c>
      <c r="O277" t="n">
        <v>1687.805512</v>
      </c>
      <c r="P277" t="n">
        <v>330.871563</v>
      </c>
      <c r="Q277" t="n">
        <v>11618.431417</v>
      </c>
      <c r="R277" t="n">
        <v>81886204.615971</v>
      </c>
      <c r="S277" t="n">
        <v>1687.805512</v>
      </c>
      <c r="T277" t="n">
        <v>527915.899384</v>
      </c>
      <c r="U277" t="n">
        <v>330.871563</v>
      </c>
      <c r="V277" t="n">
        <v>2.81472402916843e+22</v>
      </c>
      <c r="W277" t="n">
        <v>2193.066995</v>
      </c>
      <c r="X277" t="n">
        <v>15378.990649</v>
      </c>
      <c r="Z277" t="n">
        <v>432.856659</v>
      </c>
    </row>
    <row r="278" ht="21" customHeight="1">
      <c r="A278" t="inlineStr">
        <is>
          <t>Sphyrna lewini</t>
        </is>
      </c>
      <c r="B278" t="n">
        <v>4.08</v>
      </c>
      <c r="C278" t="n">
        <v>1202.264435</v>
      </c>
      <c r="D278" s="10" t="inlineStr">
        <is>
          <t>Oceanic sharks</t>
        </is>
      </c>
      <c r="H278" t="n">
        <v>5991.076951</v>
      </c>
      <c r="I278" t="n">
        <v>2971.739048</v>
      </c>
      <c r="J278" t="n">
        <v>3537.94222</v>
      </c>
      <c r="K278" t="n">
        <v>2059.082372</v>
      </c>
      <c r="L278" t="n">
        <v>23068.147688</v>
      </c>
      <c r="M278" t="n">
        <v>11618.431417</v>
      </c>
      <c r="N278" t="n">
        <v>11618.431417</v>
      </c>
      <c r="O278" t="n">
        <v>1687.805512</v>
      </c>
      <c r="P278" t="n">
        <v>330.871563</v>
      </c>
      <c r="Q278" t="n">
        <v>11618.431417</v>
      </c>
      <c r="R278" t="n">
        <v>81886204.615971</v>
      </c>
      <c r="S278" t="n">
        <v>1687.805512</v>
      </c>
      <c r="T278" t="n">
        <v>527915.899384</v>
      </c>
      <c r="U278" t="n">
        <v>330.871563</v>
      </c>
      <c r="V278" t="n">
        <v>2.81472402916843e+22</v>
      </c>
      <c r="W278" t="n">
        <v>2193.066995</v>
      </c>
      <c r="X278" t="n">
        <v>15378.990649</v>
      </c>
      <c r="Z278" t="n">
        <v>432.856659</v>
      </c>
    </row>
    <row r="279" ht="21" customHeight="1">
      <c r="A279" t="inlineStr">
        <is>
          <t>Sphyrna mokarran</t>
        </is>
      </c>
      <c r="B279" t="n">
        <v>4.32</v>
      </c>
      <c r="C279" t="n">
        <v>2089.296131</v>
      </c>
      <c r="D279" s="10" t="inlineStr">
        <is>
          <t>Oceanic sharks</t>
        </is>
      </c>
      <c r="H279" t="n">
        <v>5991.076951</v>
      </c>
      <c r="I279" t="n">
        <v>2971.739048</v>
      </c>
      <c r="J279" t="n">
        <v>3537.94222</v>
      </c>
      <c r="K279" t="n">
        <v>2059.082372</v>
      </c>
      <c r="L279" t="n">
        <v>23068.147688</v>
      </c>
      <c r="M279" t="n">
        <v>11618.431417</v>
      </c>
      <c r="N279" t="n">
        <v>11618.431417</v>
      </c>
      <c r="O279" t="n">
        <v>1687.805512</v>
      </c>
      <c r="P279" t="n">
        <v>330.871563</v>
      </c>
      <c r="Q279" t="n">
        <v>11618.431417</v>
      </c>
      <c r="R279" t="n">
        <v>81886204.615971</v>
      </c>
      <c r="S279" t="n">
        <v>1687.805512</v>
      </c>
      <c r="T279" t="n">
        <v>527915.899384</v>
      </c>
      <c r="U279" t="n">
        <v>330.871563</v>
      </c>
      <c r="V279" t="n">
        <v>2.81472402916843e+22</v>
      </c>
      <c r="W279" t="n">
        <v>2193.066995</v>
      </c>
      <c r="X279" t="n">
        <v>15378.990649</v>
      </c>
      <c r="Z279" t="n">
        <v>432.856659</v>
      </c>
    </row>
    <row r="280" ht="21" customHeight="1">
      <c r="A280" t="inlineStr">
        <is>
          <t>Acanthurus</t>
        </is>
      </c>
      <c r="B280" t="n">
        <v>2.03</v>
      </c>
      <c r="C280" t="n">
        <v>10.715193</v>
      </c>
      <c r="D280" s="10" t="inlineStr">
        <is>
          <t>2 SM inv | 3 SM inv</t>
        </is>
      </c>
      <c r="H280" t="n">
        <v>91.813177</v>
      </c>
      <c r="I280" t="n">
        <v>52.413336</v>
      </c>
      <c r="J280" t="n">
        <v>62.649384</v>
      </c>
      <c r="K280" t="n">
        <v>58.645949</v>
      </c>
      <c r="L280" t="n">
        <v>358.382548</v>
      </c>
      <c r="M280" t="n">
        <v>163.84463</v>
      </c>
      <c r="N280" t="n">
        <v>163.84463</v>
      </c>
      <c r="O280" t="n">
        <v>65.16087</v>
      </c>
      <c r="P280" t="n">
        <v>23.726562</v>
      </c>
      <c r="Q280" t="n">
        <v>163.84463</v>
      </c>
      <c r="R280" t="n">
        <v>27231.721784</v>
      </c>
      <c r="S280" t="n">
        <v>65.16087</v>
      </c>
      <c r="T280" t="n">
        <v>247011.21003</v>
      </c>
      <c r="U280" t="n">
        <v>23.726562</v>
      </c>
      <c r="V280" t="n">
        <v>-1608691.090535</v>
      </c>
      <c r="W280" t="n">
        <v>85.655771</v>
      </c>
      <c r="X280" t="n">
        <v>226.381866</v>
      </c>
      <c r="Z280" t="n">
        <v>23.837652</v>
      </c>
    </row>
    <row r="281" ht="21" customHeight="1">
      <c r="A281" t="inlineStr">
        <is>
          <t>Carcharhinus macloti</t>
        </is>
      </c>
      <c r="D281" s="10" t="inlineStr">
        <is>
          <t>Coastal elasmobranch</t>
        </is>
      </c>
      <c r="H281" t="n">
        <v>3918.259862</v>
      </c>
      <c r="I281" t="n">
        <v>1355.349538</v>
      </c>
      <c r="J281" t="n">
        <v>1507.801381</v>
      </c>
      <c r="K281" t="n">
        <v>1423.364503</v>
      </c>
      <c r="L281" t="n">
        <v>16997.641054</v>
      </c>
      <c r="M281" t="n">
        <v>8379.450296999999</v>
      </c>
      <c r="N281" t="n">
        <v>8379.450296999999</v>
      </c>
      <c r="O281" t="n">
        <v>1747.163226</v>
      </c>
      <c r="P281" t="n">
        <v>316.077663</v>
      </c>
      <c r="Q281" t="n">
        <v>8379.450296999999</v>
      </c>
      <c r="R281" t="n">
        <v>88438129.351763</v>
      </c>
      <c r="S281" t="n">
        <v>1747.163226</v>
      </c>
      <c r="T281" t="n">
        <v>7107955.115117</v>
      </c>
      <c r="U281" t="n">
        <v>316.077663</v>
      </c>
      <c r="V281" t="n">
        <v>3.942428667430859e+22</v>
      </c>
      <c r="W281" t="n">
        <v>2309.611491</v>
      </c>
      <c r="X281" t="n">
        <v>11319.470971</v>
      </c>
      <c r="Z281" t="n">
        <v>269.913382</v>
      </c>
    </row>
    <row r="282" ht="21" customHeight="1">
      <c r="A282" t="inlineStr">
        <is>
          <t>Turbo marmoratus</t>
        </is>
      </c>
      <c r="D282" s="10" t="inlineStr">
        <is>
          <t>2 Macrobenthos | 3 Macrobenthos</t>
        </is>
      </c>
      <c r="H282" t="n">
        <v>14.010241</v>
      </c>
      <c r="I282" t="n">
        <v>13.386848</v>
      </c>
      <c r="J282" t="n">
        <v>13.386848</v>
      </c>
      <c r="K282" t="n">
        <v>12.189342</v>
      </c>
      <c r="L282" t="n">
        <v>106.719149</v>
      </c>
      <c r="M282" t="n">
        <v>46.737687</v>
      </c>
      <c r="N282" t="n">
        <v>46.737687</v>
      </c>
      <c r="O282" t="n">
        <v>22.234823</v>
      </c>
      <c r="P282" t="n">
        <v>9.814845999999999</v>
      </c>
      <c r="Q282" t="n">
        <v>46.737687</v>
      </c>
      <c r="R282" t="n">
        <v>46.737687</v>
      </c>
      <c r="S282" t="n">
        <v>22.234823</v>
      </c>
      <c r="T282" t="n">
        <v>22.234823</v>
      </c>
      <c r="U282" t="n">
        <v>9.814845999999999</v>
      </c>
      <c r="V282" t="n">
        <v>9.814845999999999</v>
      </c>
      <c r="W282" t="n">
        <v>30.831021</v>
      </c>
      <c r="X282" t="n">
        <v>72.485857</v>
      </c>
      <c r="Z282" t="n">
        <v>5.642741</v>
      </c>
    </row>
    <row r="283" ht="21" customHeight="1">
      <c r="A283" t="inlineStr">
        <is>
          <t>Makaira</t>
        </is>
      </c>
      <c r="B283" t="n">
        <v>4.47</v>
      </c>
      <c r="C283" t="n">
        <v>2951.209227</v>
      </c>
      <c r="D283" s="10" t="inlineStr">
        <is>
          <t>Tuna-like</t>
        </is>
      </c>
      <c r="H283" t="n">
        <v>4024.005911</v>
      </c>
      <c r="I283" t="n">
        <v>1217.030544</v>
      </c>
      <c r="J283" t="n">
        <v>1425.466216</v>
      </c>
      <c r="K283" t="n">
        <v>1274.366797</v>
      </c>
      <c r="L283" t="n">
        <v>8472.950376000001</v>
      </c>
      <c r="M283" t="n">
        <v>4280.710601</v>
      </c>
      <c r="N283" t="n">
        <v>4280.710601</v>
      </c>
      <c r="O283" t="n">
        <v>1050.279426</v>
      </c>
      <c r="P283" t="n">
        <v>230.70519</v>
      </c>
      <c r="Q283" t="n">
        <v>4280.710601</v>
      </c>
      <c r="R283" t="n">
        <v>2938914.210776</v>
      </c>
      <c r="S283" t="n">
        <v>1050.279426</v>
      </c>
      <c r="T283" t="n">
        <v>-12560069.044484</v>
      </c>
      <c r="U283" t="n">
        <v>230.70519</v>
      </c>
      <c r="V283" t="n">
        <v>990357739.175012</v>
      </c>
      <c r="W283" t="n">
        <v>1374.354712</v>
      </c>
      <c r="X283" t="n">
        <v>5545.438014</v>
      </c>
      <c r="Z283" t="n">
        <v>369.948499</v>
      </c>
    </row>
    <row r="284" ht="21" customHeight="1">
      <c r="A284" t="inlineStr">
        <is>
          <t>Tetrapturus angustirostris</t>
        </is>
      </c>
      <c r="B284" t="n">
        <v>4.5</v>
      </c>
      <c r="C284" t="n">
        <v>3162.27766</v>
      </c>
      <c r="D284" s="10" t="inlineStr">
        <is>
          <t>Tuna-like</t>
        </is>
      </c>
      <c r="H284" t="n">
        <v>4024.005911</v>
      </c>
      <c r="I284" t="n">
        <v>1217.030544</v>
      </c>
      <c r="J284" t="n">
        <v>1425.466216</v>
      </c>
      <c r="K284" t="n">
        <v>1274.366797</v>
      </c>
      <c r="L284" t="n">
        <v>8472.950376000001</v>
      </c>
      <c r="M284" t="n">
        <v>4280.710601</v>
      </c>
      <c r="N284" t="n">
        <v>4280.710601</v>
      </c>
      <c r="O284" t="n">
        <v>1050.279426</v>
      </c>
      <c r="P284" t="n">
        <v>230.70519</v>
      </c>
      <c r="Q284" t="n">
        <v>4280.710601</v>
      </c>
      <c r="R284" t="n">
        <v>2938914.210776</v>
      </c>
      <c r="S284" t="n">
        <v>1050.279426</v>
      </c>
      <c r="T284" t="n">
        <v>-12560069.044484</v>
      </c>
      <c r="U284" t="n">
        <v>230.70519</v>
      </c>
      <c r="V284" t="n">
        <v>990357739.175012</v>
      </c>
      <c r="W284" t="n">
        <v>1374.354712</v>
      </c>
      <c r="X284" t="n">
        <v>5545.438014</v>
      </c>
      <c r="Z284" t="n">
        <v>369.948499</v>
      </c>
    </row>
    <row r="285" ht="21" customHeight="1">
      <c r="A285" t="inlineStr">
        <is>
          <t>Scarus</t>
        </is>
      </c>
      <c r="B285" t="n">
        <v>2</v>
      </c>
      <c r="C285" t="n">
        <v>10</v>
      </c>
      <c r="D285" s="10" t="inlineStr">
        <is>
          <t>2 SM inv | 3 SM inv</t>
        </is>
      </c>
      <c r="H285" t="n">
        <v>91.813177</v>
      </c>
      <c r="I285" t="n">
        <v>52.413336</v>
      </c>
      <c r="J285" t="n">
        <v>62.649384</v>
      </c>
      <c r="K285" t="n">
        <v>58.645949</v>
      </c>
      <c r="L285" t="n">
        <v>358.382548</v>
      </c>
      <c r="M285" t="n">
        <v>163.84463</v>
      </c>
      <c r="N285" t="n">
        <v>163.84463</v>
      </c>
      <c r="O285" t="n">
        <v>65.16087</v>
      </c>
      <c r="P285" t="n">
        <v>23.726562</v>
      </c>
      <c r="Q285" t="n">
        <v>163.84463</v>
      </c>
      <c r="R285" t="n">
        <v>27231.721784</v>
      </c>
      <c r="S285" t="n">
        <v>65.16087</v>
      </c>
      <c r="T285" t="n">
        <v>247011.21003</v>
      </c>
      <c r="U285" t="n">
        <v>23.726562</v>
      </c>
      <c r="V285" t="n">
        <v>-1608691.090535</v>
      </c>
      <c r="W285" t="n">
        <v>85.655771</v>
      </c>
      <c r="X285" t="n">
        <v>226.381866</v>
      </c>
      <c r="Z285" t="n">
        <v>23.837652</v>
      </c>
    </row>
    <row r="286" ht="21" customHeight="1">
      <c r="A286" t="inlineStr">
        <is>
          <t>Holothuria atra</t>
        </is>
      </c>
      <c r="B286" t="n">
        <v>2</v>
      </c>
      <c r="C286" t="n">
        <v>10</v>
      </c>
      <c r="D286" s="10" t="inlineStr">
        <is>
          <t>2 Macrobenthos | 3 Macrobenthos</t>
        </is>
      </c>
      <c r="H286" t="n">
        <v>14.010241</v>
      </c>
      <c r="I286" t="n">
        <v>13.386848</v>
      </c>
      <c r="J286" t="n">
        <v>13.386848</v>
      </c>
      <c r="K286" t="n">
        <v>12.189342</v>
      </c>
      <c r="L286" t="n">
        <v>106.719149</v>
      </c>
      <c r="M286" t="n">
        <v>46.737687</v>
      </c>
      <c r="N286" t="n">
        <v>46.737687</v>
      </c>
      <c r="O286" t="n">
        <v>22.234823</v>
      </c>
      <c r="P286" t="n">
        <v>9.814845999999999</v>
      </c>
      <c r="Q286" t="n">
        <v>46.737687</v>
      </c>
      <c r="R286" t="n">
        <v>46.737687</v>
      </c>
      <c r="S286" t="n">
        <v>22.234823</v>
      </c>
      <c r="T286" t="n">
        <v>22.234823</v>
      </c>
      <c r="U286" t="n">
        <v>9.814845999999999</v>
      </c>
      <c r="V286" t="n">
        <v>9.814845999999999</v>
      </c>
      <c r="W286" t="n">
        <v>30.831021</v>
      </c>
      <c r="X286" t="n">
        <v>72.485857</v>
      </c>
      <c r="Z286" t="n">
        <v>5.642741</v>
      </c>
    </row>
    <row r="287" ht="21" customHeight="1">
      <c r="A287" t="inlineStr">
        <is>
          <t>Holothuria edulis</t>
        </is>
      </c>
      <c r="B287" t="n">
        <v>2</v>
      </c>
      <c r="C287" t="n">
        <v>10</v>
      </c>
      <c r="D287" s="10" t="inlineStr">
        <is>
          <t>2 Macrobenthos | 3 Macrobenthos</t>
        </is>
      </c>
      <c r="H287" t="n">
        <v>14.010241</v>
      </c>
      <c r="I287" t="n">
        <v>13.386848</v>
      </c>
      <c r="J287" t="n">
        <v>13.386848</v>
      </c>
      <c r="K287" t="n">
        <v>12.189342</v>
      </c>
      <c r="L287" t="n">
        <v>106.719149</v>
      </c>
      <c r="M287" t="n">
        <v>46.737687</v>
      </c>
      <c r="N287" t="n">
        <v>46.737687</v>
      </c>
      <c r="O287" t="n">
        <v>22.234823</v>
      </c>
      <c r="P287" t="n">
        <v>9.814845999999999</v>
      </c>
      <c r="Q287" t="n">
        <v>46.737687</v>
      </c>
      <c r="R287" t="n">
        <v>46.737687</v>
      </c>
      <c r="S287" t="n">
        <v>22.234823</v>
      </c>
      <c r="T287" t="n">
        <v>22.234823</v>
      </c>
      <c r="U287" t="n">
        <v>9.814845999999999</v>
      </c>
      <c r="V287" t="n">
        <v>9.814845999999999</v>
      </c>
      <c r="W287" t="n">
        <v>30.831021</v>
      </c>
      <c r="X287" t="n">
        <v>72.485857</v>
      </c>
      <c r="Z287" t="n">
        <v>5.642741</v>
      </c>
    </row>
    <row r="288" ht="21" customHeight="1">
      <c r="A288" t="inlineStr">
        <is>
          <t>Bohadschia marmorata</t>
        </is>
      </c>
      <c r="B288" t="n">
        <v>2</v>
      </c>
      <c r="C288" t="n">
        <v>10</v>
      </c>
      <c r="D288" s="10" t="inlineStr">
        <is>
          <t>2 Macrobenthos | 3 Macrobenthos</t>
        </is>
      </c>
      <c r="H288" t="n">
        <v>14.010241</v>
      </c>
      <c r="I288" t="n">
        <v>13.386848</v>
      </c>
      <c r="J288" t="n">
        <v>13.386848</v>
      </c>
      <c r="K288" t="n">
        <v>12.189342</v>
      </c>
      <c r="L288" t="n">
        <v>106.719149</v>
      </c>
      <c r="M288" t="n">
        <v>46.737687</v>
      </c>
      <c r="N288" t="n">
        <v>46.737687</v>
      </c>
      <c r="O288" t="n">
        <v>22.234823</v>
      </c>
      <c r="P288" t="n">
        <v>9.814845999999999</v>
      </c>
      <c r="Q288" t="n">
        <v>46.737687</v>
      </c>
      <c r="R288" t="n">
        <v>46.737687</v>
      </c>
      <c r="S288" t="n">
        <v>22.234823</v>
      </c>
      <c r="T288" t="n">
        <v>22.234823</v>
      </c>
      <c r="U288" t="n">
        <v>9.814845999999999</v>
      </c>
      <c r="V288" t="n">
        <v>9.814845999999999</v>
      </c>
      <c r="W288" t="n">
        <v>30.831021</v>
      </c>
      <c r="X288" t="n">
        <v>72.485857</v>
      </c>
      <c r="Z288" t="n">
        <v>5.642741</v>
      </c>
    </row>
    <row r="289" ht="21" customHeight="1">
      <c r="A289" t="inlineStr">
        <is>
          <t>Makaira mazara</t>
        </is>
      </c>
      <c r="B289" t="n">
        <v>4.46</v>
      </c>
      <c r="C289" t="n">
        <v>2884.031503</v>
      </c>
      <c r="D289" s="10" t="inlineStr">
        <is>
          <t>Marlins</t>
        </is>
      </c>
      <c r="H289" t="n">
        <v>5989.447934</v>
      </c>
      <c r="I289" t="n">
        <v>1542.438431</v>
      </c>
      <c r="J289" t="n">
        <v>1794.218258</v>
      </c>
      <c r="K289" t="n">
        <v>1614.796433</v>
      </c>
      <c r="L289" t="n">
        <v>9568.973695000001</v>
      </c>
      <c r="M289" t="n">
        <v>4788.829752</v>
      </c>
      <c r="N289" t="n">
        <v>4788.829752</v>
      </c>
      <c r="O289" t="n">
        <v>1140.772844</v>
      </c>
      <c r="P289" t="n">
        <v>243.396173</v>
      </c>
      <c r="Q289" t="n">
        <v>4788.829752</v>
      </c>
      <c r="R289" t="n">
        <v>9999810.241127999</v>
      </c>
      <c r="S289" t="n">
        <v>1140.772844</v>
      </c>
      <c r="T289" t="n">
        <v>-23395473.234111</v>
      </c>
      <c r="U289" t="n">
        <v>243.396173</v>
      </c>
      <c r="V289" t="n">
        <v>5.725268511697413e+21</v>
      </c>
      <c r="W289" t="n">
        <v>1457.39335</v>
      </c>
      <c r="X289" t="n">
        <v>6271.847617</v>
      </c>
      <c r="Z289" t="n">
        <v>474.696495</v>
      </c>
    </row>
    <row r="290" ht="21" customHeight="1">
      <c r="A290" t="inlineStr">
        <is>
          <t>Hilsa kelee</t>
        </is>
      </c>
      <c r="D290" s="10" t="inlineStr">
        <is>
          <t>2-3 Hilsa</t>
        </is>
      </c>
      <c r="H290" t="n">
        <v>23.560064</v>
      </c>
      <c r="I290" t="n">
        <v>21.103549</v>
      </c>
      <c r="J290" t="n">
        <v>21.103549</v>
      </c>
      <c r="K290" t="n">
        <v>19.731818</v>
      </c>
      <c r="L290" t="n">
        <v>22.758135</v>
      </c>
      <c r="M290" t="n">
        <v>21.103549</v>
      </c>
      <c r="N290" t="n">
        <v>21.103549</v>
      </c>
      <c r="O290" t="n">
        <v>7.089398</v>
      </c>
      <c r="P290" t="n">
        <v>4.870813</v>
      </c>
      <c r="Q290" t="n">
        <v>21.103549</v>
      </c>
      <c r="R290" t="n">
        <v>21.103549</v>
      </c>
      <c r="S290" t="n">
        <v>7.089398</v>
      </c>
      <c r="T290" t="n">
        <v>7.089398</v>
      </c>
      <c r="U290" t="n">
        <v>4.870813</v>
      </c>
      <c r="V290" t="n">
        <v>4.870813</v>
      </c>
      <c r="W290" t="n">
        <v>7.31875</v>
      </c>
      <c r="X290" t="n">
        <v>20.841773</v>
      </c>
      <c r="Z290" t="n">
        <v>9.909916000000001</v>
      </c>
    </row>
    <row r="291" ht="21" customHeight="1">
      <c r="A291" t="inlineStr">
        <is>
          <t>Tenualosa toli</t>
        </is>
      </c>
      <c r="B291" t="n">
        <v>2.48</v>
      </c>
      <c r="C291" t="n">
        <v>30.199517</v>
      </c>
      <c r="D291" s="10" t="inlineStr">
        <is>
          <t>2-3 Hilsa</t>
        </is>
      </c>
      <c r="H291" t="n">
        <v>23.560064</v>
      </c>
      <c r="I291" t="n">
        <v>21.103549</v>
      </c>
      <c r="J291" t="n">
        <v>21.103549</v>
      </c>
      <c r="K291" t="n">
        <v>19.731818</v>
      </c>
      <c r="L291" t="n">
        <v>22.758135</v>
      </c>
      <c r="M291" t="n">
        <v>21.103549</v>
      </c>
      <c r="N291" t="n">
        <v>21.103549</v>
      </c>
      <c r="O291" t="n">
        <v>7.089398</v>
      </c>
      <c r="P291" t="n">
        <v>4.870813</v>
      </c>
      <c r="Q291" t="n">
        <v>21.103549</v>
      </c>
      <c r="R291" t="n">
        <v>21.103549</v>
      </c>
      <c r="S291" t="n">
        <v>7.089398</v>
      </c>
      <c r="T291" t="n">
        <v>7.089398</v>
      </c>
      <c r="U291" t="n">
        <v>4.870813</v>
      </c>
      <c r="V291" t="n">
        <v>4.870813</v>
      </c>
      <c r="W291" t="n">
        <v>7.31875</v>
      </c>
      <c r="X291" t="n">
        <v>20.841773</v>
      </c>
      <c r="Z291" t="n">
        <v>9.909916000000001</v>
      </c>
    </row>
    <row r="292" ht="21" customHeight="1">
      <c r="A292" t="inlineStr">
        <is>
          <t>Scatophagus argus</t>
        </is>
      </c>
      <c r="B292" t="n">
        <v>2.99</v>
      </c>
      <c r="C292" t="n">
        <v>97.723722</v>
      </c>
      <c r="D292" s="10" t="inlineStr">
        <is>
          <t>2 SM inv | 3 SM inv</t>
        </is>
      </c>
      <c r="H292" t="n">
        <v>91.813177</v>
      </c>
      <c r="I292" t="n">
        <v>52.413336</v>
      </c>
      <c r="J292" t="n">
        <v>62.649384</v>
      </c>
      <c r="K292" t="n">
        <v>58.645949</v>
      </c>
      <c r="L292" t="n">
        <v>358.382548</v>
      </c>
      <c r="M292" t="n">
        <v>163.84463</v>
      </c>
      <c r="N292" t="n">
        <v>163.84463</v>
      </c>
      <c r="O292" t="n">
        <v>65.16087</v>
      </c>
      <c r="P292" t="n">
        <v>23.726562</v>
      </c>
      <c r="Q292" t="n">
        <v>163.84463</v>
      </c>
      <c r="R292" t="n">
        <v>27231.721784</v>
      </c>
      <c r="S292" t="n">
        <v>65.16087</v>
      </c>
      <c r="T292" t="n">
        <v>247011.21003</v>
      </c>
      <c r="U292" t="n">
        <v>23.726562</v>
      </c>
      <c r="V292" t="n">
        <v>-1608691.090535</v>
      </c>
      <c r="W292" t="n">
        <v>85.655771</v>
      </c>
      <c r="X292" t="n">
        <v>226.381866</v>
      </c>
      <c r="Z292" t="n">
        <v>23.837652</v>
      </c>
    </row>
    <row r="293" ht="21" customHeight="1">
      <c r="A293" t="inlineStr">
        <is>
          <t>Lobotes surinamensis</t>
        </is>
      </c>
      <c r="B293" t="n">
        <v>4.04</v>
      </c>
      <c r="C293" t="n">
        <v>1096.478196</v>
      </c>
      <c r="D293" s="10" t="inlineStr">
        <is>
          <t>2 L pisc | 3 L pisc</t>
        </is>
      </c>
      <c r="H293" t="n">
        <v>1686.007244</v>
      </c>
      <c r="I293" t="n">
        <v>562.291264</v>
      </c>
      <c r="J293" t="n">
        <v>667.421881</v>
      </c>
      <c r="K293" t="n">
        <v>600.679693</v>
      </c>
      <c r="L293" t="n">
        <v>3541.417618</v>
      </c>
      <c r="M293" t="n">
        <v>1779.674544</v>
      </c>
      <c r="N293" t="n">
        <v>1779.674544</v>
      </c>
      <c r="O293" t="n">
        <v>491.036533</v>
      </c>
      <c r="P293" t="n">
        <v>120.796851</v>
      </c>
      <c r="Q293" t="n">
        <v>1779.674544</v>
      </c>
      <c r="R293" t="n">
        <v>183794.440851</v>
      </c>
      <c r="S293" t="n">
        <v>491.036533</v>
      </c>
      <c r="T293" t="n">
        <v>5645299.035557</v>
      </c>
      <c r="U293" t="n">
        <v>120.796851</v>
      </c>
      <c r="V293" t="n">
        <v>-5887325720.988076</v>
      </c>
      <c r="W293" t="n">
        <v>628.114208</v>
      </c>
      <c r="X293" t="n">
        <v>2283.896043</v>
      </c>
      <c r="Z293" t="n">
        <v>188.595494</v>
      </c>
    </row>
    <row r="294" ht="21" customHeight="1">
      <c r="A294" t="inlineStr">
        <is>
          <t>Megalops cyprinoides</t>
        </is>
      </c>
      <c r="B294" t="n">
        <v>3.48</v>
      </c>
      <c r="C294" t="n">
        <v>301.995172</v>
      </c>
      <c r="D294" s="10" t="inlineStr">
        <is>
          <t>2 L pisc | 3 L pisc</t>
        </is>
      </c>
      <c r="H294" t="n">
        <v>1686.007244</v>
      </c>
      <c r="I294" t="n">
        <v>562.291264</v>
      </c>
      <c r="J294" t="n">
        <v>667.421881</v>
      </c>
      <c r="K294" t="n">
        <v>600.679693</v>
      </c>
      <c r="L294" t="n">
        <v>3541.417618</v>
      </c>
      <c r="M294" t="n">
        <v>1779.674544</v>
      </c>
      <c r="N294" t="n">
        <v>1779.674544</v>
      </c>
      <c r="O294" t="n">
        <v>491.036533</v>
      </c>
      <c r="P294" t="n">
        <v>120.796851</v>
      </c>
      <c r="Q294" t="n">
        <v>1779.674544</v>
      </c>
      <c r="R294" t="n">
        <v>183794.440851</v>
      </c>
      <c r="S294" t="n">
        <v>491.036533</v>
      </c>
      <c r="T294" t="n">
        <v>5645299.035557</v>
      </c>
      <c r="U294" t="n">
        <v>120.796851</v>
      </c>
      <c r="V294" t="n">
        <v>-5887325720.988076</v>
      </c>
      <c r="W294" t="n">
        <v>628.114208</v>
      </c>
      <c r="X294" t="n">
        <v>2283.896043</v>
      </c>
      <c r="Z294" t="n">
        <v>188.595494</v>
      </c>
    </row>
    <row r="295" ht="21" customHeight="1">
      <c r="A295" t="inlineStr">
        <is>
          <t>Hemiramphidae</t>
        </is>
      </c>
      <c r="B295" t="n">
        <v>2.82</v>
      </c>
      <c r="C295" t="n">
        <v>66.069345</v>
      </c>
      <c r="D295" s="10" t="inlineStr">
        <is>
          <t>2 S pelagics | 3 S pelagics</t>
        </is>
      </c>
      <c r="H295" t="n">
        <v>93.087237</v>
      </c>
      <c r="I295" t="n">
        <v>47.55691</v>
      </c>
      <c r="J295" t="n">
        <v>60.271203</v>
      </c>
      <c r="K295" t="n">
        <v>56.323134</v>
      </c>
      <c r="L295" t="n">
        <v>234.01812</v>
      </c>
      <c r="M295" t="n">
        <v>119.363868</v>
      </c>
      <c r="N295" t="n">
        <v>119.363868</v>
      </c>
      <c r="O295" t="n">
        <v>45.511558</v>
      </c>
      <c r="P295" t="n">
        <v>18.627065</v>
      </c>
      <c r="Q295" t="n">
        <v>119.363868</v>
      </c>
      <c r="R295" t="n">
        <v>-24383.104584</v>
      </c>
      <c r="S295" t="n">
        <v>45.511558</v>
      </c>
      <c r="T295" t="n">
        <v>262858.692163</v>
      </c>
      <c r="U295" t="n">
        <v>18.627065</v>
      </c>
      <c r="V295" t="n">
        <v>-4562944.327372</v>
      </c>
      <c r="W295" t="n">
        <v>52.667461</v>
      </c>
      <c r="X295" t="n">
        <v>147.16235</v>
      </c>
      <c r="Z295" t="n">
        <v>27.466663</v>
      </c>
    </row>
    <row r="296" ht="21" customHeight="1">
      <c r="A296" t="inlineStr">
        <is>
          <t>Sphyraena jello</t>
        </is>
      </c>
      <c r="B296" t="n">
        <v>4.5</v>
      </c>
      <c r="C296" t="n">
        <v>3162.27766</v>
      </c>
      <c r="D296" s="10" t="inlineStr">
        <is>
          <t>2 L pisc | 3 L pisc</t>
        </is>
      </c>
      <c r="H296" t="n">
        <v>1686.007244</v>
      </c>
      <c r="I296" t="n">
        <v>562.291264</v>
      </c>
      <c r="J296" t="n">
        <v>667.421881</v>
      </c>
      <c r="K296" t="n">
        <v>600.679693</v>
      </c>
      <c r="L296" t="n">
        <v>3541.417618</v>
      </c>
      <c r="M296" t="n">
        <v>1779.674544</v>
      </c>
      <c r="N296" t="n">
        <v>1779.674544</v>
      </c>
      <c r="O296" t="n">
        <v>491.036533</v>
      </c>
      <c r="P296" t="n">
        <v>120.796851</v>
      </c>
      <c r="Q296" t="n">
        <v>1779.674544</v>
      </c>
      <c r="R296" t="n">
        <v>183794.440851</v>
      </c>
      <c r="S296" t="n">
        <v>491.036533</v>
      </c>
      <c r="T296" t="n">
        <v>5645299.035557</v>
      </c>
      <c r="U296" t="n">
        <v>120.796851</v>
      </c>
      <c r="V296" t="n">
        <v>-5887325720.988076</v>
      </c>
      <c r="W296" t="n">
        <v>628.114208</v>
      </c>
      <c r="X296" t="n">
        <v>2283.896043</v>
      </c>
      <c r="Z296" t="n">
        <v>188.595494</v>
      </c>
    </row>
    <row r="297" ht="21" customHeight="1">
      <c r="A297" t="inlineStr">
        <is>
          <t>Gnathanodon speciosus</t>
        </is>
      </c>
      <c r="B297" t="n">
        <v>3.84</v>
      </c>
      <c r="C297" t="n">
        <v>691.830971</v>
      </c>
      <c r="D297" s="10" t="inlineStr">
        <is>
          <t>2 Carangids | 3 Carangids</t>
        </is>
      </c>
      <c r="H297" t="n">
        <v>873.328216</v>
      </c>
      <c r="I297" t="n">
        <v>372.556809</v>
      </c>
      <c r="J297" t="n">
        <v>434.163448</v>
      </c>
      <c r="K297" t="n">
        <v>417.767363</v>
      </c>
      <c r="L297" t="n">
        <v>2160.134294</v>
      </c>
      <c r="M297" t="n">
        <v>1099.323673</v>
      </c>
      <c r="N297" t="n">
        <v>1099.323673</v>
      </c>
      <c r="O297" t="n">
        <v>332.917647</v>
      </c>
      <c r="P297" t="n">
        <v>90.527957</v>
      </c>
      <c r="Q297" t="n">
        <v>1099.323673</v>
      </c>
      <c r="R297" t="n">
        <v>1849500.59807</v>
      </c>
      <c r="S297" t="n">
        <v>332.917647</v>
      </c>
      <c r="T297" t="n">
        <v>19894910.028919</v>
      </c>
      <c r="U297" t="n">
        <v>90.527957</v>
      </c>
      <c r="V297" t="n">
        <v>-89296314.013887</v>
      </c>
      <c r="W297" t="n">
        <v>429.68266</v>
      </c>
      <c r="X297" t="n">
        <v>1415.097656</v>
      </c>
      <c r="Z297" t="n">
        <v>125.139702</v>
      </c>
    </row>
    <row r="298" ht="21" customHeight="1">
      <c r="A298" t="inlineStr">
        <is>
          <t>Bregmaceros mcclellandi</t>
        </is>
      </c>
      <c r="B298" t="n">
        <v>3.3</v>
      </c>
      <c r="C298" t="n">
        <v>199.526231</v>
      </c>
      <c r="D298" s="10" t="inlineStr">
        <is>
          <t>2 S pelagics | 3 S pelagics</t>
        </is>
      </c>
      <c r="H298" t="n">
        <v>93.087237</v>
      </c>
      <c r="I298" t="n">
        <v>47.55691</v>
      </c>
      <c r="J298" t="n">
        <v>60.271203</v>
      </c>
      <c r="K298" t="n">
        <v>56.323134</v>
      </c>
      <c r="L298" t="n">
        <v>234.01812</v>
      </c>
      <c r="M298" t="n">
        <v>119.363868</v>
      </c>
      <c r="N298" t="n">
        <v>119.363868</v>
      </c>
      <c r="O298" t="n">
        <v>45.511558</v>
      </c>
      <c r="P298" t="n">
        <v>18.627065</v>
      </c>
      <c r="Q298" t="n">
        <v>119.363868</v>
      </c>
      <c r="R298" t="n">
        <v>-24383.104584</v>
      </c>
      <c r="S298" t="n">
        <v>45.511558</v>
      </c>
      <c r="T298" t="n">
        <v>262858.692163</v>
      </c>
      <c r="U298" t="n">
        <v>18.627065</v>
      </c>
      <c r="V298" t="n">
        <v>-4562944.327372</v>
      </c>
      <c r="W298" t="n">
        <v>52.667461</v>
      </c>
      <c r="X298" t="n">
        <v>147.16235</v>
      </c>
      <c r="Z298" t="n">
        <v>27.466663</v>
      </c>
    </row>
    <row r="299" ht="21" customHeight="1">
      <c r="A299" t="inlineStr">
        <is>
          <t>Lutjanus argentimaculatus</t>
        </is>
      </c>
      <c r="D299" s="10" t="inlineStr">
        <is>
          <t>2 L pisc comm | 3 L pisc comm</t>
        </is>
      </c>
      <c r="H299" t="n">
        <v>801.308671</v>
      </c>
      <c r="I299" t="n">
        <v>347.219292</v>
      </c>
      <c r="J299" t="n">
        <v>442.467638</v>
      </c>
      <c r="K299" t="n">
        <v>402.262611</v>
      </c>
      <c r="L299" t="n">
        <v>2161.417589</v>
      </c>
      <c r="M299" t="n">
        <v>1083.958638</v>
      </c>
      <c r="N299" t="n">
        <v>1083.958638</v>
      </c>
      <c r="O299" t="n">
        <v>300.122309</v>
      </c>
      <c r="P299" t="n">
        <v>80.463222</v>
      </c>
      <c r="Q299" t="n">
        <v>1083.958638</v>
      </c>
      <c r="R299" t="n">
        <v>4211.040307</v>
      </c>
      <c r="S299" t="n">
        <v>300.122309</v>
      </c>
      <c r="T299" t="n">
        <v>24938830.515997</v>
      </c>
      <c r="U299" t="n">
        <v>80.463222</v>
      </c>
      <c r="V299" t="n">
        <v>-1116515115.800599</v>
      </c>
      <c r="W299" t="n">
        <v>379.777929</v>
      </c>
      <c r="X299" t="n">
        <v>1380.363646</v>
      </c>
      <c r="Z299" t="n">
        <v>105.373581</v>
      </c>
    </row>
    <row r="300" ht="21" customHeight="1">
      <c r="A300" t="inlineStr">
        <is>
          <t>Trochus</t>
        </is>
      </c>
      <c r="B300" t="n">
        <v>2.1</v>
      </c>
      <c r="C300" t="n">
        <v>12.589254</v>
      </c>
      <c r="D300" s="10" t="inlineStr">
        <is>
          <t>2 Macrobenthos | 3 Macrobenthos</t>
        </is>
      </c>
      <c r="H300" t="n">
        <v>14.010241</v>
      </c>
      <c r="I300" t="n">
        <v>13.386848</v>
      </c>
      <c r="J300" t="n">
        <v>13.386848</v>
      </c>
      <c r="K300" t="n">
        <v>12.189342</v>
      </c>
      <c r="L300" t="n">
        <v>106.719149</v>
      </c>
      <c r="M300" t="n">
        <v>46.737687</v>
      </c>
      <c r="N300" t="n">
        <v>46.737687</v>
      </c>
      <c r="O300" t="n">
        <v>22.234823</v>
      </c>
      <c r="P300" t="n">
        <v>9.814845999999999</v>
      </c>
      <c r="Q300" t="n">
        <v>46.737687</v>
      </c>
      <c r="R300" t="n">
        <v>46.737687</v>
      </c>
      <c r="S300" t="n">
        <v>22.234823</v>
      </c>
      <c r="T300" t="n">
        <v>22.234823</v>
      </c>
      <c r="U300" t="n">
        <v>9.814845999999999</v>
      </c>
      <c r="V300" t="n">
        <v>9.814845999999999</v>
      </c>
      <c r="W300" t="n">
        <v>30.831021</v>
      </c>
      <c r="X300" t="n">
        <v>72.485857</v>
      </c>
      <c r="Z300" t="n">
        <v>5.642741</v>
      </c>
    </row>
    <row r="301" ht="21" customHeight="1">
      <c r="A301" t="inlineStr">
        <is>
          <t>Saccostrea cuccullata</t>
        </is>
      </c>
      <c r="D301" s="10" t="inlineStr">
        <is>
          <t>2 Macrobenthos | 3 Macrobenthos</t>
        </is>
      </c>
      <c r="H301" t="n">
        <v>14.010241</v>
      </c>
      <c r="I301" t="n">
        <v>13.386848</v>
      </c>
      <c r="J301" t="n">
        <v>13.386848</v>
      </c>
      <c r="K301" t="n">
        <v>12.189342</v>
      </c>
      <c r="L301" t="n">
        <v>106.719149</v>
      </c>
      <c r="M301" t="n">
        <v>46.737687</v>
      </c>
      <c r="N301" t="n">
        <v>46.737687</v>
      </c>
      <c r="O301" t="n">
        <v>22.234823</v>
      </c>
      <c r="P301" t="n">
        <v>9.814845999999999</v>
      </c>
      <c r="Q301" t="n">
        <v>46.737687</v>
      </c>
      <c r="R301" t="n">
        <v>46.737687</v>
      </c>
      <c r="S301" t="n">
        <v>22.234823</v>
      </c>
      <c r="T301" t="n">
        <v>22.234823</v>
      </c>
      <c r="U301" t="n">
        <v>9.814845999999999</v>
      </c>
      <c r="V301" t="n">
        <v>9.814845999999999</v>
      </c>
      <c r="W301" t="n">
        <v>30.831021</v>
      </c>
      <c r="X301" t="n">
        <v>72.485857</v>
      </c>
      <c r="Z301" t="n">
        <v>5.642741</v>
      </c>
    </row>
    <row r="302" ht="21" customHeight="1">
      <c r="A302" t="inlineStr">
        <is>
          <t>Lambis lambis</t>
        </is>
      </c>
      <c r="D302" s="10" t="inlineStr">
        <is>
          <t>2 Macrobenthos | 3 Macrobenthos</t>
        </is>
      </c>
      <c r="H302" t="n">
        <v>14.010241</v>
      </c>
      <c r="I302" t="n">
        <v>13.386848</v>
      </c>
      <c r="J302" t="n">
        <v>13.386848</v>
      </c>
      <c r="K302" t="n">
        <v>12.189342</v>
      </c>
      <c r="L302" t="n">
        <v>106.719149</v>
      </c>
      <c r="M302" t="n">
        <v>46.737687</v>
      </c>
      <c r="N302" t="n">
        <v>46.737687</v>
      </c>
      <c r="O302" t="n">
        <v>22.234823</v>
      </c>
      <c r="P302" t="n">
        <v>9.814845999999999</v>
      </c>
      <c r="Q302" t="n">
        <v>46.737687</v>
      </c>
      <c r="R302" t="n">
        <v>46.737687</v>
      </c>
      <c r="S302" t="n">
        <v>22.234823</v>
      </c>
      <c r="T302" t="n">
        <v>22.234823</v>
      </c>
      <c r="U302" t="n">
        <v>9.814845999999999</v>
      </c>
      <c r="V302" t="n">
        <v>9.814845999999999</v>
      </c>
      <c r="W302" t="n">
        <v>30.831021</v>
      </c>
      <c r="X302" t="n">
        <v>72.485857</v>
      </c>
      <c r="Z302" t="n">
        <v>5.642741</v>
      </c>
    </row>
    <row r="303" ht="21" customHeight="1">
      <c r="A303" t="inlineStr">
        <is>
          <t>Menidae</t>
        </is>
      </c>
      <c r="D303" s="10" t="inlineStr">
        <is>
          <t>2 SM inv | 3 SM inv</t>
        </is>
      </c>
      <c r="H303" t="n">
        <v>91.813177</v>
      </c>
      <c r="I303" t="n">
        <v>52.413336</v>
      </c>
      <c r="J303" t="n">
        <v>62.649384</v>
      </c>
      <c r="K303" t="n">
        <v>58.645949</v>
      </c>
      <c r="L303" t="n">
        <v>358.382548</v>
      </c>
      <c r="M303" t="n">
        <v>163.84463</v>
      </c>
      <c r="N303" t="n">
        <v>163.84463</v>
      </c>
      <c r="O303" t="n">
        <v>65.16087</v>
      </c>
      <c r="P303" t="n">
        <v>23.726562</v>
      </c>
      <c r="Q303" t="n">
        <v>163.84463</v>
      </c>
      <c r="R303" t="n">
        <v>27231.721784</v>
      </c>
      <c r="S303" t="n">
        <v>65.16087</v>
      </c>
      <c r="T303" t="n">
        <v>247011.21003</v>
      </c>
      <c r="U303" t="n">
        <v>23.726562</v>
      </c>
      <c r="V303" t="n">
        <v>-1608691.090535</v>
      </c>
      <c r="W303" t="n">
        <v>85.655771</v>
      </c>
      <c r="X303" t="n">
        <v>226.381866</v>
      </c>
      <c r="Z303" t="n">
        <v>23.837652</v>
      </c>
    </row>
    <row r="304" ht="21" customHeight="1">
      <c r="A304" t="inlineStr">
        <is>
          <t>Scyllaridae</t>
        </is>
      </c>
      <c r="D304" s="10" t="inlineStr">
        <is>
          <t>2 Crustaceans | 3 Crustaceans</t>
        </is>
      </c>
      <c r="H304" t="n">
        <v>16.647547</v>
      </c>
      <c r="I304" t="n">
        <v>15.13996</v>
      </c>
      <c r="J304" t="n">
        <v>15.13996</v>
      </c>
      <c r="K304" t="n">
        <v>14.107486</v>
      </c>
      <c r="L304" t="n">
        <v>88.61683499999999</v>
      </c>
      <c r="M304" t="n">
        <v>30.998352</v>
      </c>
      <c r="N304" t="n">
        <v>30.998352</v>
      </c>
      <c r="O304" t="n">
        <v>15.004935</v>
      </c>
      <c r="P304" t="n">
        <v>7.795329</v>
      </c>
      <c r="Q304" t="n">
        <v>30.998352</v>
      </c>
      <c r="R304" t="n">
        <v>30.998352</v>
      </c>
      <c r="S304" t="n">
        <v>15.004935</v>
      </c>
      <c r="T304" t="n">
        <v>15.004935</v>
      </c>
      <c r="U304" t="n">
        <v>7.795329</v>
      </c>
      <c r="V304" t="n">
        <v>7.795329</v>
      </c>
      <c r="W304" t="n">
        <v>15.392557</v>
      </c>
      <c r="X304" t="n">
        <v>34.031508</v>
      </c>
      <c r="Z304" t="n">
        <v>6.196734</v>
      </c>
    </row>
    <row r="305" ht="21" customHeight="1">
      <c r="A305" t="inlineStr">
        <is>
          <t>Pomadasys argenteus</t>
        </is>
      </c>
      <c r="B305" t="n">
        <v>3.47</v>
      </c>
      <c r="C305" t="n">
        <v>295.120923</v>
      </c>
      <c r="D305" s="10" t="inlineStr">
        <is>
          <t>2 SM pisc | 3 SM pisc</t>
        </is>
      </c>
      <c r="H305" t="n">
        <v>243.94607</v>
      </c>
      <c r="I305" t="n">
        <v>108.349841</v>
      </c>
      <c r="J305" t="n">
        <v>154.909098</v>
      </c>
      <c r="K305" t="n">
        <v>147.163643</v>
      </c>
      <c r="L305" t="n">
        <v>954.7607</v>
      </c>
      <c r="M305" t="n">
        <v>447.937281</v>
      </c>
      <c r="N305" t="n">
        <v>447.937281</v>
      </c>
      <c r="O305" t="n">
        <v>152.63502</v>
      </c>
      <c r="P305" t="n">
        <v>45.95733</v>
      </c>
      <c r="Q305" t="n">
        <v>447.937281</v>
      </c>
      <c r="R305" t="n">
        <v>-7864.592041</v>
      </c>
      <c r="S305" t="n">
        <v>152.63502</v>
      </c>
      <c r="T305" t="n">
        <v>791067.821395</v>
      </c>
      <c r="U305" t="n">
        <v>45.95733</v>
      </c>
      <c r="V305" t="n">
        <v>-22992541.193563</v>
      </c>
      <c r="W305" t="n">
        <v>192.62905</v>
      </c>
      <c r="X305" t="n">
        <v>583.6561809999999</v>
      </c>
      <c r="Z305" t="n">
        <v>48.362824</v>
      </c>
    </row>
    <row r="306" ht="21" customHeight="1">
      <c r="A306" t="inlineStr">
        <is>
          <t>Echinodermata</t>
        </is>
      </c>
      <c r="B306" t="n">
        <v>2.3</v>
      </c>
      <c r="C306" t="n">
        <v>19.952623</v>
      </c>
      <c r="D306" s="10" t="inlineStr">
        <is>
          <t>2 Macrobenthos | 3 Macrobenthos</t>
        </is>
      </c>
      <c r="H306" t="n">
        <v>14.010241</v>
      </c>
      <c r="I306" t="n">
        <v>13.386848</v>
      </c>
      <c r="J306" t="n">
        <v>13.386848</v>
      </c>
      <c r="K306" t="n">
        <v>12.189342</v>
      </c>
      <c r="L306" t="n">
        <v>106.719149</v>
      </c>
      <c r="M306" t="n">
        <v>46.737687</v>
      </c>
      <c r="N306" t="n">
        <v>46.737687</v>
      </c>
      <c r="O306" t="n">
        <v>22.234823</v>
      </c>
      <c r="P306" t="n">
        <v>9.814845999999999</v>
      </c>
      <c r="Q306" t="n">
        <v>46.737687</v>
      </c>
      <c r="R306" t="n">
        <v>46.737687</v>
      </c>
      <c r="S306" t="n">
        <v>22.234823</v>
      </c>
      <c r="T306" t="n">
        <v>22.234823</v>
      </c>
      <c r="U306" t="n">
        <v>9.814845999999999</v>
      </c>
      <c r="V306" t="n">
        <v>9.814845999999999</v>
      </c>
      <c r="W306" t="n">
        <v>30.831021</v>
      </c>
      <c r="X306" t="n">
        <v>72.485857</v>
      </c>
      <c r="Z306" t="n">
        <v>5.642741</v>
      </c>
    </row>
    <row r="307" ht="21" customHeight="1">
      <c r="A307" t="inlineStr">
        <is>
          <t>Panulirus polyphagus</t>
        </is>
      </c>
      <c r="D307" s="10" t="inlineStr">
        <is>
          <t>2 Crustaceans | 3 Crustaceans</t>
        </is>
      </c>
      <c r="H307" t="n">
        <v>16.647547</v>
      </c>
      <c r="I307" t="n">
        <v>15.13996</v>
      </c>
      <c r="J307" t="n">
        <v>15.13996</v>
      </c>
      <c r="K307" t="n">
        <v>14.107486</v>
      </c>
      <c r="L307" t="n">
        <v>88.61683499999999</v>
      </c>
      <c r="M307" t="n">
        <v>30.998352</v>
      </c>
      <c r="N307" t="n">
        <v>30.998352</v>
      </c>
      <c r="O307" t="n">
        <v>15.004935</v>
      </c>
      <c r="P307" t="n">
        <v>7.795329</v>
      </c>
      <c r="Q307" t="n">
        <v>30.998352</v>
      </c>
      <c r="R307" t="n">
        <v>30.998352</v>
      </c>
      <c r="S307" t="n">
        <v>15.004935</v>
      </c>
      <c r="T307" t="n">
        <v>15.004935</v>
      </c>
      <c r="U307" t="n">
        <v>7.795329</v>
      </c>
      <c r="V307" t="n">
        <v>7.795329</v>
      </c>
      <c r="W307" t="n">
        <v>15.392557</v>
      </c>
      <c r="X307" t="n">
        <v>34.031508</v>
      </c>
      <c r="Z307" t="n">
        <v>6.196734</v>
      </c>
    </row>
    <row r="308" ht="21" customHeight="1">
      <c r="A308" t="inlineStr">
        <is>
          <t>Carcharhinus obscurus</t>
        </is>
      </c>
      <c r="D308" s="10" t="inlineStr">
        <is>
          <t>Coastal elasmobranch</t>
        </is>
      </c>
      <c r="H308" t="n">
        <v>3918.259862</v>
      </c>
      <c r="I308" t="n">
        <v>1355.349538</v>
      </c>
      <c r="J308" t="n">
        <v>1507.801381</v>
      </c>
      <c r="K308" t="n">
        <v>1423.364503</v>
      </c>
      <c r="L308" t="n">
        <v>16997.641054</v>
      </c>
      <c r="M308" t="n">
        <v>8379.450296999999</v>
      </c>
      <c r="N308" t="n">
        <v>8379.450296999999</v>
      </c>
      <c r="O308" t="n">
        <v>1747.163226</v>
      </c>
      <c r="P308" t="n">
        <v>316.077663</v>
      </c>
      <c r="Q308" t="n">
        <v>8379.450296999999</v>
      </c>
      <c r="R308" t="n">
        <v>88438129.351763</v>
      </c>
      <c r="S308" t="n">
        <v>1747.163226</v>
      </c>
      <c r="T308" t="n">
        <v>7107955.115117</v>
      </c>
      <c r="U308" t="n">
        <v>316.077663</v>
      </c>
      <c r="V308" t="n">
        <v>3.942428667430859e+22</v>
      </c>
      <c r="W308" t="n">
        <v>2309.611491</v>
      </c>
      <c r="X308" t="n">
        <v>11319.470971</v>
      </c>
      <c r="Z308" t="n">
        <v>269.913382</v>
      </c>
    </row>
    <row r="309" ht="21" customHeight="1">
      <c r="A309" t="inlineStr">
        <is>
          <t>Labridae</t>
        </is>
      </c>
      <c r="B309" t="n">
        <v>3.46</v>
      </c>
      <c r="C309" t="n">
        <v>288.40315</v>
      </c>
      <c r="D309" s="10" t="inlineStr">
        <is>
          <t>2 L pisc | 3 L pisc</t>
        </is>
      </c>
      <c r="H309" t="n">
        <v>1686.007244</v>
      </c>
      <c r="I309" t="n">
        <v>562.291264</v>
      </c>
      <c r="J309" t="n">
        <v>667.421881</v>
      </c>
      <c r="K309" t="n">
        <v>600.679693</v>
      </c>
      <c r="L309" t="n">
        <v>3541.417618</v>
      </c>
      <c r="M309" t="n">
        <v>1779.674544</v>
      </c>
      <c r="N309" t="n">
        <v>1779.674544</v>
      </c>
      <c r="O309" t="n">
        <v>491.036533</v>
      </c>
      <c r="P309" t="n">
        <v>120.796851</v>
      </c>
      <c r="Q309" t="n">
        <v>1779.674544</v>
      </c>
      <c r="R309" t="n">
        <v>183794.440851</v>
      </c>
      <c r="S309" t="n">
        <v>491.036533</v>
      </c>
      <c r="T309" t="n">
        <v>5645299.035557</v>
      </c>
      <c r="U309" t="n">
        <v>120.796851</v>
      </c>
      <c r="V309" t="n">
        <v>-5887325720.988076</v>
      </c>
      <c r="W309" t="n">
        <v>628.114208</v>
      </c>
      <c r="X309" t="n">
        <v>2283.896043</v>
      </c>
      <c r="Z309" t="n">
        <v>188.595494</v>
      </c>
    </row>
    <row r="310" ht="36" customHeight="1">
      <c r="A310" t="inlineStr">
        <is>
          <t>Polynemus</t>
        </is>
      </c>
      <c r="D310" s="10" t="inlineStr">
        <is>
          <t>2 L pisc | 3 L pisc | 2 SM inv | 3 SM inv</t>
        </is>
      </c>
      <c r="H310" t="n">
        <v>418.494223</v>
      </c>
      <c r="I310" t="n">
        <v>156.897136</v>
      </c>
      <c r="J310" t="n">
        <v>186.578908</v>
      </c>
      <c r="K310" t="n">
        <v>169.719095</v>
      </c>
      <c r="L310" t="n">
        <v>1010.647693</v>
      </c>
      <c r="M310" t="n">
        <v>494.959277</v>
      </c>
      <c r="N310" t="n">
        <v>494.959277</v>
      </c>
      <c r="O310" t="n">
        <v>152.43099</v>
      </c>
      <c r="P310" t="n">
        <v>43.618133</v>
      </c>
      <c r="Q310" t="n">
        <v>494.959277</v>
      </c>
      <c r="R310" t="n">
        <v>59314.436074</v>
      </c>
      <c r="S310" t="n">
        <v>152.43099</v>
      </c>
      <c r="T310" t="n">
        <v>1353224.27912</v>
      </c>
      <c r="U310" t="n">
        <v>43.618133</v>
      </c>
      <c r="V310" t="n">
        <v>-1207705385.055478</v>
      </c>
      <c r="W310" t="n">
        <v>196.815945</v>
      </c>
      <c r="X310" t="n">
        <v>648.006119</v>
      </c>
      <c r="Z310" t="n">
        <v>57.599705</v>
      </c>
    </row>
    <row r="311" ht="21" customHeight="1">
      <c r="A311" t="inlineStr">
        <is>
          <t>Decapterus macarellus</t>
        </is>
      </c>
      <c r="D311" s="10" t="inlineStr">
        <is>
          <t>2 Carangids | 3 Carangids</t>
        </is>
      </c>
      <c r="H311" t="n">
        <v>873.328216</v>
      </c>
      <c r="I311" t="n">
        <v>372.556809</v>
      </c>
      <c r="J311" t="n">
        <v>434.163448</v>
      </c>
      <c r="K311" t="n">
        <v>417.767363</v>
      </c>
      <c r="L311" t="n">
        <v>2160.134294</v>
      </c>
      <c r="M311" t="n">
        <v>1099.323673</v>
      </c>
      <c r="N311" t="n">
        <v>1099.323673</v>
      </c>
      <c r="O311" t="n">
        <v>332.917647</v>
      </c>
      <c r="P311" t="n">
        <v>90.527957</v>
      </c>
      <c r="Q311" t="n">
        <v>1099.323673</v>
      </c>
      <c r="R311" t="n">
        <v>1849500.59807</v>
      </c>
      <c r="S311" t="n">
        <v>332.917647</v>
      </c>
      <c r="T311" t="n">
        <v>19894910.028919</v>
      </c>
      <c r="U311" t="n">
        <v>90.527957</v>
      </c>
      <c r="V311" t="n">
        <v>-89296314.013887</v>
      </c>
      <c r="W311" t="n">
        <v>429.68266</v>
      </c>
      <c r="X311" t="n">
        <v>1415.097656</v>
      </c>
      <c r="Z311" t="n">
        <v>125.139702</v>
      </c>
    </row>
    <row r="312" ht="21" customHeight="1">
      <c r="A312" t="inlineStr">
        <is>
          <t>Carcharhinus brachyurus</t>
        </is>
      </c>
      <c r="D312" s="10" t="inlineStr">
        <is>
          <t>Coastal elasmobranch</t>
        </is>
      </c>
      <c r="H312" t="n">
        <v>3918.259862</v>
      </c>
      <c r="I312" t="n">
        <v>1355.349538</v>
      </c>
      <c r="J312" t="n">
        <v>1507.801381</v>
      </c>
      <c r="K312" t="n">
        <v>1423.364503</v>
      </c>
      <c r="L312" t="n">
        <v>16997.641054</v>
      </c>
      <c r="M312" t="n">
        <v>8379.450296999999</v>
      </c>
      <c r="N312" t="n">
        <v>8379.450296999999</v>
      </c>
      <c r="O312" t="n">
        <v>1747.163226</v>
      </c>
      <c r="P312" t="n">
        <v>316.077663</v>
      </c>
      <c r="Q312" t="n">
        <v>8379.450296999999</v>
      </c>
      <c r="R312" t="n">
        <v>88438129.351763</v>
      </c>
      <c r="S312" t="n">
        <v>1747.163226</v>
      </c>
      <c r="T312" t="n">
        <v>7107955.115117</v>
      </c>
      <c r="U312" t="n">
        <v>316.077663</v>
      </c>
      <c r="V312" t="n">
        <v>3.942428667430859e+22</v>
      </c>
      <c r="W312" t="n">
        <v>2309.611491</v>
      </c>
      <c r="X312" t="n">
        <v>11319.470971</v>
      </c>
      <c r="Z312" t="n">
        <v>269.913382</v>
      </c>
    </row>
    <row r="313" ht="21" customHeight="1">
      <c r="A313" t="inlineStr">
        <is>
          <t>Epinephelus tauvina</t>
        </is>
      </c>
      <c r="D313" s="10" t="inlineStr">
        <is>
          <t>2 L pisc comm | 3 L pisc comm</t>
        </is>
      </c>
      <c r="H313" t="n">
        <v>801.308671</v>
      </c>
      <c r="I313" t="n">
        <v>347.219292</v>
      </c>
      <c r="J313" t="n">
        <v>442.467638</v>
      </c>
      <c r="K313" t="n">
        <v>402.262611</v>
      </c>
      <c r="L313" t="n">
        <v>2161.417589</v>
      </c>
      <c r="M313" t="n">
        <v>1083.958638</v>
      </c>
      <c r="N313" t="n">
        <v>1083.958638</v>
      </c>
      <c r="O313" t="n">
        <v>300.122309</v>
      </c>
      <c r="P313" t="n">
        <v>80.463222</v>
      </c>
      <c r="Q313" t="n">
        <v>1083.958638</v>
      </c>
      <c r="R313" t="n">
        <v>4211.040307</v>
      </c>
      <c r="S313" t="n">
        <v>300.122309</v>
      </c>
      <c r="T313" t="n">
        <v>24938830.515997</v>
      </c>
      <c r="U313" t="n">
        <v>80.463222</v>
      </c>
      <c r="V313" t="n">
        <v>-1116515115.800599</v>
      </c>
      <c r="W313" t="n">
        <v>379.777929</v>
      </c>
      <c r="X313" t="n">
        <v>1380.363646</v>
      </c>
      <c r="Z313" t="n">
        <v>105.373581</v>
      </c>
    </row>
    <row r="314" ht="21" customHeight="1">
      <c r="A314" t="inlineStr">
        <is>
          <t>Rajiformes</t>
        </is>
      </c>
      <c r="D314" s="10" t="inlineStr">
        <is>
          <t>Coastal elasmobranch</t>
        </is>
      </c>
      <c r="H314" t="n">
        <v>3918.259862</v>
      </c>
      <c r="I314" t="n">
        <v>1355.349538</v>
      </c>
      <c r="J314" t="n">
        <v>1507.801381</v>
      </c>
      <c r="K314" t="n">
        <v>1423.364503</v>
      </c>
      <c r="L314" t="n">
        <v>16997.641054</v>
      </c>
      <c r="M314" t="n">
        <v>8379.450296999999</v>
      </c>
      <c r="N314" t="n">
        <v>8379.450296999999</v>
      </c>
      <c r="O314" t="n">
        <v>1747.163226</v>
      </c>
      <c r="P314" t="n">
        <v>316.077663</v>
      </c>
      <c r="Q314" t="n">
        <v>8379.450296999999</v>
      </c>
      <c r="R314" t="n">
        <v>88438129.351763</v>
      </c>
      <c r="S314" t="n">
        <v>1747.163226</v>
      </c>
      <c r="T314" t="n">
        <v>7107955.115117</v>
      </c>
      <c r="U314" t="n">
        <v>316.077663</v>
      </c>
      <c r="V314" t="n">
        <v>3.942428667430859e+22</v>
      </c>
      <c r="W314" t="n">
        <v>2309.611491</v>
      </c>
      <c r="X314" t="n">
        <v>11319.470971</v>
      </c>
      <c r="Z314" t="n">
        <v>269.913382</v>
      </c>
    </row>
    <row r="315" ht="21" customHeight="1">
      <c r="A315" t="inlineStr">
        <is>
          <t>Lepidocybium flavobrunneum</t>
        </is>
      </c>
      <c r="D315" s="10" t="inlineStr">
        <is>
          <t>ML bathy</t>
        </is>
      </c>
      <c r="H315" t="n">
        <v>564.728401</v>
      </c>
      <c r="I315" t="n">
        <v>274.186388</v>
      </c>
      <c r="J315" t="n">
        <v>346.504973</v>
      </c>
      <c r="K315" t="n">
        <v>311.854476</v>
      </c>
      <c r="L315" t="n">
        <v>1516.93004</v>
      </c>
      <c r="M315" t="n">
        <v>815.412475</v>
      </c>
      <c r="N315" t="n">
        <v>815.412475</v>
      </c>
      <c r="O315" t="n">
        <v>189.007507</v>
      </c>
      <c r="P315" t="n">
        <v>51.530513</v>
      </c>
      <c r="Q315" t="n">
        <v>815.412475</v>
      </c>
      <c r="R315" t="n">
        <v>-751674.6446</v>
      </c>
      <c r="S315" t="n">
        <v>189.007507</v>
      </c>
      <c r="T315" t="n">
        <v>687545.493516</v>
      </c>
      <c r="U315" t="n">
        <v>51.530513</v>
      </c>
      <c r="V315" t="n">
        <v>-17348089.240234</v>
      </c>
      <c r="W315" t="n">
        <v>238.303904</v>
      </c>
      <c r="X315" t="n">
        <v>1001.903861</v>
      </c>
      <c r="Z315" t="n">
        <v>72.032933</v>
      </c>
    </row>
    <row r="316" ht="21" customHeight="1">
      <c r="A316" t="inlineStr">
        <is>
          <t>Carcharhinus plumbeus</t>
        </is>
      </c>
      <c r="D316" s="10" t="inlineStr">
        <is>
          <t>Coastal elasmobranch</t>
        </is>
      </c>
      <c r="H316" t="n">
        <v>3918.259862</v>
      </c>
      <c r="I316" t="n">
        <v>1355.349538</v>
      </c>
      <c r="J316" t="n">
        <v>1507.801381</v>
      </c>
      <c r="K316" t="n">
        <v>1423.364503</v>
      </c>
      <c r="L316" t="n">
        <v>16997.641054</v>
      </c>
      <c r="M316" t="n">
        <v>8379.450296999999</v>
      </c>
      <c r="N316" t="n">
        <v>8379.450296999999</v>
      </c>
      <c r="O316" t="n">
        <v>1747.163226</v>
      </c>
      <c r="P316" t="n">
        <v>316.077663</v>
      </c>
      <c r="Q316" t="n">
        <v>8379.450296999999</v>
      </c>
      <c r="R316" t="n">
        <v>88438129.351763</v>
      </c>
      <c r="S316" t="n">
        <v>1747.163226</v>
      </c>
      <c r="T316" t="n">
        <v>7107955.115117</v>
      </c>
      <c r="U316" t="n">
        <v>316.077663</v>
      </c>
      <c r="V316" t="n">
        <v>3.942428667430859e+22</v>
      </c>
      <c r="W316" t="n">
        <v>2309.611491</v>
      </c>
      <c r="X316" t="n">
        <v>11319.470971</v>
      </c>
      <c r="Z316" t="n">
        <v>269.913382</v>
      </c>
    </row>
    <row r="317" ht="21" customHeight="1">
      <c r="A317" t="inlineStr">
        <is>
          <t>Mobula birostris</t>
        </is>
      </c>
      <c r="B317" t="n">
        <v>3.46</v>
      </c>
      <c r="C317" t="n">
        <v>288.40315</v>
      </c>
      <c r="D317" s="10" t="inlineStr">
        <is>
          <t>Coastal elasmobranch</t>
        </is>
      </c>
      <c r="H317" t="n">
        <v>3918.259862</v>
      </c>
      <c r="I317" t="n">
        <v>1355.349538</v>
      </c>
      <c r="J317" t="n">
        <v>1507.801381</v>
      </c>
      <c r="K317" t="n">
        <v>1423.364503</v>
      </c>
      <c r="L317" t="n">
        <v>16997.641054</v>
      </c>
      <c r="M317" t="n">
        <v>8379.450296999999</v>
      </c>
      <c r="N317" t="n">
        <v>8379.450296999999</v>
      </c>
      <c r="O317" t="n">
        <v>1747.163226</v>
      </c>
      <c r="P317" t="n">
        <v>316.077663</v>
      </c>
      <c r="Q317" t="n">
        <v>8379.450296999999</v>
      </c>
      <c r="R317" t="n">
        <v>88438129.351763</v>
      </c>
      <c r="S317" t="n">
        <v>1747.163226</v>
      </c>
      <c r="T317" t="n">
        <v>7107955.115117</v>
      </c>
      <c r="U317" t="n">
        <v>316.077663</v>
      </c>
      <c r="V317" t="n">
        <v>3.942428667430859e+22</v>
      </c>
      <c r="W317" t="n">
        <v>2309.611491</v>
      </c>
      <c r="X317" t="n">
        <v>11319.470971</v>
      </c>
      <c r="Z317" t="n">
        <v>269.913382</v>
      </c>
    </row>
    <row r="318" ht="21" customHeight="1">
      <c r="A318" t="inlineStr">
        <is>
          <t>Mene maculata</t>
        </is>
      </c>
      <c r="D318" s="10" t="inlineStr">
        <is>
          <t>2 SM inv | 3 SM inv</t>
        </is>
      </c>
      <c r="H318" t="n">
        <v>91.813177</v>
      </c>
      <c r="I318" t="n">
        <v>52.413336</v>
      </c>
      <c r="J318" t="n">
        <v>62.649384</v>
      </c>
      <c r="K318" t="n">
        <v>58.645949</v>
      </c>
      <c r="L318" t="n">
        <v>358.382548</v>
      </c>
      <c r="M318" t="n">
        <v>163.84463</v>
      </c>
      <c r="N318" t="n">
        <v>163.84463</v>
      </c>
      <c r="O318" t="n">
        <v>65.16087</v>
      </c>
      <c r="P318" t="n">
        <v>23.726562</v>
      </c>
      <c r="Q318" t="n">
        <v>163.84463</v>
      </c>
      <c r="R318" t="n">
        <v>27231.721784</v>
      </c>
      <c r="S318" t="n">
        <v>65.16087</v>
      </c>
      <c r="T318" t="n">
        <v>247011.21003</v>
      </c>
      <c r="U318" t="n">
        <v>23.726562</v>
      </c>
      <c r="V318" t="n">
        <v>-1608691.090535</v>
      </c>
      <c r="W318" t="n">
        <v>85.655771</v>
      </c>
      <c r="X318" t="n">
        <v>226.381866</v>
      </c>
      <c r="Z318" t="n">
        <v>23.837652</v>
      </c>
    </row>
    <row r="319" ht="21" customHeight="1">
      <c r="A319" t="inlineStr">
        <is>
          <t>Lampris guttatus</t>
        </is>
      </c>
      <c r="D319" s="10" t="inlineStr">
        <is>
          <t>ML bathy</t>
        </is>
      </c>
      <c r="H319" t="n">
        <v>564.728401</v>
      </c>
      <c r="I319" t="n">
        <v>274.186388</v>
      </c>
      <c r="J319" t="n">
        <v>346.504973</v>
      </c>
      <c r="K319" t="n">
        <v>311.854476</v>
      </c>
      <c r="L319" t="n">
        <v>1516.93004</v>
      </c>
      <c r="M319" t="n">
        <v>815.412475</v>
      </c>
      <c r="N319" t="n">
        <v>815.412475</v>
      </c>
      <c r="O319" t="n">
        <v>189.007507</v>
      </c>
      <c r="P319" t="n">
        <v>51.530513</v>
      </c>
      <c r="Q319" t="n">
        <v>815.412475</v>
      </c>
      <c r="R319" t="n">
        <v>-751674.6446</v>
      </c>
      <c r="S319" t="n">
        <v>189.007507</v>
      </c>
      <c r="T319" t="n">
        <v>687545.493516</v>
      </c>
      <c r="U319" t="n">
        <v>51.530513</v>
      </c>
      <c r="V319" t="n">
        <v>-17348089.240234</v>
      </c>
      <c r="W319" t="n">
        <v>238.303904</v>
      </c>
      <c r="X319" t="n">
        <v>1001.903861</v>
      </c>
      <c r="Z319" t="n">
        <v>72.032933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T3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s>
  <sheetData>
    <row r="1">
      <c r="A1" s="1" t="inlineStr">
        <is>
          <t>Total PPR by method and year — every taxon summed, tonnes wet weight equivalent of primary production.</t>
        </is>
      </c>
    </row>
    <row r="2">
      <c r="A2" t="inlineStr">
        <is>
          <t>Primary producers only; excludes detritus and imports. The simple chain rows are unpartitioned references; model rows use this scope.</t>
        </is>
      </c>
    </row>
    <row r="3">
      <c r="A3" t="inlineStr">
        <is>
          <t>Methods are not alternatives to be averaged. They rest on different assumptions and the spread between them is the result.</t>
        </is>
      </c>
    </row>
    <row r="4">
      <c r="A4" t="inlineStr">
        <is>
          <t>The two grey rows aggregate the catch to a group before exponentiating, which understates the total: SPPR is convex in trophic level, so they measure the Jensen effect rather than the PPR.</t>
        </is>
      </c>
    </row>
    <row r="5">
      <c r="A5" s="4" t="inlineStr">
        <is>
          <t>method</t>
        </is>
      </c>
      <c r="B5" s="4" t="inlineStr">
        <is>
          <t>status</t>
        </is>
      </c>
      <c r="C5" s="4" t="n">
        <v>1950</v>
      </c>
      <c r="D5" s="4" t="n">
        <v>1951</v>
      </c>
      <c r="E5" s="4" t="n">
        <v>1952</v>
      </c>
      <c r="F5" s="4" t="n">
        <v>1953</v>
      </c>
      <c r="G5" s="4" t="n">
        <v>1954</v>
      </c>
      <c r="H5" s="4" t="n">
        <v>1955</v>
      </c>
      <c r="I5" s="4" t="n">
        <v>1956</v>
      </c>
      <c r="J5" s="4" t="n">
        <v>1957</v>
      </c>
      <c r="K5" s="4" t="n">
        <v>1958</v>
      </c>
      <c r="L5" s="4" t="n">
        <v>1959</v>
      </c>
      <c r="M5" s="4" t="n">
        <v>1960</v>
      </c>
      <c r="N5" s="4" t="n">
        <v>1961</v>
      </c>
      <c r="O5" s="4" t="n">
        <v>1962</v>
      </c>
      <c r="P5" s="4" t="n">
        <v>1963</v>
      </c>
      <c r="Q5" s="4" t="n">
        <v>1964</v>
      </c>
      <c r="R5" s="4" t="n">
        <v>1965</v>
      </c>
      <c r="S5" s="4" t="n">
        <v>1966</v>
      </c>
      <c r="T5" s="4" t="n">
        <v>1967</v>
      </c>
      <c r="U5" s="4" t="n">
        <v>1968</v>
      </c>
      <c r="V5" s="4" t="n">
        <v>1969</v>
      </c>
      <c r="W5" s="4" t="n">
        <v>1970</v>
      </c>
      <c r="X5" s="4" t="n">
        <v>1971</v>
      </c>
      <c r="Y5" s="4" t="n">
        <v>1972</v>
      </c>
      <c r="Z5" s="4" t="n">
        <v>1973</v>
      </c>
      <c r="AA5" s="4" t="n">
        <v>1974</v>
      </c>
      <c r="AB5" s="4" t="n">
        <v>1975</v>
      </c>
      <c r="AC5" s="4" t="n">
        <v>1976</v>
      </c>
      <c r="AD5" s="4" t="n">
        <v>1977</v>
      </c>
      <c r="AE5" s="4" t="n">
        <v>1978</v>
      </c>
      <c r="AF5" s="4" t="n">
        <v>1979</v>
      </c>
      <c r="AG5" s="4" t="n">
        <v>1980</v>
      </c>
      <c r="AH5" s="4" t="n">
        <v>1981</v>
      </c>
      <c r="AI5" s="4" t="n">
        <v>1982</v>
      </c>
      <c r="AJ5" s="4" t="n">
        <v>1983</v>
      </c>
      <c r="AK5" s="4" t="n">
        <v>1984</v>
      </c>
      <c r="AL5" s="4" t="n">
        <v>1985</v>
      </c>
      <c r="AM5" s="4" t="n">
        <v>1986</v>
      </c>
      <c r="AN5" s="4" t="n">
        <v>1987</v>
      </c>
      <c r="AO5" s="4" t="n">
        <v>1988</v>
      </c>
      <c r="AP5" s="4" t="n">
        <v>1989</v>
      </c>
      <c r="AQ5" s="4" t="n">
        <v>1990</v>
      </c>
      <c r="AR5" s="4" t="n">
        <v>1991</v>
      </c>
      <c r="AS5" s="4" t="n">
        <v>1992</v>
      </c>
      <c r="AT5" s="4" t="n">
        <v>1993</v>
      </c>
      <c r="AU5" s="4" t="n">
        <v>1994</v>
      </c>
      <c r="AV5" s="4" t="n">
        <v>1995</v>
      </c>
      <c r="AW5" s="4" t="n">
        <v>1996</v>
      </c>
      <c r="AX5" s="4" t="n">
        <v>1997</v>
      </c>
      <c r="AY5" s="4" t="n">
        <v>1998</v>
      </c>
      <c r="AZ5" s="4" t="n">
        <v>1999</v>
      </c>
      <c r="BA5" s="4" t="n">
        <v>2000</v>
      </c>
      <c r="BB5" s="4" t="n">
        <v>2001</v>
      </c>
      <c r="BC5" s="4" t="n">
        <v>2002</v>
      </c>
      <c r="BD5" s="4" t="n">
        <v>2003</v>
      </c>
      <c r="BE5" s="4" t="n">
        <v>2004</v>
      </c>
      <c r="BF5" s="4" t="n">
        <v>2005</v>
      </c>
      <c r="BG5" s="4" t="n">
        <v>2006</v>
      </c>
      <c r="BH5" s="4" t="n">
        <v>2007</v>
      </c>
      <c r="BI5" s="4" t="n">
        <v>2008</v>
      </c>
      <c r="BJ5" s="4" t="n">
        <v>2009</v>
      </c>
      <c r="BK5" s="4" t="n">
        <v>2010</v>
      </c>
      <c r="BL5" s="4" t="n">
        <v>2011</v>
      </c>
      <c r="BM5" s="4" t="n">
        <v>2012</v>
      </c>
      <c r="BN5" s="4" t="n">
        <v>2013</v>
      </c>
      <c r="BO5" s="4" t="n">
        <v>2014</v>
      </c>
      <c r="BP5" s="4" t="n">
        <v>2015</v>
      </c>
      <c r="BQ5" s="4" t="n">
        <v>2016</v>
      </c>
      <c r="BR5" s="4" t="n">
        <v>2017</v>
      </c>
      <c r="BS5" s="4" t="n">
        <v>2018</v>
      </c>
      <c r="BT5" s="4" t="n">
        <v>2019</v>
      </c>
    </row>
    <row r="6">
      <c r="A6" s="3" t="inlineStr">
        <is>
          <t>simple trophic chain, per taxon</t>
        </is>
      </c>
      <c r="B6" t="inlineStr">
        <is>
          <t>ok</t>
        </is>
      </c>
      <c r="C6" t="n">
        <v>470224474.923</v>
      </c>
      <c r="D6" t="n">
        <v>479655799.992</v>
      </c>
      <c r="E6" t="n">
        <v>518384304.482</v>
      </c>
      <c r="F6" t="n">
        <v>503838387.402</v>
      </c>
      <c r="G6" t="n">
        <v>548855442.279</v>
      </c>
      <c r="H6" t="n">
        <v>568401083.102</v>
      </c>
      <c r="I6" t="n">
        <v>625166415.7920001</v>
      </c>
      <c r="J6" t="n">
        <v>586646084.85</v>
      </c>
      <c r="K6" t="n">
        <v>609646137.494</v>
      </c>
      <c r="L6" t="n">
        <v>608993785.003</v>
      </c>
      <c r="M6" t="n">
        <v>629347038.538</v>
      </c>
      <c r="N6" t="n">
        <v>669101290.891</v>
      </c>
      <c r="O6" t="n">
        <v>687477554.039</v>
      </c>
      <c r="P6" t="n">
        <v>692351029.885</v>
      </c>
      <c r="Q6" t="n">
        <v>770896156.517</v>
      </c>
      <c r="R6" t="n">
        <v>774782731.823</v>
      </c>
      <c r="S6" t="n">
        <v>836343612.482</v>
      </c>
      <c r="T6" t="n">
        <v>870648937.309</v>
      </c>
      <c r="U6" t="n">
        <v>963645398.569</v>
      </c>
      <c r="V6" t="n">
        <v>1004857830.247</v>
      </c>
      <c r="W6" t="n">
        <v>900212336.707</v>
      </c>
      <c r="X6" t="n">
        <v>1015867746.721</v>
      </c>
      <c r="Y6" t="n">
        <v>1047425276.872</v>
      </c>
      <c r="Z6" t="n">
        <v>1097022235.332</v>
      </c>
      <c r="AA6" t="n">
        <v>1159374974.221</v>
      </c>
      <c r="AB6" t="n">
        <v>1205050019.951</v>
      </c>
      <c r="AC6" t="n">
        <v>1310822785.853</v>
      </c>
      <c r="AD6" t="n">
        <v>1426504553.974</v>
      </c>
      <c r="AE6" t="n">
        <v>1498968181.316</v>
      </c>
      <c r="AF6" t="n">
        <v>1553910885.201</v>
      </c>
      <c r="AG6" t="n">
        <v>1526737052.579</v>
      </c>
      <c r="AH6" t="n">
        <v>1612055584.751</v>
      </c>
      <c r="AI6" t="n">
        <v>1687469309.672</v>
      </c>
      <c r="AJ6" t="n">
        <v>1713907263.062</v>
      </c>
      <c r="AK6" t="n">
        <v>1820942835.486</v>
      </c>
      <c r="AL6" t="n">
        <v>1759689014.693</v>
      </c>
      <c r="AM6" t="n">
        <v>1875163978.97</v>
      </c>
      <c r="AN6" t="n">
        <v>2005624432.699</v>
      </c>
      <c r="AO6" t="n">
        <v>1957134323.584</v>
      </c>
      <c r="AP6" t="n">
        <v>2104115246.87</v>
      </c>
      <c r="AQ6" t="n">
        <v>2063030170.125</v>
      </c>
      <c r="AR6" t="n">
        <v>2255330080.124</v>
      </c>
      <c r="AS6" t="n">
        <v>2357207806.564</v>
      </c>
      <c r="AT6" t="n">
        <v>2613352232.616</v>
      </c>
      <c r="AU6" t="n">
        <v>2503947384.954</v>
      </c>
      <c r="AV6" t="n">
        <v>2577082078.158</v>
      </c>
      <c r="AW6" t="n">
        <v>2611378106.762</v>
      </c>
      <c r="AX6" t="n">
        <v>2613460472.452</v>
      </c>
      <c r="AY6" t="n">
        <v>2927891354.231</v>
      </c>
      <c r="AZ6" t="n">
        <v>2718460438.727</v>
      </c>
      <c r="BA6" t="n">
        <v>2914083457.511</v>
      </c>
      <c r="BB6" t="n">
        <v>2691692687.272</v>
      </c>
      <c r="BC6" t="n">
        <v>2987885831.14</v>
      </c>
      <c r="BD6" t="n">
        <v>3025184858.196</v>
      </c>
      <c r="BE6" t="n">
        <v>3102237094.353</v>
      </c>
      <c r="BF6" t="n">
        <v>2945799380.952</v>
      </c>
      <c r="BG6" t="n">
        <v>3090676118.693</v>
      </c>
      <c r="BH6" t="n">
        <v>3245690259.659</v>
      </c>
      <c r="BI6" t="n">
        <v>3090496494.426</v>
      </c>
      <c r="BJ6" t="n">
        <v>3263981143.095</v>
      </c>
      <c r="BK6" t="n">
        <v>3154635925.362</v>
      </c>
      <c r="BL6" t="n">
        <v>3186070406.057</v>
      </c>
      <c r="BM6" t="n">
        <v>3126950517.586</v>
      </c>
      <c r="BN6" t="n">
        <v>2933667273.488</v>
      </c>
      <c r="BO6" t="n">
        <v>3102290965.39</v>
      </c>
      <c r="BP6" t="n">
        <v>3228903568.238</v>
      </c>
      <c r="BQ6" t="n">
        <v>3392524591.477</v>
      </c>
      <c r="BR6" t="n">
        <v>3430389817.438</v>
      </c>
      <c r="BS6" t="n">
        <v>3223762185.526</v>
      </c>
      <c r="BT6" t="n">
        <v>3525461858.525</v>
      </c>
    </row>
    <row r="7">
      <c r="A7" s="15" t="inlineStr">
        <is>
          <t>simple, aggregated to SAU functional group</t>
        </is>
      </c>
      <c r="B7" t="inlineStr">
        <is>
          <t>Jensen comparison, not a PPR estimate</t>
        </is>
      </c>
      <c r="C7" t="n">
        <v>353830876.765</v>
      </c>
      <c r="D7" t="n">
        <v>360435746.638</v>
      </c>
      <c r="E7" t="n">
        <v>393742781.131</v>
      </c>
      <c r="F7" t="n">
        <v>377294812.546</v>
      </c>
      <c r="G7" t="n">
        <v>411293293.443</v>
      </c>
      <c r="H7" t="n">
        <v>432903620.497</v>
      </c>
      <c r="I7" t="n">
        <v>478471983.103</v>
      </c>
      <c r="J7" t="n">
        <v>446066578.03</v>
      </c>
      <c r="K7" t="n">
        <v>466906412.705</v>
      </c>
      <c r="L7" t="n">
        <v>466077693.276</v>
      </c>
      <c r="M7" t="n">
        <v>483975418.804</v>
      </c>
      <c r="N7" t="n">
        <v>516583551.562</v>
      </c>
      <c r="O7" t="n">
        <v>531331213.253</v>
      </c>
      <c r="P7" t="n">
        <v>528160463.532</v>
      </c>
      <c r="Q7" t="n">
        <v>591312779.9809999</v>
      </c>
      <c r="R7" t="n">
        <v>590279442.198</v>
      </c>
      <c r="S7" t="n">
        <v>642330028.182</v>
      </c>
      <c r="T7" t="n">
        <v>654410976.266</v>
      </c>
      <c r="U7" t="n">
        <v>738923252.6670001</v>
      </c>
      <c r="V7" t="n">
        <v>776188273.124</v>
      </c>
      <c r="W7" t="n">
        <v>682805355.781</v>
      </c>
      <c r="X7" t="n">
        <v>779333818.752</v>
      </c>
      <c r="Y7" t="n">
        <v>806884538.562</v>
      </c>
      <c r="Z7" t="n">
        <v>847699038.615</v>
      </c>
      <c r="AA7" t="n">
        <v>908109714.926</v>
      </c>
      <c r="AB7" t="n">
        <v>942941764.516</v>
      </c>
      <c r="AC7" t="n">
        <v>992849284.659</v>
      </c>
      <c r="AD7" t="n">
        <v>1064845868.415</v>
      </c>
      <c r="AE7" t="n">
        <v>1129191014.07</v>
      </c>
      <c r="AF7" t="n">
        <v>1167079399.309</v>
      </c>
      <c r="AG7" t="n">
        <v>1149374785.077</v>
      </c>
      <c r="AH7" t="n">
        <v>1211987453.165</v>
      </c>
      <c r="AI7" t="n">
        <v>1275418567.812</v>
      </c>
      <c r="AJ7" t="n">
        <v>1288432601.048</v>
      </c>
      <c r="AK7" t="n">
        <v>1372011238.247</v>
      </c>
      <c r="AL7" t="n">
        <v>1322952000.432</v>
      </c>
      <c r="AM7" t="n">
        <v>1425684684.194</v>
      </c>
      <c r="AN7" t="n">
        <v>1498159583.047</v>
      </c>
      <c r="AO7" t="n">
        <v>1465818754.418</v>
      </c>
      <c r="AP7" t="n">
        <v>1552704775.634</v>
      </c>
      <c r="AQ7" t="n">
        <v>1475833694.784</v>
      </c>
      <c r="AR7" t="n">
        <v>1637230490.59</v>
      </c>
      <c r="AS7" t="n">
        <v>1729056056.156</v>
      </c>
      <c r="AT7" t="n">
        <v>1908766508.019</v>
      </c>
      <c r="AU7" t="n">
        <v>1813099996.309</v>
      </c>
      <c r="AV7" t="n">
        <v>1868614333.24</v>
      </c>
      <c r="AW7" t="n">
        <v>1878692955.476</v>
      </c>
      <c r="AX7" t="n">
        <v>1888087103.301</v>
      </c>
      <c r="AY7" t="n">
        <v>2121037476.155</v>
      </c>
      <c r="AZ7" t="n">
        <v>1989206928.594</v>
      </c>
      <c r="BA7" t="n">
        <v>2154030864.156</v>
      </c>
      <c r="BB7" t="n">
        <v>1972601116.409</v>
      </c>
      <c r="BC7" t="n">
        <v>2221605865.068</v>
      </c>
      <c r="BD7" t="n">
        <v>2210120097.588</v>
      </c>
      <c r="BE7" t="n">
        <v>2248424470.377</v>
      </c>
      <c r="BF7" t="n">
        <v>2138469910.313</v>
      </c>
      <c r="BG7" t="n">
        <v>2253753506.987</v>
      </c>
      <c r="BH7" t="n">
        <v>2380401970.595</v>
      </c>
      <c r="BI7" t="n">
        <v>2214028022.424</v>
      </c>
      <c r="BJ7" t="n">
        <v>2312023676.685</v>
      </c>
      <c r="BK7" t="n">
        <v>2196208326.096</v>
      </c>
      <c r="BL7" t="n">
        <v>2240248716.032</v>
      </c>
      <c r="BM7" t="n">
        <v>2204532348.383</v>
      </c>
      <c r="BN7" t="n">
        <v>2037868208.405</v>
      </c>
      <c r="BO7" t="n">
        <v>2224689553.272</v>
      </c>
      <c r="BP7" t="n">
        <v>2336851189.309</v>
      </c>
      <c r="BQ7" t="n">
        <v>2414519662.744</v>
      </c>
      <c r="BR7" t="n">
        <v>2454778793.928</v>
      </c>
      <c r="BS7" t="n">
        <v>2305343085.912</v>
      </c>
      <c r="BT7" t="n">
        <v>2527044618.005</v>
      </c>
    </row>
    <row r="8">
      <c r="A8" s="15" t="inlineStr">
        <is>
          <t>simple, aggregated to SAU commercial group</t>
        </is>
      </c>
      <c r="B8" t="inlineStr">
        <is>
          <t>Jensen comparison, not a PPR estimate</t>
        </is>
      </c>
      <c r="C8" t="n">
        <v>306438915.693</v>
      </c>
      <c r="D8" t="n">
        <v>318746635.135</v>
      </c>
      <c r="E8" t="n">
        <v>353167514.482</v>
      </c>
      <c r="F8" t="n">
        <v>338742295.594</v>
      </c>
      <c r="G8" t="n">
        <v>363159546.172</v>
      </c>
      <c r="H8" t="n">
        <v>380847177.706</v>
      </c>
      <c r="I8" t="n">
        <v>432523763.563</v>
      </c>
      <c r="J8" t="n">
        <v>397632204.714</v>
      </c>
      <c r="K8" t="n">
        <v>421572670.263</v>
      </c>
      <c r="L8" t="n">
        <v>421622609.172</v>
      </c>
      <c r="M8" t="n">
        <v>440271165.451</v>
      </c>
      <c r="N8" t="n">
        <v>464652299.569</v>
      </c>
      <c r="O8" t="n">
        <v>465205715.472</v>
      </c>
      <c r="P8" t="n">
        <v>468138703.783</v>
      </c>
      <c r="Q8" t="n">
        <v>527468115.713</v>
      </c>
      <c r="R8" t="n">
        <v>527054929.185</v>
      </c>
      <c r="S8" t="n">
        <v>571284838.939</v>
      </c>
      <c r="T8" t="n">
        <v>576333502.6900001</v>
      </c>
      <c r="U8" t="n">
        <v>655764055.845</v>
      </c>
      <c r="V8" t="n">
        <v>699694402.646</v>
      </c>
      <c r="W8" t="n">
        <v>608969846.858</v>
      </c>
      <c r="X8" t="n">
        <v>702303929.784</v>
      </c>
      <c r="Y8" t="n">
        <v>717760960.255</v>
      </c>
      <c r="Z8" t="n">
        <v>755179945.788</v>
      </c>
      <c r="AA8" t="n">
        <v>810465676.1950001</v>
      </c>
      <c r="AB8" t="n">
        <v>844776212.29</v>
      </c>
      <c r="AC8" t="n">
        <v>870682278.8660001</v>
      </c>
      <c r="AD8" t="n">
        <v>940976393.01</v>
      </c>
      <c r="AE8" t="n">
        <v>995426167.715</v>
      </c>
      <c r="AF8" t="n">
        <v>1021814469.839</v>
      </c>
      <c r="AG8" t="n">
        <v>985395273.3200001</v>
      </c>
      <c r="AH8" t="n">
        <v>1055688123.159</v>
      </c>
      <c r="AI8" t="n">
        <v>1122616215.793</v>
      </c>
      <c r="AJ8" t="n">
        <v>1138771690.967</v>
      </c>
      <c r="AK8" t="n">
        <v>1229414190.605</v>
      </c>
      <c r="AL8" t="n">
        <v>1212732270.672</v>
      </c>
      <c r="AM8" t="n">
        <v>1302418245.576</v>
      </c>
      <c r="AN8" t="n">
        <v>1392936395.7</v>
      </c>
      <c r="AO8" t="n">
        <v>1358923296.506</v>
      </c>
      <c r="AP8" t="n">
        <v>1445163441.993</v>
      </c>
      <c r="AQ8" t="n">
        <v>1374866434.976</v>
      </c>
      <c r="AR8" t="n">
        <v>1527660069.416</v>
      </c>
      <c r="AS8" t="n">
        <v>1585784707.212</v>
      </c>
      <c r="AT8" t="n">
        <v>1785021604.405</v>
      </c>
      <c r="AU8" t="n">
        <v>1688803186.662</v>
      </c>
      <c r="AV8" t="n">
        <v>1702632144.907</v>
      </c>
      <c r="AW8" t="n">
        <v>1716322279.707</v>
      </c>
      <c r="AX8" t="n">
        <v>1717623552.869</v>
      </c>
      <c r="AY8" t="n">
        <v>1926662991.164</v>
      </c>
      <c r="AZ8" t="n">
        <v>1792825663.906</v>
      </c>
      <c r="BA8" t="n">
        <v>1955764086.257</v>
      </c>
      <c r="BB8" t="n">
        <v>1796508243.84</v>
      </c>
      <c r="BC8" t="n">
        <v>2014485999.586</v>
      </c>
      <c r="BD8" t="n">
        <v>2015783129.67</v>
      </c>
      <c r="BE8" t="n">
        <v>2080976213.49</v>
      </c>
      <c r="BF8" t="n">
        <v>1999218100.141</v>
      </c>
      <c r="BG8" t="n">
        <v>2087302462.11</v>
      </c>
      <c r="BH8" t="n">
        <v>2223117388.823</v>
      </c>
      <c r="BI8" t="n">
        <v>2066808404.2</v>
      </c>
      <c r="BJ8" t="n">
        <v>2145986859.467</v>
      </c>
      <c r="BK8" t="n">
        <v>2065124269.422</v>
      </c>
      <c r="BL8" t="n">
        <v>2096063400.955</v>
      </c>
      <c r="BM8" t="n">
        <v>2051359371.455</v>
      </c>
      <c r="BN8" t="n">
        <v>1916964326.95</v>
      </c>
      <c r="BO8" t="n">
        <v>2095005526.96</v>
      </c>
      <c r="BP8" t="n">
        <v>2184810877.047</v>
      </c>
      <c r="BQ8" t="n">
        <v>2261871824.131</v>
      </c>
      <c r="BR8" t="n">
        <v>2293874036.744</v>
      </c>
      <c r="BS8" t="n">
        <v>2166756533.021</v>
      </c>
      <c r="BT8" t="n">
        <v>2348434942.791</v>
      </c>
    </row>
    <row r="9">
      <c r="A9" s="16" t="inlineStr">
        <is>
          <t>SPPR_1986</t>
        </is>
      </c>
      <c r="B9" s="17" t="inlineStr">
        <is>
          <t>did not resolve for any mapped group</t>
        </is>
      </c>
    </row>
    <row r="10">
      <c r="A10" s="16" t="inlineStr">
        <is>
          <t>SPPR_1995_TE0.1</t>
        </is>
      </c>
      <c r="B10" s="17" t="inlineStr">
        <is>
          <t>did not resolve for any mapped group</t>
        </is>
      </c>
    </row>
    <row r="11">
      <c r="A11" s="16" t="inlineStr">
        <is>
          <t>SPPR_1995_TEmean</t>
        </is>
      </c>
      <c r="B11" s="17" t="inlineStr">
        <is>
          <t>did not resolve for any mapped group</t>
        </is>
      </c>
    </row>
    <row r="12">
      <c r="A12" t="inlineStr">
        <is>
          <t>Ulanowicz_globalTEmean</t>
        </is>
      </c>
      <c r="B12" t="inlineStr">
        <is>
          <t>ok</t>
        </is>
      </c>
      <c r="C12" t="n">
        <v>490375504.534</v>
      </c>
      <c r="D12" t="n">
        <v>532933783.813</v>
      </c>
      <c r="E12" t="n">
        <v>602806390.1289999</v>
      </c>
      <c r="F12" t="n">
        <v>542383312.7869999</v>
      </c>
      <c r="G12" t="n">
        <v>574714941.552</v>
      </c>
      <c r="H12" t="n">
        <v>602894108.92</v>
      </c>
      <c r="I12" t="n">
        <v>649418844.298</v>
      </c>
      <c r="J12" t="n">
        <v>644862548.527</v>
      </c>
      <c r="K12" t="n">
        <v>669716618.245</v>
      </c>
      <c r="L12" t="n">
        <v>704090008.148</v>
      </c>
      <c r="M12" t="n">
        <v>792387336.242</v>
      </c>
      <c r="N12" t="n">
        <v>814800826.1720001</v>
      </c>
      <c r="O12" t="n">
        <v>847333640.7410001</v>
      </c>
      <c r="P12" t="n">
        <v>835066424.556</v>
      </c>
      <c r="Q12" t="n">
        <v>884662903.461</v>
      </c>
      <c r="R12" t="n">
        <v>938595124.314</v>
      </c>
      <c r="S12" t="n">
        <v>1000808961.955</v>
      </c>
      <c r="T12" t="n">
        <v>942506182.813</v>
      </c>
      <c r="U12" t="n">
        <v>1100700923.821</v>
      </c>
      <c r="V12" t="n">
        <v>1182824825.803</v>
      </c>
      <c r="W12" t="n">
        <v>1060945291.349</v>
      </c>
      <c r="X12" t="n">
        <v>1169717092.967</v>
      </c>
      <c r="Y12" t="n">
        <v>1226231126.085</v>
      </c>
      <c r="Z12" t="n">
        <v>1223898025.154</v>
      </c>
      <c r="AA12" t="n">
        <v>1374134851.42</v>
      </c>
      <c r="AB12" t="n">
        <v>1376047302.497</v>
      </c>
      <c r="AC12" t="n">
        <v>1449285505.603</v>
      </c>
      <c r="AD12" t="n">
        <v>1510951400.466</v>
      </c>
      <c r="AE12" t="n">
        <v>1609668502.932</v>
      </c>
      <c r="AF12" t="n">
        <v>1626227522.983</v>
      </c>
      <c r="AG12" t="n">
        <v>1615327933.11</v>
      </c>
      <c r="AH12" t="n">
        <v>1690767098.943</v>
      </c>
      <c r="AI12" t="n">
        <v>1740516066.498</v>
      </c>
      <c r="AJ12" t="n">
        <v>1794864502.092</v>
      </c>
      <c r="AK12" t="n">
        <v>1922339548.127</v>
      </c>
      <c r="AL12" t="n">
        <v>1885583995.119</v>
      </c>
      <c r="AM12" t="n">
        <v>2019118888.303</v>
      </c>
      <c r="AN12" t="n">
        <v>2179716951.816</v>
      </c>
      <c r="AO12" t="n">
        <v>2122898419.389</v>
      </c>
      <c r="AP12" t="n">
        <v>2274811581.515</v>
      </c>
      <c r="AQ12" t="n">
        <v>2095475893.238</v>
      </c>
      <c r="AR12" t="n">
        <v>2289564436.996</v>
      </c>
      <c r="AS12" t="n">
        <v>2420959386.523</v>
      </c>
      <c r="AT12" t="n">
        <v>2697464061.006</v>
      </c>
      <c r="AU12" t="n">
        <v>2559287581.761</v>
      </c>
      <c r="AV12" t="n">
        <v>2638177781.663</v>
      </c>
      <c r="AW12" t="n">
        <v>2657358303.692</v>
      </c>
      <c r="AX12" t="n">
        <v>2708871662.236</v>
      </c>
      <c r="AY12" t="n">
        <v>2988289636.638</v>
      </c>
      <c r="AZ12" t="n">
        <v>2871823427.712</v>
      </c>
      <c r="BA12" t="n">
        <v>3093208987.061</v>
      </c>
      <c r="BB12" t="n">
        <v>2846721101.644</v>
      </c>
      <c r="BC12" t="n">
        <v>3179975819.377</v>
      </c>
      <c r="BD12" t="n">
        <v>3168147853.423</v>
      </c>
      <c r="BE12" t="n">
        <v>3278959017.954</v>
      </c>
      <c r="BF12" t="n">
        <v>3109451612.35</v>
      </c>
      <c r="BG12" t="n">
        <v>3168845364.456</v>
      </c>
      <c r="BH12" t="n">
        <v>3416412879.169</v>
      </c>
      <c r="BI12" t="n">
        <v>3112525474.481</v>
      </c>
      <c r="BJ12" t="n">
        <v>3238672036.798</v>
      </c>
      <c r="BK12" t="n">
        <v>3147739553.635</v>
      </c>
      <c r="BL12" t="n">
        <v>3211936277.283</v>
      </c>
      <c r="BM12" t="n">
        <v>3198750177.237</v>
      </c>
      <c r="BN12" t="n">
        <v>2935405130.064</v>
      </c>
      <c r="BO12" t="n">
        <v>3238245339.958</v>
      </c>
      <c r="BP12" t="n">
        <v>3330762845.372</v>
      </c>
      <c r="BQ12" t="n">
        <v>3465116315.301</v>
      </c>
      <c r="BR12" t="n">
        <v>3495185682.396</v>
      </c>
      <c r="BS12" t="n">
        <v>3301223805.578</v>
      </c>
      <c r="BT12" t="n">
        <v>3595771364.681</v>
      </c>
    </row>
    <row r="13">
      <c r="A13" t="inlineStr">
        <is>
          <t>Ulanowicz_TE</t>
        </is>
      </c>
      <c r="B13" t="inlineStr">
        <is>
          <t>ok</t>
        </is>
      </c>
      <c r="C13" t="n">
        <v>206200512.662</v>
      </c>
      <c r="D13" t="n">
        <v>224651073.188</v>
      </c>
      <c r="E13" t="n">
        <v>251277067.377</v>
      </c>
      <c r="F13" t="n">
        <v>226270846.753</v>
      </c>
      <c r="G13" t="n">
        <v>238746591.92</v>
      </c>
      <c r="H13" t="n">
        <v>246648471.002</v>
      </c>
      <c r="I13" t="n">
        <v>264618642.722</v>
      </c>
      <c r="J13" t="n">
        <v>266328101.387</v>
      </c>
      <c r="K13" t="n">
        <v>275503903.708</v>
      </c>
      <c r="L13" t="n">
        <v>286186009.003</v>
      </c>
      <c r="M13" t="n">
        <v>323218227.958</v>
      </c>
      <c r="N13" t="n">
        <v>332807977.476</v>
      </c>
      <c r="O13" t="n">
        <v>347464010.772</v>
      </c>
      <c r="P13" t="n">
        <v>344112145.508</v>
      </c>
      <c r="Q13" t="n">
        <v>362925793.955</v>
      </c>
      <c r="R13" t="n">
        <v>384574764.642</v>
      </c>
      <c r="S13" t="n">
        <v>406749259.829</v>
      </c>
      <c r="T13" t="n">
        <v>387917792.876</v>
      </c>
      <c r="U13" t="n">
        <v>444078112.301</v>
      </c>
      <c r="V13" t="n">
        <v>473957210.376</v>
      </c>
      <c r="W13" t="n">
        <v>438589385.048</v>
      </c>
      <c r="X13" t="n">
        <v>478748101.981</v>
      </c>
      <c r="Y13" t="n">
        <v>506545784.238</v>
      </c>
      <c r="Z13" t="n">
        <v>512107223.985</v>
      </c>
      <c r="AA13" t="n">
        <v>570449634.487</v>
      </c>
      <c r="AB13" t="n">
        <v>570309055.671</v>
      </c>
      <c r="AC13" t="n">
        <v>605480568.957</v>
      </c>
      <c r="AD13" t="n">
        <v>626501474.469</v>
      </c>
      <c r="AE13" t="n">
        <v>665561172.788</v>
      </c>
      <c r="AF13" t="n">
        <v>677139662.919</v>
      </c>
      <c r="AG13" t="n">
        <v>672658740.193</v>
      </c>
      <c r="AH13" t="n">
        <v>706701462.96</v>
      </c>
      <c r="AI13" t="n">
        <v>750680722.3380001</v>
      </c>
      <c r="AJ13" t="n">
        <v>750974813.618</v>
      </c>
      <c r="AK13" t="n">
        <v>782533848.501</v>
      </c>
      <c r="AL13" t="n">
        <v>773757113.668</v>
      </c>
      <c r="AM13" t="n">
        <v>837157505.941</v>
      </c>
      <c r="AN13" t="n">
        <v>889866048.077</v>
      </c>
      <c r="AO13" t="n">
        <v>851202665.252</v>
      </c>
      <c r="AP13" t="n">
        <v>919662530.2410001</v>
      </c>
      <c r="AQ13" t="n">
        <v>858812884.973</v>
      </c>
      <c r="AR13" t="n">
        <v>939104873.539</v>
      </c>
      <c r="AS13" t="n">
        <v>991570018.756</v>
      </c>
      <c r="AT13" t="n">
        <v>1101256021.932</v>
      </c>
      <c r="AU13" t="n">
        <v>1062020210.395</v>
      </c>
      <c r="AV13" t="n">
        <v>1097845612.987</v>
      </c>
      <c r="AW13" t="n">
        <v>1105236956.381</v>
      </c>
      <c r="AX13" t="n">
        <v>1129075780.389</v>
      </c>
      <c r="AY13" t="n">
        <v>1226218969.822</v>
      </c>
      <c r="AZ13" t="n">
        <v>1180879809.804</v>
      </c>
      <c r="BA13" t="n">
        <v>1262722093.829</v>
      </c>
      <c r="BB13" t="n">
        <v>1163720369.883</v>
      </c>
      <c r="BC13" t="n">
        <v>1296276320.564</v>
      </c>
      <c r="BD13" t="n">
        <v>1301911873.097</v>
      </c>
      <c r="BE13" t="n">
        <v>1346021917.329</v>
      </c>
      <c r="BF13" t="n">
        <v>1275961370.244</v>
      </c>
      <c r="BG13" t="n">
        <v>1366993358.977</v>
      </c>
      <c r="BH13" t="n">
        <v>1374245440.382</v>
      </c>
      <c r="BI13" t="n">
        <v>1356349786.713</v>
      </c>
      <c r="BJ13" t="n">
        <v>1392858300.747</v>
      </c>
      <c r="BK13" t="n">
        <v>1320000895.725</v>
      </c>
      <c r="BL13" t="n">
        <v>1378941150.53</v>
      </c>
      <c r="BM13" t="n">
        <v>1339377458.747</v>
      </c>
      <c r="BN13" t="n">
        <v>1277797307.012</v>
      </c>
      <c r="BO13" t="n">
        <v>1348385655.28</v>
      </c>
      <c r="BP13" t="n">
        <v>1384484983.363</v>
      </c>
      <c r="BQ13" t="n">
        <v>1434236653.179</v>
      </c>
      <c r="BR13" t="n">
        <v>1449261037.933</v>
      </c>
      <c r="BS13" t="n">
        <v>1359622182.681</v>
      </c>
      <c r="BT13" t="n">
        <v>1467020319.052</v>
      </c>
    </row>
    <row r="14">
      <c r="A14" t="inlineStr">
        <is>
          <t>EwE_TE_noEE</t>
        </is>
      </c>
      <c r="B14" t="inlineStr">
        <is>
          <t>ok</t>
        </is>
      </c>
      <c r="C14" t="n">
        <v>247143272.459</v>
      </c>
      <c r="D14" t="n">
        <v>267781896.75</v>
      </c>
      <c r="E14" t="n">
        <v>298945540.827</v>
      </c>
      <c r="F14" t="n">
        <v>270443489.347</v>
      </c>
      <c r="G14" t="n">
        <v>285691243.927</v>
      </c>
      <c r="H14" t="n">
        <v>295686959.19</v>
      </c>
      <c r="I14" t="n">
        <v>317238284.672</v>
      </c>
      <c r="J14" t="n">
        <v>317891648.669</v>
      </c>
      <c r="K14" t="n">
        <v>328772464.321</v>
      </c>
      <c r="L14" t="n">
        <v>341603543.36</v>
      </c>
      <c r="M14" t="n">
        <v>384637198.925</v>
      </c>
      <c r="N14" t="n">
        <v>397341744.809</v>
      </c>
      <c r="O14" t="n">
        <v>414743497.243</v>
      </c>
      <c r="P14" t="n">
        <v>411167788.325</v>
      </c>
      <c r="Q14" t="n">
        <v>434730000.772</v>
      </c>
      <c r="R14" t="n">
        <v>459075528.805</v>
      </c>
      <c r="S14" t="n">
        <v>485814638.267</v>
      </c>
      <c r="T14" t="n">
        <v>465675110.763</v>
      </c>
      <c r="U14" t="n">
        <v>532399343.4</v>
      </c>
      <c r="V14" t="n">
        <v>568380620.0470001</v>
      </c>
      <c r="W14" t="n">
        <v>526493673.987</v>
      </c>
      <c r="X14" t="n">
        <v>574859023.3890001</v>
      </c>
      <c r="Y14" t="n">
        <v>607820586.473</v>
      </c>
      <c r="Z14" t="n">
        <v>614153633.608</v>
      </c>
      <c r="AA14" t="n">
        <v>683024094.247</v>
      </c>
      <c r="AB14" t="n">
        <v>683775320.278</v>
      </c>
      <c r="AC14" t="n">
        <v>725463808.859</v>
      </c>
      <c r="AD14" t="n">
        <v>755680647.938</v>
      </c>
      <c r="AE14" t="n">
        <v>801684867.8150001</v>
      </c>
      <c r="AF14" t="n">
        <v>816120971.822</v>
      </c>
      <c r="AG14" t="n">
        <v>809318875.15</v>
      </c>
      <c r="AH14" t="n">
        <v>848218915.7410001</v>
      </c>
      <c r="AI14" t="n">
        <v>896169540.358</v>
      </c>
      <c r="AJ14" t="n">
        <v>900011750.348</v>
      </c>
      <c r="AK14" t="n">
        <v>941246784.158</v>
      </c>
      <c r="AL14" t="n">
        <v>930030955.665</v>
      </c>
      <c r="AM14" t="n">
        <v>1004142692.615</v>
      </c>
      <c r="AN14" t="n">
        <v>1069329361.31</v>
      </c>
      <c r="AO14" t="n">
        <v>1025290248.708</v>
      </c>
      <c r="AP14" t="n">
        <v>1107579832.156</v>
      </c>
      <c r="AQ14" t="n">
        <v>1040005347.797</v>
      </c>
      <c r="AR14" t="n">
        <v>1137854136.324</v>
      </c>
      <c r="AS14" t="n">
        <v>1200177495.437</v>
      </c>
      <c r="AT14" t="n">
        <v>1332315067.186</v>
      </c>
      <c r="AU14" t="n">
        <v>1280958470.832</v>
      </c>
      <c r="AV14" t="n">
        <v>1322501310.889</v>
      </c>
      <c r="AW14" t="n">
        <v>1332086500.805</v>
      </c>
      <c r="AX14" t="n">
        <v>1357927217.424</v>
      </c>
      <c r="AY14" t="n">
        <v>1478924398.856</v>
      </c>
      <c r="AZ14" t="n">
        <v>1421853320.429</v>
      </c>
      <c r="BA14" t="n">
        <v>1522916972.556</v>
      </c>
      <c r="BB14" t="n">
        <v>1405923784.536</v>
      </c>
      <c r="BC14" t="n">
        <v>1565681254.987</v>
      </c>
      <c r="BD14" t="n">
        <v>1573173008.434</v>
      </c>
      <c r="BE14" t="n">
        <v>1625735743.578</v>
      </c>
      <c r="BF14" t="n">
        <v>1536006547.657</v>
      </c>
      <c r="BG14" t="n">
        <v>1634579564.926</v>
      </c>
      <c r="BH14" t="n">
        <v>1655690479.906</v>
      </c>
      <c r="BI14" t="n">
        <v>1618885237.017</v>
      </c>
      <c r="BJ14" t="n">
        <v>1669922862.185</v>
      </c>
      <c r="BK14" t="n">
        <v>1590938858.92</v>
      </c>
      <c r="BL14" t="n">
        <v>1654790081.248</v>
      </c>
      <c r="BM14" t="n">
        <v>1614403799.165</v>
      </c>
      <c r="BN14" t="n">
        <v>1531348631.299</v>
      </c>
      <c r="BO14" t="n">
        <v>1619655214.003</v>
      </c>
      <c r="BP14" t="n">
        <v>1660335657.664</v>
      </c>
      <c r="BQ14" t="n">
        <v>1722856121.403</v>
      </c>
      <c r="BR14" t="n">
        <v>1741054133.548</v>
      </c>
      <c r="BS14" t="n">
        <v>1633913872.925</v>
      </c>
      <c r="BT14" t="n">
        <v>1765709446.584</v>
      </c>
    </row>
    <row r="15">
      <c r="A15" t="inlineStr">
        <is>
          <t>EwE_TE_EE</t>
        </is>
      </c>
      <c r="B15" t="inlineStr">
        <is>
          <t>ok</t>
        </is>
      </c>
      <c r="C15" t="n">
        <v>202679349.59</v>
      </c>
      <c r="D15" t="n">
        <v>216238832.738</v>
      </c>
      <c r="E15" t="n">
        <v>242212144.719</v>
      </c>
      <c r="F15" t="n">
        <v>222087926.123</v>
      </c>
      <c r="G15" t="n">
        <v>234761413.393</v>
      </c>
      <c r="H15" t="n">
        <v>244906758.04</v>
      </c>
      <c r="I15" t="n">
        <v>263133963.071</v>
      </c>
      <c r="J15" t="n">
        <v>259427444.513</v>
      </c>
      <c r="K15" t="n">
        <v>269858603.997</v>
      </c>
      <c r="L15" t="n">
        <v>281503313.484</v>
      </c>
      <c r="M15" t="n">
        <v>315551412.569</v>
      </c>
      <c r="N15" t="n">
        <v>326953167.213</v>
      </c>
      <c r="O15" t="n">
        <v>338240481.895</v>
      </c>
      <c r="P15" t="n">
        <v>337522198.346</v>
      </c>
      <c r="Q15" t="n">
        <v>358358386.178</v>
      </c>
      <c r="R15" t="n">
        <v>379515877.422</v>
      </c>
      <c r="S15" t="n">
        <v>402706242.68</v>
      </c>
      <c r="T15" t="n">
        <v>386671741.126</v>
      </c>
      <c r="U15" t="n">
        <v>443427325.159</v>
      </c>
      <c r="V15" t="n">
        <v>474398261.471</v>
      </c>
      <c r="W15" t="n">
        <v>437985302.972</v>
      </c>
      <c r="X15" t="n">
        <v>481935545.287</v>
      </c>
      <c r="Y15" t="n">
        <v>507444411.943</v>
      </c>
      <c r="Z15" t="n">
        <v>507108469.537</v>
      </c>
      <c r="AA15" t="n">
        <v>567846177.878</v>
      </c>
      <c r="AB15" t="n">
        <v>571449226.281</v>
      </c>
      <c r="AC15" t="n">
        <v>610119335.234</v>
      </c>
      <c r="AD15" t="n">
        <v>643772277.791</v>
      </c>
      <c r="AE15" t="n">
        <v>683538700.173</v>
      </c>
      <c r="AF15" t="n">
        <v>695422786.796</v>
      </c>
      <c r="AG15" t="n">
        <v>688813982.1390001</v>
      </c>
      <c r="AH15" t="n">
        <v>717500258.126</v>
      </c>
      <c r="AI15" t="n">
        <v>738203359.793</v>
      </c>
      <c r="AJ15" t="n">
        <v>761991335.204</v>
      </c>
      <c r="AK15" t="n">
        <v>809600236.439</v>
      </c>
      <c r="AL15" t="n">
        <v>793610626.827</v>
      </c>
      <c r="AM15" t="n">
        <v>845401116.711</v>
      </c>
      <c r="AN15" t="n">
        <v>911530143.546</v>
      </c>
      <c r="AO15" t="n">
        <v>882213364.369</v>
      </c>
      <c r="AP15" t="n">
        <v>946411755.646</v>
      </c>
      <c r="AQ15" t="n">
        <v>900956240.655</v>
      </c>
      <c r="AR15" t="n">
        <v>979900252.276</v>
      </c>
      <c r="AS15" t="n">
        <v>1028732945.778</v>
      </c>
      <c r="AT15" t="n">
        <v>1133701055.891</v>
      </c>
      <c r="AU15" t="n">
        <v>1081927504.382</v>
      </c>
      <c r="AV15" t="n">
        <v>1117483080.81</v>
      </c>
      <c r="AW15" t="n">
        <v>1129745265.627</v>
      </c>
      <c r="AX15" t="n">
        <v>1146597569.83</v>
      </c>
      <c r="AY15" t="n">
        <v>1254923678.013</v>
      </c>
      <c r="AZ15" t="n">
        <v>1204210885.378</v>
      </c>
      <c r="BA15" t="n">
        <v>1291358004.57</v>
      </c>
      <c r="BB15" t="n">
        <v>1206562497.3</v>
      </c>
      <c r="BC15" t="n">
        <v>1333676340.485</v>
      </c>
      <c r="BD15" t="n">
        <v>1342443208.44</v>
      </c>
      <c r="BE15" t="n">
        <v>1387186014.548</v>
      </c>
      <c r="BF15" t="n">
        <v>1311878707.211</v>
      </c>
      <c r="BG15" t="n">
        <v>1345534710.076</v>
      </c>
      <c r="BH15" t="n">
        <v>1422339485.892</v>
      </c>
      <c r="BI15" t="n">
        <v>1326837752.612</v>
      </c>
      <c r="BJ15" t="n">
        <v>1394893636.231</v>
      </c>
      <c r="BK15" t="n">
        <v>1361817199.322</v>
      </c>
      <c r="BL15" t="n">
        <v>1387159218.563</v>
      </c>
      <c r="BM15" t="n">
        <v>1380329965.881</v>
      </c>
      <c r="BN15" t="n">
        <v>1275006242.625</v>
      </c>
      <c r="BO15" t="n">
        <v>1369546552.335</v>
      </c>
      <c r="BP15" t="n">
        <v>1407554596.777</v>
      </c>
      <c r="BQ15" t="n">
        <v>1470026850.621</v>
      </c>
      <c r="BR15" t="n">
        <v>1485524800.456</v>
      </c>
      <c r="BS15" t="n">
        <v>1401945678.585</v>
      </c>
      <c r="BT15" t="n">
        <v>1523112925.783</v>
      </c>
    </row>
    <row r="16">
      <c r="A16" t="inlineStr">
        <is>
          <t>SPPR_2015</t>
        </is>
      </c>
      <c r="B16" t="inlineStr">
        <is>
          <t>ok</t>
        </is>
      </c>
      <c r="C16" t="n">
        <v>1525493543.927</v>
      </c>
      <c r="D16" t="n">
        <v>1721363719.586</v>
      </c>
      <c r="E16" t="n">
        <v>1962479918.283</v>
      </c>
      <c r="F16" t="n">
        <v>1705392808.24</v>
      </c>
      <c r="G16" t="n">
        <v>1759446776.253</v>
      </c>
      <c r="H16" t="n">
        <v>1777211863.02</v>
      </c>
      <c r="I16" t="n">
        <v>1888316543.475</v>
      </c>
      <c r="J16" t="n">
        <v>1988269306.906</v>
      </c>
      <c r="K16" t="n">
        <v>2056146448.806</v>
      </c>
      <c r="L16" t="n">
        <v>2143366827.759</v>
      </c>
      <c r="M16" t="n">
        <v>2508484081.166</v>
      </c>
      <c r="N16" t="n">
        <v>2506363898.159</v>
      </c>
      <c r="O16" t="n">
        <v>2630686863.482</v>
      </c>
      <c r="P16" t="n">
        <v>2593219956.178</v>
      </c>
      <c r="Q16" t="n">
        <v>2668107314.627</v>
      </c>
      <c r="R16" t="n">
        <v>2937375249.874</v>
      </c>
      <c r="S16" t="n">
        <v>3071125115.109</v>
      </c>
      <c r="T16" t="n">
        <v>2805193285.113</v>
      </c>
      <c r="U16" t="n">
        <v>3230215203.704</v>
      </c>
      <c r="V16" t="n">
        <v>3469213071.228</v>
      </c>
      <c r="W16" t="n">
        <v>3314715416.613</v>
      </c>
      <c r="X16" t="n">
        <v>3579521843.483</v>
      </c>
      <c r="Y16" t="n">
        <v>3858097981.122</v>
      </c>
      <c r="Z16" t="n">
        <v>3867955986.438</v>
      </c>
      <c r="AA16" t="n">
        <v>4444201223.534</v>
      </c>
      <c r="AB16" t="n">
        <v>4351853568.208</v>
      </c>
      <c r="AC16" t="n">
        <v>4540010599.443</v>
      </c>
      <c r="AD16" t="n">
        <v>4588825180.832</v>
      </c>
      <c r="AE16" t="n">
        <v>4841641847.58</v>
      </c>
      <c r="AF16" t="n">
        <v>4865289357.126</v>
      </c>
      <c r="AG16" t="n">
        <v>4854401187.181</v>
      </c>
      <c r="AH16" t="n">
        <v>5037674281.159</v>
      </c>
      <c r="AI16" t="n">
        <v>5171654849.868</v>
      </c>
      <c r="AJ16" t="n">
        <v>5302095043.814</v>
      </c>
      <c r="AK16" t="n">
        <v>5472598035.615</v>
      </c>
      <c r="AL16" t="n">
        <v>5299524372.013</v>
      </c>
      <c r="AM16" t="n">
        <v>5652662536.001</v>
      </c>
      <c r="AN16" t="n">
        <v>6161241615.833</v>
      </c>
      <c r="AO16" t="n">
        <v>5888947804.057</v>
      </c>
      <c r="AP16" t="n">
        <v>6376502177.471</v>
      </c>
      <c r="AQ16" t="n">
        <v>5967523787.85</v>
      </c>
      <c r="AR16" t="n">
        <v>6509183635.824</v>
      </c>
      <c r="AS16" t="n">
        <v>6956894066.744</v>
      </c>
      <c r="AT16" t="n">
        <v>7644684568.502</v>
      </c>
      <c r="AU16" t="n">
        <v>7415885692.741</v>
      </c>
      <c r="AV16" t="n">
        <v>7649129245.715</v>
      </c>
      <c r="AW16" t="n">
        <v>7689350677.73</v>
      </c>
      <c r="AX16" t="n">
        <v>7911505654.719</v>
      </c>
      <c r="AY16" t="n">
        <v>8568678004.416</v>
      </c>
      <c r="AZ16" t="n">
        <v>8323429754.998</v>
      </c>
      <c r="BA16" t="n">
        <v>8885367181.33</v>
      </c>
      <c r="BB16" t="n">
        <v>8224441768.819</v>
      </c>
      <c r="BC16" t="n">
        <v>9123977432.517</v>
      </c>
      <c r="BD16" t="n">
        <v>9198701383.204</v>
      </c>
      <c r="BE16" t="n">
        <v>9519326753.511999</v>
      </c>
      <c r="BF16" t="n">
        <v>8827847554.861</v>
      </c>
      <c r="BG16" t="n">
        <v>9093683530.438999</v>
      </c>
      <c r="BH16" t="n">
        <v>9447304842.247</v>
      </c>
      <c r="BI16" t="n">
        <v>8895350639.900999</v>
      </c>
      <c r="BJ16" t="n">
        <v>9228764770.243999</v>
      </c>
      <c r="BK16" t="n">
        <v>8982259197.059999</v>
      </c>
      <c r="BL16" t="n">
        <v>9203658153.563999</v>
      </c>
      <c r="BM16" t="n">
        <v>9118685348.101</v>
      </c>
      <c r="BN16" t="n">
        <v>8428887170.945</v>
      </c>
      <c r="BO16" t="n">
        <v>9098863141.784</v>
      </c>
      <c r="BP16" t="n">
        <v>9243997803.101</v>
      </c>
      <c r="BQ16" t="n">
        <v>9644581604.934999</v>
      </c>
      <c r="BR16" t="n">
        <v>9708035310.431</v>
      </c>
      <c r="BS16" t="n">
        <v>9134137707.363001</v>
      </c>
      <c r="BT16" t="n">
        <v>9920499909.792999</v>
      </c>
    </row>
    <row r="17">
      <c r="A17" t="inlineStr">
        <is>
          <t>new_TE_noEEfix</t>
        </is>
      </c>
      <c r="B17" t="inlineStr">
        <is>
          <t>ok</t>
        </is>
      </c>
      <c r="C17" t="n">
        <v>755876780.235</v>
      </c>
      <c r="D17" t="n">
        <v>853793858.2359999</v>
      </c>
      <c r="E17" t="n">
        <v>973409336.8380001</v>
      </c>
      <c r="F17" t="n">
        <v>845339081.618</v>
      </c>
      <c r="G17" t="n">
        <v>872896445.497</v>
      </c>
      <c r="H17" t="n">
        <v>881882662.224</v>
      </c>
      <c r="I17" t="n">
        <v>937535351.558</v>
      </c>
      <c r="J17" t="n">
        <v>986573045.346</v>
      </c>
      <c r="K17" t="n">
        <v>1020735518.604</v>
      </c>
      <c r="L17" t="n">
        <v>1064130430.282</v>
      </c>
      <c r="M17" t="n">
        <v>1245462390.3</v>
      </c>
      <c r="N17" t="n">
        <v>1244564928.942</v>
      </c>
      <c r="O17" t="n">
        <v>1306009659.333</v>
      </c>
      <c r="P17" t="n">
        <v>1287068424.901</v>
      </c>
      <c r="Q17" t="n">
        <v>1323241188.808</v>
      </c>
      <c r="R17" t="n">
        <v>1456602660.55</v>
      </c>
      <c r="S17" t="n">
        <v>1523250092.567</v>
      </c>
      <c r="T17" t="n">
        <v>1390758944.889</v>
      </c>
      <c r="U17" t="n">
        <v>1603159962.821</v>
      </c>
      <c r="V17" t="n">
        <v>1722512620.049</v>
      </c>
      <c r="W17" t="n">
        <v>1642593029.313</v>
      </c>
      <c r="X17" t="n">
        <v>1773514767.446</v>
      </c>
      <c r="Y17" t="n">
        <v>1909941013.997</v>
      </c>
      <c r="Z17" t="n">
        <v>1914892079.745</v>
      </c>
      <c r="AA17" t="n">
        <v>2199908237.448</v>
      </c>
      <c r="AB17" t="n">
        <v>2153223127.644</v>
      </c>
      <c r="AC17" t="n">
        <v>2247996167.748</v>
      </c>
      <c r="AD17" t="n">
        <v>2271264339.362</v>
      </c>
      <c r="AE17" t="n">
        <v>2397212060.475</v>
      </c>
      <c r="AF17" t="n">
        <v>2409283354.828</v>
      </c>
      <c r="AG17" t="n">
        <v>2403345126.599</v>
      </c>
      <c r="AH17" t="n">
        <v>2498295568.237</v>
      </c>
      <c r="AI17" t="n">
        <v>2577641826.09</v>
      </c>
      <c r="AJ17" t="n">
        <v>2633126692.636</v>
      </c>
      <c r="AK17" t="n">
        <v>2715100358.805</v>
      </c>
      <c r="AL17" t="n">
        <v>2633698674.924</v>
      </c>
      <c r="AM17" t="n">
        <v>2816587659.481</v>
      </c>
      <c r="AN17" t="n">
        <v>3062129145.436</v>
      </c>
      <c r="AO17" t="n">
        <v>2922646688.905</v>
      </c>
      <c r="AP17" t="n">
        <v>3164594240.751</v>
      </c>
      <c r="AQ17" t="n">
        <v>2957039395.949</v>
      </c>
      <c r="AR17" t="n">
        <v>3225609612.56</v>
      </c>
      <c r="AS17" t="n">
        <v>3446884051.399</v>
      </c>
      <c r="AT17" t="n">
        <v>3792651805.528</v>
      </c>
      <c r="AU17" t="n">
        <v>3681457265.978</v>
      </c>
      <c r="AV17" t="n">
        <v>3798377245.468</v>
      </c>
      <c r="AW17" t="n">
        <v>3818278164.408</v>
      </c>
      <c r="AX17" t="n">
        <v>3929877792.992</v>
      </c>
      <c r="AY17" t="n">
        <v>4254084950.053</v>
      </c>
      <c r="AZ17" t="n">
        <v>4130816134.302</v>
      </c>
      <c r="BA17" t="n">
        <v>4408796332.761</v>
      </c>
      <c r="BB17" t="n">
        <v>4075341153.472</v>
      </c>
      <c r="BC17" t="n">
        <v>4525009872.398</v>
      </c>
      <c r="BD17" t="n">
        <v>4557313062.843</v>
      </c>
      <c r="BE17" t="n">
        <v>4717608357.282</v>
      </c>
      <c r="BF17" t="n">
        <v>4384052160.956</v>
      </c>
      <c r="BG17" t="n">
        <v>4542988027.697</v>
      </c>
      <c r="BH17" t="n">
        <v>4687249081.504</v>
      </c>
      <c r="BI17" t="n">
        <v>4450981085.352</v>
      </c>
      <c r="BJ17" t="n">
        <v>4604140169.998</v>
      </c>
      <c r="BK17" t="n">
        <v>4460367641.603</v>
      </c>
      <c r="BL17" t="n">
        <v>4588867325.813</v>
      </c>
      <c r="BM17" t="n">
        <v>4530284914.792</v>
      </c>
      <c r="BN17" t="n">
        <v>4210079095.091</v>
      </c>
      <c r="BO17" t="n">
        <v>4527333796.247</v>
      </c>
      <c r="BP17" t="n">
        <v>4606961978.994</v>
      </c>
      <c r="BQ17" t="n">
        <v>4801137467.308</v>
      </c>
      <c r="BR17" t="n">
        <v>4834848278.309</v>
      </c>
      <c r="BS17" t="n">
        <v>4546975240.712</v>
      </c>
      <c r="BT17" t="n">
        <v>4929797629.832</v>
      </c>
    </row>
    <row r="18">
      <c r="A18" t="inlineStr">
        <is>
          <t>new_TE_EEfix</t>
        </is>
      </c>
      <c r="B18" t="inlineStr">
        <is>
          <t>ok</t>
        </is>
      </c>
      <c r="C18" t="n">
        <v>755876780.235</v>
      </c>
      <c r="D18" t="n">
        <v>853793858.2359999</v>
      </c>
      <c r="E18" t="n">
        <v>973409336.8380001</v>
      </c>
      <c r="F18" t="n">
        <v>845339081.618</v>
      </c>
      <c r="G18" t="n">
        <v>872896445.497</v>
      </c>
      <c r="H18" t="n">
        <v>881882662.224</v>
      </c>
      <c r="I18" t="n">
        <v>937535351.558</v>
      </c>
      <c r="J18" t="n">
        <v>986573045.346</v>
      </c>
      <c r="K18" t="n">
        <v>1020735518.604</v>
      </c>
      <c r="L18" t="n">
        <v>1064130430.282</v>
      </c>
      <c r="M18" t="n">
        <v>1245462390.3</v>
      </c>
      <c r="N18" t="n">
        <v>1244564928.942</v>
      </c>
      <c r="O18" t="n">
        <v>1306009659.333</v>
      </c>
      <c r="P18" t="n">
        <v>1287068424.901</v>
      </c>
      <c r="Q18" t="n">
        <v>1323241188.808</v>
      </c>
      <c r="R18" t="n">
        <v>1456602660.55</v>
      </c>
      <c r="S18" t="n">
        <v>1523250092.567</v>
      </c>
      <c r="T18" t="n">
        <v>1390758944.889</v>
      </c>
      <c r="U18" t="n">
        <v>1603159962.821</v>
      </c>
      <c r="V18" t="n">
        <v>1722512620.049</v>
      </c>
      <c r="W18" t="n">
        <v>1642593029.313</v>
      </c>
      <c r="X18" t="n">
        <v>1773514767.446</v>
      </c>
      <c r="Y18" t="n">
        <v>1909941013.997</v>
      </c>
      <c r="Z18" t="n">
        <v>1914892079.745</v>
      </c>
      <c r="AA18" t="n">
        <v>2199908237.448</v>
      </c>
      <c r="AB18" t="n">
        <v>2153223127.644</v>
      </c>
      <c r="AC18" t="n">
        <v>2247996167.748</v>
      </c>
      <c r="AD18" t="n">
        <v>2271264339.362</v>
      </c>
      <c r="AE18" t="n">
        <v>2397212060.475</v>
      </c>
      <c r="AF18" t="n">
        <v>2409283354.828</v>
      </c>
      <c r="AG18" t="n">
        <v>2403345126.599</v>
      </c>
      <c r="AH18" t="n">
        <v>2498295568.237</v>
      </c>
      <c r="AI18" t="n">
        <v>2577641826.09</v>
      </c>
      <c r="AJ18" t="n">
        <v>2633126692.636</v>
      </c>
      <c r="AK18" t="n">
        <v>2715100358.805</v>
      </c>
      <c r="AL18" t="n">
        <v>2633698674.924</v>
      </c>
      <c r="AM18" t="n">
        <v>2816587659.481</v>
      </c>
      <c r="AN18" t="n">
        <v>3062129145.436</v>
      </c>
      <c r="AO18" t="n">
        <v>2922646688.905</v>
      </c>
      <c r="AP18" t="n">
        <v>3164594240.751</v>
      </c>
      <c r="AQ18" t="n">
        <v>2957039395.949</v>
      </c>
      <c r="AR18" t="n">
        <v>3225609612.56</v>
      </c>
      <c r="AS18" t="n">
        <v>3446884051.399</v>
      </c>
      <c r="AT18" t="n">
        <v>3792651805.528</v>
      </c>
      <c r="AU18" t="n">
        <v>3681457265.978</v>
      </c>
      <c r="AV18" t="n">
        <v>3798377245.468</v>
      </c>
      <c r="AW18" t="n">
        <v>3818278164.408</v>
      </c>
      <c r="AX18" t="n">
        <v>3929877792.992</v>
      </c>
      <c r="AY18" t="n">
        <v>4254084950.053</v>
      </c>
      <c r="AZ18" t="n">
        <v>4130816134.302</v>
      </c>
      <c r="BA18" t="n">
        <v>4408796332.761</v>
      </c>
      <c r="BB18" t="n">
        <v>4075341153.472</v>
      </c>
      <c r="BC18" t="n">
        <v>4525009872.398</v>
      </c>
      <c r="BD18" t="n">
        <v>4557313062.843</v>
      </c>
      <c r="BE18" t="n">
        <v>4717608357.282</v>
      </c>
      <c r="BF18" t="n">
        <v>4384052160.956</v>
      </c>
      <c r="BG18" t="n">
        <v>4542988027.697</v>
      </c>
      <c r="BH18" t="n">
        <v>4687249081.504</v>
      </c>
      <c r="BI18" t="n">
        <v>4450981085.352</v>
      </c>
      <c r="BJ18" t="n">
        <v>4604140169.998</v>
      </c>
      <c r="BK18" t="n">
        <v>4460367641.603</v>
      </c>
      <c r="BL18" t="n">
        <v>4588867325.813</v>
      </c>
      <c r="BM18" t="n">
        <v>4530284914.792</v>
      </c>
      <c r="BN18" t="n">
        <v>4210079095.091</v>
      </c>
      <c r="BO18" t="n">
        <v>4527333796.247</v>
      </c>
      <c r="BP18" t="n">
        <v>4606961978.994</v>
      </c>
      <c r="BQ18" t="n">
        <v>4801137467.308</v>
      </c>
      <c r="BR18" t="n">
        <v>4834848278.309</v>
      </c>
      <c r="BS18" t="n">
        <v>4546975240.712</v>
      </c>
      <c r="BT18" t="n">
        <v>4929797629.832</v>
      </c>
    </row>
    <row r="19">
      <c r="A19" t="inlineStr">
        <is>
          <t>new_GE</t>
        </is>
      </c>
      <c r="B19" t="inlineStr">
        <is>
          <t>ok</t>
        </is>
      </c>
      <c r="C19" t="n">
        <v>182912008.845</v>
      </c>
      <c r="D19" t="n">
        <v>198062000.614</v>
      </c>
      <c r="E19" t="n">
        <v>223869595.796</v>
      </c>
      <c r="F19" t="n">
        <v>201873430.977</v>
      </c>
      <c r="G19" t="n">
        <v>210243362.077</v>
      </c>
      <c r="H19" t="n">
        <v>215627465.883</v>
      </c>
      <c r="I19" t="n">
        <v>229557426.668</v>
      </c>
      <c r="J19" t="n">
        <v>233495665.977</v>
      </c>
      <c r="K19" t="n">
        <v>242549141.552</v>
      </c>
      <c r="L19" t="n">
        <v>252198409.381</v>
      </c>
      <c r="M19" t="n">
        <v>287479169.232</v>
      </c>
      <c r="N19" t="n">
        <v>293171417.146</v>
      </c>
      <c r="O19" t="n">
        <v>304803929.47</v>
      </c>
      <c r="P19" t="n">
        <v>303880348.159</v>
      </c>
      <c r="Q19" t="n">
        <v>318446825.102</v>
      </c>
      <c r="R19" t="n">
        <v>344518601.213</v>
      </c>
      <c r="S19" t="n">
        <v>362353143.833</v>
      </c>
      <c r="T19" t="n">
        <v>341205789.463</v>
      </c>
      <c r="U19" t="n">
        <v>389284416.498</v>
      </c>
      <c r="V19" t="n">
        <v>415902188.932</v>
      </c>
      <c r="W19" t="n">
        <v>395218642.382</v>
      </c>
      <c r="X19" t="n">
        <v>430915196.733</v>
      </c>
      <c r="Y19" t="n">
        <v>459458517.115</v>
      </c>
      <c r="Z19" t="n">
        <v>457371452.645</v>
      </c>
      <c r="AA19" t="n">
        <v>519460595.403</v>
      </c>
      <c r="AB19" t="n">
        <v>518635941.639</v>
      </c>
      <c r="AC19" t="n">
        <v>551188078.53</v>
      </c>
      <c r="AD19" t="n">
        <v>573265075.7359999</v>
      </c>
      <c r="AE19" t="n">
        <v>606980121.478</v>
      </c>
      <c r="AF19" t="n">
        <v>615328392.11</v>
      </c>
      <c r="AG19" t="n">
        <v>612639863.982</v>
      </c>
      <c r="AH19" t="n">
        <v>636994274.099</v>
      </c>
      <c r="AI19" t="n">
        <v>653626841.515</v>
      </c>
      <c r="AJ19" t="n">
        <v>675586263.02</v>
      </c>
      <c r="AK19" t="n">
        <v>704801843.058</v>
      </c>
      <c r="AL19" t="n">
        <v>687368524.364</v>
      </c>
      <c r="AM19" t="n">
        <v>731679044.383</v>
      </c>
      <c r="AN19" t="n">
        <v>792646404.531</v>
      </c>
      <c r="AO19" t="n">
        <v>760258212.249</v>
      </c>
      <c r="AP19" t="n">
        <v>817968681.86</v>
      </c>
      <c r="AQ19" t="n">
        <v>781016937.965</v>
      </c>
      <c r="AR19" t="n">
        <v>847980144.367</v>
      </c>
      <c r="AS19" t="n">
        <v>895693725.568</v>
      </c>
      <c r="AT19" t="n">
        <v>977543639.735</v>
      </c>
      <c r="AU19" t="n">
        <v>939306105.331</v>
      </c>
      <c r="AV19" t="n">
        <v>973214290.2640001</v>
      </c>
      <c r="AW19" t="n">
        <v>982313490.79</v>
      </c>
      <c r="AX19" t="n">
        <v>1002724951.171</v>
      </c>
      <c r="AY19" t="n">
        <v>1087088159.415</v>
      </c>
      <c r="AZ19" t="n">
        <v>1048730968.38</v>
      </c>
      <c r="BA19" t="n">
        <v>1120856899.233</v>
      </c>
      <c r="BB19" t="n">
        <v>1055020981.855</v>
      </c>
      <c r="BC19" t="n">
        <v>1158111035.417</v>
      </c>
      <c r="BD19" t="n">
        <v>1173061924.773</v>
      </c>
      <c r="BE19" t="n">
        <v>1211086018.598</v>
      </c>
      <c r="BF19" t="n">
        <v>1140584615.266</v>
      </c>
      <c r="BG19" t="n">
        <v>1172570599.88</v>
      </c>
      <c r="BH19" t="n">
        <v>1226046500.428</v>
      </c>
      <c r="BI19" t="n">
        <v>1153122121.425</v>
      </c>
      <c r="BJ19" t="n">
        <v>1209222998.348</v>
      </c>
      <c r="BK19" t="n">
        <v>1181588951.373</v>
      </c>
      <c r="BL19" t="n">
        <v>1203793197.825</v>
      </c>
      <c r="BM19" t="n">
        <v>1198057080.886</v>
      </c>
      <c r="BN19" t="n">
        <v>1108151713.511</v>
      </c>
      <c r="BO19" t="n">
        <v>1187550138.384</v>
      </c>
      <c r="BP19" t="n">
        <v>1213139195.134</v>
      </c>
      <c r="BQ19" t="n">
        <v>1266191523.855</v>
      </c>
      <c r="BR19" t="n">
        <v>1276976508.244</v>
      </c>
      <c r="BS19" t="n">
        <v>1205165649.19</v>
      </c>
      <c r="BT19" t="n">
        <v>1308346587.905</v>
      </c>
    </row>
    <row r="20">
      <c r="A20" t="inlineStr">
        <is>
          <t>new_WithEgestion</t>
        </is>
      </c>
      <c r="B20" t="inlineStr">
        <is>
          <t>ok</t>
        </is>
      </c>
      <c r="C20" t="n">
        <v>46830048.771</v>
      </c>
      <c r="D20" t="n">
        <v>49124619.834</v>
      </c>
      <c r="E20" t="n">
        <v>54598002.669</v>
      </c>
      <c r="F20" t="n">
        <v>50696205.621</v>
      </c>
      <c r="G20" t="n">
        <v>53228022.022</v>
      </c>
      <c r="H20" t="n">
        <v>55153748.236</v>
      </c>
      <c r="I20" t="n">
        <v>58703989.811</v>
      </c>
      <c r="J20" t="n">
        <v>58238441.719</v>
      </c>
      <c r="K20" t="n">
        <v>60590436.975</v>
      </c>
      <c r="L20" t="n">
        <v>62554545.053</v>
      </c>
      <c r="M20" t="n">
        <v>69648118.06299999</v>
      </c>
      <c r="N20" t="n">
        <v>72363786.722</v>
      </c>
      <c r="O20" t="n">
        <v>74994138.339</v>
      </c>
      <c r="P20" t="n">
        <v>75455235.10600001</v>
      </c>
      <c r="Q20" t="n">
        <v>80597476.913</v>
      </c>
      <c r="R20" t="n">
        <v>85206705.42200001</v>
      </c>
      <c r="S20" t="n">
        <v>90087699.182</v>
      </c>
      <c r="T20" t="n">
        <v>87563400.37</v>
      </c>
      <c r="U20" t="n">
        <v>98389680.52</v>
      </c>
      <c r="V20" t="n">
        <v>104338764.574</v>
      </c>
      <c r="W20" t="n">
        <v>99334313.06</v>
      </c>
      <c r="X20" t="n">
        <v>108705946.888</v>
      </c>
      <c r="Y20" t="n">
        <v>115117140.442</v>
      </c>
      <c r="Z20" t="n">
        <v>115194276.472</v>
      </c>
      <c r="AA20" t="n">
        <v>128531848.919</v>
      </c>
      <c r="AB20" t="n">
        <v>130551110.141</v>
      </c>
      <c r="AC20" t="n">
        <v>141114379.118</v>
      </c>
      <c r="AD20" t="n">
        <v>148860710.67</v>
      </c>
      <c r="AE20" t="n">
        <v>157970041.536</v>
      </c>
      <c r="AF20" t="n">
        <v>161625237.859</v>
      </c>
      <c r="AG20" t="n">
        <v>160997750.074</v>
      </c>
      <c r="AH20" t="n">
        <v>167333907.764</v>
      </c>
      <c r="AI20" t="n">
        <v>172488924.275</v>
      </c>
      <c r="AJ20" t="n">
        <v>177795187.503</v>
      </c>
      <c r="AK20" t="n">
        <v>185809144.173</v>
      </c>
      <c r="AL20" t="n">
        <v>182102824.599</v>
      </c>
      <c r="AM20" t="n">
        <v>193859375.876</v>
      </c>
      <c r="AN20" t="n">
        <v>208379897.6</v>
      </c>
      <c r="AO20" t="n">
        <v>200072271.244</v>
      </c>
      <c r="AP20" t="n">
        <v>214985615.037</v>
      </c>
      <c r="AQ20" t="n">
        <v>208040606.327</v>
      </c>
      <c r="AR20" t="n">
        <v>225633947.436</v>
      </c>
      <c r="AS20" t="n">
        <v>236776124.919</v>
      </c>
      <c r="AT20" t="n">
        <v>257567975.441</v>
      </c>
      <c r="AU20" t="n">
        <v>247228714.763</v>
      </c>
      <c r="AV20" t="n">
        <v>256631277.477</v>
      </c>
      <c r="AW20" t="n">
        <v>259535218.523</v>
      </c>
      <c r="AX20" t="n">
        <v>263718160.177</v>
      </c>
      <c r="AY20" t="n">
        <v>285022075.303</v>
      </c>
      <c r="AZ20" t="n">
        <v>274318931.062</v>
      </c>
      <c r="BA20" t="n">
        <v>292337011.488</v>
      </c>
      <c r="BB20" t="n">
        <v>277346352.435</v>
      </c>
      <c r="BC20" t="n">
        <v>302574248.626</v>
      </c>
      <c r="BD20" t="n">
        <v>307886810.9</v>
      </c>
      <c r="BE20" t="n">
        <v>317295464.107</v>
      </c>
      <c r="BF20" t="n">
        <v>300201567.423</v>
      </c>
      <c r="BG20" t="n">
        <v>311733320.15</v>
      </c>
      <c r="BH20" t="n">
        <v>323755332.413</v>
      </c>
      <c r="BI20" t="n">
        <v>308540325.694</v>
      </c>
      <c r="BJ20" t="n">
        <v>325388217.391</v>
      </c>
      <c r="BK20" t="n">
        <v>318076566.891</v>
      </c>
      <c r="BL20" t="n">
        <v>324065708.858</v>
      </c>
      <c r="BM20" t="n">
        <v>322180102.898</v>
      </c>
      <c r="BN20" t="n">
        <v>300086217.343</v>
      </c>
      <c r="BO20" t="n">
        <v>317874530.531</v>
      </c>
      <c r="BP20" t="n">
        <v>324690625.655</v>
      </c>
      <c r="BQ20" t="n">
        <v>338381459.433</v>
      </c>
      <c r="BR20" t="n">
        <v>341839016.333</v>
      </c>
      <c r="BS20" t="n">
        <v>321926771.993</v>
      </c>
      <c r="BT20" t="n">
        <v>350080472.854</v>
      </c>
    </row>
    <row r="21">
      <c r="A21" t="inlineStr">
        <is>
          <t>sym_TE_asPP</t>
        </is>
      </c>
      <c r="B21" t="inlineStr">
        <is>
          <t>ok</t>
        </is>
      </c>
      <c r="C21" t="n">
        <v>755876780.235</v>
      </c>
      <c r="D21" t="n">
        <v>853793858.2359999</v>
      </c>
      <c r="E21" t="n">
        <v>973409336.8380001</v>
      </c>
      <c r="F21" t="n">
        <v>845339081.618</v>
      </c>
      <c r="G21" t="n">
        <v>872896445.497</v>
      </c>
      <c r="H21" t="n">
        <v>881882662.224</v>
      </c>
      <c r="I21" t="n">
        <v>937535351.558</v>
      </c>
      <c r="J21" t="n">
        <v>986573045.346</v>
      </c>
      <c r="K21" t="n">
        <v>1020735518.604</v>
      </c>
      <c r="L21" t="n">
        <v>1064130430.282</v>
      </c>
      <c r="M21" t="n">
        <v>1245462390.3</v>
      </c>
      <c r="N21" t="n">
        <v>1244564928.942</v>
      </c>
      <c r="O21" t="n">
        <v>1306009659.333</v>
      </c>
      <c r="P21" t="n">
        <v>1287068424.901</v>
      </c>
      <c r="Q21" t="n">
        <v>1323241188.808</v>
      </c>
      <c r="R21" t="n">
        <v>1456602660.55</v>
      </c>
      <c r="S21" t="n">
        <v>1523250092.567</v>
      </c>
      <c r="T21" t="n">
        <v>1390758944.889</v>
      </c>
      <c r="U21" t="n">
        <v>1603159962.821</v>
      </c>
      <c r="V21" t="n">
        <v>1722512620.049</v>
      </c>
      <c r="W21" t="n">
        <v>1642593029.313</v>
      </c>
      <c r="X21" t="n">
        <v>1773514767.446</v>
      </c>
      <c r="Y21" t="n">
        <v>1909941013.997</v>
      </c>
      <c r="Z21" t="n">
        <v>1914892079.745</v>
      </c>
      <c r="AA21" t="n">
        <v>2199908237.448</v>
      </c>
      <c r="AB21" t="n">
        <v>2153223127.644</v>
      </c>
      <c r="AC21" t="n">
        <v>2247996167.748</v>
      </c>
      <c r="AD21" t="n">
        <v>2271264339.362</v>
      </c>
      <c r="AE21" t="n">
        <v>2397212060.475</v>
      </c>
      <c r="AF21" t="n">
        <v>2409283354.828</v>
      </c>
      <c r="AG21" t="n">
        <v>2403345126.599</v>
      </c>
      <c r="AH21" t="n">
        <v>2498295568.237</v>
      </c>
      <c r="AI21" t="n">
        <v>2577641826.09</v>
      </c>
      <c r="AJ21" t="n">
        <v>2633126692.636</v>
      </c>
      <c r="AK21" t="n">
        <v>2715100358.805</v>
      </c>
      <c r="AL21" t="n">
        <v>2633698674.924</v>
      </c>
      <c r="AM21" t="n">
        <v>2816587659.481</v>
      </c>
      <c r="AN21" t="n">
        <v>3062129145.436</v>
      </c>
      <c r="AO21" t="n">
        <v>2922646688.905</v>
      </c>
      <c r="AP21" t="n">
        <v>3164594240.751</v>
      </c>
      <c r="AQ21" t="n">
        <v>2957039395.949</v>
      </c>
      <c r="AR21" t="n">
        <v>3225609612.56</v>
      </c>
      <c r="AS21" t="n">
        <v>3446884051.399</v>
      </c>
      <c r="AT21" t="n">
        <v>3792651805.528</v>
      </c>
      <c r="AU21" t="n">
        <v>3681457265.978</v>
      </c>
      <c r="AV21" t="n">
        <v>3798377245.468</v>
      </c>
      <c r="AW21" t="n">
        <v>3818278164.408</v>
      </c>
      <c r="AX21" t="n">
        <v>3929877792.992</v>
      </c>
      <c r="AY21" t="n">
        <v>4254084950.053</v>
      </c>
      <c r="AZ21" t="n">
        <v>4130816134.302</v>
      </c>
      <c r="BA21" t="n">
        <v>4408796332.761</v>
      </c>
      <c r="BB21" t="n">
        <v>4075341153.472</v>
      </c>
      <c r="BC21" t="n">
        <v>4525009872.398</v>
      </c>
      <c r="BD21" t="n">
        <v>4557313062.843</v>
      </c>
      <c r="BE21" t="n">
        <v>4717608357.282</v>
      </c>
      <c r="BF21" t="n">
        <v>4384052160.956</v>
      </c>
      <c r="BG21" t="n">
        <v>4542988027.697</v>
      </c>
      <c r="BH21" t="n">
        <v>4687249081.504</v>
      </c>
      <c r="BI21" t="n">
        <v>4450981085.352</v>
      </c>
      <c r="BJ21" t="n">
        <v>4604140169.998</v>
      </c>
      <c r="BK21" t="n">
        <v>4460367641.603</v>
      </c>
      <c r="BL21" t="n">
        <v>4588867325.813</v>
      </c>
      <c r="BM21" t="n">
        <v>4530284914.792</v>
      </c>
      <c r="BN21" t="n">
        <v>4210079095.091</v>
      </c>
      <c r="BO21" t="n">
        <v>4527333796.247</v>
      </c>
      <c r="BP21" t="n">
        <v>4606961978.994</v>
      </c>
      <c r="BQ21" t="n">
        <v>4801137467.308</v>
      </c>
      <c r="BR21" t="n">
        <v>4834848278.309</v>
      </c>
      <c r="BS21" t="n">
        <v>4546975240.712</v>
      </c>
      <c r="BT21" t="n">
        <v>4929797629.832</v>
      </c>
    </row>
    <row r="22">
      <c r="A22" s="16" t="inlineStr">
        <is>
          <t>sym_TE_asDC</t>
        </is>
      </c>
      <c r="B22" s="17" t="inlineStr">
        <is>
          <t>DIVERGED - negative SPPR in a source-model group</t>
        </is>
      </c>
      <c r="C22" t="n">
        <v>2925703089689.403</v>
      </c>
      <c r="D22" t="n">
        <v>3972045861271.441</v>
      </c>
      <c r="E22" t="n">
        <v>4804119023131.685</v>
      </c>
      <c r="F22" t="n">
        <v>3555292484006.583</v>
      </c>
      <c r="G22" t="n">
        <v>3374773689169.239</v>
      </c>
      <c r="H22" t="n">
        <v>3098425891073.275</v>
      </c>
      <c r="I22" t="n">
        <v>3187750642263.287</v>
      </c>
      <c r="J22" t="n">
        <v>4078123029406.907</v>
      </c>
      <c r="K22" t="n">
        <v>4249864661545.447</v>
      </c>
      <c r="L22" t="n">
        <v>4502865095861.753</v>
      </c>
      <c r="M22" t="n">
        <v>6121859877274.593</v>
      </c>
      <c r="N22" t="n">
        <v>5443884645778.958</v>
      </c>
      <c r="O22" t="n">
        <v>5790555106513.313</v>
      </c>
      <c r="P22" t="n">
        <v>5578284659018.567</v>
      </c>
      <c r="Q22" t="n">
        <v>5119651859339.097</v>
      </c>
      <c r="R22" t="n">
        <v>6568059435384.434</v>
      </c>
      <c r="S22" t="n">
        <v>6608837173457.366</v>
      </c>
      <c r="T22" t="n">
        <v>4882945751688.251</v>
      </c>
      <c r="U22" t="n">
        <v>5894315327945.024</v>
      </c>
      <c r="V22" t="n">
        <v>6582748638225.338</v>
      </c>
      <c r="W22" t="n">
        <v>6901401750759.054</v>
      </c>
      <c r="X22" t="n">
        <v>7130505624069.061</v>
      </c>
      <c r="Y22" t="n">
        <v>8215575949798.681</v>
      </c>
      <c r="Z22" t="n">
        <v>8139124222300.01</v>
      </c>
      <c r="AA22" t="n">
        <v>10471615584566.25</v>
      </c>
      <c r="AB22" t="n">
        <v>9407999927209.383</v>
      </c>
      <c r="AC22" t="n">
        <v>9311657400107.705</v>
      </c>
      <c r="AD22" t="n">
        <v>8033824663408.151</v>
      </c>
      <c r="AE22" t="n">
        <v>8306473810981.16</v>
      </c>
      <c r="AF22" t="n">
        <v>7847041402012.434</v>
      </c>
      <c r="AG22" t="n">
        <v>8012640017552.68</v>
      </c>
      <c r="AH22" t="n">
        <v>8146972960328.595</v>
      </c>
      <c r="AI22" t="n">
        <v>8068891979635.875</v>
      </c>
      <c r="AJ22" t="n">
        <v>8374689352045.79</v>
      </c>
      <c r="AK22" t="n">
        <v>7658691953567.023</v>
      </c>
      <c r="AL22" t="n">
        <v>6676858359553.97</v>
      </c>
      <c r="AM22" t="n">
        <v>7076560269128.099</v>
      </c>
      <c r="AN22" t="n">
        <v>8366821287996.667</v>
      </c>
      <c r="AO22" t="n">
        <v>7484336813466.541</v>
      </c>
      <c r="AP22" t="n">
        <v>8221893901949</v>
      </c>
      <c r="AQ22" t="n">
        <v>7381203226600.527</v>
      </c>
      <c r="AR22" t="n">
        <v>7872277950668.642</v>
      </c>
      <c r="AS22" t="n">
        <v>9174697901383.555</v>
      </c>
      <c r="AT22" t="n">
        <v>9769204795970.322</v>
      </c>
      <c r="AU22" t="n">
        <v>10415370030301.38</v>
      </c>
      <c r="AV22" t="n">
        <v>10811099847022.47</v>
      </c>
      <c r="AW22" t="n">
        <v>10765399965084.34</v>
      </c>
      <c r="AX22" t="n">
        <v>11844147699586.33</v>
      </c>
      <c r="AY22" t="n">
        <v>12092963136094.94</v>
      </c>
      <c r="AZ22" t="n">
        <v>12496243794346.38</v>
      </c>
      <c r="BA22" t="n">
        <v>12791306106233.35</v>
      </c>
      <c r="BB22" t="n">
        <v>11581513747987.44</v>
      </c>
      <c r="BC22" t="n">
        <v>12804489634984.36</v>
      </c>
      <c r="BD22" t="n">
        <v>12991943537600.54</v>
      </c>
      <c r="BE22" t="n">
        <v>13726360869249.24</v>
      </c>
      <c r="BF22" t="n">
        <v>11716323811417.43</v>
      </c>
      <c r="BG22" t="n">
        <v>11585799913403.31</v>
      </c>
      <c r="BH22" t="n">
        <v>11209485346486.96</v>
      </c>
      <c r="BI22" t="n">
        <v>10917988577799.28</v>
      </c>
      <c r="BJ22" t="n">
        <v>10732623529474.91</v>
      </c>
      <c r="BK22" t="n">
        <v>10642127004618.48</v>
      </c>
      <c r="BL22" t="n">
        <v>11183925385068.48</v>
      </c>
      <c r="BM22" t="n">
        <v>11014020111501.65</v>
      </c>
      <c r="BN22" t="n">
        <v>10012797519328.93</v>
      </c>
      <c r="BO22" t="n">
        <v>10424537956976.32</v>
      </c>
      <c r="BP22" t="n">
        <v>10353693864791.74</v>
      </c>
      <c r="BQ22" t="n">
        <v>10877283473158</v>
      </c>
      <c r="BR22" t="n">
        <v>10793014691324.72</v>
      </c>
      <c r="BS22" t="n">
        <v>10080829648893.36</v>
      </c>
      <c r="BT22" t="n">
        <v>10756768272811.04</v>
      </c>
    </row>
    <row r="23">
      <c r="A23" t="inlineStr">
        <is>
          <t>sym_GE_asPP</t>
        </is>
      </c>
      <c r="B23" t="inlineStr">
        <is>
          <t>ok</t>
        </is>
      </c>
      <c r="C23" t="n">
        <v>182912008.845</v>
      </c>
      <c r="D23" t="n">
        <v>198062000.614</v>
      </c>
      <c r="E23" t="n">
        <v>223869595.796</v>
      </c>
      <c r="F23" t="n">
        <v>201873430.977</v>
      </c>
      <c r="G23" t="n">
        <v>210243362.077</v>
      </c>
      <c r="H23" t="n">
        <v>215627465.883</v>
      </c>
      <c r="I23" t="n">
        <v>229557426.668</v>
      </c>
      <c r="J23" t="n">
        <v>233495665.977</v>
      </c>
      <c r="K23" t="n">
        <v>242549141.552</v>
      </c>
      <c r="L23" t="n">
        <v>252198409.381</v>
      </c>
      <c r="M23" t="n">
        <v>287479169.232</v>
      </c>
      <c r="N23" t="n">
        <v>293171417.146</v>
      </c>
      <c r="O23" t="n">
        <v>304803929.47</v>
      </c>
      <c r="P23" t="n">
        <v>303880348.159</v>
      </c>
      <c r="Q23" t="n">
        <v>318446825.102</v>
      </c>
      <c r="R23" t="n">
        <v>344518601.213</v>
      </c>
      <c r="S23" t="n">
        <v>362353143.833</v>
      </c>
      <c r="T23" t="n">
        <v>341205789.463</v>
      </c>
      <c r="U23" t="n">
        <v>389284416.498</v>
      </c>
      <c r="V23" t="n">
        <v>415902188.932</v>
      </c>
      <c r="W23" t="n">
        <v>395218642.382</v>
      </c>
      <c r="X23" t="n">
        <v>430915196.733</v>
      </c>
      <c r="Y23" t="n">
        <v>459458517.115</v>
      </c>
      <c r="Z23" t="n">
        <v>457371452.645</v>
      </c>
      <c r="AA23" t="n">
        <v>519460595.403</v>
      </c>
      <c r="AB23" t="n">
        <v>518635941.639</v>
      </c>
      <c r="AC23" t="n">
        <v>551188078.53</v>
      </c>
      <c r="AD23" t="n">
        <v>573265075.7359999</v>
      </c>
      <c r="AE23" t="n">
        <v>606980121.478</v>
      </c>
      <c r="AF23" t="n">
        <v>615328392.11</v>
      </c>
      <c r="AG23" t="n">
        <v>612639863.982</v>
      </c>
      <c r="AH23" t="n">
        <v>636994274.099</v>
      </c>
      <c r="AI23" t="n">
        <v>653626841.515</v>
      </c>
      <c r="AJ23" t="n">
        <v>675586263.02</v>
      </c>
      <c r="AK23" t="n">
        <v>704801843.058</v>
      </c>
      <c r="AL23" t="n">
        <v>687368524.364</v>
      </c>
      <c r="AM23" t="n">
        <v>731679044.383</v>
      </c>
      <c r="AN23" t="n">
        <v>792646404.531</v>
      </c>
      <c r="AO23" t="n">
        <v>760258212.249</v>
      </c>
      <c r="AP23" t="n">
        <v>817968681.86</v>
      </c>
      <c r="AQ23" t="n">
        <v>781016937.965</v>
      </c>
      <c r="AR23" t="n">
        <v>847980144.367</v>
      </c>
      <c r="AS23" t="n">
        <v>895693725.568</v>
      </c>
      <c r="AT23" t="n">
        <v>977543639.735</v>
      </c>
      <c r="AU23" t="n">
        <v>939306105.331</v>
      </c>
      <c r="AV23" t="n">
        <v>973214290.2640001</v>
      </c>
      <c r="AW23" t="n">
        <v>982313490.79</v>
      </c>
      <c r="AX23" t="n">
        <v>1002724951.171</v>
      </c>
      <c r="AY23" t="n">
        <v>1087088159.415</v>
      </c>
      <c r="AZ23" t="n">
        <v>1048730968.38</v>
      </c>
      <c r="BA23" t="n">
        <v>1120856899.233</v>
      </c>
      <c r="BB23" t="n">
        <v>1055020981.855</v>
      </c>
      <c r="BC23" t="n">
        <v>1158111035.417</v>
      </c>
      <c r="BD23" t="n">
        <v>1173061924.773</v>
      </c>
      <c r="BE23" t="n">
        <v>1211086018.598</v>
      </c>
      <c r="BF23" t="n">
        <v>1140584615.266</v>
      </c>
      <c r="BG23" t="n">
        <v>1172570599.88</v>
      </c>
      <c r="BH23" t="n">
        <v>1226046500.428</v>
      </c>
      <c r="BI23" t="n">
        <v>1153122121.425</v>
      </c>
      <c r="BJ23" t="n">
        <v>1209222998.348</v>
      </c>
      <c r="BK23" t="n">
        <v>1181588951.373</v>
      </c>
      <c r="BL23" t="n">
        <v>1203793197.825</v>
      </c>
      <c r="BM23" t="n">
        <v>1198057080.886</v>
      </c>
      <c r="BN23" t="n">
        <v>1108151713.511</v>
      </c>
      <c r="BO23" t="n">
        <v>1187550138.384</v>
      </c>
      <c r="BP23" t="n">
        <v>1213139195.134</v>
      </c>
      <c r="BQ23" t="n">
        <v>1266191523.855</v>
      </c>
      <c r="BR23" t="n">
        <v>1276976508.244</v>
      </c>
      <c r="BS23" t="n">
        <v>1205165649.19</v>
      </c>
      <c r="BT23" t="n">
        <v>1308346587.905</v>
      </c>
    </row>
    <row r="24">
      <c r="A24" s="16" t="inlineStr">
        <is>
          <t>sym_GE_asDC</t>
        </is>
      </c>
      <c r="B24" s="17" t="inlineStr">
        <is>
          <t>DIVERGED - negative SPPR in a source-model group</t>
        </is>
      </c>
      <c r="C24" t="n">
        <v>1919267891744.368</v>
      </c>
      <c r="D24" t="n">
        <v>1793708123394.175</v>
      </c>
      <c r="E24" t="n">
        <v>1989471096994.706</v>
      </c>
      <c r="F24" t="n">
        <v>2236284581162.327</v>
      </c>
      <c r="G24" t="n">
        <v>2441316064170.877</v>
      </c>
      <c r="H24" t="n">
        <v>2535853071279.138</v>
      </c>
      <c r="I24" t="n">
        <v>2919847746584.285</v>
      </c>
      <c r="J24" t="n">
        <v>2223632957409.757</v>
      </c>
      <c r="K24" t="n">
        <v>2487513121687.683</v>
      </c>
      <c r="L24" t="n">
        <v>2708895501359.93</v>
      </c>
      <c r="M24" t="n">
        <v>3167208896781.966</v>
      </c>
      <c r="N24" t="n">
        <v>3459175083037.335</v>
      </c>
      <c r="O24" t="n">
        <v>3020008445174.529</v>
      </c>
      <c r="P24" t="n">
        <v>3542151970856.447</v>
      </c>
      <c r="Q24" t="n">
        <v>3460571591269.157</v>
      </c>
      <c r="R24" t="n">
        <v>3978480839443.664</v>
      </c>
      <c r="S24" t="n">
        <v>3913204784324.845</v>
      </c>
      <c r="T24" t="n">
        <v>4427095196149.033</v>
      </c>
      <c r="U24" t="n">
        <v>4734669973356.107</v>
      </c>
      <c r="V24" t="n">
        <v>5437437495956.661</v>
      </c>
      <c r="W24" t="n">
        <v>5921363292840.732</v>
      </c>
      <c r="X24" t="n">
        <v>6577053770270.498</v>
      </c>
      <c r="Y24" t="n">
        <v>7079219332864.384</v>
      </c>
      <c r="Z24" t="n">
        <v>6645802185920.079</v>
      </c>
      <c r="AA24" t="n">
        <v>7973306931055.126</v>
      </c>
      <c r="AB24" t="n">
        <v>7738015771054.438</v>
      </c>
      <c r="AC24" t="n">
        <v>9342856354974.584</v>
      </c>
      <c r="AD24" t="n">
        <v>10942405993812.81</v>
      </c>
      <c r="AE24" t="n">
        <v>11544569348147.31</v>
      </c>
      <c r="AF24" t="n">
        <v>11826209710362.64</v>
      </c>
      <c r="AG24" t="n">
        <v>11062477902133.04</v>
      </c>
      <c r="AH24" t="n">
        <v>11031562027389.45</v>
      </c>
      <c r="AI24" t="n">
        <v>11062200389075.24</v>
      </c>
      <c r="AJ24" t="n">
        <v>12056167943988.95</v>
      </c>
      <c r="AK24" t="n">
        <v>12996992943761.66</v>
      </c>
      <c r="AL24" t="n">
        <v>12406945013437.52</v>
      </c>
      <c r="AM24" t="n">
        <v>12936575549084.54</v>
      </c>
      <c r="AN24" t="n">
        <v>13759826562780.22</v>
      </c>
      <c r="AO24" t="n">
        <v>12945155234824.41</v>
      </c>
      <c r="AP24" t="n">
        <v>13299034494680.19</v>
      </c>
      <c r="AQ24" t="n">
        <v>16379814583672.89</v>
      </c>
      <c r="AR24" t="n">
        <v>16452868630015.69</v>
      </c>
      <c r="AS24" t="n">
        <v>16226585262270.2</v>
      </c>
      <c r="AT24" t="n">
        <v>17059403700718</v>
      </c>
      <c r="AU24" t="n">
        <v>16443963122107.45</v>
      </c>
      <c r="AV24" t="n">
        <v>17415068292989.65</v>
      </c>
      <c r="AW24" t="n">
        <v>17950628057861.27</v>
      </c>
      <c r="AX24" t="n">
        <v>17274128233220.49</v>
      </c>
      <c r="AY24" t="n">
        <v>19031775307637.23</v>
      </c>
      <c r="AZ24" t="n">
        <v>17599827717358.37</v>
      </c>
      <c r="BA24" t="n">
        <v>17975638981952.47</v>
      </c>
      <c r="BB24" t="n">
        <v>18547072153703.83</v>
      </c>
      <c r="BC24" t="n">
        <v>19747646681755.42</v>
      </c>
      <c r="BD24" t="n">
        <v>20839065442204.29</v>
      </c>
      <c r="BE24" t="n">
        <v>21117269734853.52</v>
      </c>
      <c r="BF24" t="n">
        <v>20855205394970.63</v>
      </c>
      <c r="BG24" t="n">
        <v>20215527095948.6</v>
      </c>
      <c r="BH24" t="n">
        <v>18914995722418.75</v>
      </c>
      <c r="BI24" t="n">
        <v>20647836582273.2</v>
      </c>
      <c r="BJ24" t="n">
        <v>23771152295444.43</v>
      </c>
      <c r="BK24" t="n">
        <v>24228327262390.23</v>
      </c>
      <c r="BL24" t="n">
        <v>24249125810845.63</v>
      </c>
      <c r="BM24" t="n">
        <v>23890912833251.8</v>
      </c>
      <c r="BN24" t="n">
        <v>22628703438469.02</v>
      </c>
      <c r="BO24" t="n">
        <v>19295405631403.2</v>
      </c>
      <c r="BP24" t="n">
        <v>20717307522367.84</v>
      </c>
      <c r="BQ24" t="n">
        <v>23113329571040.82</v>
      </c>
      <c r="BR24" t="n">
        <v>23580763419698.04</v>
      </c>
      <c r="BS24" t="n">
        <v>22887660038809.33</v>
      </c>
      <c r="BT24" t="n">
        <v>23654298789494.55</v>
      </c>
    </row>
    <row r="25">
      <c r="A25" t="inlineStr">
        <is>
          <t>sym_WithEgestion_asPP</t>
        </is>
      </c>
      <c r="B25" t="inlineStr">
        <is>
          <t>ok</t>
        </is>
      </c>
      <c r="C25" t="n">
        <v>46830048.771</v>
      </c>
      <c r="D25" t="n">
        <v>49124619.834</v>
      </c>
      <c r="E25" t="n">
        <v>54598002.669</v>
      </c>
      <c r="F25" t="n">
        <v>50696205.621</v>
      </c>
      <c r="G25" t="n">
        <v>53228022.022</v>
      </c>
      <c r="H25" t="n">
        <v>55153748.236</v>
      </c>
      <c r="I25" t="n">
        <v>58703989.811</v>
      </c>
      <c r="J25" t="n">
        <v>58238441.719</v>
      </c>
      <c r="K25" t="n">
        <v>60590436.975</v>
      </c>
      <c r="L25" t="n">
        <v>62554545.053</v>
      </c>
      <c r="M25" t="n">
        <v>69648118.06299999</v>
      </c>
      <c r="N25" t="n">
        <v>72363786.722</v>
      </c>
      <c r="O25" t="n">
        <v>74994138.339</v>
      </c>
      <c r="P25" t="n">
        <v>75455235.10600001</v>
      </c>
      <c r="Q25" t="n">
        <v>80597476.913</v>
      </c>
      <c r="R25" t="n">
        <v>85206705.42200001</v>
      </c>
      <c r="S25" t="n">
        <v>90087699.182</v>
      </c>
      <c r="T25" t="n">
        <v>87563400.37</v>
      </c>
      <c r="U25" t="n">
        <v>98389680.52</v>
      </c>
      <c r="V25" t="n">
        <v>104338764.574</v>
      </c>
      <c r="W25" t="n">
        <v>99334313.06</v>
      </c>
      <c r="X25" t="n">
        <v>108705946.888</v>
      </c>
      <c r="Y25" t="n">
        <v>115117140.442</v>
      </c>
      <c r="Z25" t="n">
        <v>115194276.472</v>
      </c>
      <c r="AA25" t="n">
        <v>128531848.919</v>
      </c>
      <c r="AB25" t="n">
        <v>130551110.141</v>
      </c>
      <c r="AC25" t="n">
        <v>141114379.118</v>
      </c>
      <c r="AD25" t="n">
        <v>148860710.67</v>
      </c>
      <c r="AE25" t="n">
        <v>157970041.536</v>
      </c>
      <c r="AF25" t="n">
        <v>161625237.859</v>
      </c>
      <c r="AG25" t="n">
        <v>160997750.074</v>
      </c>
      <c r="AH25" t="n">
        <v>167333907.764</v>
      </c>
      <c r="AI25" t="n">
        <v>172488924.275</v>
      </c>
      <c r="AJ25" t="n">
        <v>177795187.503</v>
      </c>
      <c r="AK25" t="n">
        <v>185809144.173</v>
      </c>
      <c r="AL25" t="n">
        <v>182102824.599</v>
      </c>
      <c r="AM25" t="n">
        <v>193859375.876</v>
      </c>
      <c r="AN25" t="n">
        <v>208379897.6</v>
      </c>
      <c r="AO25" t="n">
        <v>200072271.244</v>
      </c>
      <c r="AP25" t="n">
        <v>214985615.037</v>
      </c>
      <c r="AQ25" t="n">
        <v>208040606.327</v>
      </c>
      <c r="AR25" t="n">
        <v>225633947.436</v>
      </c>
      <c r="AS25" t="n">
        <v>236776124.919</v>
      </c>
      <c r="AT25" t="n">
        <v>257567975.441</v>
      </c>
      <c r="AU25" t="n">
        <v>247228714.763</v>
      </c>
      <c r="AV25" t="n">
        <v>256631277.477</v>
      </c>
      <c r="AW25" t="n">
        <v>259535218.523</v>
      </c>
      <c r="AX25" t="n">
        <v>263718160.177</v>
      </c>
      <c r="AY25" t="n">
        <v>285022075.303</v>
      </c>
      <c r="AZ25" t="n">
        <v>274318931.062</v>
      </c>
      <c r="BA25" t="n">
        <v>292337011.488</v>
      </c>
      <c r="BB25" t="n">
        <v>277346352.435</v>
      </c>
      <c r="BC25" t="n">
        <v>302574248.626</v>
      </c>
      <c r="BD25" t="n">
        <v>307886810.9</v>
      </c>
      <c r="BE25" t="n">
        <v>317295464.107</v>
      </c>
      <c r="BF25" t="n">
        <v>300201567.423</v>
      </c>
      <c r="BG25" t="n">
        <v>311733320.15</v>
      </c>
      <c r="BH25" t="n">
        <v>323755332.413</v>
      </c>
      <c r="BI25" t="n">
        <v>308540325.694</v>
      </c>
      <c r="BJ25" t="n">
        <v>325388217.391</v>
      </c>
      <c r="BK25" t="n">
        <v>318076566.891</v>
      </c>
      <c r="BL25" t="n">
        <v>324065708.858</v>
      </c>
      <c r="BM25" t="n">
        <v>322180102.898</v>
      </c>
      <c r="BN25" t="n">
        <v>300086217.343</v>
      </c>
      <c r="BO25" t="n">
        <v>317874530.531</v>
      </c>
      <c r="BP25" t="n">
        <v>324690625.655</v>
      </c>
      <c r="BQ25" t="n">
        <v>338381459.433</v>
      </c>
      <c r="BR25" t="n">
        <v>341839016.333</v>
      </c>
      <c r="BS25" t="n">
        <v>321926771.993</v>
      </c>
      <c r="BT25" t="n">
        <v>350080472.854</v>
      </c>
    </row>
    <row r="26">
      <c r="A26" s="16" t="inlineStr">
        <is>
          <t>sym_WithEgestion_asDC</t>
        </is>
      </c>
      <c r="B26" s="17" t="inlineStr">
        <is>
          <t>DIVERGED - negative SPPR in a source-model group</t>
        </is>
      </c>
      <c r="C26" t="n">
        <v>1.172589062137351e+27</v>
      </c>
      <c r="D26" t="n">
        <v>1.598263021471191e+27</v>
      </c>
      <c r="E26" t="n">
        <v>1.946921057202831e+27</v>
      </c>
      <c r="F26" t="n">
        <v>1.429354390307803e+27</v>
      </c>
      <c r="G26" t="n">
        <v>1.33025598127535e+27</v>
      </c>
      <c r="H26" t="n">
        <v>1.170967507924419e+27</v>
      </c>
      <c r="I26" t="n">
        <v>1.17973403269292e+27</v>
      </c>
      <c r="J26" t="n">
        <v>1.614512637084603e+27</v>
      </c>
      <c r="K26" t="n">
        <v>1.680933295592811e+27</v>
      </c>
      <c r="L26" t="n">
        <v>1.765835981172235e+27</v>
      </c>
      <c r="M26" t="n">
        <v>2.432049065944624e+27</v>
      </c>
      <c r="N26" t="n">
        <v>2.124896943430843e+27</v>
      </c>
      <c r="O26" t="n">
        <v>2.286251437982799e+27</v>
      </c>
      <c r="P26" t="n">
        <v>2.199081401299965e+27</v>
      </c>
      <c r="Q26" t="n">
        <v>1.984955931463984e+27</v>
      </c>
      <c r="R26" t="n">
        <v>2.632171348990396e+27</v>
      </c>
      <c r="S26" t="n">
        <v>2.632878457219734e+27</v>
      </c>
      <c r="T26" t="n">
        <v>1.897643882711773e+27</v>
      </c>
      <c r="U26" t="n">
        <v>2.263382975538052e+27</v>
      </c>
      <c r="V26" t="n">
        <v>2.514167985770074e+27</v>
      </c>
      <c r="W26" t="n">
        <v>2.754945119710058e+27</v>
      </c>
      <c r="X26" t="n">
        <v>2.82965291351283e+27</v>
      </c>
      <c r="Y26" t="n">
        <v>3.299287425685166e+27</v>
      </c>
      <c r="Z26" t="n">
        <v>3.265086205478699e+27</v>
      </c>
      <c r="AA26" t="n">
        <v>4.250838702989295e+27</v>
      </c>
      <c r="AB26" t="n">
        <v>3.801060101037851e+27</v>
      </c>
      <c r="AC26" t="n">
        <v>3.713081051532757e+27</v>
      </c>
      <c r="AD26" t="n">
        <v>3.17346831756351e+27</v>
      </c>
      <c r="AE26" t="n">
        <v>3.275785845111381e+27</v>
      </c>
      <c r="AF26" t="n">
        <v>3.072936719770395e+27</v>
      </c>
      <c r="AG26" t="n">
        <v>3.134937898271282e+27</v>
      </c>
      <c r="AH26" t="n">
        <v>3.170702242928963e+27</v>
      </c>
      <c r="AI26" t="n">
        <v>3.153279319118045e+27</v>
      </c>
      <c r="AJ26" t="n">
        <v>3.266214989123093e+27</v>
      </c>
      <c r="AK26" t="n">
        <v>2.837830265408462e+27</v>
      </c>
      <c r="AL26" t="n">
        <v>2.423914902395316e+27</v>
      </c>
      <c r="AM26" t="n">
        <v>2.566781739495106e+27</v>
      </c>
      <c r="AN26" t="n">
        <v>3.084522156907712e+27</v>
      </c>
      <c r="AO26" t="n">
        <v>2.659302469794957e+27</v>
      </c>
      <c r="AP26" t="n">
        <v>2.931376564440915e+27</v>
      </c>
      <c r="AQ26" t="n">
        <v>2.732615776378388e+27</v>
      </c>
      <c r="AR26" t="n">
        <v>2.924286357387032e+27</v>
      </c>
      <c r="AS26" t="n">
        <v>3.449557716938209e+27</v>
      </c>
      <c r="AT26" t="n">
        <v>3.573973080748092e+27</v>
      </c>
      <c r="AU26" t="n">
        <v>3.877957991726244e+27</v>
      </c>
      <c r="AV26" t="n">
        <v>4.02969531851987e+27</v>
      </c>
      <c r="AW26" t="n">
        <v>4.012682565928195e+27</v>
      </c>
      <c r="AX26" t="n">
        <v>4.474018912799023e+27</v>
      </c>
      <c r="AY26" t="n">
        <v>4.452954782346874e+27</v>
      </c>
      <c r="AZ26" t="n">
        <v>4.65853292490629e+27</v>
      </c>
      <c r="BA26" t="n">
        <v>4.79241555894398e+27</v>
      </c>
      <c r="BB26" t="n">
        <v>4.422175149859341e+27</v>
      </c>
      <c r="BC26" t="n">
        <v>4.766757334955133e+27</v>
      </c>
      <c r="BD26" t="n">
        <v>4.911606540173286e+27</v>
      </c>
      <c r="BE26" t="n">
        <v>5.197193713875978e+27</v>
      </c>
      <c r="BF26" t="n">
        <v>4.279158003904931e+27</v>
      </c>
      <c r="BG26" t="n">
        <v>4.33592339662984e+27</v>
      </c>
      <c r="BH26" t="n">
        <v>3.990552358457376e+27</v>
      </c>
      <c r="BI26" t="n">
        <v>4.063237124950687e+27</v>
      </c>
      <c r="BJ26" t="n">
        <v>3.998765969041849e+27</v>
      </c>
      <c r="BK26" t="n">
        <v>3.945036695318511e+27</v>
      </c>
      <c r="BL26" t="n">
        <v>4.174412811160403e+27</v>
      </c>
      <c r="BM26" t="n">
        <v>4.134422503192836e+27</v>
      </c>
      <c r="BN26" t="n">
        <v>3.753435139338271e+27</v>
      </c>
      <c r="BO26" t="n">
        <v>3.83155125489686e+27</v>
      </c>
      <c r="BP26" t="n">
        <v>3.744555079331307e+27</v>
      </c>
      <c r="BQ26" t="n">
        <v>3.92866274535201e+27</v>
      </c>
      <c r="BR26" t="n">
        <v>3.8874752891245e+27</v>
      </c>
      <c r="BS26" t="n">
        <v>3.620757886265906e+27</v>
      </c>
      <c r="BT26" t="n">
        <v>3.796624480421781e+27</v>
      </c>
    </row>
    <row r="27">
      <c r="A27" t="inlineStr">
        <is>
          <t>MC_new_GE</t>
        </is>
      </c>
      <c r="B27" t="inlineStr">
        <is>
          <t>ok</t>
        </is>
      </c>
      <c r="C27" t="n">
        <v>234543524.244</v>
      </c>
      <c r="D27" t="n">
        <v>254705738.152</v>
      </c>
      <c r="E27" t="n">
        <v>288346603.95</v>
      </c>
      <c r="F27" t="n">
        <v>259474372.954</v>
      </c>
      <c r="G27" t="n">
        <v>269925257.581</v>
      </c>
      <c r="H27" t="n">
        <v>276462999.781</v>
      </c>
      <c r="I27" t="n">
        <v>294248088.554</v>
      </c>
      <c r="J27" t="n">
        <v>300202490.308</v>
      </c>
      <c r="K27" t="n">
        <v>311773103.148</v>
      </c>
      <c r="L27" t="n">
        <v>324298252.581</v>
      </c>
      <c r="M27" t="n">
        <v>370470210.372</v>
      </c>
      <c r="N27" t="n">
        <v>377134538.587</v>
      </c>
      <c r="O27" t="n">
        <v>392210415.89</v>
      </c>
      <c r="P27" t="n">
        <v>390855428.597</v>
      </c>
      <c r="Q27" t="n">
        <v>408819385.712</v>
      </c>
      <c r="R27" t="n">
        <v>443271972.229</v>
      </c>
      <c r="S27" t="n">
        <v>465926790.974</v>
      </c>
      <c r="T27" t="n">
        <v>437557411.717</v>
      </c>
      <c r="U27" t="n">
        <v>499783080.574</v>
      </c>
      <c r="V27" t="n">
        <v>534126510.395</v>
      </c>
      <c r="W27" t="n">
        <v>507869988.815</v>
      </c>
      <c r="X27" t="n">
        <v>553335722.409</v>
      </c>
      <c r="Y27" t="n">
        <v>590397617.323</v>
      </c>
      <c r="Z27" t="n">
        <v>587107338.72</v>
      </c>
      <c r="AA27" t="n">
        <v>668036955.067</v>
      </c>
      <c r="AB27" t="n">
        <v>665925059.425</v>
      </c>
      <c r="AC27" t="n">
        <v>707150213.506</v>
      </c>
      <c r="AD27" t="n">
        <v>734445783.937</v>
      </c>
      <c r="AE27" t="n">
        <v>777448249.737</v>
      </c>
      <c r="AF27" t="n">
        <v>787487214.5140001</v>
      </c>
      <c r="AG27" t="n">
        <v>784568620.607</v>
      </c>
      <c r="AH27" t="n">
        <v>816123911.665</v>
      </c>
      <c r="AI27" t="n">
        <v>836857895.075</v>
      </c>
      <c r="AJ27" t="n">
        <v>865417471.627</v>
      </c>
      <c r="AK27" t="n">
        <v>902428583.401</v>
      </c>
      <c r="AL27" t="n">
        <v>880450629.906</v>
      </c>
      <c r="AM27" t="n">
        <v>936898835.789</v>
      </c>
      <c r="AN27" t="n">
        <v>1015655375.649</v>
      </c>
      <c r="AO27" t="n">
        <v>973948687.4</v>
      </c>
      <c r="AP27" t="n">
        <v>1048099965.591</v>
      </c>
      <c r="AQ27" t="n">
        <v>998887493.482</v>
      </c>
      <c r="AR27" t="n">
        <v>1084412701.349</v>
      </c>
      <c r="AS27" t="n">
        <v>1145980861.633</v>
      </c>
      <c r="AT27" t="n">
        <v>1250878063.68</v>
      </c>
      <c r="AU27" t="n">
        <v>1202466558.392</v>
      </c>
      <c r="AV27" t="n">
        <v>1246042850.135</v>
      </c>
      <c r="AW27" t="n">
        <v>1257315639.464</v>
      </c>
      <c r="AX27" t="n">
        <v>1284065429.901</v>
      </c>
      <c r="AY27" t="n">
        <v>1391775515.253</v>
      </c>
      <c r="AZ27" t="n">
        <v>1343558565.808</v>
      </c>
      <c r="BA27" t="n">
        <v>1435886913.553</v>
      </c>
      <c r="BB27" t="n">
        <v>1351116158.699</v>
      </c>
      <c r="BC27" t="n">
        <v>1483470501.063</v>
      </c>
      <c r="BD27" t="n">
        <v>1502223903.971</v>
      </c>
      <c r="BE27" t="n">
        <v>1551160064.728</v>
      </c>
      <c r="BF27" t="n">
        <v>1461152293.544</v>
      </c>
      <c r="BG27" t="n">
        <v>1500704459.049</v>
      </c>
      <c r="BH27" t="n">
        <v>1569797657.025</v>
      </c>
      <c r="BI27" t="n">
        <v>1474686852.803</v>
      </c>
      <c r="BJ27" t="n">
        <v>1545663365.056</v>
      </c>
      <c r="BK27" t="n">
        <v>1510715126.237</v>
      </c>
      <c r="BL27" t="n">
        <v>1538541938.552</v>
      </c>
      <c r="BM27" t="n">
        <v>1531670238.509</v>
      </c>
      <c r="BN27" t="n">
        <v>1415914092.114</v>
      </c>
      <c r="BO27" t="n">
        <v>1519621747.175</v>
      </c>
      <c r="BP27" t="n">
        <v>1552192507.217</v>
      </c>
      <c r="BQ27" t="n">
        <v>1620520103.764</v>
      </c>
      <c r="BR27" t="n">
        <v>1634058367.431</v>
      </c>
      <c r="BS27" t="n">
        <v>1542631552.811</v>
      </c>
      <c r="BT27" t="n">
        <v>1674527374.169</v>
      </c>
    </row>
    <row r="28">
      <c r="A28" t="inlineStr">
        <is>
          <t>MC_new_TE_EEfix</t>
        </is>
      </c>
      <c r="B28" t="inlineStr">
        <is>
          <t>ok</t>
        </is>
      </c>
      <c r="C28" t="n">
        <v>993614307.896</v>
      </c>
      <c r="D28" t="n">
        <v>1125689362.83</v>
      </c>
      <c r="E28" t="n">
        <v>1284584257.16</v>
      </c>
      <c r="F28" t="n">
        <v>1112646435.327</v>
      </c>
      <c r="G28" t="n">
        <v>1146947764.213</v>
      </c>
      <c r="H28" t="n">
        <v>1156861912.101</v>
      </c>
      <c r="I28" t="n">
        <v>1228821296.752</v>
      </c>
      <c r="J28" t="n">
        <v>1297933734.893</v>
      </c>
      <c r="K28" t="n">
        <v>1342170169.455</v>
      </c>
      <c r="L28" t="n">
        <v>1399244899.569</v>
      </c>
      <c r="M28" t="n">
        <v>1641761264.451</v>
      </c>
      <c r="N28" t="n">
        <v>1636998361.562</v>
      </c>
      <c r="O28" t="n">
        <v>1718745892.273</v>
      </c>
      <c r="P28" t="n">
        <v>1692833077.867</v>
      </c>
      <c r="Q28" t="n">
        <v>1737232579.779</v>
      </c>
      <c r="R28" t="n">
        <v>1916993349.78</v>
      </c>
      <c r="S28" t="n">
        <v>2002988686.881</v>
      </c>
      <c r="T28" t="n">
        <v>1822998154.981</v>
      </c>
      <c r="U28" t="n">
        <v>2101588047.645</v>
      </c>
      <c r="V28" t="n">
        <v>2258682426.375</v>
      </c>
      <c r="W28" t="n">
        <v>2158791950.465</v>
      </c>
      <c r="X28" t="n">
        <v>2327698375.4</v>
      </c>
      <c r="Y28" t="n">
        <v>2510312821.3</v>
      </c>
      <c r="Z28" t="n">
        <v>2516244793.049</v>
      </c>
      <c r="AA28" t="n">
        <v>2895617609.926</v>
      </c>
      <c r="AB28" t="n">
        <v>2829907414.298</v>
      </c>
      <c r="AC28" t="n">
        <v>2952352335.115</v>
      </c>
      <c r="AD28" t="n">
        <v>2974713474.703</v>
      </c>
      <c r="AE28" t="n">
        <v>3137582362.647</v>
      </c>
      <c r="AF28" t="n">
        <v>3151224131.817</v>
      </c>
      <c r="AG28" t="n">
        <v>3147272699.803</v>
      </c>
      <c r="AH28" t="n">
        <v>3269002774.438</v>
      </c>
      <c r="AI28" t="n">
        <v>3364773014.167</v>
      </c>
      <c r="AJ28" t="n">
        <v>3442411075.848</v>
      </c>
      <c r="AK28" t="n">
        <v>3545511115.973</v>
      </c>
      <c r="AL28" t="n">
        <v>3435585170.998</v>
      </c>
      <c r="AM28" t="n">
        <v>3669401753.681</v>
      </c>
      <c r="AN28" t="n">
        <v>3997604979.572</v>
      </c>
      <c r="AO28" t="n">
        <v>3815212728.532</v>
      </c>
      <c r="AP28" t="n">
        <v>4132568385.864</v>
      </c>
      <c r="AQ28" t="n">
        <v>3855959024.166</v>
      </c>
      <c r="AR28" t="n">
        <v>4205903468.016</v>
      </c>
      <c r="AS28" t="n">
        <v>4499956189.147</v>
      </c>
      <c r="AT28" t="n">
        <v>4948134773.429</v>
      </c>
      <c r="AU28" t="n">
        <v>4807502409.704</v>
      </c>
      <c r="AV28" t="n">
        <v>4961549276.544</v>
      </c>
      <c r="AW28" t="n">
        <v>4985807289.451</v>
      </c>
      <c r="AX28" t="n">
        <v>5135579629.258</v>
      </c>
      <c r="AY28" t="n">
        <v>5555769008.025</v>
      </c>
      <c r="AZ28" t="n">
        <v>5400138688.661</v>
      </c>
      <c r="BA28" t="n">
        <v>5760068906.267</v>
      </c>
      <c r="BB28" t="n">
        <v>5324144493.326</v>
      </c>
      <c r="BC28" t="n">
        <v>5910247591.885</v>
      </c>
      <c r="BD28" t="n">
        <v>5955119060.271</v>
      </c>
      <c r="BE28" t="n">
        <v>6164971265.225</v>
      </c>
      <c r="BF28" t="n">
        <v>5721962454.716</v>
      </c>
      <c r="BG28" t="n">
        <v>5913259463.813</v>
      </c>
      <c r="BH28" t="n">
        <v>6115615095.009</v>
      </c>
      <c r="BI28" t="n">
        <v>5787621575.365</v>
      </c>
      <c r="BJ28" t="n">
        <v>5988528644.144</v>
      </c>
      <c r="BK28" t="n">
        <v>5812574205.981</v>
      </c>
      <c r="BL28" t="n">
        <v>5971485718.931</v>
      </c>
      <c r="BM28" t="n">
        <v>5902721034.08</v>
      </c>
      <c r="BN28" t="n">
        <v>5473407380.887</v>
      </c>
      <c r="BO28" t="n">
        <v>5898169350.02</v>
      </c>
      <c r="BP28" t="n">
        <v>5995233878.694</v>
      </c>
      <c r="BQ28" t="n">
        <v>6250527900.587</v>
      </c>
      <c r="BR28" t="n">
        <v>6291789427.719</v>
      </c>
      <c r="BS28" t="n">
        <v>5917578117.199</v>
      </c>
      <c r="BT28" t="n">
        <v>6421664271.678</v>
      </c>
    </row>
    <row r="29">
      <c r="A29" s="16" t="inlineStr">
        <is>
          <t>SPPR_1995_TEmean_catch</t>
        </is>
      </c>
      <c r="B29" s="17" t="inlineStr">
        <is>
          <t>did not resolve for any mapped group</t>
        </is>
      </c>
    </row>
    <row r="30">
      <c r="A30" t="inlineStr">
        <is>
          <t>Ulanowicz_globalTEmean_catch</t>
        </is>
      </c>
      <c r="B30" t="inlineStr">
        <is>
          <t>ok</t>
        </is>
      </c>
      <c r="C30" t="n">
        <v>59295265.639</v>
      </c>
      <c r="D30" t="n">
        <v>61278660.554</v>
      </c>
      <c r="E30" t="n">
        <v>67643563.37800001</v>
      </c>
      <c r="F30" t="n">
        <v>63659826.266</v>
      </c>
      <c r="G30" t="n">
        <v>68088583.51800001</v>
      </c>
      <c r="H30" t="n">
        <v>72153299.877</v>
      </c>
      <c r="I30" t="n">
        <v>77473389.31</v>
      </c>
      <c r="J30" t="n">
        <v>74376750.41500001</v>
      </c>
      <c r="K30" t="n">
        <v>77539724.101</v>
      </c>
      <c r="L30" t="n">
        <v>80465597.31299999</v>
      </c>
      <c r="M30" t="n">
        <v>87700237.729</v>
      </c>
      <c r="N30" t="n">
        <v>92723345.64</v>
      </c>
      <c r="O30" t="n">
        <v>95692243.97400001</v>
      </c>
      <c r="P30" t="n">
        <v>95896133.219</v>
      </c>
      <c r="Q30" t="n">
        <v>103943459.86</v>
      </c>
      <c r="R30" t="n">
        <v>107298832.093</v>
      </c>
      <c r="S30" t="n">
        <v>114773720.749</v>
      </c>
      <c r="T30" t="n">
        <v>113012003.149</v>
      </c>
      <c r="U30" t="n">
        <v>128432294.302</v>
      </c>
      <c r="V30" t="n">
        <v>136528073.158</v>
      </c>
      <c r="W30" t="n">
        <v>124540219.333</v>
      </c>
      <c r="X30" t="n">
        <v>137658044.825</v>
      </c>
      <c r="Y30" t="n">
        <v>143331746.787</v>
      </c>
      <c r="Z30" t="n">
        <v>143752881.696</v>
      </c>
      <c r="AA30" t="n">
        <v>157774594.749</v>
      </c>
      <c r="AB30" t="n">
        <v>162204424.194</v>
      </c>
      <c r="AC30" t="n">
        <v>175692791.49</v>
      </c>
      <c r="AD30" t="n">
        <v>187817586.586</v>
      </c>
      <c r="AE30" t="n">
        <v>200086276.474</v>
      </c>
      <c r="AF30" t="n">
        <v>205483356.297</v>
      </c>
      <c r="AG30" t="n">
        <v>204046766.642</v>
      </c>
      <c r="AH30" t="n">
        <v>213211790.551</v>
      </c>
      <c r="AI30" t="n">
        <v>221281544.6</v>
      </c>
      <c r="AJ30" t="n">
        <v>227441523.134</v>
      </c>
      <c r="AK30" t="n">
        <v>242625157.273</v>
      </c>
      <c r="AL30" t="n">
        <v>239237226.84</v>
      </c>
      <c r="AM30" t="n">
        <v>255735923.746</v>
      </c>
      <c r="AN30" t="n">
        <v>273572481.148</v>
      </c>
      <c r="AO30" t="n">
        <v>265367450.582</v>
      </c>
      <c r="AP30" t="n">
        <v>284422884.992</v>
      </c>
      <c r="AQ30" t="n">
        <v>270693129.984</v>
      </c>
      <c r="AR30" t="n">
        <v>294817373.415</v>
      </c>
      <c r="AS30" t="n">
        <v>308453745.709</v>
      </c>
      <c r="AT30" t="n">
        <v>339236922.627</v>
      </c>
      <c r="AU30" t="n">
        <v>322889802.646</v>
      </c>
      <c r="AV30" t="n">
        <v>334495807.887</v>
      </c>
      <c r="AW30" t="n">
        <v>338970443.982</v>
      </c>
      <c r="AX30" t="n">
        <v>343193060.75</v>
      </c>
      <c r="AY30" t="n">
        <v>374744181.689</v>
      </c>
      <c r="AZ30" t="n">
        <v>358670415.184</v>
      </c>
      <c r="BA30" t="n">
        <v>384326681.614</v>
      </c>
      <c r="BB30" t="n">
        <v>360531987.897</v>
      </c>
      <c r="BC30" t="n">
        <v>396995441.135</v>
      </c>
      <c r="BD30" t="n">
        <v>399721895.729</v>
      </c>
      <c r="BE30" t="n">
        <v>412597612.637</v>
      </c>
      <c r="BF30" t="n">
        <v>393757665.217</v>
      </c>
      <c r="BG30" t="n">
        <v>408807560.949</v>
      </c>
      <c r="BH30" t="n">
        <v>431162381.112</v>
      </c>
      <c r="BI30" t="n">
        <v>406041503.04</v>
      </c>
      <c r="BJ30" t="n">
        <v>426277071.813</v>
      </c>
      <c r="BK30" t="n">
        <v>414050192.418</v>
      </c>
      <c r="BL30" t="n">
        <v>423402160.935</v>
      </c>
      <c r="BM30" t="n">
        <v>419951290.475</v>
      </c>
      <c r="BN30" t="n">
        <v>391575507.653</v>
      </c>
      <c r="BO30" t="n">
        <v>418987901.813</v>
      </c>
      <c r="BP30" t="n">
        <v>431477523.16</v>
      </c>
      <c r="BQ30" t="n">
        <v>448294207.746</v>
      </c>
      <c r="BR30" t="n">
        <v>453677369.104</v>
      </c>
      <c r="BS30" t="n">
        <v>427277602.744</v>
      </c>
      <c r="BT30" t="n">
        <v>465344146.557</v>
      </c>
    </row>
    <row r="32">
      <c r="A32" t="inlineStr">
        <is>
          <t>Catch tonnage on a named group: 251,144,657 of 251,144,657 (100.0 %). Unresolved taxa contribute nothing to the model rows and everything to the simple row, so the two are not directly comparable until coverage is 100 %.</t>
        </is>
      </c>
    </row>
    <row r="33">
      <c r="A33" s="16" t="inlineStr">
        <is>
          <t>7 of 22 methods are flagged above. A flagged row is a property of this model under that method, not of the mapping; see model_health in the SPPR workbook.</t>
        </is>
      </c>
    </row>
    <row r="34">
      <c r="A34" t="inlineStr">
        <is>
          <t>Coverage by year, %:</t>
        </is>
      </c>
    </row>
    <row r="35">
      <c r="A35" t="inlineStr">
        <is>
          <t>catch on a named group, %</t>
        </is>
      </c>
      <c r="B35" t="inlineStr"/>
      <c r="C35" t="n">
        <v>100</v>
      </c>
      <c r="D35" t="n">
        <v>100</v>
      </c>
      <c r="E35" t="n">
        <v>100</v>
      </c>
      <c r="F35" t="n">
        <v>100</v>
      </c>
      <c r="G35" t="n">
        <v>100</v>
      </c>
      <c r="H35" t="n">
        <v>100</v>
      </c>
      <c r="I35" t="n">
        <v>100</v>
      </c>
      <c r="J35" t="n">
        <v>100</v>
      </c>
      <c r="K35" t="n">
        <v>100</v>
      </c>
      <c r="L35" t="n">
        <v>100</v>
      </c>
      <c r="M35" t="n">
        <v>100</v>
      </c>
      <c r="N35" t="n">
        <v>100</v>
      </c>
      <c r="O35" t="n">
        <v>100</v>
      </c>
      <c r="P35" t="n">
        <v>100</v>
      </c>
      <c r="Q35" t="n">
        <v>100</v>
      </c>
      <c r="R35" t="n">
        <v>100</v>
      </c>
      <c r="S35" t="n">
        <v>100</v>
      </c>
      <c r="T35" t="n">
        <v>100</v>
      </c>
      <c r="U35" t="n">
        <v>100</v>
      </c>
      <c r="V35" t="n">
        <v>100</v>
      </c>
      <c r="W35" t="n">
        <v>100</v>
      </c>
      <c r="X35" t="n">
        <v>100</v>
      </c>
      <c r="Y35" t="n">
        <v>100</v>
      </c>
      <c r="Z35" t="n">
        <v>100</v>
      </c>
      <c r="AA35" t="n">
        <v>100</v>
      </c>
      <c r="AB35" t="n">
        <v>100</v>
      </c>
      <c r="AC35" t="n">
        <v>100</v>
      </c>
      <c r="AD35" t="n">
        <v>100</v>
      </c>
      <c r="AE35" t="n">
        <v>100</v>
      </c>
      <c r="AF35" t="n">
        <v>100</v>
      </c>
      <c r="AG35" t="n">
        <v>100</v>
      </c>
      <c r="AH35" t="n">
        <v>100</v>
      </c>
      <c r="AI35" t="n">
        <v>100</v>
      </c>
      <c r="AJ35" t="n">
        <v>100</v>
      </c>
      <c r="AK35" t="n">
        <v>100</v>
      </c>
      <c r="AL35" t="n">
        <v>100</v>
      </c>
      <c r="AM35" t="n">
        <v>100</v>
      </c>
      <c r="AN35" t="n">
        <v>100</v>
      </c>
      <c r="AO35" t="n">
        <v>100</v>
      </c>
      <c r="AP35" t="n">
        <v>100</v>
      </c>
      <c r="AQ35" t="n">
        <v>100</v>
      </c>
      <c r="AR35" t="n">
        <v>100</v>
      </c>
      <c r="AS35" t="n">
        <v>100</v>
      </c>
      <c r="AT35" t="n">
        <v>100</v>
      </c>
      <c r="AU35" t="n">
        <v>100</v>
      </c>
      <c r="AV35" t="n">
        <v>100</v>
      </c>
      <c r="AW35" t="n">
        <v>100</v>
      </c>
      <c r="AX35" t="n">
        <v>100</v>
      </c>
      <c r="AY35" t="n">
        <v>100</v>
      </c>
      <c r="AZ35" t="n">
        <v>100</v>
      </c>
      <c r="BA35" t="n">
        <v>100</v>
      </c>
      <c r="BB35" t="n">
        <v>100</v>
      </c>
      <c r="BC35" t="n">
        <v>100</v>
      </c>
      <c r="BD35" t="n">
        <v>100</v>
      </c>
      <c r="BE35" t="n">
        <v>100</v>
      </c>
      <c r="BF35" t="n">
        <v>100</v>
      </c>
      <c r="BG35" t="n">
        <v>100</v>
      </c>
      <c r="BH35" t="n">
        <v>100</v>
      </c>
      <c r="BI35" t="n">
        <v>100</v>
      </c>
      <c r="BJ35" t="n">
        <v>100</v>
      </c>
      <c r="BK35" t="n">
        <v>100</v>
      </c>
      <c r="BL35" t="n">
        <v>100</v>
      </c>
      <c r="BM35" t="n">
        <v>100</v>
      </c>
      <c r="BN35" t="n">
        <v>100</v>
      </c>
      <c r="BO35" t="n">
        <v>100</v>
      </c>
      <c r="BP35" t="n">
        <v>100</v>
      </c>
      <c r="BQ35" t="n">
        <v>100</v>
      </c>
      <c r="BR35" t="n">
        <v>100</v>
      </c>
      <c r="BS35" t="n">
        <v>100</v>
      </c>
      <c r="BT35" t="n">
        <v>100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6" customWidth="1" min="1" max="1"/>
    <col width="32" customWidth="1" min="2" max="2"/>
    <col width="20" customWidth="1" min="3" max="3"/>
    <col width="20" customWidth="1" min="4" max="4"/>
    <col width="20" customWidth="1" min="5" max="5"/>
    <col width="20" customWidth="1" min="6" max="6"/>
    <col width="20" customWidth="1" min="7" max="7"/>
    <col width="20" customWidth="1" min="8" max="8"/>
    <col width="90" customWidth="1" min="9" max="9"/>
  </cols>
  <sheetData>
    <row r="1">
      <c r="A1" s="1" t="inlineStr">
        <is>
          <t>Recycling diagnostics from diagnose_sppr()</t>
        </is>
      </c>
    </row>
    <row r="2" ht="32" customHeight="1">
      <c r="A2" s="19" t="inlineStr">
        <is>
          <t>b: detrital recycling; rho living: living food-web cycles. Each must be below 1 for convergence; these are necessary, not sufficient checks.</t>
        </is>
      </c>
    </row>
    <row r="4" ht="32" customHeight="1">
      <c r="A4" s="18" t="inlineStr">
        <is>
          <t>model</t>
        </is>
      </c>
      <c r="B4" s="18" t="inlineStr">
        <is>
          <t>TE_option</t>
        </is>
      </c>
      <c r="C4" s="18" t="inlineStr">
        <is>
          <t>b</t>
        </is>
      </c>
      <c r="D4" s="18" t="inlineStr">
        <is>
          <t>rho living</t>
        </is>
      </c>
      <c r="E4" s="18" t="inlineStr">
        <is>
          <t>diagnostic status</t>
        </is>
      </c>
      <c r="F4" s="18" t="inlineStr">
        <is>
          <t>b converges</t>
        </is>
      </c>
      <c r="G4" s="18" t="inlineStr">
        <is>
          <t>living converges</t>
        </is>
      </c>
      <c r="H4" s="18" t="inlineStr">
        <is>
          <t>input balanced</t>
        </is>
      </c>
      <c r="I4" s="18" t="inlineStr">
        <is>
          <t>configuration</t>
        </is>
      </c>
    </row>
    <row r="5">
      <c r="A5" t="inlineStr">
        <is>
          <t>34_1_Bay_of_Bengal_(1978)</t>
        </is>
      </c>
      <c r="B5" t="inlineStr">
        <is>
          <t>GE</t>
        </is>
      </c>
      <c r="C5" s="20" t="n">
        <v>0.3145061031202901</v>
      </c>
      <c r="D5" s="20" t="n">
        <v>0.7405555555555556</v>
      </c>
      <c r="E5" t="inlineStr">
        <is>
          <t>WARN</t>
        </is>
      </c>
      <c r="F5" t="b">
        <v>1</v>
      </c>
      <c r="G5" t="b">
        <v>1</v>
      </c>
      <c r="H5" t="b">
        <v>1</v>
      </c>
      <c r="I5" t="inlineStr">
        <is>
          <t>{"TE_option": "GE", "det_collapse_mode": "never", "det_external_sppr": 0, "det_open_mode": "none", "det_theta": 1, "explicit_TE": false, "method": "single_detritus", "model": "Bay_of_Bengal (1978)", "would_pool": false}</t>
        </is>
      </c>
    </row>
    <row r="6">
      <c r="A6" t="inlineStr">
        <is>
          <t>34_1_Bay_of_Bengal_(1978)</t>
        </is>
      </c>
      <c r="B6" t="inlineStr">
        <is>
          <t>TE</t>
        </is>
      </c>
      <c r="C6" s="20" t="n">
        <v>0</v>
      </c>
      <c r="D6" s="20" t="n">
        <v>0.7844868173258005</v>
      </c>
      <c r="E6" t="inlineStr">
        <is>
          <t>WARN</t>
        </is>
      </c>
      <c r="F6" t="b">
        <v>1</v>
      </c>
      <c r="G6" t="b">
        <v>1</v>
      </c>
      <c r="H6" t="b">
        <v>1</v>
      </c>
      <c r="I6" t="inlineStr">
        <is>
          <t>{"TE_option": "TE", "det_collapse_mode": "never", "det_external_sppr": 0, "det_open_mode": "none", "det_theta": 1, "explicit_TE": false, "method": null, "model": "Bay_of_Bengal (1978)", "would_pool": false}</t>
        </is>
      </c>
    </row>
    <row r="7">
      <c r="A7" t="inlineStr">
        <is>
          <t>34_1_Bay_of_Bengal_(1978)</t>
        </is>
      </c>
      <c r="B7" t="inlineStr">
        <is>
          <t>With Egestion</t>
        </is>
      </c>
      <c r="C7" s="20" t="n">
        <v>0.4125579735832401</v>
      </c>
      <c r="D7" s="20" t="n">
        <v>0.5924444444444446</v>
      </c>
      <c r="E7" t="inlineStr">
        <is>
          <t>OK</t>
        </is>
      </c>
      <c r="F7" t="b">
        <v>1</v>
      </c>
      <c r="G7" t="b">
        <v>1</v>
      </c>
      <c r="H7" t="b">
        <v>1</v>
      </c>
      <c r="I7" t="inlineStr">
        <is>
          <t>{"TE_option": "With Egestion", "det_collapse_mode": "never", "det_external_sppr": 0, "det_open_mode": "none", "det_theta": 1, "explicit_TE": false, "method": "single_detritus", "model": "Bay_of_Bengal (1978)", "would_pool": false}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322"/>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34" customWidth="1" min="1" max="1"/>
    <col width="40" customWidth="1" min="2" max="2"/>
    <col width="14"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s>
  <sheetData>
    <row r="1">
      <c r="A1" s="1" t="inlineStr">
        <is>
          <t>PPR per taxon for one year — pick the year in the yellow cell.</t>
        </is>
      </c>
    </row>
    <row r="2">
      <c r="A2" t="inlineStr">
        <is>
          <t>PPR = that year's catch for the taxon x the taxon's SPPR under each method. Everything below recalculates when the year changes.</t>
        </is>
      </c>
    </row>
    <row r="4">
      <c r="A4" s="2" t="inlineStr">
        <is>
          <t>Year</t>
        </is>
      </c>
      <c r="B4" s="21" t="n">
        <v>2019</v>
      </c>
      <c r="C4" s="15" t="inlineStr">
        <is>
          <t>choose any year from 1950 to 2019</t>
        </is>
      </c>
    </row>
    <row r="6">
      <c r="A6" s="4" t="inlineStr">
        <is>
          <t>taxon</t>
        </is>
      </c>
      <c r="B6" s="4" t="inlineStr">
        <is>
          <t>Ecopath group</t>
        </is>
      </c>
      <c r="C6" s="4" t="inlineStr">
        <is>
          <t>catch tonnes</t>
        </is>
      </c>
      <c r="D6" s="4" t="inlineStr">
        <is>
          <t>SPPR_1986</t>
        </is>
      </c>
      <c r="E6" s="4" t="inlineStr">
        <is>
          <t>SPPR_1995_TE0.1</t>
        </is>
      </c>
      <c r="F6" s="4" t="inlineStr">
        <is>
          <t>SPPR_1995_TEmean</t>
        </is>
      </c>
      <c r="G6" s="4" t="inlineStr">
        <is>
          <t>Ulanowicz_globalTEmean</t>
        </is>
      </c>
      <c r="H6" s="4" t="inlineStr">
        <is>
          <t>Ulanowicz_TE</t>
        </is>
      </c>
      <c r="I6" s="4" t="inlineStr">
        <is>
          <t>EwE_TE_noEE</t>
        </is>
      </c>
      <c r="J6" s="4" t="inlineStr">
        <is>
          <t>EwE_TE_EE</t>
        </is>
      </c>
      <c r="K6" s="4" t="inlineStr">
        <is>
          <t>SPPR_2015</t>
        </is>
      </c>
      <c r="L6" s="4" t="inlineStr">
        <is>
          <t>new_TE_noEEfix</t>
        </is>
      </c>
      <c r="M6" s="4" t="inlineStr">
        <is>
          <t>new_TE_EEfix</t>
        </is>
      </c>
      <c r="N6" s="4" t="inlineStr">
        <is>
          <t>new_GE</t>
        </is>
      </c>
      <c r="O6" s="4" t="inlineStr">
        <is>
          <t>new_WithEgestion</t>
        </is>
      </c>
      <c r="P6" s="4" t="inlineStr">
        <is>
          <t>sym_TE_asPP</t>
        </is>
      </c>
      <c r="Q6" s="4" t="inlineStr">
        <is>
          <t>sym_TE_asDC</t>
        </is>
      </c>
      <c r="R6" s="4" t="inlineStr">
        <is>
          <t>sym_GE_asPP</t>
        </is>
      </c>
      <c r="S6" s="4" t="inlineStr">
        <is>
          <t>sym_GE_asDC</t>
        </is>
      </c>
      <c r="T6" s="4" t="inlineStr">
        <is>
          <t>sym_WithEgestion_asPP</t>
        </is>
      </c>
      <c r="U6" s="4" t="inlineStr">
        <is>
          <t>sym_WithEgestion_asDC</t>
        </is>
      </c>
      <c r="V6" s="4" t="inlineStr">
        <is>
          <t>MC_new_GE</t>
        </is>
      </c>
      <c r="W6" s="4" t="inlineStr">
        <is>
          <t>MC_new_TE_EEfix</t>
        </is>
      </c>
      <c r="X6" s="4" t="inlineStr">
        <is>
          <t>SPPR_1995_TEmean_catch</t>
        </is>
      </c>
      <c r="Y6" s="4" t="inlineStr">
        <is>
          <t>Ulanowicz_globalTEmean_catch</t>
        </is>
      </c>
    </row>
    <row r="7">
      <c r="A7" s="2" t="inlineStr">
        <is>
          <t>ALL TAXA</t>
        </is>
      </c>
      <c r="C7" s="2">
        <f>SUM(C8:C322)</f>
        <v/>
      </c>
      <c r="D7" s="2">
        <f>IF(COUNT(D8:D322)=0,"",SUM(D8:D322))</f>
        <v/>
      </c>
      <c r="E7" s="2">
        <f>IF(COUNT(E8:E322)=0,"",SUM(E8:E322))</f>
        <v/>
      </c>
      <c r="F7" s="2">
        <f>IF(COUNT(F8:F322)=0,"",SUM(F8:F322))</f>
        <v/>
      </c>
      <c r="G7" s="2">
        <f>IF(COUNT(G8:G322)=0,"",SUM(G8:G322))</f>
        <v/>
      </c>
      <c r="H7" s="2">
        <f>IF(COUNT(H8:H322)=0,"",SUM(H8:H322))</f>
        <v/>
      </c>
      <c r="I7" s="2">
        <f>IF(COUNT(I8:I322)=0,"",SUM(I8:I322))</f>
        <v/>
      </c>
      <c r="J7" s="2">
        <f>IF(COUNT(J8:J322)=0,"",SUM(J8:J322))</f>
        <v/>
      </c>
      <c r="K7" s="2">
        <f>IF(COUNT(K8:K322)=0,"",SUM(K8:K322))</f>
        <v/>
      </c>
      <c r="L7" s="2">
        <f>IF(COUNT(L8:L322)=0,"",SUM(L8:L322))</f>
        <v/>
      </c>
      <c r="M7" s="2">
        <f>IF(COUNT(M8:M322)=0,"",SUM(M8:M322))</f>
        <v/>
      </c>
      <c r="N7" s="2">
        <f>IF(COUNT(N8:N322)=0,"",SUM(N8:N322))</f>
        <v/>
      </c>
      <c r="O7" s="2">
        <f>IF(COUNT(O8:O322)=0,"",SUM(O8:O322))</f>
        <v/>
      </c>
      <c r="P7" s="2">
        <f>IF(COUNT(P8:P322)=0,"",SUM(P8:P322))</f>
        <v/>
      </c>
      <c r="Q7" s="2">
        <f>IF(COUNT(Q8:Q322)=0,"",SUM(Q8:Q322))</f>
        <v/>
      </c>
      <c r="R7" s="2">
        <f>IF(COUNT(R8:R322)=0,"",SUM(R8:R322))</f>
        <v/>
      </c>
      <c r="S7" s="2">
        <f>IF(COUNT(S8:S322)=0,"",SUM(S8:S322))</f>
        <v/>
      </c>
      <c r="T7" s="2">
        <f>IF(COUNT(T8:T322)=0,"",SUM(T8:T322))</f>
        <v/>
      </c>
      <c r="U7" s="2">
        <f>IF(COUNT(U8:U322)=0,"",SUM(U8:U322))</f>
        <v/>
      </c>
      <c r="V7" s="2">
        <f>IF(COUNT(V8:V322)=0,"",SUM(V8:V322))</f>
        <v/>
      </c>
      <c r="W7" s="2">
        <f>IF(COUNT(W8:W322)=0,"",SUM(W8:W322))</f>
        <v/>
      </c>
      <c r="X7" s="2">
        <f>IF(COUNT(X8:X322)=0,"",SUM(X8:X322))</f>
        <v/>
      </c>
      <c r="Y7" s="2">
        <f>IF(COUNT(Y8:Y322)=0,"",SUM(Y8:Y322))</f>
        <v/>
      </c>
    </row>
    <row r="8">
      <c r="A8" t="inlineStr">
        <is>
          <t>Marine fishes not identified</t>
        </is>
      </c>
      <c r="B8">
        <f>IFERROR(INDEX(SPPR!$D:$D,MATCH($A8,SPPR!$A:$A,0)),"")</f>
        <v/>
      </c>
      <c r="C8">
        <f>IFERROR(INDEX(Catch!$E:$BV,MATCH($A8,Catch!$A:$A,0),MATCH($B$4,Catch!$E$1:$BV$1,0)),0)</f>
        <v/>
      </c>
      <c r="D8">
        <f>IFERROR(IF(ISNUMBER(INDEX(SPPR!$E:$Z,MATCH($A8,SPPR!$A:$A,0),1)),$C8*INDEX(SPPR!$E:$Z,MATCH($A8,SPPR!$A:$A,0),1),""),"")</f>
        <v/>
      </c>
      <c r="E8">
        <f>IFERROR(IF(ISNUMBER(INDEX(SPPR!$E:$Z,MATCH($A8,SPPR!$A:$A,0),2)),$C8*INDEX(SPPR!$E:$Z,MATCH($A8,SPPR!$A:$A,0),2),""),"")</f>
        <v/>
      </c>
      <c r="F8">
        <f>IFERROR(IF(ISNUMBER(INDEX(SPPR!$E:$Z,MATCH($A8,SPPR!$A:$A,0),3)),$C8*INDEX(SPPR!$E:$Z,MATCH($A8,SPPR!$A:$A,0),3),""),"")</f>
        <v/>
      </c>
      <c r="G8">
        <f>IFERROR(IF(ISNUMBER(INDEX(SPPR!$E:$Z,MATCH($A8,SPPR!$A:$A,0),4)),$C8*INDEX(SPPR!$E:$Z,MATCH($A8,SPPR!$A:$A,0),4),""),"")</f>
        <v/>
      </c>
      <c r="H8">
        <f>IFERROR(IF(ISNUMBER(INDEX(SPPR!$E:$Z,MATCH($A8,SPPR!$A:$A,0),5)),$C8*INDEX(SPPR!$E:$Z,MATCH($A8,SPPR!$A:$A,0),5),""),"")</f>
        <v/>
      </c>
      <c r="I8">
        <f>IFERROR(IF(ISNUMBER(INDEX(SPPR!$E:$Z,MATCH($A8,SPPR!$A:$A,0),6)),$C8*INDEX(SPPR!$E:$Z,MATCH($A8,SPPR!$A:$A,0),6),""),"")</f>
        <v/>
      </c>
      <c r="J8">
        <f>IFERROR(IF(ISNUMBER(INDEX(SPPR!$E:$Z,MATCH($A8,SPPR!$A:$A,0),7)),$C8*INDEX(SPPR!$E:$Z,MATCH($A8,SPPR!$A:$A,0),7),""),"")</f>
        <v/>
      </c>
      <c r="K8">
        <f>IFERROR(IF(ISNUMBER(INDEX(SPPR!$E:$Z,MATCH($A8,SPPR!$A:$A,0),8)),$C8*INDEX(SPPR!$E:$Z,MATCH($A8,SPPR!$A:$A,0),8),""),"")</f>
        <v/>
      </c>
      <c r="L8">
        <f>IFERROR(IF(ISNUMBER(INDEX(SPPR!$E:$Z,MATCH($A8,SPPR!$A:$A,0),9)),$C8*INDEX(SPPR!$E:$Z,MATCH($A8,SPPR!$A:$A,0),9),""),"")</f>
        <v/>
      </c>
      <c r="M8">
        <f>IFERROR(IF(ISNUMBER(INDEX(SPPR!$E:$Z,MATCH($A8,SPPR!$A:$A,0),10)),$C8*INDEX(SPPR!$E:$Z,MATCH($A8,SPPR!$A:$A,0),10),""),"")</f>
        <v/>
      </c>
      <c r="N8">
        <f>IFERROR(IF(ISNUMBER(INDEX(SPPR!$E:$Z,MATCH($A8,SPPR!$A:$A,0),11)),$C8*INDEX(SPPR!$E:$Z,MATCH($A8,SPPR!$A:$A,0),11),""),"")</f>
        <v/>
      </c>
      <c r="O8">
        <f>IFERROR(IF(ISNUMBER(INDEX(SPPR!$E:$Z,MATCH($A8,SPPR!$A:$A,0),12)),$C8*INDEX(SPPR!$E:$Z,MATCH($A8,SPPR!$A:$A,0),12),""),"")</f>
        <v/>
      </c>
      <c r="P8">
        <f>IFERROR(IF(ISNUMBER(INDEX(SPPR!$E:$Z,MATCH($A8,SPPR!$A:$A,0),13)),$C8*INDEX(SPPR!$E:$Z,MATCH($A8,SPPR!$A:$A,0),13),""),"")</f>
        <v/>
      </c>
      <c r="Q8">
        <f>IFERROR(IF(ISNUMBER(INDEX(SPPR!$E:$Z,MATCH($A8,SPPR!$A:$A,0),14)),$C8*INDEX(SPPR!$E:$Z,MATCH($A8,SPPR!$A:$A,0),14),""),"")</f>
        <v/>
      </c>
      <c r="R8">
        <f>IFERROR(IF(ISNUMBER(INDEX(SPPR!$E:$Z,MATCH($A8,SPPR!$A:$A,0),15)),$C8*INDEX(SPPR!$E:$Z,MATCH($A8,SPPR!$A:$A,0),15),""),"")</f>
        <v/>
      </c>
      <c r="S8">
        <f>IFERROR(IF(ISNUMBER(INDEX(SPPR!$E:$Z,MATCH($A8,SPPR!$A:$A,0),16)),$C8*INDEX(SPPR!$E:$Z,MATCH($A8,SPPR!$A:$A,0),16),""),"")</f>
        <v/>
      </c>
      <c r="T8">
        <f>IFERROR(IF(ISNUMBER(INDEX(SPPR!$E:$Z,MATCH($A8,SPPR!$A:$A,0),17)),$C8*INDEX(SPPR!$E:$Z,MATCH($A8,SPPR!$A:$A,0),17),""),"")</f>
        <v/>
      </c>
      <c r="U8">
        <f>IFERROR(IF(ISNUMBER(INDEX(SPPR!$E:$Z,MATCH($A8,SPPR!$A:$A,0),18)),$C8*INDEX(SPPR!$E:$Z,MATCH($A8,SPPR!$A:$A,0),18),""),"")</f>
        <v/>
      </c>
      <c r="V8">
        <f>IFERROR(IF(ISNUMBER(INDEX(SPPR!$E:$Z,MATCH($A8,SPPR!$A:$A,0),19)),$C8*INDEX(SPPR!$E:$Z,MATCH($A8,SPPR!$A:$A,0),19),""),"")</f>
        <v/>
      </c>
      <c r="W8">
        <f>IFERROR(IF(ISNUMBER(INDEX(SPPR!$E:$Z,MATCH($A8,SPPR!$A:$A,0),20)),$C8*INDEX(SPPR!$E:$Z,MATCH($A8,SPPR!$A:$A,0),20),""),"")</f>
        <v/>
      </c>
      <c r="X8">
        <f>IFERROR(IF(ISNUMBER(INDEX(SPPR!$E:$Z,MATCH($A8,SPPR!$A:$A,0),21)),$C8*INDEX(SPPR!$E:$Z,MATCH($A8,SPPR!$A:$A,0),21),""),"")</f>
        <v/>
      </c>
      <c r="Y8">
        <f>IFERROR(IF(ISNUMBER(INDEX(SPPR!$E:$Z,MATCH($A8,SPPR!$A:$A,0),22)),$C8*INDEX(SPPR!$E:$Z,MATCH($A8,SPPR!$A:$A,0),22),""),"")</f>
        <v/>
      </c>
    </row>
    <row r="9">
      <c r="A9" t="inlineStr">
        <is>
          <t>Penaeidae</t>
        </is>
      </c>
      <c r="B9">
        <f>IFERROR(INDEX(SPPR!$D:$D,MATCH($A9,SPPR!$A:$A,0)),"")</f>
        <v/>
      </c>
      <c r="C9">
        <f>IFERROR(INDEX(Catch!$E:$BV,MATCH($A9,Catch!$A:$A,0),MATCH($B$4,Catch!$E$1:$BV$1,0)),0)</f>
        <v/>
      </c>
      <c r="D9">
        <f>IFERROR(IF(ISNUMBER(INDEX(SPPR!$E:$Z,MATCH($A9,SPPR!$A:$A,0),1)),$C9*INDEX(SPPR!$E:$Z,MATCH($A9,SPPR!$A:$A,0),1),""),"")</f>
        <v/>
      </c>
      <c r="E9">
        <f>IFERROR(IF(ISNUMBER(INDEX(SPPR!$E:$Z,MATCH($A9,SPPR!$A:$A,0),2)),$C9*INDEX(SPPR!$E:$Z,MATCH($A9,SPPR!$A:$A,0),2),""),"")</f>
        <v/>
      </c>
      <c r="F9">
        <f>IFERROR(IF(ISNUMBER(INDEX(SPPR!$E:$Z,MATCH($A9,SPPR!$A:$A,0),3)),$C9*INDEX(SPPR!$E:$Z,MATCH($A9,SPPR!$A:$A,0),3),""),"")</f>
        <v/>
      </c>
      <c r="G9">
        <f>IFERROR(IF(ISNUMBER(INDEX(SPPR!$E:$Z,MATCH($A9,SPPR!$A:$A,0),4)),$C9*INDEX(SPPR!$E:$Z,MATCH($A9,SPPR!$A:$A,0),4),""),"")</f>
        <v/>
      </c>
      <c r="H9">
        <f>IFERROR(IF(ISNUMBER(INDEX(SPPR!$E:$Z,MATCH($A9,SPPR!$A:$A,0),5)),$C9*INDEX(SPPR!$E:$Z,MATCH($A9,SPPR!$A:$A,0),5),""),"")</f>
        <v/>
      </c>
      <c r="I9">
        <f>IFERROR(IF(ISNUMBER(INDEX(SPPR!$E:$Z,MATCH($A9,SPPR!$A:$A,0),6)),$C9*INDEX(SPPR!$E:$Z,MATCH($A9,SPPR!$A:$A,0),6),""),"")</f>
        <v/>
      </c>
      <c r="J9">
        <f>IFERROR(IF(ISNUMBER(INDEX(SPPR!$E:$Z,MATCH($A9,SPPR!$A:$A,0),7)),$C9*INDEX(SPPR!$E:$Z,MATCH($A9,SPPR!$A:$A,0),7),""),"")</f>
        <v/>
      </c>
      <c r="K9">
        <f>IFERROR(IF(ISNUMBER(INDEX(SPPR!$E:$Z,MATCH($A9,SPPR!$A:$A,0),8)),$C9*INDEX(SPPR!$E:$Z,MATCH($A9,SPPR!$A:$A,0),8),""),"")</f>
        <v/>
      </c>
      <c r="L9">
        <f>IFERROR(IF(ISNUMBER(INDEX(SPPR!$E:$Z,MATCH($A9,SPPR!$A:$A,0),9)),$C9*INDEX(SPPR!$E:$Z,MATCH($A9,SPPR!$A:$A,0),9),""),"")</f>
        <v/>
      </c>
      <c r="M9">
        <f>IFERROR(IF(ISNUMBER(INDEX(SPPR!$E:$Z,MATCH($A9,SPPR!$A:$A,0),10)),$C9*INDEX(SPPR!$E:$Z,MATCH($A9,SPPR!$A:$A,0),10),""),"")</f>
        <v/>
      </c>
      <c r="N9">
        <f>IFERROR(IF(ISNUMBER(INDEX(SPPR!$E:$Z,MATCH($A9,SPPR!$A:$A,0),11)),$C9*INDEX(SPPR!$E:$Z,MATCH($A9,SPPR!$A:$A,0),11),""),"")</f>
        <v/>
      </c>
      <c r="O9">
        <f>IFERROR(IF(ISNUMBER(INDEX(SPPR!$E:$Z,MATCH($A9,SPPR!$A:$A,0),12)),$C9*INDEX(SPPR!$E:$Z,MATCH($A9,SPPR!$A:$A,0),12),""),"")</f>
        <v/>
      </c>
      <c r="P9">
        <f>IFERROR(IF(ISNUMBER(INDEX(SPPR!$E:$Z,MATCH($A9,SPPR!$A:$A,0),13)),$C9*INDEX(SPPR!$E:$Z,MATCH($A9,SPPR!$A:$A,0),13),""),"")</f>
        <v/>
      </c>
      <c r="Q9">
        <f>IFERROR(IF(ISNUMBER(INDEX(SPPR!$E:$Z,MATCH($A9,SPPR!$A:$A,0),14)),$C9*INDEX(SPPR!$E:$Z,MATCH($A9,SPPR!$A:$A,0),14),""),"")</f>
        <v/>
      </c>
      <c r="R9">
        <f>IFERROR(IF(ISNUMBER(INDEX(SPPR!$E:$Z,MATCH($A9,SPPR!$A:$A,0),15)),$C9*INDEX(SPPR!$E:$Z,MATCH($A9,SPPR!$A:$A,0),15),""),"")</f>
        <v/>
      </c>
      <c r="S9">
        <f>IFERROR(IF(ISNUMBER(INDEX(SPPR!$E:$Z,MATCH($A9,SPPR!$A:$A,0),16)),$C9*INDEX(SPPR!$E:$Z,MATCH($A9,SPPR!$A:$A,0),16),""),"")</f>
        <v/>
      </c>
      <c r="T9">
        <f>IFERROR(IF(ISNUMBER(INDEX(SPPR!$E:$Z,MATCH($A9,SPPR!$A:$A,0),17)),$C9*INDEX(SPPR!$E:$Z,MATCH($A9,SPPR!$A:$A,0),17),""),"")</f>
        <v/>
      </c>
      <c r="U9">
        <f>IFERROR(IF(ISNUMBER(INDEX(SPPR!$E:$Z,MATCH($A9,SPPR!$A:$A,0),18)),$C9*INDEX(SPPR!$E:$Z,MATCH($A9,SPPR!$A:$A,0),18),""),"")</f>
        <v/>
      </c>
      <c r="V9">
        <f>IFERROR(IF(ISNUMBER(INDEX(SPPR!$E:$Z,MATCH($A9,SPPR!$A:$A,0),19)),$C9*INDEX(SPPR!$E:$Z,MATCH($A9,SPPR!$A:$A,0),19),""),"")</f>
        <v/>
      </c>
      <c r="W9">
        <f>IFERROR(IF(ISNUMBER(INDEX(SPPR!$E:$Z,MATCH($A9,SPPR!$A:$A,0),20)),$C9*INDEX(SPPR!$E:$Z,MATCH($A9,SPPR!$A:$A,0),20),""),"")</f>
        <v/>
      </c>
      <c r="X9">
        <f>IFERROR(IF(ISNUMBER(INDEX(SPPR!$E:$Z,MATCH($A9,SPPR!$A:$A,0),21)),$C9*INDEX(SPPR!$E:$Z,MATCH($A9,SPPR!$A:$A,0),21),""),"")</f>
        <v/>
      </c>
      <c r="Y9">
        <f>IFERROR(IF(ISNUMBER(INDEX(SPPR!$E:$Z,MATCH($A9,SPPR!$A:$A,0),22)),$C9*INDEX(SPPR!$E:$Z,MATCH($A9,SPPR!$A:$A,0),22),""),"")</f>
        <v/>
      </c>
    </row>
    <row r="10">
      <c r="A10" t="inlineStr">
        <is>
          <t>Tenualosa ilisha</t>
        </is>
      </c>
      <c r="B10">
        <f>IFERROR(INDEX(SPPR!$D:$D,MATCH($A10,SPPR!$A:$A,0)),"")</f>
        <v/>
      </c>
      <c r="C10">
        <f>IFERROR(INDEX(Catch!$E:$BV,MATCH($A10,Catch!$A:$A,0),MATCH($B$4,Catch!$E$1:$BV$1,0)),0)</f>
        <v/>
      </c>
      <c r="D10">
        <f>IFERROR(IF(ISNUMBER(INDEX(SPPR!$E:$Z,MATCH($A10,SPPR!$A:$A,0),1)),$C10*INDEX(SPPR!$E:$Z,MATCH($A10,SPPR!$A:$A,0),1),""),"")</f>
        <v/>
      </c>
      <c r="E10">
        <f>IFERROR(IF(ISNUMBER(INDEX(SPPR!$E:$Z,MATCH($A10,SPPR!$A:$A,0),2)),$C10*INDEX(SPPR!$E:$Z,MATCH($A10,SPPR!$A:$A,0),2),""),"")</f>
        <v/>
      </c>
      <c r="F10">
        <f>IFERROR(IF(ISNUMBER(INDEX(SPPR!$E:$Z,MATCH($A10,SPPR!$A:$A,0),3)),$C10*INDEX(SPPR!$E:$Z,MATCH($A10,SPPR!$A:$A,0),3),""),"")</f>
        <v/>
      </c>
      <c r="G10">
        <f>IFERROR(IF(ISNUMBER(INDEX(SPPR!$E:$Z,MATCH($A10,SPPR!$A:$A,0),4)),$C10*INDEX(SPPR!$E:$Z,MATCH($A10,SPPR!$A:$A,0),4),""),"")</f>
        <v/>
      </c>
      <c r="H10">
        <f>IFERROR(IF(ISNUMBER(INDEX(SPPR!$E:$Z,MATCH($A10,SPPR!$A:$A,0),5)),$C10*INDEX(SPPR!$E:$Z,MATCH($A10,SPPR!$A:$A,0),5),""),"")</f>
        <v/>
      </c>
      <c r="I10">
        <f>IFERROR(IF(ISNUMBER(INDEX(SPPR!$E:$Z,MATCH($A10,SPPR!$A:$A,0),6)),$C10*INDEX(SPPR!$E:$Z,MATCH($A10,SPPR!$A:$A,0),6),""),"")</f>
        <v/>
      </c>
      <c r="J10">
        <f>IFERROR(IF(ISNUMBER(INDEX(SPPR!$E:$Z,MATCH($A10,SPPR!$A:$A,0),7)),$C10*INDEX(SPPR!$E:$Z,MATCH($A10,SPPR!$A:$A,0),7),""),"")</f>
        <v/>
      </c>
      <c r="K10">
        <f>IFERROR(IF(ISNUMBER(INDEX(SPPR!$E:$Z,MATCH($A10,SPPR!$A:$A,0),8)),$C10*INDEX(SPPR!$E:$Z,MATCH($A10,SPPR!$A:$A,0),8),""),"")</f>
        <v/>
      </c>
      <c r="L10">
        <f>IFERROR(IF(ISNUMBER(INDEX(SPPR!$E:$Z,MATCH($A10,SPPR!$A:$A,0),9)),$C10*INDEX(SPPR!$E:$Z,MATCH($A10,SPPR!$A:$A,0),9),""),"")</f>
        <v/>
      </c>
      <c r="M10">
        <f>IFERROR(IF(ISNUMBER(INDEX(SPPR!$E:$Z,MATCH($A10,SPPR!$A:$A,0),10)),$C10*INDEX(SPPR!$E:$Z,MATCH($A10,SPPR!$A:$A,0),10),""),"")</f>
        <v/>
      </c>
      <c r="N10">
        <f>IFERROR(IF(ISNUMBER(INDEX(SPPR!$E:$Z,MATCH($A10,SPPR!$A:$A,0),11)),$C10*INDEX(SPPR!$E:$Z,MATCH($A10,SPPR!$A:$A,0),11),""),"")</f>
        <v/>
      </c>
      <c r="O10">
        <f>IFERROR(IF(ISNUMBER(INDEX(SPPR!$E:$Z,MATCH($A10,SPPR!$A:$A,0),12)),$C10*INDEX(SPPR!$E:$Z,MATCH($A10,SPPR!$A:$A,0),12),""),"")</f>
        <v/>
      </c>
      <c r="P10">
        <f>IFERROR(IF(ISNUMBER(INDEX(SPPR!$E:$Z,MATCH($A10,SPPR!$A:$A,0),13)),$C10*INDEX(SPPR!$E:$Z,MATCH($A10,SPPR!$A:$A,0),13),""),"")</f>
        <v/>
      </c>
      <c r="Q10">
        <f>IFERROR(IF(ISNUMBER(INDEX(SPPR!$E:$Z,MATCH($A10,SPPR!$A:$A,0),14)),$C10*INDEX(SPPR!$E:$Z,MATCH($A10,SPPR!$A:$A,0),14),""),"")</f>
        <v/>
      </c>
      <c r="R10">
        <f>IFERROR(IF(ISNUMBER(INDEX(SPPR!$E:$Z,MATCH($A10,SPPR!$A:$A,0),15)),$C10*INDEX(SPPR!$E:$Z,MATCH($A10,SPPR!$A:$A,0),15),""),"")</f>
        <v/>
      </c>
      <c r="S10">
        <f>IFERROR(IF(ISNUMBER(INDEX(SPPR!$E:$Z,MATCH($A10,SPPR!$A:$A,0),16)),$C10*INDEX(SPPR!$E:$Z,MATCH($A10,SPPR!$A:$A,0),16),""),"")</f>
        <v/>
      </c>
      <c r="T10">
        <f>IFERROR(IF(ISNUMBER(INDEX(SPPR!$E:$Z,MATCH($A10,SPPR!$A:$A,0),17)),$C10*INDEX(SPPR!$E:$Z,MATCH($A10,SPPR!$A:$A,0),17),""),"")</f>
        <v/>
      </c>
      <c r="U10">
        <f>IFERROR(IF(ISNUMBER(INDEX(SPPR!$E:$Z,MATCH($A10,SPPR!$A:$A,0),18)),$C10*INDEX(SPPR!$E:$Z,MATCH($A10,SPPR!$A:$A,0),18),""),"")</f>
        <v/>
      </c>
      <c r="V10">
        <f>IFERROR(IF(ISNUMBER(INDEX(SPPR!$E:$Z,MATCH($A10,SPPR!$A:$A,0),19)),$C10*INDEX(SPPR!$E:$Z,MATCH($A10,SPPR!$A:$A,0),19),""),"")</f>
        <v/>
      </c>
      <c r="W10">
        <f>IFERROR(IF(ISNUMBER(INDEX(SPPR!$E:$Z,MATCH($A10,SPPR!$A:$A,0),20)),$C10*INDEX(SPPR!$E:$Z,MATCH($A10,SPPR!$A:$A,0),20),""),"")</f>
        <v/>
      </c>
      <c r="X10">
        <f>IFERROR(IF(ISNUMBER(INDEX(SPPR!$E:$Z,MATCH($A10,SPPR!$A:$A,0),21)),$C10*INDEX(SPPR!$E:$Z,MATCH($A10,SPPR!$A:$A,0),21),""),"")</f>
        <v/>
      </c>
      <c r="Y10">
        <f>IFERROR(IF(ISNUMBER(INDEX(SPPR!$E:$Z,MATCH($A10,SPPR!$A:$A,0),22)),$C10*INDEX(SPPR!$E:$Z,MATCH($A10,SPPR!$A:$A,0),22),""),"")</f>
        <v/>
      </c>
    </row>
    <row r="11">
      <c r="A11" t="inlineStr">
        <is>
          <t>Sciaenidae</t>
        </is>
      </c>
      <c r="B11">
        <f>IFERROR(INDEX(SPPR!$D:$D,MATCH($A11,SPPR!$A:$A,0)),"")</f>
        <v/>
      </c>
      <c r="C11">
        <f>IFERROR(INDEX(Catch!$E:$BV,MATCH($A11,Catch!$A:$A,0),MATCH($B$4,Catch!$E$1:$BV$1,0)),0)</f>
        <v/>
      </c>
      <c r="D11">
        <f>IFERROR(IF(ISNUMBER(INDEX(SPPR!$E:$Z,MATCH($A11,SPPR!$A:$A,0),1)),$C11*INDEX(SPPR!$E:$Z,MATCH($A11,SPPR!$A:$A,0),1),""),"")</f>
        <v/>
      </c>
      <c r="E11">
        <f>IFERROR(IF(ISNUMBER(INDEX(SPPR!$E:$Z,MATCH($A11,SPPR!$A:$A,0),2)),$C11*INDEX(SPPR!$E:$Z,MATCH($A11,SPPR!$A:$A,0),2),""),"")</f>
        <v/>
      </c>
      <c r="F11">
        <f>IFERROR(IF(ISNUMBER(INDEX(SPPR!$E:$Z,MATCH($A11,SPPR!$A:$A,0),3)),$C11*INDEX(SPPR!$E:$Z,MATCH($A11,SPPR!$A:$A,0),3),""),"")</f>
        <v/>
      </c>
      <c r="G11">
        <f>IFERROR(IF(ISNUMBER(INDEX(SPPR!$E:$Z,MATCH($A11,SPPR!$A:$A,0),4)),$C11*INDEX(SPPR!$E:$Z,MATCH($A11,SPPR!$A:$A,0),4),""),"")</f>
        <v/>
      </c>
      <c r="H11">
        <f>IFERROR(IF(ISNUMBER(INDEX(SPPR!$E:$Z,MATCH($A11,SPPR!$A:$A,0),5)),$C11*INDEX(SPPR!$E:$Z,MATCH($A11,SPPR!$A:$A,0),5),""),"")</f>
        <v/>
      </c>
      <c r="I11">
        <f>IFERROR(IF(ISNUMBER(INDEX(SPPR!$E:$Z,MATCH($A11,SPPR!$A:$A,0),6)),$C11*INDEX(SPPR!$E:$Z,MATCH($A11,SPPR!$A:$A,0),6),""),"")</f>
        <v/>
      </c>
      <c r="J11">
        <f>IFERROR(IF(ISNUMBER(INDEX(SPPR!$E:$Z,MATCH($A11,SPPR!$A:$A,0),7)),$C11*INDEX(SPPR!$E:$Z,MATCH($A11,SPPR!$A:$A,0),7),""),"")</f>
        <v/>
      </c>
      <c r="K11">
        <f>IFERROR(IF(ISNUMBER(INDEX(SPPR!$E:$Z,MATCH($A11,SPPR!$A:$A,0),8)),$C11*INDEX(SPPR!$E:$Z,MATCH($A11,SPPR!$A:$A,0),8),""),"")</f>
        <v/>
      </c>
      <c r="L11">
        <f>IFERROR(IF(ISNUMBER(INDEX(SPPR!$E:$Z,MATCH($A11,SPPR!$A:$A,0),9)),$C11*INDEX(SPPR!$E:$Z,MATCH($A11,SPPR!$A:$A,0),9),""),"")</f>
        <v/>
      </c>
      <c r="M11">
        <f>IFERROR(IF(ISNUMBER(INDEX(SPPR!$E:$Z,MATCH($A11,SPPR!$A:$A,0),10)),$C11*INDEX(SPPR!$E:$Z,MATCH($A11,SPPR!$A:$A,0),10),""),"")</f>
        <v/>
      </c>
      <c r="N11">
        <f>IFERROR(IF(ISNUMBER(INDEX(SPPR!$E:$Z,MATCH($A11,SPPR!$A:$A,0),11)),$C11*INDEX(SPPR!$E:$Z,MATCH($A11,SPPR!$A:$A,0),11),""),"")</f>
        <v/>
      </c>
      <c r="O11">
        <f>IFERROR(IF(ISNUMBER(INDEX(SPPR!$E:$Z,MATCH($A11,SPPR!$A:$A,0),12)),$C11*INDEX(SPPR!$E:$Z,MATCH($A11,SPPR!$A:$A,0),12),""),"")</f>
        <v/>
      </c>
      <c r="P11">
        <f>IFERROR(IF(ISNUMBER(INDEX(SPPR!$E:$Z,MATCH($A11,SPPR!$A:$A,0),13)),$C11*INDEX(SPPR!$E:$Z,MATCH($A11,SPPR!$A:$A,0),13),""),"")</f>
        <v/>
      </c>
      <c r="Q11">
        <f>IFERROR(IF(ISNUMBER(INDEX(SPPR!$E:$Z,MATCH($A11,SPPR!$A:$A,0),14)),$C11*INDEX(SPPR!$E:$Z,MATCH($A11,SPPR!$A:$A,0),14),""),"")</f>
        <v/>
      </c>
      <c r="R11">
        <f>IFERROR(IF(ISNUMBER(INDEX(SPPR!$E:$Z,MATCH($A11,SPPR!$A:$A,0),15)),$C11*INDEX(SPPR!$E:$Z,MATCH($A11,SPPR!$A:$A,0),15),""),"")</f>
        <v/>
      </c>
      <c r="S11">
        <f>IFERROR(IF(ISNUMBER(INDEX(SPPR!$E:$Z,MATCH($A11,SPPR!$A:$A,0),16)),$C11*INDEX(SPPR!$E:$Z,MATCH($A11,SPPR!$A:$A,0),16),""),"")</f>
        <v/>
      </c>
      <c r="T11">
        <f>IFERROR(IF(ISNUMBER(INDEX(SPPR!$E:$Z,MATCH($A11,SPPR!$A:$A,0),17)),$C11*INDEX(SPPR!$E:$Z,MATCH($A11,SPPR!$A:$A,0),17),""),"")</f>
        <v/>
      </c>
      <c r="U11">
        <f>IFERROR(IF(ISNUMBER(INDEX(SPPR!$E:$Z,MATCH($A11,SPPR!$A:$A,0),18)),$C11*INDEX(SPPR!$E:$Z,MATCH($A11,SPPR!$A:$A,0),18),""),"")</f>
        <v/>
      </c>
      <c r="V11">
        <f>IFERROR(IF(ISNUMBER(INDEX(SPPR!$E:$Z,MATCH($A11,SPPR!$A:$A,0),19)),$C11*INDEX(SPPR!$E:$Z,MATCH($A11,SPPR!$A:$A,0),19),""),"")</f>
        <v/>
      </c>
      <c r="W11">
        <f>IFERROR(IF(ISNUMBER(INDEX(SPPR!$E:$Z,MATCH($A11,SPPR!$A:$A,0),20)),$C11*INDEX(SPPR!$E:$Z,MATCH($A11,SPPR!$A:$A,0),20),""),"")</f>
        <v/>
      </c>
      <c r="X11">
        <f>IFERROR(IF(ISNUMBER(INDEX(SPPR!$E:$Z,MATCH($A11,SPPR!$A:$A,0),21)),$C11*INDEX(SPPR!$E:$Z,MATCH($A11,SPPR!$A:$A,0),21),""),"")</f>
        <v/>
      </c>
      <c r="Y11">
        <f>IFERROR(IF(ISNUMBER(INDEX(SPPR!$E:$Z,MATCH($A11,SPPR!$A:$A,0),22)),$C11*INDEX(SPPR!$E:$Z,MATCH($A11,SPPR!$A:$A,0),22),""),"")</f>
        <v/>
      </c>
    </row>
    <row r="12">
      <c r="A12" t="inlineStr">
        <is>
          <t>Rastrelliger</t>
        </is>
      </c>
      <c r="B12">
        <f>IFERROR(INDEX(SPPR!$D:$D,MATCH($A12,SPPR!$A:$A,0)),"")</f>
        <v/>
      </c>
      <c r="C12">
        <f>IFERROR(INDEX(Catch!$E:$BV,MATCH($A12,Catch!$A:$A,0),MATCH($B$4,Catch!$E$1:$BV$1,0)),0)</f>
        <v/>
      </c>
      <c r="D12">
        <f>IFERROR(IF(ISNUMBER(INDEX(SPPR!$E:$Z,MATCH($A12,SPPR!$A:$A,0),1)),$C12*INDEX(SPPR!$E:$Z,MATCH($A12,SPPR!$A:$A,0),1),""),"")</f>
        <v/>
      </c>
      <c r="E12">
        <f>IFERROR(IF(ISNUMBER(INDEX(SPPR!$E:$Z,MATCH($A12,SPPR!$A:$A,0),2)),$C12*INDEX(SPPR!$E:$Z,MATCH($A12,SPPR!$A:$A,0),2),""),"")</f>
        <v/>
      </c>
      <c r="F12">
        <f>IFERROR(IF(ISNUMBER(INDEX(SPPR!$E:$Z,MATCH($A12,SPPR!$A:$A,0),3)),$C12*INDEX(SPPR!$E:$Z,MATCH($A12,SPPR!$A:$A,0),3),""),"")</f>
        <v/>
      </c>
      <c r="G12">
        <f>IFERROR(IF(ISNUMBER(INDEX(SPPR!$E:$Z,MATCH($A12,SPPR!$A:$A,0),4)),$C12*INDEX(SPPR!$E:$Z,MATCH($A12,SPPR!$A:$A,0),4),""),"")</f>
        <v/>
      </c>
      <c r="H12">
        <f>IFERROR(IF(ISNUMBER(INDEX(SPPR!$E:$Z,MATCH($A12,SPPR!$A:$A,0),5)),$C12*INDEX(SPPR!$E:$Z,MATCH($A12,SPPR!$A:$A,0),5),""),"")</f>
        <v/>
      </c>
      <c r="I12">
        <f>IFERROR(IF(ISNUMBER(INDEX(SPPR!$E:$Z,MATCH($A12,SPPR!$A:$A,0),6)),$C12*INDEX(SPPR!$E:$Z,MATCH($A12,SPPR!$A:$A,0),6),""),"")</f>
        <v/>
      </c>
      <c r="J12">
        <f>IFERROR(IF(ISNUMBER(INDEX(SPPR!$E:$Z,MATCH($A12,SPPR!$A:$A,0),7)),$C12*INDEX(SPPR!$E:$Z,MATCH($A12,SPPR!$A:$A,0),7),""),"")</f>
        <v/>
      </c>
      <c r="K12">
        <f>IFERROR(IF(ISNUMBER(INDEX(SPPR!$E:$Z,MATCH($A12,SPPR!$A:$A,0),8)),$C12*INDEX(SPPR!$E:$Z,MATCH($A12,SPPR!$A:$A,0),8),""),"")</f>
        <v/>
      </c>
      <c r="L12">
        <f>IFERROR(IF(ISNUMBER(INDEX(SPPR!$E:$Z,MATCH($A12,SPPR!$A:$A,0),9)),$C12*INDEX(SPPR!$E:$Z,MATCH($A12,SPPR!$A:$A,0),9),""),"")</f>
        <v/>
      </c>
      <c r="M12">
        <f>IFERROR(IF(ISNUMBER(INDEX(SPPR!$E:$Z,MATCH($A12,SPPR!$A:$A,0),10)),$C12*INDEX(SPPR!$E:$Z,MATCH($A12,SPPR!$A:$A,0),10),""),"")</f>
        <v/>
      </c>
      <c r="N12">
        <f>IFERROR(IF(ISNUMBER(INDEX(SPPR!$E:$Z,MATCH($A12,SPPR!$A:$A,0),11)),$C12*INDEX(SPPR!$E:$Z,MATCH($A12,SPPR!$A:$A,0),11),""),"")</f>
        <v/>
      </c>
      <c r="O12">
        <f>IFERROR(IF(ISNUMBER(INDEX(SPPR!$E:$Z,MATCH($A12,SPPR!$A:$A,0),12)),$C12*INDEX(SPPR!$E:$Z,MATCH($A12,SPPR!$A:$A,0),12),""),"")</f>
        <v/>
      </c>
      <c r="P12">
        <f>IFERROR(IF(ISNUMBER(INDEX(SPPR!$E:$Z,MATCH($A12,SPPR!$A:$A,0),13)),$C12*INDEX(SPPR!$E:$Z,MATCH($A12,SPPR!$A:$A,0),13),""),"")</f>
        <v/>
      </c>
      <c r="Q12">
        <f>IFERROR(IF(ISNUMBER(INDEX(SPPR!$E:$Z,MATCH($A12,SPPR!$A:$A,0),14)),$C12*INDEX(SPPR!$E:$Z,MATCH($A12,SPPR!$A:$A,0),14),""),"")</f>
        <v/>
      </c>
      <c r="R12">
        <f>IFERROR(IF(ISNUMBER(INDEX(SPPR!$E:$Z,MATCH($A12,SPPR!$A:$A,0),15)),$C12*INDEX(SPPR!$E:$Z,MATCH($A12,SPPR!$A:$A,0),15),""),"")</f>
        <v/>
      </c>
      <c r="S12">
        <f>IFERROR(IF(ISNUMBER(INDEX(SPPR!$E:$Z,MATCH($A12,SPPR!$A:$A,0),16)),$C12*INDEX(SPPR!$E:$Z,MATCH($A12,SPPR!$A:$A,0),16),""),"")</f>
        <v/>
      </c>
      <c r="T12">
        <f>IFERROR(IF(ISNUMBER(INDEX(SPPR!$E:$Z,MATCH($A12,SPPR!$A:$A,0),17)),$C12*INDEX(SPPR!$E:$Z,MATCH($A12,SPPR!$A:$A,0),17),""),"")</f>
        <v/>
      </c>
      <c r="U12">
        <f>IFERROR(IF(ISNUMBER(INDEX(SPPR!$E:$Z,MATCH($A12,SPPR!$A:$A,0),18)),$C12*INDEX(SPPR!$E:$Z,MATCH($A12,SPPR!$A:$A,0),18),""),"")</f>
        <v/>
      </c>
      <c r="V12">
        <f>IFERROR(IF(ISNUMBER(INDEX(SPPR!$E:$Z,MATCH($A12,SPPR!$A:$A,0),19)),$C12*INDEX(SPPR!$E:$Z,MATCH($A12,SPPR!$A:$A,0),19),""),"")</f>
        <v/>
      </c>
      <c r="W12">
        <f>IFERROR(IF(ISNUMBER(INDEX(SPPR!$E:$Z,MATCH($A12,SPPR!$A:$A,0),20)),$C12*INDEX(SPPR!$E:$Z,MATCH($A12,SPPR!$A:$A,0),20),""),"")</f>
        <v/>
      </c>
      <c r="X12">
        <f>IFERROR(IF(ISNUMBER(INDEX(SPPR!$E:$Z,MATCH($A12,SPPR!$A:$A,0),21)),$C12*INDEX(SPPR!$E:$Z,MATCH($A12,SPPR!$A:$A,0),21),""),"")</f>
        <v/>
      </c>
      <c r="Y12">
        <f>IFERROR(IF(ISNUMBER(INDEX(SPPR!$E:$Z,MATCH($A12,SPPR!$A:$A,0),22)),$C12*INDEX(SPPR!$E:$Z,MATCH($A12,SPPR!$A:$A,0),22),""),"")</f>
        <v/>
      </c>
    </row>
    <row r="13">
      <c r="A13" t="inlineStr">
        <is>
          <t>Leiognathidae</t>
        </is>
      </c>
      <c r="B13">
        <f>IFERROR(INDEX(SPPR!$D:$D,MATCH($A13,SPPR!$A:$A,0)),"")</f>
        <v/>
      </c>
      <c r="C13">
        <f>IFERROR(INDEX(Catch!$E:$BV,MATCH($A13,Catch!$A:$A,0),MATCH($B$4,Catch!$E$1:$BV$1,0)),0)</f>
        <v/>
      </c>
      <c r="D13">
        <f>IFERROR(IF(ISNUMBER(INDEX(SPPR!$E:$Z,MATCH($A13,SPPR!$A:$A,0),1)),$C13*INDEX(SPPR!$E:$Z,MATCH($A13,SPPR!$A:$A,0),1),""),"")</f>
        <v/>
      </c>
      <c r="E13">
        <f>IFERROR(IF(ISNUMBER(INDEX(SPPR!$E:$Z,MATCH($A13,SPPR!$A:$A,0),2)),$C13*INDEX(SPPR!$E:$Z,MATCH($A13,SPPR!$A:$A,0),2),""),"")</f>
        <v/>
      </c>
      <c r="F13">
        <f>IFERROR(IF(ISNUMBER(INDEX(SPPR!$E:$Z,MATCH($A13,SPPR!$A:$A,0),3)),$C13*INDEX(SPPR!$E:$Z,MATCH($A13,SPPR!$A:$A,0),3),""),"")</f>
        <v/>
      </c>
      <c r="G13">
        <f>IFERROR(IF(ISNUMBER(INDEX(SPPR!$E:$Z,MATCH($A13,SPPR!$A:$A,0),4)),$C13*INDEX(SPPR!$E:$Z,MATCH($A13,SPPR!$A:$A,0),4),""),"")</f>
        <v/>
      </c>
      <c r="H13">
        <f>IFERROR(IF(ISNUMBER(INDEX(SPPR!$E:$Z,MATCH($A13,SPPR!$A:$A,0),5)),$C13*INDEX(SPPR!$E:$Z,MATCH($A13,SPPR!$A:$A,0),5),""),"")</f>
        <v/>
      </c>
      <c r="I13">
        <f>IFERROR(IF(ISNUMBER(INDEX(SPPR!$E:$Z,MATCH($A13,SPPR!$A:$A,0),6)),$C13*INDEX(SPPR!$E:$Z,MATCH($A13,SPPR!$A:$A,0),6),""),"")</f>
        <v/>
      </c>
      <c r="J13">
        <f>IFERROR(IF(ISNUMBER(INDEX(SPPR!$E:$Z,MATCH($A13,SPPR!$A:$A,0),7)),$C13*INDEX(SPPR!$E:$Z,MATCH($A13,SPPR!$A:$A,0),7),""),"")</f>
        <v/>
      </c>
      <c r="K13">
        <f>IFERROR(IF(ISNUMBER(INDEX(SPPR!$E:$Z,MATCH($A13,SPPR!$A:$A,0),8)),$C13*INDEX(SPPR!$E:$Z,MATCH($A13,SPPR!$A:$A,0),8),""),"")</f>
        <v/>
      </c>
      <c r="L13">
        <f>IFERROR(IF(ISNUMBER(INDEX(SPPR!$E:$Z,MATCH($A13,SPPR!$A:$A,0),9)),$C13*INDEX(SPPR!$E:$Z,MATCH($A13,SPPR!$A:$A,0),9),""),"")</f>
        <v/>
      </c>
      <c r="M13">
        <f>IFERROR(IF(ISNUMBER(INDEX(SPPR!$E:$Z,MATCH($A13,SPPR!$A:$A,0),10)),$C13*INDEX(SPPR!$E:$Z,MATCH($A13,SPPR!$A:$A,0),10),""),"")</f>
        <v/>
      </c>
      <c r="N13">
        <f>IFERROR(IF(ISNUMBER(INDEX(SPPR!$E:$Z,MATCH($A13,SPPR!$A:$A,0),11)),$C13*INDEX(SPPR!$E:$Z,MATCH($A13,SPPR!$A:$A,0),11),""),"")</f>
        <v/>
      </c>
      <c r="O13">
        <f>IFERROR(IF(ISNUMBER(INDEX(SPPR!$E:$Z,MATCH($A13,SPPR!$A:$A,0),12)),$C13*INDEX(SPPR!$E:$Z,MATCH($A13,SPPR!$A:$A,0),12),""),"")</f>
        <v/>
      </c>
      <c r="P13">
        <f>IFERROR(IF(ISNUMBER(INDEX(SPPR!$E:$Z,MATCH($A13,SPPR!$A:$A,0),13)),$C13*INDEX(SPPR!$E:$Z,MATCH($A13,SPPR!$A:$A,0),13),""),"")</f>
        <v/>
      </c>
      <c r="Q13">
        <f>IFERROR(IF(ISNUMBER(INDEX(SPPR!$E:$Z,MATCH($A13,SPPR!$A:$A,0),14)),$C13*INDEX(SPPR!$E:$Z,MATCH($A13,SPPR!$A:$A,0),14),""),"")</f>
        <v/>
      </c>
      <c r="R13">
        <f>IFERROR(IF(ISNUMBER(INDEX(SPPR!$E:$Z,MATCH($A13,SPPR!$A:$A,0),15)),$C13*INDEX(SPPR!$E:$Z,MATCH($A13,SPPR!$A:$A,0),15),""),"")</f>
        <v/>
      </c>
      <c r="S13">
        <f>IFERROR(IF(ISNUMBER(INDEX(SPPR!$E:$Z,MATCH($A13,SPPR!$A:$A,0),16)),$C13*INDEX(SPPR!$E:$Z,MATCH($A13,SPPR!$A:$A,0),16),""),"")</f>
        <v/>
      </c>
      <c r="T13">
        <f>IFERROR(IF(ISNUMBER(INDEX(SPPR!$E:$Z,MATCH($A13,SPPR!$A:$A,0),17)),$C13*INDEX(SPPR!$E:$Z,MATCH($A13,SPPR!$A:$A,0),17),""),"")</f>
        <v/>
      </c>
      <c r="U13">
        <f>IFERROR(IF(ISNUMBER(INDEX(SPPR!$E:$Z,MATCH($A13,SPPR!$A:$A,0),18)),$C13*INDEX(SPPR!$E:$Z,MATCH($A13,SPPR!$A:$A,0),18),""),"")</f>
        <v/>
      </c>
      <c r="V13">
        <f>IFERROR(IF(ISNUMBER(INDEX(SPPR!$E:$Z,MATCH($A13,SPPR!$A:$A,0),19)),$C13*INDEX(SPPR!$E:$Z,MATCH($A13,SPPR!$A:$A,0),19),""),"")</f>
        <v/>
      </c>
      <c r="W13">
        <f>IFERROR(IF(ISNUMBER(INDEX(SPPR!$E:$Z,MATCH($A13,SPPR!$A:$A,0),20)),$C13*INDEX(SPPR!$E:$Z,MATCH($A13,SPPR!$A:$A,0),20),""),"")</f>
        <v/>
      </c>
      <c r="X13">
        <f>IFERROR(IF(ISNUMBER(INDEX(SPPR!$E:$Z,MATCH($A13,SPPR!$A:$A,0),21)),$C13*INDEX(SPPR!$E:$Z,MATCH($A13,SPPR!$A:$A,0),21),""),"")</f>
        <v/>
      </c>
      <c r="Y13">
        <f>IFERROR(IF(ISNUMBER(INDEX(SPPR!$E:$Z,MATCH($A13,SPPR!$A:$A,0),22)),$C13*INDEX(SPPR!$E:$Z,MATCH($A13,SPPR!$A:$A,0),22),""),"")</f>
        <v/>
      </c>
    </row>
    <row r="14">
      <c r="A14" t="inlineStr">
        <is>
          <t>Clupeiformes</t>
        </is>
      </c>
      <c r="B14">
        <f>IFERROR(INDEX(SPPR!$D:$D,MATCH($A14,SPPR!$A:$A,0)),"")</f>
        <v/>
      </c>
      <c r="C14">
        <f>IFERROR(INDEX(Catch!$E:$BV,MATCH($A14,Catch!$A:$A,0),MATCH($B$4,Catch!$E$1:$BV$1,0)),0)</f>
        <v/>
      </c>
      <c r="D14">
        <f>IFERROR(IF(ISNUMBER(INDEX(SPPR!$E:$Z,MATCH($A14,SPPR!$A:$A,0),1)),$C14*INDEX(SPPR!$E:$Z,MATCH($A14,SPPR!$A:$A,0),1),""),"")</f>
        <v/>
      </c>
      <c r="E14">
        <f>IFERROR(IF(ISNUMBER(INDEX(SPPR!$E:$Z,MATCH($A14,SPPR!$A:$A,0),2)),$C14*INDEX(SPPR!$E:$Z,MATCH($A14,SPPR!$A:$A,0),2),""),"")</f>
        <v/>
      </c>
      <c r="F14">
        <f>IFERROR(IF(ISNUMBER(INDEX(SPPR!$E:$Z,MATCH($A14,SPPR!$A:$A,0),3)),$C14*INDEX(SPPR!$E:$Z,MATCH($A14,SPPR!$A:$A,0),3),""),"")</f>
        <v/>
      </c>
      <c r="G14">
        <f>IFERROR(IF(ISNUMBER(INDEX(SPPR!$E:$Z,MATCH($A14,SPPR!$A:$A,0),4)),$C14*INDEX(SPPR!$E:$Z,MATCH($A14,SPPR!$A:$A,0),4),""),"")</f>
        <v/>
      </c>
      <c r="H14">
        <f>IFERROR(IF(ISNUMBER(INDEX(SPPR!$E:$Z,MATCH($A14,SPPR!$A:$A,0),5)),$C14*INDEX(SPPR!$E:$Z,MATCH($A14,SPPR!$A:$A,0),5),""),"")</f>
        <v/>
      </c>
      <c r="I14">
        <f>IFERROR(IF(ISNUMBER(INDEX(SPPR!$E:$Z,MATCH($A14,SPPR!$A:$A,0),6)),$C14*INDEX(SPPR!$E:$Z,MATCH($A14,SPPR!$A:$A,0),6),""),"")</f>
        <v/>
      </c>
      <c r="J14">
        <f>IFERROR(IF(ISNUMBER(INDEX(SPPR!$E:$Z,MATCH($A14,SPPR!$A:$A,0),7)),$C14*INDEX(SPPR!$E:$Z,MATCH($A14,SPPR!$A:$A,0),7),""),"")</f>
        <v/>
      </c>
      <c r="K14">
        <f>IFERROR(IF(ISNUMBER(INDEX(SPPR!$E:$Z,MATCH($A14,SPPR!$A:$A,0),8)),$C14*INDEX(SPPR!$E:$Z,MATCH($A14,SPPR!$A:$A,0),8),""),"")</f>
        <v/>
      </c>
      <c r="L14">
        <f>IFERROR(IF(ISNUMBER(INDEX(SPPR!$E:$Z,MATCH($A14,SPPR!$A:$A,0),9)),$C14*INDEX(SPPR!$E:$Z,MATCH($A14,SPPR!$A:$A,0),9),""),"")</f>
        <v/>
      </c>
      <c r="M14">
        <f>IFERROR(IF(ISNUMBER(INDEX(SPPR!$E:$Z,MATCH($A14,SPPR!$A:$A,0),10)),$C14*INDEX(SPPR!$E:$Z,MATCH($A14,SPPR!$A:$A,0),10),""),"")</f>
        <v/>
      </c>
      <c r="N14">
        <f>IFERROR(IF(ISNUMBER(INDEX(SPPR!$E:$Z,MATCH($A14,SPPR!$A:$A,0),11)),$C14*INDEX(SPPR!$E:$Z,MATCH($A14,SPPR!$A:$A,0),11),""),"")</f>
        <v/>
      </c>
      <c r="O14">
        <f>IFERROR(IF(ISNUMBER(INDEX(SPPR!$E:$Z,MATCH($A14,SPPR!$A:$A,0),12)),$C14*INDEX(SPPR!$E:$Z,MATCH($A14,SPPR!$A:$A,0),12),""),"")</f>
        <v/>
      </c>
      <c r="P14">
        <f>IFERROR(IF(ISNUMBER(INDEX(SPPR!$E:$Z,MATCH($A14,SPPR!$A:$A,0),13)),$C14*INDEX(SPPR!$E:$Z,MATCH($A14,SPPR!$A:$A,0),13),""),"")</f>
        <v/>
      </c>
      <c r="Q14">
        <f>IFERROR(IF(ISNUMBER(INDEX(SPPR!$E:$Z,MATCH($A14,SPPR!$A:$A,0),14)),$C14*INDEX(SPPR!$E:$Z,MATCH($A14,SPPR!$A:$A,0),14),""),"")</f>
        <v/>
      </c>
      <c r="R14">
        <f>IFERROR(IF(ISNUMBER(INDEX(SPPR!$E:$Z,MATCH($A14,SPPR!$A:$A,0),15)),$C14*INDEX(SPPR!$E:$Z,MATCH($A14,SPPR!$A:$A,0),15),""),"")</f>
        <v/>
      </c>
      <c r="S14">
        <f>IFERROR(IF(ISNUMBER(INDEX(SPPR!$E:$Z,MATCH($A14,SPPR!$A:$A,0),16)),$C14*INDEX(SPPR!$E:$Z,MATCH($A14,SPPR!$A:$A,0),16),""),"")</f>
        <v/>
      </c>
      <c r="T14">
        <f>IFERROR(IF(ISNUMBER(INDEX(SPPR!$E:$Z,MATCH($A14,SPPR!$A:$A,0),17)),$C14*INDEX(SPPR!$E:$Z,MATCH($A14,SPPR!$A:$A,0),17),""),"")</f>
        <v/>
      </c>
      <c r="U14">
        <f>IFERROR(IF(ISNUMBER(INDEX(SPPR!$E:$Z,MATCH($A14,SPPR!$A:$A,0),18)),$C14*INDEX(SPPR!$E:$Z,MATCH($A14,SPPR!$A:$A,0),18),""),"")</f>
        <v/>
      </c>
      <c r="V14">
        <f>IFERROR(IF(ISNUMBER(INDEX(SPPR!$E:$Z,MATCH($A14,SPPR!$A:$A,0),19)),$C14*INDEX(SPPR!$E:$Z,MATCH($A14,SPPR!$A:$A,0),19),""),"")</f>
        <v/>
      </c>
      <c r="W14">
        <f>IFERROR(IF(ISNUMBER(INDEX(SPPR!$E:$Z,MATCH($A14,SPPR!$A:$A,0),20)),$C14*INDEX(SPPR!$E:$Z,MATCH($A14,SPPR!$A:$A,0),20),""),"")</f>
        <v/>
      </c>
      <c r="X14">
        <f>IFERROR(IF(ISNUMBER(INDEX(SPPR!$E:$Z,MATCH($A14,SPPR!$A:$A,0),21)),$C14*INDEX(SPPR!$E:$Z,MATCH($A14,SPPR!$A:$A,0),21),""),"")</f>
        <v/>
      </c>
      <c r="Y14">
        <f>IFERROR(IF(ISNUMBER(INDEX(SPPR!$E:$Z,MATCH($A14,SPPR!$A:$A,0),22)),$C14*INDEX(SPPR!$E:$Z,MATCH($A14,SPPR!$A:$A,0),22),""),"")</f>
        <v/>
      </c>
    </row>
    <row r="15">
      <c r="A15" t="inlineStr">
        <is>
          <t>Carangidae</t>
        </is>
      </c>
      <c r="B15">
        <f>IFERROR(INDEX(SPPR!$D:$D,MATCH($A15,SPPR!$A:$A,0)),"")</f>
        <v/>
      </c>
      <c r="C15">
        <f>IFERROR(INDEX(Catch!$E:$BV,MATCH($A15,Catch!$A:$A,0),MATCH($B$4,Catch!$E$1:$BV$1,0)),0)</f>
        <v/>
      </c>
      <c r="D15">
        <f>IFERROR(IF(ISNUMBER(INDEX(SPPR!$E:$Z,MATCH($A15,SPPR!$A:$A,0),1)),$C15*INDEX(SPPR!$E:$Z,MATCH($A15,SPPR!$A:$A,0),1),""),"")</f>
        <v/>
      </c>
      <c r="E15">
        <f>IFERROR(IF(ISNUMBER(INDEX(SPPR!$E:$Z,MATCH($A15,SPPR!$A:$A,0),2)),$C15*INDEX(SPPR!$E:$Z,MATCH($A15,SPPR!$A:$A,0),2),""),"")</f>
        <v/>
      </c>
      <c r="F15">
        <f>IFERROR(IF(ISNUMBER(INDEX(SPPR!$E:$Z,MATCH($A15,SPPR!$A:$A,0),3)),$C15*INDEX(SPPR!$E:$Z,MATCH($A15,SPPR!$A:$A,0),3),""),"")</f>
        <v/>
      </c>
      <c r="G15">
        <f>IFERROR(IF(ISNUMBER(INDEX(SPPR!$E:$Z,MATCH($A15,SPPR!$A:$A,0),4)),$C15*INDEX(SPPR!$E:$Z,MATCH($A15,SPPR!$A:$A,0),4),""),"")</f>
        <v/>
      </c>
      <c r="H15">
        <f>IFERROR(IF(ISNUMBER(INDEX(SPPR!$E:$Z,MATCH($A15,SPPR!$A:$A,0),5)),$C15*INDEX(SPPR!$E:$Z,MATCH($A15,SPPR!$A:$A,0),5),""),"")</f>
        <v/>
      </c>
      <c r="I15">
        <f>IFERROR(IF(ISNUMBER(INDEX(SPPR!$E:$Z,MATCH($A15,SPPR!$A:$A,0),6)),$C15*INDEX(SPPR!$E:$Z,MATCH($A15,SPPR!$A:$A,0),6),""),"")</f>
        <v/>
      </c>
      <c r="J15">
        <f>IFERROR(IF(ISNUMBER(INDEX(SPPR!$E:$Z,MATCH($A15,SPPR!$A:$A,0),7)),$C15*INDEX(SPPR!$E:$Z,MATCH($A15,SPPR!$A:$A,0),7),""),"")</f>
        <v/>
      </c>
      <c r="K15">
        <f>IFERROR(IF(ISNUMBER(INDEX(SPPR!$E:$Z,MATCH($A15,SPPR!$A:$A,0),8)),$C15*INDEX(SPPR!$E:$Z,MATCH($A15,SPPR!$A:$A,0),8),""),"")</f>
        <v/>
      </c>
      <c r="L15">
        <f>IFERROR(IF(ISNUMBER(INDEX(SPPR!$E:$Z,MATCH($A15,SPPR!$A:$A,0),9)),$C15*INDEX(SPPR!$E:$Z,MATCH($A15,SPPR!$A:$A,0),9),""),"")</f>
        <v/>
      </c>
      <c r="M15">
        <f>IFERROR(IF(ISNUMBER(INDEX(SPPR!$E:$Z,MATCH($A15,SPPR!$A:$A,0),10)),$C15*INDEX(SPPR!$E:$Z,MATCH($A15,SPPR!$A:$A,0),10),""),"")</f>
        <v/>
      </c>
      <c r="N15">
        <f>IFERROR(IF(ISNUMBER(INDEX(SPPR!$E:$Z,MATCH($A15,SPPR!$A:$A,0),11)),$C15*INDEX(SPPR!$E:$Z,MATCH($A15,SPPR!$A:$A,0),11),""),"")</f>
        <v/>
      </c>
      <c r="O15">
        <f>IFERROR(IF(ISNUMBER(INDEX(SPPR!$E:$Z,MATCH($A15,SPPR!$A:$A,0),12)),$C15*INDEX(SPPR!$E:$Z,MATCH($A15,SPPR!$A:$A,0),12),""),"")</f>
        <v/>
      </c>
      <c r="P15">
        <f>IFERROR(IF(ISNUMBER(INDEX(SPPR!$E:$Z,MATCH($A15,SPPR!$A:$A,0),13)),$C15*INDEX(SPPR!$E:$Z,MATCH($A15,SPPR!$A:$A,0),13),""),"")</f>
        <v/>
      </c>
      <c r="Q15">
        <f>IFERROR(IF(ISNUMBER(INDEX(SPPR!$E:$Z,MATCH($A15,SPPR!$A:$A,0),14)),$C15*INDEX(SPPR!$E:$Z,MATCH($A15,SPPR!$A:$A,0),14),""),"")</f>
        <v/>
      </c>
      <c r="R15">
        <f>IFERROR(IF(ISNUMBER(INDEX(SPPR!$E:$Z,MATCH($A15,SPPR!$A:$A,0),15)),$C15*INDEX(SPPR!$E:$Z,MATCH($A15,SPPR!$A:$A,0),15),""),"")</f>
        <v/>
      </c>
      <c r="S15">
        <f>IFERROR(IF(ISNUMBER(INDEX(SPPR!$E:$Z,MATCH($A15,SPPR!$A:$A,0),16)),$C15*INDEX(SPPR!$E:$Z,MATCH($A15,SPPR!$A:$A,0),16),""),"")</f>
        <v/>
      </c>
      <c r="T15">
        <f>IFERROR(IF(ISNUMBER(INDEX(SPPR!$E:$Z,MATCH($A15,SPPR!$A:$A,0),17)),$C15*INDEX(SPPR!$E:$Z,MATCH($A15,SPPR!$A:$A,0),17),""),"")</f>
        <v/>
      </c>
      <c r="U15">
        <f>IFERROR(IF(ISNUMBER(INDEX(SPPR!$E:$Z,MATCH($A15,SPPR!$A:$A,0),18)),$C15*INDEX(SPPR!$E:$Z,MATCH($A15,SPPR!$A:$A,0),18),""),"")</f>
        <v/>
      </c>
      <c r="V15">
        <f>IFERROR(IF(ISNUMBER(INDEX(SPPR!$E:$Z,MATCH($A15,SPPR!$A:$A,0),19)),$C15*INDEX(SPPR!$E:$Z,MATCH($A15,SPPR!$A:$A,0),19),""),"")</f>
        <v/>
      </c>
      <c r="W15">
        <f>IFERROR(IF(ISNUMBER(INDEX(SPPR!$E:$Z,MATCH($A15,SPPR!$A:$A,0),20)),$C15*INDEX(SPPR!$E:$Z,MATCH($A15,SPPR!$A:$A,0),20),""),"")</f>
        <v/>
      </c>
      <c r="X15">
        <f>IFERROR(IF(ISNUMBER(INDEX(SPPR!$E:$Z,MATCH($A15,SPPR!$A:$A,0),21)),$C15*INDEX(SPPR!$E:$Z,MATCH($A15,SPPR!$A:$A,0),21),""),"")</f>
        <v/>
      </c>
      <c r="Y15">
        <f>IFERROR(IF(ISNUMBER(INDEX(SPPR!$E:$Z,MATCH($A15,SPPR!$A:$A,0),22)),$C15*INDEX(SPPR!$E:$Z,MATCH($A15,SPPR!$A:$A,0),22),""),"")</f>
        <v/>
      </c>
    </row>
    <row r="16">
      <c r="A16" t="inlineStr">
        <is>
          <t>Nemipteridae</t>
        </is>
      </c>
      <c r="B16">
        <f>IFERROR(INDEX(SPPR!$D:$D,MATCH($A16,SPPR!$A:$A,0)),"")</f>
        <v/>
      </c>
      <c r="C16">
        <f>IFERROR(INDEX(Catch!$E:$BV,MATCH($A16,Catch!$A:$A,0),MATCH($B$4,Catch!$E$1:$BV$1,0)),0)</f>
        <v/>
      </c>
      <c r="D16">
        <f>IFERROR(IF(ISNUMBER(INDEX(SPPR!$E:$Z,MATCH($A16,SPPR!$A:$A,0),1)),$C16*INDEX(SPPR!$E:$Z,MATCH($A16,SPPR!$A:$A,0),1),""),"")</f>
        <v/>
      </c>
      <c r="E16">
        <f>IFERROR(IF(ISNUMBER(INDEX(SPPR!$E:$Z,MATCH($A16,SPPR!$A:$A,0),2)),$C16*INDEX(SPPR!$E:$Z,MATCH($A16,SPPR!$A:$A,0),2),""),"")</f>
        <v/>
      </c>
      <c r="F16">
        <f>IFERROR(IF(ISNUMBER(INDEX(SPPR!$E:$Z,MATCH($A16,SPPR!$A:$A,0),3)),$C16*INDEX(SPPR!$E:$Z,MATCH($A16,SPPR!$A:$A,0),3),""),"")</f>
        <v/>
      </c>
      <c r="G16">
        <f>IFERROR(IF(ISNUMBER(INDEX(SPPR!$E:$Z,MATCH($A16,SPPR!$A:$A,0),4)),$C16*INDEX(SPPR!$E:$Z,MATCH($A16,SPPR!$A:$A,0),4),""),"")</f>
        <v/>
      </c>
      <c r="H16">
        <f>IFERROR(IF(ISNUMBER(INDEX(SPPR!$E:$Z,MATCH($A16,SPPR!$A:$A,0),5)),$C16*INDEX(SPPR!$E:$Z,MATCH($A16,SPPR!$A:$A,0),5),""),"")</f>
        <v/>
      </c>
      <c r="I16">
        <f>IFERROR(IF(ISNUMBER(INDEX(SPPR!$E:$Z,MATCH($A16,SPPR!$A:$A,0),6)),$C16*INDEX(SPPR!$E:$Z,MATCH($A16,SPPR!$A:$A,0),6),""),"")</f>
        <v/>
      </c>
      <c r="J16">
        <f>IFERROR(IF(ISNUMBER(INDEX(SPPR!$E:$Z,MATCH($A16,SPPR!$A:$A,0),7)),$C16*INDEX(SPPR!$E:$Z,MATCH($A16,SPPR!$A:$A,0),7),""),"")</f>
        <v/>
      </c>
      <c r="K16">
        <f>IFERROR(IF(ISNUMBER(INDEX(SPPR!$E:$Z,MATCH($A16,SPPR!$A:$A,0),8)),$C16*INDEX(SPPR!$E:$Z,MATCH($A16,SPPR!$A:$A,0),8),""),"")</f>
        <v/>
      </c>
      <c r="L16">
        <f>IFERROR(IF(ISNUMBER(INDEX(SPPR!$E:$Z,MATCH($A16,SPPR!$A:$A,0),9)),$C16*INDEX(SPPR!$E:$Z,MATCH($A16,SPPR!$A:$A,0),9),""),"")</f>
        <v/>
      </c>
      <c r="M16">
        <f>IFERROR(IF(ISNUMBER(INDEX(SPPR!$E:$Z,MATCH($A16,SPPR!$A:$A,0),10)),$C16*INDEX(SPPR!$E:$Z,MATCH($A16,SPPR!$A:$A,0),10),""),"")</f>
        <v/>
      </c>
      <c r="N16">
        <f>IFERROR(IF(ISNUMBER(INDEX(SPPR!$E:$Z,MATCH($A16,SPPR!$A:$A,0),11)),$C16*INDEX(SPPR!$E:$Z,MATCH($A16,SPPR!$A:$A,0),11),""),"")</f>
        <v/>
      </c>
      <c r="O16">
        <f>IFERROR(IF(ISNUMBER(INDEX(SPPR!$E:$Z,MATCH($A16,SPPR!$A:$A,0),12)),$C16*INDEX(SPPR!$E:$Z,MATCH($A16,SPPR!$A:$A,0),12),""),"")</f>
        <v/>
      </c>
      <c r="P16">
        <f>IFERROR(IF(ISNUMBER(INDEX(SPPR!$E:$Z,MATCH($A16,SPPR!$A:$A,0),13)),$C16*INDEX(SPPR!$E:$Z,MATCH($A16,SPPR!$A:$A,0),13),""),"")</f>
        <v/>
      </c>
      <c r="Q16">
        <f>IFERROR(IF(ISNUMBER(INDEX(SPPR!$E:$Z,MATCH($A16,SPPR!$A:$A,0),14)),$C16*INDEX(SPPR!$E:$Z,MATCH($A16,SPPR!$A:$A,0),14),""),"")</f>
        <v/>
      </c>
      <c r="R16">
        <f>IFERROR(IF(ISNUMBER(INDEX(SPPR!$E:$Z,MATCH($A16,SPPR!$A:$A,0),15)),$C16*INDEX(SPPR!$E:$Z,MATCH($A16,SPPR!$A:$A,0),15),""),"")</f>
        <v/>
      </c>
      <c r="S16">
        <f>IFERROR(IF(ISNUMBER(INDEX(SPPR!$E:$Z,MATCH($A16,SPPR!$A:$A,0),16)),$C16*INDEX(SPPR!$E:$Z,MATCH($A16,SPPR!$A:$A,0),16),""),"")</f>
        <v/>
      </c>
      <c r="T16">
        <f>IFERROR(IF(ISNUMBER(INDEX(SPPR!$E:$Z,MATCH($A16,SPPR!$A:$A,0),17)),$C16*INDEX(SPPR!$E:$Z,MATCH($A16,SPPR!$A:$A,0),17),""),"")</f>
        <v/>
      </c>
      <c r="U16">
        <f>IFERROR(IF(ISNUMBER(INDEX(SPPR!$E:$Z,MATCH($A16,SPPR!$A:$A,0),18)),$C16*INDEX(SPPR!$E:$Z,MATCH($A16,SPPR!$A:$A,0),18),""),"")</f>
        <v/>
      </c>
      <c r="V16">
        <f>IFERROR(IF(ISNUMBER(INDEX(SPPR!$E:$Z,MATCH($A16,SPPR!$A:$A,0),19)),$C16*INDEX(SPPR!$E:$Z,MATCH($A16,SPPR!$A:$A,0),19),""),"")</f>
        <v/>
      </c>
      <c r="W16">
        <f>IFERROR(IF(ISNUMBER(INDEX(SPPR!$E:$Z,MATCH($A16,SPPR!$A:$A,0),20)),$C16*INDEX(SPPR!$E:$Z,MATCH($A16,SPPR!$A:$A,0),20),""),"")</f>
        <v/>
      </c>
      <c r="X16">
        <f>IFERROR(IF(ISNUMBER(INDEX(SPPR!$E:$Z,MATCH($A16,SPPR!$A:$A,0),21)),$C16*INDEX(SPPR!$E:$Z,MATCH($A16,SPPR!$A:$A,0),21),""),"")</f>
        <v/>
      </c>
      <c r="Y16">
        <f>IFERROR(IF(ISNUMBER(INDEX(SPPR!$E:$Z,MATCH($A16,SPPR!$A:$A,0),22)),$C16*INDEX(SPPR!$E:$Z,MATCH($A16,SPPR!$A:$A,0),22),""),"")</f>
        <v/>
      </c>
    </row>
    <row r="17">
      <c r="A17" t="inlineStr">
        <is>
          <t>Clupeidae</t>
        </is>
      </c>
      <c r="B17">
        <f>IFERROR(INDEX(SPPR!$D:$D,MATCH($A17,SPPR!$A:$A,0)),"")</f>
        <v/>
      </c>
      <c r="C17">
        <f>IFERROR(INDEX(Catch!$E:$BV,MATCH($A17,Catch!$A:$A,0),MATCH($B$4,Catch!$E$1:$BV$1,0)),0)</f>
        <v/>
      </c>
      <c r="D17">
        <f>IFERROR(IF(ISNUMBER(INDEX(SPPR!$E:$Z,MATCH($A17,SPPR!$A:$A,0),1)),$C17*INDEX(SPPR!$E:$Z,MATCH($A17,SPPR!$A:$A,0),1),""),"")</f>
        <v/>
      </c>
      <c r="E17">
        <f>IFERROR(IF(ISNUMBER(INDEX(SPPR!$E:$Z,MATCH($A17,SPPR!$A:$A,0),2)),$C17*INDEX(SPPR!$E:$Z,MATCH($A17,SPPR!$A:$A,0),2),""),"")</f>
        <v/>
      </c>
      <c r="F17">
        <f>IFERROR(IF(ISNUMBER(INDEX(SPPR!$E:$Z,MATCH($A17,SPPR!$A:$A,0),3)),$C17*INDEX(SPPR!$E:$Z,MATCH($A17,SPPR!$A:$A,0),3),""),"")</f>
        <v/>
      </c>
      <c r="G17">
        <f>IFERROR(IF(ISNUMBER(INDEX(SPPR!$E:$Z,MATCH($A17,SPPR!$A:$A,0),4)),$C17*INDEX(SPPR!$E:$Z,MATCH($A17,SPPR!$A:$A,0),4),""),"")</f>
        <v/>
      </c>
      <c r="H17">
        <f>IFERROR(IF(ISNUMBER(INDEX(SPPR!$E:$Z,MATCH($A17,SPPR!$A:$A,0),5)),$C17*INDEX(SPPR!$E:$Z,MATCH($A17,SPPR!$A:$A,0),5),""),"")</f>
        <v/>
      </c>
      <c r="I17">
        <f>IFERROR(IF(ISNUMBER(INDEX(SPPR!$E:$Z,MATCH($A17,SPPR!$A:$A,0),6)),$C17*INDEX(SPPR!$E:$Z,MATCH($A17,SPPR!$A:$A,0),6),""),"")</f>
        <v/>
      </c>
      <c r="J17">
        <f>IFERROR(IF(ISNUMBER(INDEX(SPPR!$E:$Z,MATCH($A17,SPPR!$A:$A,0),7)),$C17*INDEX(SPPR!$E:$Z,MATCH($A17,SPPR!$A:$A,0),7),""),"")</f>
        <v/>
      </c>
      <c r="K17">
        <f>IFERROR(IF(ISNUMBER(INDEX(SPPR!$E:$Z,MATCH($A17,SPPR!$A:$A,0),8)),$C17*INDEX(SPPR!$E:$Z,MATCH($A17,SPPR!$A:$A,0),8),""),"")</f>
        <v/>
      </c>
      <c r="L17">
        <f>IFERROR(IF(ISNUMBER(INDEX(SPPR!$E:$Z,MATCH($A17,SPPR!$A:$A,0),9)),$C17*INDEX(SPPR!$E:$Z,MATCH($A17,SPPR!$A:$A,0),9),""),"")</f>
        <v/>
      </c>
      <c r="M17">
        <f>IFERROR(IF(ISNUMBER(INDEX(SPPR!$E:$Z,MATCH($A17,SPPR!$A:$A,0),10)),$C17*INDEX(SPPR!$E:$Z,MATCH($A17,SPPR!$A:$A,0),10),""),"")</f>
        <v/>
      </c>
      <c r="N17">
        <f>IFERROR(IF(ISNUMBER(INDEX(SPPR!$E:$Z,MATCH($A17,SPPR!$A:$A,0),11)),$C17*INDEX(SPPR!$E:$Z,MATCH($A17,SPPR!$A:$A,0),11),""),"")</f>
        <v/>
      </c>
      <c r="O17">
        <f>IFERROR(IF(ISNUMBER(INDEX(SPPR!$E:$Z,MATCH($A17,SPPR!$A:$A,0),12)),$C17*INDEX(SPPR!$E:$Z,MATCH($A17,SPPR!$A:$A,0),12),""),"")</f>
        <v/>
      </c>
      <c r="P17">
        <f>IFERROR(IF(ISNUMBER(INDEX(SPPR!$E:$Z,MATCH($A17,SPPR!$A:$A,0),13)),$C17*INDEX(SPPR!$E:$Z,MATCH($A17,SPPR!$A:$A,0),13),""),"")</f>
        <v/>
      </c>
      <c r="Q17">
        <f>IFERROR(IF(ISNUMBER(INDEX(SPPR!$E:$Z,MATCH($A17,SPPR!$A:$A,0),14)),$C17*INDEX(SPPR!$E:$Z,MATCH($A17,SPPR!$A:$A,0),14),""),"")</f>
        <v/>
      </c>
      <c r="R17">
        <f>IFERROR(IF(ISNUMBER(INDEX(SPPR!$E:$Z,MATCH($A17,SPPR!$A:$A,0),15)),$C17*INDEX(SPPR!$E:$Z,MATCH($A17,SPPR!$A:$A,0),15),""),"")</f>
        <v/>
      </c>
      <c r="S17">
        <f>IFERROR(IF(ISNUMBER(INDEX(SPPR!$E:$Z,MATCH($A17,SPPR!$A:$A,0),16)),$C17*INDEX(SPPR!$E:$Z,MATCH($A17,SPPR!$A:$A,0),16),""),"")</f>
        <v/>
      </c>
      <c r="T17">
        <f>IFERROR(IF(ISNUMBER(INDEX(SPPR!$E:$Z,MATCH($A17,SPPR!$A:$A,0),17)),$C17*INDEX(SPPR!$E:$Z,MATCH($A17,SPPR!$A:$A,0),17),""),"")</f>
        <v/>
      </c>
      <c r="U17">
        <f>IFERROR(IF(ISNUMBER(INDEX(SPPR!$E:$Z,MATCH($A17,SPPR!$A:$A,0),18)),$C17*INDEX(SPPR!$E:$Z,MATCH($A17,SPPR!$A:$A,0),18),""),"")</f>
        <v/>
      </c>
      <c r="V17">
        <f>IFERROR(IF(ISNUMBER(INDEX(SPPR!$E:$Z,MATCH($A17,SPPR!$A:$A,0),19)),$C17*INDEX(SPPR!$E:$Z,MATCH($A17,SPPR!$A:$A,0),19),""),"")</f>
        <v/>
      </c>
      <c r="W17">
        <f>IFERROR(IF(ISNUMBER(INDEX(SPPR!$E:$Z,MATCH($A17,SPPR!$A:$A,0),20)),$C17*INDEX(SPPR!$E:$Z,MATCH($A17,SPPR!$A:$A,0),20),""),"")</f>
        <v/>
      </c>
      <c r="X17">
        <f>IFERROR(IF(ISNUMBER(INDEX(SPPR!$E:$Z,MATCH($A17,SPPR!$A:$A,0),21)),$C17*INDEX(SPPR!$E:$Z,MATCH($A17,SPPR!$A:$A,0),21),""),"")</f>
        <v/>
      </c>
      <c r="Y17">
        <f>IFERROR(IF(ISNUMBER(INDEX(SPPR!$E:$Z,MATCH($A17,SPPR!$A:$A,0),22)),$C17*INDEX(SPPR!$E:$Z,MATCH($A17,SPPR!$A:$A,0),22),""),"")</f>
        <v/>
      </c>
    </row>
    <row r="18">
      <c r="A18" t="inlineStr">
        <is>
          <t>Rastrelliger kanagurta</t>
        </is>
      </c>
      <c r="B18">
        <f>IFERROR(INDEX(SPPR!$D:$D,MATCH($A18,SPPR!$A:$A,0)),"")</f>
        <v/>
      </c>
      <c r="C18">
        <f>IFERROR(INDEX(Catch!$E:$BV,MATCH($A18,Catch!$A:$A,0),MATCH($B$4,Catch!$E$1:$BV$1,0)),0)</f>
        <v/>
      </c>
      <c r="D18">
        <f>IFERROR(IF(ISNUMBER(INDEX(SPPR!$E:$Z,MATCH($A18,SPPR!$A:$A,0),1)),$C18*INDEX(SPPR!$E:$Z,MATCH($A18,SPPR!$A:$A,0),1),""),"")</f>
        <v/>
      </c>
      <c r="E18">
        <f>IFERROR(IF(ISNUMBER(INDEX(SPPR!$E:$Z,MATCH($A18,SPPR!$A:$A,0),2)),$C18*INDEX(SPPR!$E:$Z,MATCH($A18,SPPR!$A:$A,0),2),""),"")</f>
        <v/>
      </c>
      <c r="F18">
        <f>IFERROR(IF(ISNUMBER(INDEX(SPPR!$E:$Z,MATCH($A18,SPPR!$A:$A,0),3)),$C18*INDEX(SPPR!$E:$Z,MATCH($A18,SPPR!$A:$A,0),3),""),"")</f>
        <v/>
      </c>
      <c r="G18">
        <f>IFERROR(IF(ISNUMBER(INDEX(SPPR!$E:$Z,MATCH($A18,SPPR!$A:$A,0),4)),$C18*INDEX(SPPR!$E:$Z,MATCH($A18,SPPR!$A:$A,0),4),""),"")</f>
        <v/>
      </c>
      <c r="H18">
        <f>IFERROR(IF(ISNUMBER(INDEX(SPPR!$E:$Z,MATCH($A18,SPPR!$A:$A,0),5)),$C18*INDEX(SPPR!$E:$Z,MATCH($A18,SPPR!$A:$A,0),5),""),"")</f>
        <v/>
      </c>
      <c r="I18">
        <f>IFERROR(IF(ISNUMBER(INDEX(SPPR!$E:$Z,MATCH($A18,SPPR!$A:$A,0),6)),$C18*INDEX(SPPR!$E:$Z,MATCH($A18,SPPR!$A:$A,0),6),""),"")</f>
        <v/>
      </c>
      <c r="J18">
        <f>IFERROR(IF(ISNUMBER(INDEX(SPPR!$E:$Z,MATCH($A18,SPPR!$A:$A,0),7)),$C18*INDEX(SPPR!$E:$Z,MATCH($A18,SPPR!$A:$A,0),7),""),"")</f>
        <v/>
      </c>
      <c r="K18">
        <f>IFERROR(IF(ISNUMBER(INDEX(SPPR!$E:$Z,MATCH($A18,SPPR!$A:$A,0),8)),$C18*INDEX(SPPR!$E:$Z,MATCH($A18,SPPR!$A:$A,0),8),""),"")</f>
        <v/>
      </c>
      <c r="L18">
        <f>IFERROR(IF(ISNUMBER(INDEX(SPPR!$E:$Z,MATCH($A18,SPPR!$A:$A,0),9)),$C18*INDEX(SPPR!$E:$Z,MATCH($A18,SPPR!$A:$A,0),9),""),"")</f>
        <v/>
      </c>
      <c r="M18">
        <f>IFERROR(IF(ISNUMBER(INDEX(SPPR!$E:$Z,MATCH($A18,SPPR!$A:$A,0),10)),$C18*INDEX(SPPR!$E:$Z,MATCH($A18,SPPR!$A:$A,0),10),""),"")</f>
        <v/>
      </c>
      <c r="N18">
        <f>IFERROR(IF(ISNUMBER(INDEX(SPPR!$E:$Z,MATCH($A18,SPPR!$A:$A,0),11)),$C18*INDEX(SPPR!$E:$Z,MATCH($A18,SPPR!$A:$A,0),11),""),"")</f>
        <v/>
      </c>
      <c r="O18">
        <f>IFERROR(IF(ISNUMBER(INDEX(SPPR!$E:$Z,MATCH($A18,SPPR!$A:$A,0),12)),$C18*INDEX(SPPR!$E:$Z,MATCH($A18,SPPR!$A:$A,0),12),""),"")</f>
        <v/>
      </c>
      <c r="P18">
        <f>IFERROR(IF(ISNUMBER(INDEX(SPPR!$E:$Z,MATCH($A18,SPPR!$A:$A,0),13)),$C18*INDEX(SPPR!$E:$Z,MATCH($A18,SPPR!$A:$A,0),13),""),"")</f>
        <v/>
      </c>
      <c r="Q18">
        <f>IFERROR(IF(ISNUMBER(INDEX(SPPR!$E:$Z,MATCH($A18,SPPR!$A:$A,0),14)),$C18*INDEX(SPPR!$E:$Z,MATCH($A18,SPPR!$A:$A,0),14),""),"")</f>
        <v/>
      </c>
      <c r="R18">
        <f>IFERROR(IF(ISNUMBER(INDEX(SPPR!$E:$Z,MATCH($A18,SPPR!$A:$A,0),15)),$C18*INDEX(SPPR!$E:$Z,MATCH($A18,SPPR!$A:$A,0),15),""),"")</f>
        <v/>
      </c>
      <c r="S18">
        <f>IFERROR(IF(ISNUMBER(INDEX(SPPR!$E:$Z,MATCH($A18,SPPR!$A:$A,0),16)),$C18*INDEX(SPPR!$E:$Z,MATCH($A18,SPPR!$A:$A,0),16),""),"")</f>
        <v/>
      </c>
      <c r="T18">
        <f>IFERROR(IF(ISNUMBER(INDEX(SPPR!$E:$Z,MATCH($A18,SPPR!$A:$A,0),17)),$C18*INDEX(SPPR!$E:$Z,MATCH($A18,SPPR!$A:$A,0),17),""),"")</f>
        <v/>
      </c>
      <c r="U18">
        <f>IFERROR(IF(ISNUMBER(INDEX(SPPR!$E:$Z,MATCH($A18,SPPR!$A:$A,0),18)),$C18*INDEX(SPPR!$E:$Z,MATCH($A18,SPPR!$A:$A,0),18),""),"")</f>
        <v/>
      </c>
      <c r="V18">
        <f>IFERROR(IF(ISNUMBER(INDEX(SPPR!$E:$Z,MATCH($A18,SPPR!$A:$A,0),19)),$C18*INDEX(SPPR!$E:$Z,MATCH($A18,SPPR!$A:$A,0),19),""),"")</f>
        <v/>
      </c>
      <c r="W18">
        <f>IFERROR(IF(ISNUMBER(INDEX(SPPR!$E:$Z,MATCH($A18,SPPR!$A:$A,0),20)),$C18*INDEX(SPPR!$E:$Z,MATCH($A18,SPPR!$A:$A,0),20),""),"")</f>
        <v/>
      </c>
      <c r="X18">
        <f>IFERROR(IF(ISNUMBER(INDEX(SPPR!$E:$Z,MATCH($A18,SPPR!$A:$A,0),21)),$C18*INDEX(SPPR!$E:$Z,MATCH($A18,SPPR!$A:$A,0),21),""),"")</f>
        <v/>
      </c>
      <c r="Y18">
        <f>IFERROR(IF(ISNUMBER(INDEX(SPPR!$E:$Z,MATCH($A18,SPPR!$A:$A,0),22)),$C18*INDEX(SPPR!$E:$Z,MATCH($A18,SPPR!$A:$A,0),22),""),"")</f>
        <v/>
      </c>
    </row>
    <row r="19">
      <c r="A19" t="inlineStr">
        <is>
          <t>Stolephorus</t>
        </is>
      </c>
      <c r="B19">
        <f>IFERROR(INDEX(SPPR!$D:$D,MATCH($A19,SPPR!$A:$A,0)),"")</f>
        <v/>
      </c>
      <c r="C19">
        <f>IFERROR(INDEX(Catch!$E:$BV,MATCH($A19,Catch!$A:$A,0),MATCH($B$4,Catch!$E$1:$BV$1,0)),0)</f>
        <v/>
      </c>
      <c r="D19">
        <f>IFERROR(IF(ISNUMBER(INDEX(SPPR!$E:$Z,MATCH($A19,SPPR!$A:$A,0),1)),$C19*INDEX(SPPR!$E:$Z,MATCH($A19,SPPR!$A:$A,0),1),""),"")</f>
        <v/>
      </c>
      <c r="E19">
        <f>IFERROR(IF(ISNUMBER(INDEX(SPPR!$E:$Z,MATCH($A19,SPPR!$A:$A,0),2)),$C19*INDEX(SPPR!$E:$Z,MATCH($A19,SPPR!$A:$A,0),2),""),"")</f>
        <v/>
      </c>
      <c r="F19">
        <f>IFERROR(IF(ISNUMBER(INDEX(SPPR!$E:$Z,MATCH($A19,SPPR!$A:$A,0),3)),$C19*INDEX(SPPR!$E:$Z,MATCH($A19,SPPR!$A:$A,0),3),""),"")</f>
        <v/>
      </c>
      <c r="G19">
        <f>IFERROR(IF(ISNUMBER(INDEX(SPPR!$E:$Z,MATCH($A19,SPPR!$A:$A,0),4)),$C19*INDEX(SPPR!$E:$Z,MATCH($A19,SPPR!$A:$A,0),4),""),"")</f>
        <v/>
      </c>
      <c r="H19">
        <f>IFERROR(IF(ISNUMBER(INDEX(SPPR!$E:$Z,MATCH($A19,SPPR!$A:$A,0),5)),$C19*INDEX(SPPR!$E:$Z,MATCH($A19,SPPR!$A:$A,0),5),""),"")</f>
        <v/>
      </c>
      <c r="I19">
        <f>IFERROR(IF(ISNUMBER(INDEX(SPPR!$E:$Z,MATCH($A19,SPPR!$A:$A,0),6)),$C19*INDEX(SPPR!$E:$Z,MATCH($A19,SPPR!$A:$A,0),6),""),"")</f>
        <v/>
      </c>
      <c r="J19">
        <f>IFERROR(IF(ISNUMBER(INDEX(SPPR!$E:$Z,MATCH($A19,SPPR!$A:$A,0),7)),$C19*INDEX(SPPR!$E:$Z,MATCH($A19,SPPR!$A:$A,0),7),""),"")</f>
        <v/>
      </c>
      <c r="K19">
        <f>IFERROR(IF(ISNUMBER(INDEX(SPPR!$E:$Z,MATCH($A19,SPPR!$A:$A,0),8)),$C19*INDEX(SPPR!$E:$Z,MATCH($A19,SPPR!$A:$A,0),8),""),"")</f>
        <v/>
      </c>
      <c r="L19">
        <f>IFERROR(IF(ISNUMBER(INDEX(SPPR!$E:$Z,MATCH($A19,SPPR!$A:$A,0),9)),$C19*INDEX(SPPR!$E:$Z,MATCH($A19,SPPR!$A:$A,0),9),""),"")</f>
        <v/>
      </c>
      <c r="M19">
        <f>IFERROR(IF(ISNUMBER(INDEX(SPPR!$E:$Z,MATCH($A19,SPPR!$A:$A,0),10)),$C19*INDEX(SPPR!$E:$Z,MATCH($A19,SPPR!$A:$A,0),10),""),"")</f>
        <v/>
      </c>
      <c r="N19">
        <f>IFERROR(IF(ISNUMBER(INDEX(SPPR!$E:$Z,MATCH($A19,SPPR!$A:$A,0),11)),$C19*INDEX(SPPR!$E:$Z,MATCH($A19,SPPR!$A:$A,0),11),""),"")</f>
        <v/>
      </c>
      <c r="O19">
        <f>IFERROR(IF(ISNUMBER(INDEX(SPPR!$E:$Z,MATCH($A19,SPPR!$A:$A,0),12)),$C19*INDEX(SPPR!$E:$Z,MATCH($A19,SPPR!$A:$A,0),12),""),"")</f>
        <v/>
      </c>
      <c r="P19">
        <f>IFERROR(IF(ISNUMBER(INDEX(SPPR!$E:$Z,MATCH($A19,SPPR!$A:$A,0),13)),$C19*INDEX(SPPR!$E:$Z,MATCH($A19,SPPR!$A:$A,0),13),""),"")</f>
        <v/>
      </c>
      <c r="Q19">
        <f>IFERROR(IF(ISNUMBER(INDEX(SPPR!$E:$Z,MATCH($A19,SPPR!$A:$A,0),14)),$C19*INDEX(SPPR!$E:$Z,MATCH($A19,SPPR!$A:$A,0),14),""),"")</f>
        <v/>
      </c>
      <c r="R19">
        <f>IFERROR(IF(ISNUMBER(INDEX(SPPR!$E:$Z,MATCH($A19,SPPR!$A:$A,0),15)),$C19*INDEX(SPPR!$E:$Z,MATCH($A19,SPPR!$A:$A,0),15),""),"")</f>
        <v/>
      </c>
      <c r="S19">
        <f>IFERROR(IF(ISNUMBER(INDEX(SPPR!$E:$Z,MATCH($A19,SPPR!$A:$A,0),16)),$C19*INDEX(SPPR!$E:$Z,MATCH($A19,SPPR!$A:$A,0),16),""),"")</f>
        <v/>
      </c>
      <c r="T19">
        <f>IFERROR(IF(ISNUMBER(INDEX(SPPR!$E:$Z,MATCH($A19,SPPR!$A:$A,0),17)),$C19*INDEX(SPPR!$E:$Z,MATCH($A19,SPPR!$A:$A,0),17),""),"")</f>
        <v/>
      </c>
      <c r="U19">
        <f>IFERROR(IF(ISNUMBER(INDEX(SPPR!$E:$Z,MATCH($A19,SPPR!$A:$A,0),18)),$C19*INDEX(SPPR!$E:$Z,MATCH($A19,SPPR!$A:$A,0),18),""),"")</f>
        <v/>
      </c>
      <c r="V19">
        <f>IFERROR(IF(ISNUMBER(INDEX(SPPR!$E:$Z,MATCH($A19,SPPR!$A:$A,0),19)),$C19*INDEX(SPPR!$E:$Z,MATCH($A19,SPPR!$A:$A,0),19),""),"")</f>
        <v/>
      </c>
      <c r="W19">
        <f>IFERROR(IF(ISNUMBER(INDEX(SPPR!$E:$Z,MATCH($A19,SPPR!$A:$A,0),20)),$C19*INDEX(SPPR!$E:$Z,MATCH($A19,SPPR!$A:$A,0),20),""),"")</f>
        <v/>
      </c>
      <c r="X19">
        <f>IFERROR(IF(ISNUMBER(INDEX(SPPR!$E:$Z,MATCH($A19,SPPR!$A:$A,0),21)),$C19*INDEX(SPPR!$E:$Z,MATCH($A19,SPPR!$A:$A,0),21),""),"")</f>
        <v/>
      </c>
      <c r="Y19">
        <f>IFERROR(IF(ISNUMBER(INDEX(SPPR!$E:$Z,MATCH($A19,SPPR!$A:$A,0),22)),$C19*INDEX(SPPR!$E:$Z,MATCH($A19,SPPR!$A:$A,0),22),""),"")</f>
        <v/>
      </c>
    </row>
    <row r="20">
      <c r="A20" t="inlineStr">
        <is>
          <t>Harpadon nehereus</t>
        </is>
      </c>
      <c r="B20">
        <f>IFERROR(INDEX(SPPR!$D:$D,MATCH($A20,SPPR!$A:$A,0)),"")</f>
        <v/>
      </c>
      <c r="C20">
        <f>IFERROR(INDEX(Catch!$E:$BV,MATCH($A20,Catch!$A:$A,0),MATCH($B$4,Catch!$E$1:$BV$1,0)),0)</f>
        <v/>
      </c>
      <c r="D20">
        <f>IFERROR(IF(ISNUMBER(INDEX(SPPR!$E:$Z,MATCH($A20,SPPR!$A:$A,0),1)),$C20*INDEX(SPPR!$E:$Z,MATCH($A20,SPPR!$A:$A,0),1),""),"")</f>
        <v/>
      </c>
      <c r="E20">
        <f>IFERROR(IF(ISNUMBER(INDEX(SPPR!$E:$Z,MATCH($A20,SPPR!$A:$A,0),2)),$C20*INDEX(SPPR!$E:$Z,MATCH($A20,SPPR!$A:$A,0),2),""),"")</f>
        <v/>
      </c>
      <c r="F20">
        <f>IFERROR(IF(ISNUMBER(INDEX(SPPR!$E:$Z,MATCH($A20,SPPR!$A:$A,0),3)),$C20*INDEX(SPPR!$E:$Z,MATCH($A20,SPPR!$A:$A,0),3),""),"")</f>
        <v/>
      </c>
      <c r="G20">
        <f>IFERROR(IF(ISNUMBER(INDEX(SPPR!$E:$Z,MATCH($A20,SPPR!$A:$A,0),4)),$C20*INDEX(SPPR!$E:$Z,MATCH($A20,SPPR!$A:$A,0),4),""),"")</f>
        <v/>
      </c>
      <c r="H20">
        <f>IFERROR(IF(ISNUMBER(INDEX(SPPR!$E:$Z,MATCH($A20,SPPR!$A:$A,0),5)),$C20*INDEX(SPPR!$E:$Z,MATCH($A20,SPPR!$A:$A,0),5),""),"")</f>
        <v/>
      </c>
      <c r="I20">
        <f>IFERROR(IF(ISNUMBER(INDEX(SPPR!$E:$Z,MATCH($A20,SPPR!$A:$A,0),6)),$C20*INDEX(SPPR!$E:$Z,MATCH($A20,SPPR!$A:$A,0),6),""),"")</f>
        <v/>
      </c>
      <c r="J20">
        <f>IFERROR(IF(ISNUMBER(INDEX(SPPR!$E:$Z,MATCH($A20,SPPR!$A:$A,0),7)),$C20*INDEX(SPPR!$E:$Z,MATCH($A20,SPPR!$A:$A,0),7),""),"")</f>
        <v/>
      </c>
      <c r="K20">
        <f>IFERROR(IF(ISNUMBER(INDEX(SPPR!$E:$Z,MATCH($A20,SPPR!$A:$A,0),8)),$C20*INDEX(SPPR!$E:$Z,MATCH($A20,SPPR!$A:$A,0),8),""),"")</f>
        <v/>
      </c>
      <c r="L20">
        <f>IFERROR(IF(ISNUMBER(INDEX(SPPR!$E:$Z,MATCH($A20,SPPR!$A:$A,0),9)),$C20*INDEX(SPPR!$E:$Z,MATCH($A20,SPPR!$A:$A,0),9),""),"")</f>
        <v/>
      </c>
      <c r="M20">
        <f>IFERROR(IF(ISNUMBER(INDEX(SPPR!$E:$Z,MATCH($A20,SPPR!$A:$A,0),10)),$C20*INDEX(SPPR!$E:$Z,MATCH($A20,SPPR!$A:$A,0),10),""),"")</f>
        <v/>
      </c>
      <c r="N20">
        <f>IFERROR(IF(ISNUMBER(INDEX(SPPR!$E:$Z,MATCH($A20,SPPR!$A:$A,0),11)),$C20*INDEX(SPPR!$E:$Z,MATCH($A20,SPPR!$A:$A,0),11),""),"")</f>
        <v/>
      </c>
      <c r="O20">
        <f>IFERROR(IF(ISNUMBER(INDEX(SPPR!$E:$Z,MATCH($A20,SPPR!$A:$A,0),12)),$C20*INDEX(SPPR!$E:$Z,MATCH($A20,SPPR!$A:$A,0),12),""),"")</f>
        <v/>
      </c>
      <c r="P20">
        <f>IFERROR(IF(ISNUMBER(INDEX(SPPR!$E:$Z,MATCH($A20,SPPR!$A:$A,0),13)),$C20*INDEX(SPPR!$E:$Z,MATCH($A20,SPPR!$A:$A,0),13),""),"")</f>
        <v/>
      </c>
      <c r="Q20">
        <f>IFERROR(IF(ISNUMBER(INDEX(SPPR!$E:$Z,MATCH($A20,SPPR!$A:$A,0),14)),$C20*INDEX(SPPR!$E:$Z,MATCH($A20,SPPR!$A:$A,0),14),""),"")</f>
        <v/>
      </c>
      <c r="R20">
        <f>IFERROR(IF(ISNUMBER(INDEX(SPPR!$E:$Z,MATCH($A20,SPPR!$A:$A,0),15)),$C20*INDEX(SPPR!$E:$Z,MATCH($A20,SPPR!$A:$A,0),15),""),"")</f>
        <v/>
      </c>
      <c r="S20">
        <f>IFERROR(IF(ISNUMBER(INDEX(SPPR!$E:$Z,MATCH($A20,SPPR!$A:$A,0),16)),$C20*INDEX(SPPR!$E:$Z,MATCH($A20,SPPR!$A:$A,0),16),""),"")</f>
        <v/>
      </c>
      <c r="T20">
        <f>IFERROR(IF(ISNUMBER(INDEX(SPPR!$E:$Z,MATCH($A20,SPPR!$A:$A,0),17)),$C20*INDEX(SPPR!$E:$Z,MATCH($A20,SPPR!$A:$A,0),17),""),"")</f>
        <v/>
      </c>
      <c r="U20">
        <f>IFERROR(IF(ISNUMBER(INDEX(SPPR!$E:$Z,MATCH($A20,SPPR!$A:$A,0),18)),$C20*INDEX(SPPR!$E:$Z,MATCH($A20,SPPR!$A:$A,0),18),""),"")</f>
        <v/>
      </c>
      <c r="V20">
        <f>IFERROR(IF(ISNUMBER(INDEX(SPPR!$E:$Z,MATCH($A20,SPPR!$A:$A,0),19)),$C20*INDEX(SPPR!$E:$Z,MATCH($A20,SPPR!$A:$A,0),19),""),"")</f>
        <v/>
      </c>
      <c r="W20">
        <f>IFERROR(IF(ISNUMBER(INDEX(SPPR!$E:$Z,MATCH($A20,SPPR!$A:$A,0),20)),$C20*INDEX(SPPR!$E:$Z,MATCH($A20,SPPR!$A:$A,0),20),""),"")</f>
        <v/>
      </c>
      <c r="X20">
        <f>IFERROR(IF(ISNUMBER(INDEX(SPPR!$E:$Z,MATCH($A20,SPPR!$A:$A,0),21)),$C20*INDEX(SPPR!$E:$Z,MATCH($A20,SPPR!$A:$A,0),21),""),"")</f>
        <v/>
      </c>
      <c r="Y20">
        <f>IFERROR(IF(ISNUMBER(INDEX(SPPR!$E:$Z,MATCH($A20,SPPR!$A:$A,0),22)),$C20*INDEX(SPPR!$E:$Z,MATCH($A20,SPPR!$A:$A,0),22),""),"")</f>
        <v/>
      </c>
    </row>
    <row r="21">
      <c r="A21" t="inlineStr">
        <is>
          <t>Engraulidae</t>
        </is>
      </c>
      <c r="B21">
        <f>IFERROR(INDEX(SPPR!$D:$D,MATCH($A21,SPPR!$A:$A,0)),"")</f>
        <v/>
      </c>
      <c r="C21">
        <f>IFERROR(INDEX(Catch!$E:$BV,MATCH($A21,Catch!$A:$A,0),MATCH($B$4,Catch!$E$1:$BV$1,0)),0)</f>
        <v/>
      </c>
      <c r="D21">
        <f>IFERROR(IF(ISNUMBER(INDEX(SPPR!$E:$Z,MATCH($A21,SPPR!$A:$A,0),1)),$C21*INDEX(SPPR!$E:$Z,MATCH($A21,SPPR!$A:$A,0),1),""),"")</f>
        <v/>
      </c>
      <c r="E21">
        <f>IFERROR(IF(ISNUMBER(INDEX(SPPR!$E:$Z,MATCH($A21,SPPR!$A:$A,0),2)),$C21*INDEX(SPPR!$E:$Z,MATCH($A21,SPPR!$A:$A,0),2),""),"")</f>
        <v/>
      </c>
      <c r="F21">
        <f>IFERROR(IF(ISNUMBER(INDEX(SPPR!$E:$Z,MATCH($A21,SPPR!$A:$A,0),3)),$C21*INDEX(SPPR!$E:$Z,MATCH($A21,SPPR!$A:$A,0),3),""),"")</f>
        <v/>
      </c>
      <c r="G21">
        <f>IFERROR(IF(ISNUMBER(INDEX(SPPR!$E:$Z,MATCH($A21,SPPR!$A:$A,0),4)),$C21*INDEX(SPPR!$E:$Z,MATCH($A21,SPPR!$A:$A,0),4),""),"")</f>
        <v/>
      </c>
      <c r="H21">
        <f>IFERROR(IF(ISNUMBER(INDEX(SPPR!$E:$Z,MATCH($A21,SPPR!$A:$A,0),5)),$C21*INDEX(SPPR!$E:$Z,MATCH($A21,SPPR!$A:$A,0),5),""),"")</f>
        <v/>
      </c>
      <c r="I21">
        <f>IFERROR(IF(ISNUMBER(INDEX(SPPR!$E:$Z,MATCH($A21,SPPR!$A:$A,0),6)),$C21*INDEX(SPPR!$E:$Z,MATCH($A21,SPPR!$A:$A,0),6),""),"")</f>
        <v/>
      </c>
      <c r="J21">
        <f>IFERROR(IF(ISNUMBER(INDEX(SPPR!$E:$Z,MATCH($A21,SPPR!$A:$A,0),7)),$C21*INDEX(SPPR!$E:$Z,MATCH($A21,SPPR!$A:$A,0),7),""),"")</f>
        <v/>
      </c>
      <c r="K21">
        <f>IFERROR(IF(ISNUMBER(INDEX(SPPR!$E:$Z,MATCH($A21,SPPR!$A:$A,0),8)),$C21*INDEX(SPPR!$E:$Z,MATCH($A21,SPPR!$A:$A,0),8),""),"")</f>
        <v/>
      </c>
      <c r="L21">
        <f>IFERROR(IF(ISNUMBER(INDEX(SPPR!$E:$Z,MATCH($A21,SPPR!$A:$A,0),9)),$C21*INDEX(SPPR!$E:$Z,MATCH($A21,SPPR!$A:$A,0),9),""),"")</f>
        <v/>
      </c>
      <c r="M21">
        <f>IFERROR(IF(ISNUMBER(INDEX(SPPR!$E:$Z,MATCH($A21,SPPR!$A:$A,0),10)),$C21*INDEX(SPPR!$E:$Z,MATCH($A21,SPPR!$A:$A,0),10),""),"")</f>
        <v/>
      </c>
      <c r="N21">
        <f>IFERROR(IF(ISNUMBER(INDEX(SPPR!$E:$Z,MATCH($A21,SPPR!$A:$A,0),11)),$C21*INDEX(SPPR!$E:$Z,MATCH($A21,SPPR!$A:$A,0),11),""),"")</f>
        <v/>
      </c>
      <c r="O21">
        <f>IFERROR(IF(ISNUMBER(INDEX(SPPR!$E:$Z,MATCH($A21,SPPR!$A:$A,0),12)),$C21*INDEX(SPPR!$E:$Z,MATCH($A21,SPPR!$A:$A,0),12),""),"")</f>
        <v/>
      </c>
      <c r="P21">
        <f>IFERROR(IF(ISNUMBER(INDEX(SPPR!$E:$Z,MATCH($A21,SPPR!$A:$A,0),13)),$C21*INDEX(SPPR!$E:$Z,MATCH($A21,SPPR!$A:$A,0),13),""),"")</f>
        <v/>
      </c>
      <c r="Q21">
        <f>IFERROR(IF(ISNUMBER(INDEX(SPPR!$E:$Z,MATCH($A21,SPPR!$A:$A,0),14)),$C21*INDEX(SPPR!$E:$Z,MATCH($A21,SPPR!$A:$A,0),14),""),"")</f>
        <v/>
      </c>
      <c r="R21">
        <f>IFERROR(IF(ISNUMBER(INDEX(SPPR!$E:$Z,MATCH($A21,SPPR!$A:$A,0),15)),$C21*INDEX(SPPR!$E:$Z,MATCH($A21,SPPR!$A:$A,0),15),""),"")</f>
        <v/>
      </c>
      <c r="S21">
        <f>IFERROR(IF(ISNUMBER(INDEX(SPPR!$E:$Z,MATCH($A21,SPPR!$A:$A,0),16)),$C21*INDEX(SPPR!$E:$Z,MATCH($A21,SPPR!$A:$A,0),16),""),"")</f>
        <v/>
      </c>
      <c r="T21">
        <f>IFERROR(IF(ISNUMBER(INDEX(SPPR!$E:$Z,MATCH($A21,SPPR!$A:$A,0),17)),$C21*INDEX(SPPR!$E:$Z,MATCH($A21,SPPR!$A:$A,0),17),""),"")</f>
        <v/>
      </c>
      <c r="U21">
        <f>IFERROR(IF(ISNUMBER(INDEX(SPPR!$E:$Z,MATCH($A21,SPPR!$A:$A,0),18)),$C21*INDEX(SPPR!$E:$Z,MATCH($A21,SPPR!$A:$A,0),18),""),"")</f>
        <v/>
      </c>
      <c r="V21">
        <f>IFERROR(IF(ISNUMBER(INDEX(SPPR!$E:$Z,MATCH($A21,SPPR!$A:$A,0),19)),$C21*INDEX(SPPR!$E:$Z,MATCH($A21,SPPR!$A:$A,0),19),""),"")</f>
        <v/>
      </c>
      <c r="W21">
        <f>IFERROR(IF(ISNUMBER(INDEX(SPPR!$E:$Z,MATCH($A21,SPPR!$A:$A,0),20)),$C21*INDEX(SPPR!$E:$Z,MATCH($A21,SPPR!$A:$A,0),20),""),"")</f>
        <v/>
      </c>
      <c r="X21">
        <f>IFERROR(IF(ISNUMBER(INDEX(SPPR!$E:$Z,MATCH($A21,SPPR!$A:$A,0),21)),$C21*INDEX(SPPR!$E:$Z,MATCH($A21,SPPR!$A:$A,0),21),""),"")</f>
        <v/>
      </c>
      <c r="Y21">
        <f>IFERROR(IF(ISNUMBER(INDEX(SPPR!$E:$Z,MATCH($A21,SPPR!$A:$A,0),22)),$C21*INDEX(SPPR!$E:$Z,MATCH($A21,SPPR!$A:$A,0),22),""),"")</f>
        <v/>
      </c>
    </row>
    <row r="22">
      <c r="A22" t="inlineStr">
        <is>
          <t>Acetes</t>
        </is>
      </c>
      <c r="B22">
        <f>IFERROR(INDEX(SPPR!$D:$D,MATCH($A22,SPPR!$A:$A,0)),"")</f>
        <v/>
      </c>
      <c r="C22">
        <f>IFERROR(INDEX(Catch!$E:$BV,MATCH($A22,Catch!$A:$A,0),MATCH($B$4,Catch!$E$1:$BV$1,0)),0)</f>
        <v/>
      </c>
      <c r="D22">
        <f>IFERROR(IF(ISNUMBER(INDEX(SPPR!$E:$Z,MATCH($A22,SPPR!$A:$A,0),1)),$C22*INDEX(SPPR!$E:$Z,MATCH($A22,SPPR!$A:$A,0),1),""),"")</f>
        <v/>
      </c>
      <c r="E22">
        <f>IFERROR(IF(ISNUMBER(INDEX(SPPR!$E:$Z,MATCH($A22,SPPR!$A:$A,0),2)),$C22*INDEX(SPPR!$E:$Z,MATCH($A22,SPPR!$A:$A,0),2),""),"")</f>
        <v/>
      </c>
      <c r="F22">
        <f>IFERROR(IF(ISNUMBER(INDEX(SPPR!$E:$Z,MATCH($A22,SPPR!$A:$A,0),3)),$C22*INDEX(SPPR!$E:$Z,MATCH($A22,SPPR!$A:$A,0),3),""),"")</f>
        <v/>
      </c>
      <c r="G22">
        <f>IFERROR(IF(ISNUMBER(INDEX(SPPR!$E:$Z,MATCH($A22,SPPR!$A:$A,0),4)),$C22*INDEX(SPPR!$E:$Z,MATCH($A22,SPPR!$A:$A,0),4),""),"")</f>
        <v/>
      </c>
      <c r="H22">
        <f>IFERROR(IF(ISNUMBER(INDEX(SPPR!$E:$Z,MATCH($A22,SPPR!$A:$A,0),5)),$C22*INDEX(SPPR!$E:$Z,MATCH($A22,SPPR!$A:$A,0),5),""),"")</f>
        <v/>
      </c>
      <c r="I22">
        <f>IFERROR(IF(ISNUMBER(INDEX(SPPR!$E:$Z,MATCH($A22,SPPR!$A:$A,0),6)),$C22*INDEX(SPPR!$E:$Z,MATCH($A22,SPPR!$A:$A,0),6),""),"")</f>
        <v/>
      </c>
      <c r="J22">
        <f>IFERROR(IF(ISNUMBER(INDEX(SPPR!$E:$Z,MATCH($A22,SPPR!$A:$A,0),7)),$C22*INDEX(SPPR!$E:$Z,MATCH($A22,SPPR!$A:$A,0),7),""),"")</f>
        <v/>
      </c>
      <c r="K22">
        <f>IFERROR(IF(ISNUMBER(INDEX(SPPR!$E:$Z,MATCH($A22,SPPR!$A:$A,0),8)),$C22*INDEX(SPPR!$E:$Z,MATCH($A22,SPPR!$A:$A,0),8),""),"")</f>
        <v/>
      </c>
      <c r="L22">
        <f>IFERROR(IF(ISNUMBER(INDEX(SPPR!$E:$Z,MATCH($A22,SPPR!$A:$A,0),9)),$C22*INDEX(SPPR!$E:$Z,MATCH($A22,SPPR!$A:$A,0),9),""),"")</f>
        <v/>
      </c>
      <c r="M22">
        <f>IFERROR(IF(ISNUMBER(INDEX(SPPR!$E:$Z,MATCH($A22,SPPR!$A:$A,0),10)),$C22*INDEX(SPPR!$E:$Z,MATCH($A22,SPPR!$A:$A,0),10),""),"")</f>
        <v/>
      </c>
      <c r="N22">
        <f>IFERROR(IF(ISNUMBER(INDEX(SPPR!$E:$Z,MATCH($A22,SPPR!$A:$A,0),11)),$C22*INDEX(SPPR!$E:$Z,MATCH($A22,SPPR!$A:$A,0),11),""),"")</f>
        <v/>
      </c>
      <c r="O22">
        <f>IFERROR(IF(ISNUMBER(INDEX(SPPR!$E:$Z,MATCH($A22,SPPR!$A:$A,0),12)),$C22*INDEX(SPPR!$E:$Z,MATCH($A22,SPPR!$A:$A,0),12),""),"")</f>
        <v/>
      </c>
      <c r="P22">
        <f>IFERROR(IF(ISNUMBER(INDEX(SPPR!$E:$Z,MATCH($A22,SPPR!$A:$A,0),13)),$C22*INDEX(SPPR!$E:$Z,MATCH($A22,SPPR!$A:$A,0),13),""),"")</f>
        <v/>
      </c>
      <c r="Q22">
        <f>IFERROR(IF(ISNUMBER(INDEX(SPPR!$E:$Z,MATCH($A22,SPPR!$A:$A,0),14)),$C22*INDEX(SPPR!$E:$Z,MATCH($A22,SPPR!$A:$A,0),14),""),"")</f>
        <v/>
      </c>
      <c r="R22">
        <f>IFERROR(IF(ISNUMBER(INDEX(SPPR!$E:$Z,MATCH($A22,SPPR!$A:$A,0),15)),$C22*INDEX(SPPR!$E:$Z,MATCH($A22,SPPR!$A:$A,0),15),""),"")</f>
        <v/>
      </c>
      <c r="S22">
        <f>IFERROR(IF(ISNUMBER(INDEX(SPPR!$E:$Z,MATCH($A22,SPPR!$A:$A,0),16)),$C22*INDEX(SPPR!$E:$Z,MATCH($A22,SPPR!$A:$A,0),16),""),"")</f>
        <v/>
      </c>
      <c r="T22">
        <f>IFERROR(IF(ISNUMBER(INDEX(SPPR!$E:$Z,MATCH($A22,SPPR!$A:$A,0),17)),$C22*INDEX(SPPR!$E:$Z,MATCH($A22,SPPR!$A:$A,0),17),""),"")</f>
        <v/>
      </c>
      <c r="U22">
        <f>IFERROR(IF(ISNUMBER(INDEX(SPPR!$E:$Z,MATCH($A22,SPPR!$A:$A,0),18)),$C22*INDEX(SPPR!$E:$Z,MATCH($A22,SPPR!$A:$A,0),18),""),"")</f>
        <v/>
      </c>
      <c r="V22">
        <f>IFERROR(IF(ISNUMBER(INDEX(SPPR!$E:$Z,MATCH($A22,SPPR!$A:$A,0),19)),$C22*INDEX(SPPR!$E:$Z,MATCH($A22,SPPR!$A:$A,0),19),""),"")</f>
        <v/>
      </c>
      <c r="W22">
        <f>IFERROR(IF(ISNUMBER(INDEX(SPPR!$E:$Z,MATCH($A22,SPPR!$A:$A,0),20)),$C22*INDEX(SPPR!$E:$Z,MATCH($A22,SPPR!$A:$A,0),20),""),"")</f>
        <v/>
      </c>
      <c r="X22">
        <f>IFERROR(IF(ISNUMBER(INDEX(SPPR!$E:$Z,MATCH($A22,SPPR!$A:$A,0),21)),$C22*INDEX(SPPR!$E:$Z,MATCH($A22,SPPR!$A:$A,0),21),""),"")</f>
        <v/>
      </c>
      <c r="Y22">
        <f>IFERROR(IF(ISNUMBER(INDEX(SPPR!$E:$Z,MATCH($A22,SPPR!$A:$A,0),22)),$C22*INDEX(SPPR!$E:$Z,MATCH($A22,SPPR!$A:$A,0),22),""),"")</f>
        <v/>
      </c>
    </row>
    <row r="23">
      <c r="A23" t="inlineStr">
        <is>
          <t>Elasmobranchii</t>
        </is>
      </c>
      <c r="B23">
        <f>IFERROR(INDEX(SPPR!$D:$D,MATCH($A23,SPPR!$A:$A,0)),"")</f>
        <v/>
      </c>
      <c r="C23">
        <f>IFERROR(INDEX(Catch!$E:$BV,MATCH($A23,Catch!$A:$A,0),MATCH($B$4,Catch!$E$1:$BV$1,0)),0)</f>
        <v/>
      </c>
      <c r="D23">
        <f>IFERROR(IF(ISNUMBER(INDEX(SPPR!$E:$Z,MATCH($A23,SPPR!$A:$A,0),1)),$C23*INDEX(SPPR!$E:$Z,MATCH($A23,SPPR!$A:$A,0),1),""),"")</f>
        <v/>
      </c>
      <c r="E23">
        <f>IFERROR(IF(ISNUMBER(INDEX(SPPR!$E:$Z,MATCH($A23,SPPR!$A:$A,0),2)),$C23*INDEX(SPPR!$E:$Z,MATCH($A23,SPPR!$A:$A,0),2),""),"")</f>
        <v/>
      </c>
      <c r="F23">
        <f>IFERROR(IF(ISNUMBER(INDEX(SPPR!$E:$Z,MATCH($A23,SPPR!$A:$A,0),3)),$C23*INDEX(SPPR!$E:$Z,MATCH($A23,SPPR!$A:$A,0),3),""),"")</f>
        <v/>
      </c>
      <c r="G23">
        <f>IFERROR(IF(ISNUMBER(INDEX(SPPR!$E:$Z,MATCH($A23,SPPR!$A:$A,0),4)),$C23*INDEX(SPPR!$E:$Z,MATCH($A23,SPPR!$A:$A,0),4),""),"")</f>
        <v/>
      </c>
      <c r="H23">
        <f>IFERROR(IF(ISNUMBER(INDEX(SPPR!$E:$Z,MATCH($A23,SPPR!$A:$A,0),5)),$C23*INDEX(SPPR!$E:$Z,MATCH($A23,SPPR!$A:$A,0),5),""),"")</f>
        <v/>
      </c>
      <c r="I23">
        <f>IFERROR(IF(ISNUMBER(INDEX(SPPR!$E:$Z,MATCH($A23,SPPR!$A:$A,0),6)),$C23*INDEX(SPPR!$E:$Z,MATCH($A23,SPPR!$A:$A,0),6),""),"")</f>
        <v/>
      </c>
      <c r="J23">
        <f>IFERROR(IF(ISNUMBER(INDEX(SPPR!$E:$Z,MATCH($A23,SPPR!$A:$A,0),7)),$C23*INDEX(SPPR!$E:$Z,MATCH($A23,SPPR!$A:$A,0),7),""),"")</f>
        <v/>
      </c>
      <c r="K23">
        <f>IFERROR(IF(ISNUMBER(INDEX(SPPR!$E:$Z,MATCH($A23,SPPR!$A:$A,0),8)),$C23*INDEX(SPPR!$E:$Z,MATCH($A23,SPPR!$A:$A,0),8),""),"")</f>
        <v/>
      </c>
      <c r="L23">
        <f>IFERROR(IF(ISNUMBER(INDEX(SPPR!$E:$Z,MATCH($A23,SPPR!$A:$A,0),9)),$C23*INDEX(SPPR!$E:$Z,MATCH($A23,SPPR!$A:$A,0),9),""),"")</f>
        <v/>
      </c>
      <c r="M23">
        <f>IFERROR(IF(ISNUMBER(INDEX(SPPR!$E:$Z,MATCH($A23,SPPR!$A:$A,0),10)),$C23*INDEX(SPPR!$E:$Z,MATCH($A23,SPPR!$A:$A,0),10),""),"")</f>
        <v/>
      </c>
      <c r="N23">
        <f>IFERROR(IF(ISNUMBER(INDEX(SPPR!$E:$Z,MATCH($A23,SPPR!$A:$A,0),11)),$C23*INDEX(SPPR!$E:$Z,MATCH($A23,SPPR!$A:$A,0),11),""),"")</f>
        <v/>
      </c>
      <c r="O23">
        <f>IFERROR(IF(ISNUMBER(INDEX(SPPR!$E:$Z,MATCH($A23,SPPR!$A:$A,0),12)),$C23*INDEX(SPPR!$E:$Z,MATCH($A23,SPPR!$A:$A,0),12),""),"")</f>
        <v/>
      </c>
      <c r="P23">
        <f>IFERROR(IF(ISNUMBER(INDEX(SPPR!$E:$Z,MATCH($A23,SPPR!$A:$A,0),13)),$C23*INDEX(SPPR!$E:$Z,MATCH($A23,SPPR!$A:$A,0),13),""),"")</f>
        <v/>
      </c>
      <c r="Q23">
        <f>IFERROR(IF(ISNUMBER(INDEX(SPPR!$E:$Z,MATCH($A23,SPPR!$A:$A,0),14)),$C23*INDEX(SPPR!$E:$Z,MATCH($A23,SPPR!$A:$A,0),14),""),"")</f>
        <v/>
      </c>
      <c r="R23">
        <f>IFERROR(IF(ISNUMBER(INDEX(SPPR!$E:$Z,MATCH($A23,SPPR!$A:$A,0),15)),$C23*INDEX(SPPR!$E:$Z,MATCH($A23,SPPR!$A:$A,0),15),""),"")</f>
        <v/>
      </c>
      <c r="S23">
        <f>IFERROR(IF(ISNUMBER(INDEX(SPPR!$E:$Z,MATCH($A23,SPPR!$A:$A,0),16)),$C23*INDEX(SPPR!$E:$Z,MATCH($A23,SPPR!$A:$A,0),16),""),"")</f>
        <v/>
      </c>
      <c r="T23">
        <f>IFERROR(IF(ISNUMBER(INDEX(SPPR!$E:$Z,MATCH($A23,SPPR!$A:$A,0),17)),$C23*INDEX(SPPR!$E:$Z,MATCH($A23,SPPR!$A:$A,0),17),""),"")</f>
        <v/>
      </c>
      <c r="U23">
        <f>IFERROR(IF(ISNUMBER(INDEX(SPPR!$E:$Z,MATCH($A23,SPPR!$A:$A,0),18)),$C23*INDEX(SPPR!$E:$Z,MATCH($A23,SPPR!$A:$A,0),18),""),"")</f>
        <v/>
      </c>
      <c r="V23">
        <f>IFERROR(IF(ISNUMBER(INDEX(SPPR!$E:$Z,MATCH($A23,SPPR!$A:$A,0),19)),$C23*INDEX(SPPR!$E:$Z,MATCH($A23,SPPR!$A:$A,0),19),""),"")</f>
        <v/>
      </c>
      <c r="W23">
        <f>IFERROR(IF(ISNUMBER(INDEX(SPPR!$E:$Z,MATCH($A23,SPPR!$A:$A,0),20)),$C23*INDEX(SPPR!$E:$Z,MATCH($A23,SPPR!$A:$A,0),20),""),"")</f>
        <v/>
      </c>
      <c r="X23">
        <f>IFERROR(IF(ISNUMBER(INDEX(SPPR!$E:$Z,MATCH($A23,SPPR!$A:$A,0),21)),$C23*INDEX(SPPR!$E:$Z,MATCH($A23,SPPR!$A:$A,0),21),""),"")</f>
        <v/>
      </c>
      <c r="Y23">
        <f>IFERROR(IF(ISNUMBER(INDEX(SPPR!$E:$Z,MATCH($A23,SPPR!$A:$A,0),22)),$C23*INDEX(SPPR!$E:$Z,MATCH($A23,SPPR!$A:$A,0),22),""),"")</f>
        <v/>
      </c>
    </row>
    <row r="24">
      <c r="A24" t="inlineStr">
        <is>
          <t>Ariidae</t>
        </is>
      </c>
      <c r="B24">
        <f>IFERROR(INDEX(SPPR!$D:$D,MATCH($A24,SPPR!$A:$A,0)),"")</f>
        <v/>
      </c>
      <c r="C24">
        <f>IFERROR(INDEX(Catch!$E:$BV,MATCH($A24,Catch!$A:$A,0),MATCH($B$4,Catch!$E$1:$BV$1,0)),0)</f>
        <v/>
      </c>
      <c r="D24">
        <f>IFERROR(IF(ISNUMBER(INDEX(SPPR!$E:$Z,MATCH($A24,SPPR!$A:$A,0),1)),$C24*INDEX(SPPR!$E:$Z,MATCH($A24,SPPR!$A:$A,0),1),""),"")</f>
        <v/>
      </c>
      <c r="E24">
        <f>IFERROR(IF(ISNUMBER(INDEX(SPPR!$E:$Z,MATCH($A24,SPPR!$A:$A,0),2)),$C24*INDEX(SPPR!$E:$Z,MATCH($A24,SPPR!$A:$A,0),2),""),"")</f>
        <v/>
      </c>
      <c r="F24">
        <f>IFERROR(IF(ISNUMBER(INDEX(SPPR!$E:$Z,MATCH($A24,SPPR!$A:$A,0),3)),$C24*INDEX(SPPR!$E:$Z,MATCH($A24,SPPR!$A:$A,0),3),""),"")</f>
        <v/>
      </c>
      <c r="G24">
        <f>IFERROR(IF(ISNUMBER(INDEX(SPPR!$E:$Z,MATCH($A24,SPPR!$A:$A,0),4)),$C24*INDEX(SPPR!$E:$Z,MATCH($A24,SPPR!$A:$A,0),4),""),"")</f>
        <v/>
      </c>
      <c r="H24">
        <f>IFERROR(IF(ISNUMBER(INDEX(SPPR!$E:$Z,MATCH($A24,SPPR!$A:$A,0),5)),$C24*INDEX(SPPR!$E:$Z,MATCH($A24,SPPR!$A:$A,0),5),""),"")</f>
        <v/>
      </c>
      <c r="I24">
        <f>IFERROR(IF(ISNUMBER(INDEX(SPPR!$E:$Z,MATCH($A24,SPPR!$A:$A,0),6)),$C24*INDEX(SPPR!$E:$Z,MATCH($A24,SPPR!$A:$A,0),6),""),"")</f>
        <v/>
      </c>
      <c r="J24">
        <f>IFERROR(IF(ISNUMBER(INDEX(SPPR!$E:$Z,MATCH($A24,SPPR!$A:$A,0),7)),$C24*INDEX(SPPR!$E:$Z,MATCH($A24,SPPR!$A:$A,0),7),""),"")</f>
        <v/>
      </c>
      <c r="K24">
        <f>IFERROR(IF(ISNUMBER(INDEX(SPPR!$E:$Z,MATCH($A24,SPPR!$A:$A,0),8)),$C24*INDEX(SPPR!$E:$Z,MATCH($A24,SPPR!$A:$A,0),8),""),"")</f>
        <v/>
      </c>
      <c r="L24">
        <f>IFERROR(IF(ISNUMBER(INDEX(SPPR!$E:$Z,MATCH($A24,SPPR!$A:$A,0),9)),$C24*INDEX(SPPR!$E:$Z,MATCH($A24,SPPR!$A:$A,0),9),""),"")</f>
        <v/>
      </c>
      <c r="M24">
        <f>IFERROR(IF(ISNUMBER(INDEX(SPPR!$E:$Z,MATCH($A24,SPPR!$A:$A,0),10)),$C24*INDEX(SPPR!$E:$Z,MATCH($A24,SPPR!$A:$A,0),10),""),"")</f>
        <v/>
      </c>
      <c r="N24">
        <f>IFERROR(IF(ISNUMBER(INDEX(SPPR!$E:$Z,MATCH($A24,SPPR!$A:$A,0),11)),$C24*INDEX(SPPR!$E:$Z,MATCH($A24,SPPR!$A:$A,0),11),""),"")</f>
        <v/>
      </c>
      <c r="O24">
        <f>IFERROR(IF(ISNUMBER(INDEX(SPPR!$E:$Z,MATCH($A24,SPPR!$A:$A,0),12)),$C24*INDEX(SPPR!$E:$Z,MATCH($A24,SPPR!$A:$A,0),12),""),"")</f>
        <v/>
      </c>
      <c r="P24">
        <f>IFERROR(IF(ISNUMBER(INDEX(SPPR!$E:$Z,MATCH($A24,SPPR!$A:$A,0),13)),$C24*INDEX(SPPR!$E:$Z,MATCH($A24,SPPR!$A:$A,0),13),""),"")</f>
        <v/>
      </c>
      <c r="Q24">
        <f>IFERROR(IF(ISNUMBER(INDEX(SPPR!$E:$Z,MATCH($A24,SPPR!$A:$A,0),14)),$C24*INDEX(SPPR!$E:$Z,MATCH($A24,SPPR!$A:$A,0),14),""),"")</f>
        <v/>
      </c>
      <c r="R24">
        <f>IFERROR(IF(ISNUMBER(INDEX(SPPR!$E:$Z,MATCH($A24,SPPR!$A:$A,0),15)),$C24*INDEX(SPPR!$E:$Z,MATCH($A24,SPPR!$A:$A,0),15),""),"")</f>
        <v/>
      </c>
      <c r="S24">
        <f>IFERROR(IF(ISNUMBER(INDEX(SPPR!$E:$Z,MATCH($A24,SPPR!$A:$A,0),16)),$C24*INDEX(SPPR!$E:$Z,MATCH($A24,SPPR!$A:$A,0),16),""),"")</f>
        <v/>
      </c>
      <c r="T24">
        <f>IFERROR(IF(ISNUMBER(INDEX(SPPR!$E:$Z,MATCH($A24,SPPR!$A:$A,0),17)),$C24*INDEX(SPPR!$E:$Z,MATCH($A24,SPPR!$A:$A,0),17),""),"")</f>
        <v/>
      </c>
      <c r="U24">
        <f>IFERROR(IF(ISNUMBER(INDEX(SPPR!$E:$Z,MATCH($A24,SPPR!$A:$A,0),18)),$C24*INDEX(SPPR!$E:$Z,MATCH($A24,SPPR!$A:$A,0),18),""),"")</f>
        <v/>
      </c>
      <c r="V24">
        <f>IFERROR(IF(ISNUMBER(INDEX(SPPR!$E:$Z,MATCH($A24,SPPR!$A:$A,0),19)),$C24*INDEX(SPPR!$E:$Z,MATCH($A24,SPPR!$A:$A,0),19),""),"")</f>
        <v/>
      </c>
      <c r="W24">
        <f>IFERROR(IF(ISNUMBER(INDEX(SPPR!$E:$Z,MATCH($A24,SPPR!$A:$A,0),20)),$C24*INDEX(SPPR!$E:$Z,MATCH($A24,SPPR!$A:$A,0),20),""),"")</f>
        <v/>
      </c>
      <c r="X24">
        <f>IFERROR(IF(ISNUMBER(INDEX(SPPR!$E:$Z,MATCH($A24,SPPR!$A:$A,0),21)),$C24*INDEX(SPPR!$E:$Z,MATCH($A24,SPPR!$A:$A,0),21),""),"")</f>
        <v/>
      </c>
      <c r="Y24">
        <f>IFERROR(IF(ISNUMBER(INDEX(SPPR!$E:$Z,MATCH($A24,SPPR!$A:$A,0),22)),$C24*INDEX(SPPR!$E:$Z,MATCH($A24,SPPR!$A:$A,0),22),""),"")</f>
        <v/>
      </c>
    </row>
    <row r="25">
      <c r="A25" t="inlineStr">
        <is>
          <t>Decapterus</t>
        </is>
      </c>
      <c r="B25">
        <f>IFERROR(INDEX(SPPR!$D:$D,MATCH($A25,SPPR!$A:$A,0)),"")</f>
        <v/>
      </c>
      <c r="C25">
        <f>IFERROR(INDEX(Catch!$E:$BV,MATCH($A25,Catch!$A:$A,0),MATCH($B$4,Catch!$E$1:$BV$1,0)),0)</f>
        <v/>
      </c>
      <c r="D25">
        <f>IFERROR(IF(ISNUMBER(INDEX(SPPR!$E:$Z,MATCH($A25,SPPR!$A:$A,0),1)),$C25*INDEX(SPPR!$E:$Z,MATCH($A25,SPPR!$A:$A,0),1),""),"")</f>
        <v/>
      </c>
      <c r="E25">
        <f>IFERROR(IF(ISNUMBER(INDEX(SPPR!$E:$Z,MATCH($A25,SPPR!$A:$A,0),2)),$C25*INDEX(SPPR!$E:$Z,MATCH($A25,SPPR!$A:$A,0),2),""),"")</f>
        <v/>
      </c>
      <c r="F25">
        <f>IFERROR(IF(ISNUMBER(INDEX(SPPR!$E:$Z,MATCH($A25,SPPR!$A:$A,0),3)),$C25*INDEX(SPPR!$E:$Z,MATCH($A25,SPPR!$A:$A,0),3),""),"")</f>
        <v/>
      </c>
      <c r="G25">
        <f>IFERROR(IF(ISNUMBER(INDEX(SPPR!$E:$Z,MATCH($A25,SPPR!$A:$A,0),4)),$C25*INDEX(SPPR!$E:$Z,MATCH($A25,SPPR!$A:$A,0),4),""),"")</f>
        <v/>
      </c>
      <c r="H25">
        <f>IFERROR(IF(ISNUMBER(INDEX(SPPR!$E:$Z,MATCH($A25,SPPR!$A:$A,0),5)),$C25*INDEX(SPPR!$E:$Z,MATCH($A25,SPPR!$A:$A,0),5),""),"")</f>
        <v/>
      </c>
      <c r="I25">
        <f>IFERROR(IF(ISNUMBER(INDEX(SPPR!$E:$Z,MATCH($A25,SPPR!$A:$A,0),6)),$C25*INDEX(SPPR!$E:$Z,MATCH($A25,SPPR!$A:$A,0),6),""),"")</f>
        <v/>
      </c>
      <c r="J25">
        <f>IFERROR(IF(ISNUMBER(INDEX(SPPR!$E:$Z,MATCH($A25,SPPR!$A:$A,0),7)),$C25*INDEX(SPPR!$E:$Z,MATCH($A25,SPPR!$A:$A,0),7),""),"")</f>
        <v/>
      </c>
      <c r="K25">
        <f>IFERROR(IF(ISNUMBER(INDEX(SPPR!$E:$Z,MATCH($A25,SPPR!$A:$A,0),8)),$C25*INDEX(SPPR!$E:$Z,MATCH($A25,SPPR!$A:$A,0),8),""),"")</f>
        <v/>
      </c>
      <c r="L25">
        <f>IFERROR(IF(ISNUMBER(INDEX(SPPR!$E:$Z,MATCH($A25,SPPR!$A:$A,0),9)),$C25*INDEX(SPPR!$E:$Z,MATCH($A25,SPPR!$A:$A,0),9),""),"")</f>
        <v/>
      </c>
      <c r="M25">
        <f>IFERROR(IF(ISNUMBER(INDEX(SPPR!$E:$Z,MATCH($A25,SPPR!$A:$A,0),10)),$C25*INDEX(SPPR!$E:$Z,MATCH($A25,SPPR!$A:$A,0),10),""),"")</f>
        <v/>
      </c>
      <c r="N25">
        <f>IFERROR(IF(ISNUMBER(INDEX(SPPR!$E:$Z,MATCH($A25,SPPR!$A:$A,0),11)),$C25*INDEX(SPPR!$E:$Z,MATCH($A25,SPPR!$A:$A,0),11),""),"")</f>
        <v/>
      </c>
      <c r="O25">
        <f>IFERROR(IF(ISNUMBER(INDEX(SPPR!$E:$Z,MATCH($A25,SPPR!$A:$A,0),12)),$C25*INDEX(SPPR!$E:$Z,MATCH($A25,SPPR!$A:$A,0),12),""),"")</f>
        <v/>
      </c>
      <c r="P25">
        <f>IFERROR(IF(ISNUMBER(INDEX(SPPR!$E:$Z,MATCH($A25,SPPR!$A:$A,0),13)),$C25*INDEX(SPPR!$E:$Z,MATCH($A25,SPPR!$A:$A,0),13),""),"")</f>
        <v/>
      </c>
      <c r="Q25">
        <f>IFERROR(IF(ISNUMBER(INDEX(SPPR!$E:$Z,MATCH($A25,SPPR!$A:$A,0),14)),$C25*INDEX(SPPR!$E:$Z,MATCH($A25,SPPR!$A:$A,0),14),""),"")</f>
        <v/>
      </c>
      <c r="R25">
        <f>IFERROR(IF(ISNUMBER(INDEX(SPPR!$E:$Z,MATCH($A25,SPPR!$A:$A,0),15)),$C25*INDEX(SPPR!$E:$Z,MATCH($A25,SPPR!$A:$A,0),15),""),"")</f>
        <v/>
      </c>
      <c r="S25">
        <f>IFERROR(IF(ISNUMBER(INDEX(SPPR!$E:$Z,MATCH($A25,SPPR!$A:$A,0),16)),$C25*INDEX(SPPR!$E:$Z,MATCH($A25,SPPR!$A:$A,0),16),""),"")</f>
        <v/>
      </c>
      <c r="T25">
        <f>IFERROR(IF(ISNUMBER(INDEX(SPPR!$E:$Z,MATCH($A25,SPPR!$A:$A,0),17)),$C25*INDEX(SPPR!$E:$Z,MATCH($A25,SPPR!$A:$A,0),17),""),"")</f>
        <v/>
      </c>
      <c r="U25">
        <f>IFERROR(IF(ISNUMBER(INDEX(SPPR!$E:$Z,MATCH($A25,SPPR!$A:$A,0),18)),$C25*INDEX(SPPR!$E:$Z,MATCH($A25,SPPR!$A:$A,0),18),""),"")</f>
        <v/>
      </c>
      <c r="V25">
        <f>IFERROR(IF(ISNUMBER(INDEX(SPPR!$E:$Z,MATCH($A25,SPPR!$A:$A,0),19)),$C25*INDEX(SPPR!$E:$Z,MATCH($A25,SPPR!$A:$A,0),19),""),"")</f>
        <v/>
      </c>
      <c r="W25">
        <f>IFERROR(IF(ISNUMBER(INDEX(SPPR!$E:$Z,MATCH($A25,SPPR!$A:$A,0),20)),$C25*INDEX(SPPR!$E:$Z,MATCH($A25,SPPR!$A:$A,0),20),""),"")</f>
        <v/>
      </c>
      <c r="X25">
        <f>IFERROR(IF(ISNUMBER(INDEX(SPPR!$E:$Z,MATCH($A25,SPPR!$A:$A,0),21)),$C25*INDEX(SPPR!$E:$Z,MATCH($A25,SPPR!$A:$A,0),21),""),"")</f>
        <v/>
      </c>
      <c r="Y25">
        <f>IFERROR(IF(ISNUMBER(INDEX(SPPR!$E:$Z,MATCH($A25,SPPR!$A:$A,0),22)),$C25*INDEX(SPPR!$E:$Z,MATCH($A25,SPPR!$A:$A,0),22),""),"")</f>
        <v/>
      </c>
    </row>
    <row r="26">
      <c r="A26" t="inlineStr">
        <is>
          <t>Synodontidae</t>
        </is>
      </c>
      <c r="B26">
        <f>IFERROR(INDEX(SPPR!$D:$D,MATCH($A26,SPPR!$A:$A,0)),"")</f>
        <v/>
      </c>
      <c r="C26">
        <f>IFERROR(INDEX(Catch!$E:$BV,MATCH($A26,Catch!$A:$A,0),MATCH($B$4,Catch!$E$1:$BV$1,0)),0)</f>
        <v/>
      </c>
      <c r="D26">
        <f>IFERROR(IF(ISNUMBER(INDEX(SPPR!$E:$Z,MATCH($A26,SPPR!$A:$A,0),1)),$C26*INDEX(SPPR!$E:$Z,MATCH($A26,SPPR!$A:$A,0),1),""),"")</f>
        <v/>
      </c>
      <c r="E26">
        <f>IFERROR(IF(ISNUMBER(INDEX(SPPR!$E:$Z,MATCH($A26,SPPR!$A:$A,0),2)),$C26*INDEX(SPPR!$E:$Z,MATCH($A26,SPPR!$A:$A,0),2),""),"")</f>
        <v/>
      </c>
      <c r="F26">
        <f>IFERROR(IF(ISNUMBER(INDEX(SPPR!$E:$Z,MATCH($A26,SPPR!$A:$A,0),3)),$C26*INDEX(SPPR!$E:$Z,MATCH($A26,SPPR!$A:$A,0),3),""),"")</f>
        <v/>
      </c>
      <c r="G26">
        <f>IFERROR(IF(ISNUMBER(INDEX(SPPR!$E:$Z,MATCH($A26,SPPR!$A:$A,0),4)),$C26*INDEX(SPPR!$E:$Z,MATCH($A26,SPPR!$A:$A,0),4),""),"")</f>
        <v/>
      </c>
      <c r="H26">
        <f>IFERROR(IF(ISNUMBER(INDEX(SPPR!$E:$Z,MATCH($A26,SPPR!$A:$A,0),5)),$C26*INDEX(SPPR!$E:$Z,MATCH($A26,SPPR!$A:$A,0),5),""),"")</f>
        <v/>
      </c>
      <c r="I26">
        <f>IFERROR(IF(ISNUMBER(INDEX(SPPR!$E:$Z,MATCH($A26,SPPR!$A:$A,0),6)),$C26*INDEX(SPPR!$E:$Z,MATCH($A26,SPPR!$A:$A,0),6),""),"")</f>
        <v/>
      </c>
      <c r="J26">
        <f>IFERROR(IF(ISNUMBER(INDEX(SPPR!$E:$Z,MATCH($A26,SPPR!$A:$A,0),7)),$C26*INDEX(SPPR!$E:$Z,MATCH($A26,SPPR!$A:$A,0),7),""),"")</f>
        <v/>
      </c>
      <c r="K26">
        <f>IFERROR(IF(ISNUMBER(INDEX(SPPR!$E:$Z,MATCH($A26,SPPR!$A:$A,0),8)),$C26*INDEX(SPPR!$E:$Z,MATCH($A26,SPPR!$A:$A,0),8),""),"")</f>
        <v/>
      </c>
      <c r="L26">
        <f>IFERROR(IF(ISNUMBER(INDEX(SPPR!$E:$Z,MATCH($A26,SPPR!$A:$A,0),9)),$C26*INDEX(SPPR!$E:$Z,MATCH($A26,SPPR!$A:$A,0),9),""),"")</f>
        <v/>
      </c>
      <c r="M26">
        <f>IFERROR(IF(ISNUMBER(INDEX(SPPR!$E:$Z,MATCH($A26,SPPR!$A:$A,0),10)),$C26*INDEX(SPPR!$E:$Z,MATCH($A26,SPPR!$A:$A,0),10),""),"")</f>
        <v/>
      </c>
      <c r="N26">
        <f>IFERROR(IF(ISNUMBER(INDEX(SPPR!$E:$Z,MATCH($A26,SPPR!$A:$A,0),11)),$C26*INDEX(SPPR!$E:$Z,MATCH($A26,SPPR!$A:$A,0),11),""),"")</f>
        <v/>
      </c>
      <c r="O26">
        <f>IFERROR(IF(ISNUMBER(INDEX(SPPR!$E:$Z,MATCH($A26,SPPR!$A:$A,0),12)),$C26*INDEX(SPPR!$E:$Z,MATCH($A26,SPPR!$A:$A,0),12),""),"")</f>
        <v/>
      </c>
      <c r="P26">
        <f>IFERROR(IF(ISNUMBER(INDEX(SPPR!$E:$Z,MATCH($A26,SPPR!$A:$A,0),13)),$C26*INDEX(SPPR!$E:$Z,MATCH($A26,SPPR!$A:$A,0),13),""),"")</f>
        <v/>
      </c>
      <c r="Q26">
        <f>IFERROR(IF(ISNUMBER(INDEX(SPPR!$E:$Z,MATCH($A26,SPPR!$A:$A,0),14)),$C26*INDEX(SPPR!$E:$Z,MATCH($A26,SPPR!$A:$A,0),14),""),"")</f>
        <v/>
      </c>
      <c r="R26">
        <f>IFERROR(IF(ISNUMBER(INDEX(SPPR!$E:$Z,MATCH($A26,SPPR!$A:$A,0),15)),$C26*INDEX(SPPR!$E:$Z,MATCH($A26,SPPR!$A:$A,0),15),""),"")</f>
        <v/>
      </c>
      <c r="S26">
        <f>IFERROR(IF(ISNUMBER(INDEX(SPPR!$E:$Z,MATCH($A26,SPPR!$A:$A,0),16)),$C26*INDEX(SPPR!$E:$Z,MATCH($A26,SPPR!$A:$A,0),16),""),"")</f>
        <v/>
      </c>
      <c r="T26">
        <f>IFERROR(IF(ISNUMBER(INDEX(SPPR!$E:$Z,MATCH($A26,SPPR!$A:$A,0),17)),$C26*INDEX(SPPR!$E:$Z,MATCH($A26,SPPR!$A:$A,0),17),""),"")</f>
        <v/>
      </c>
      <c r="U26">
        <f>IFERROR(IF(ISNUMBER(INDEX(SPPR!$E:$Z,MATCH($A26,SPPR!$A:$A,0),18)),$C26*INDEX(SPPR!$E:$Z,MATCH($A26,SPPR!$A:$A,0),18),""),"")</f>
        <v/>
      </c>
      <c r="V26">
        <f>IFERROR(IF(ISNUMBER(INDEX(SPPR!$E:$Z,MATCH($A26,SPPR!$A:$A,0),19)),$C26*INDEX(SPPR!$E:$Z,MATCH($A26,SPPR!$A:$A,0),19),""),"")</f>
        <v/>
      </c>
      <c r="W26">
        <f>IFERROR(IF(ISNUMBER(INDEX(SPPR!$E:$Z,MATCH($A26,SPPR!$A:$A,0),20)),$C26*INDEX(SPPR!$E:$Z,MATCH($A26,SPPR!$A:$A,0),20),""),"")</f>
        <v/>
      </c>
      <c r="X26">
        <f>IFERROR(IF(ISNUMBER(INDEX(SPPR!$E:$Z,MATCH($A26,SPPR!$A:$A,0),21)),$C26*INDEX(SPPR!$E:$Z,MATCH($A26,SPPR!$A:$A,0),21),""),"")</f>
        <v/>
      </c>
      <c r="Y26">
        <f>IFERROR(IF(ISNUMBER(INDEX(SPPR!$E:$Z,MATCH($A26,SPPR!$A:$A,0),22)),$C26*INDEX(SPPR!$E:$Z,MATCH($A26,SPPR!$A:$A,0),22),""),"")</f>
        <v/>
      </c>
    </row>
    <row r="27">
      <c r="A27" t="inlineStr">
        <is>
          <t>Sardinella</t>
        </is>
      </c>
      <c r="B27">
        <f>IFERROR(INDEX(SPPR!$D:$D,MATCH($A27,SPPR!$A:$A,0)),"")</f>
        <v/>
      </c>
      <c r="C27">
        <f>IFERROR(INDEX(Catch!$E:$BV,MATCH($A27,Catch!$A:$A,0),MATCH($B$4,Catch!$E$1:$BV$1,0)),0)</f>
        <v/>
      </c>
      <c r="D27">
        <f>IFERROR(IF(ISNUMBER(INDEX(SPPR!$E:$Z,MATCH($A27,SPPR!$A:$A,0),1)),$C27*INDEX(SPPR!$E:$Z,MATCH($A27,SPPR!$A:$A,0),1),""),"")</f>
        <v/>
      </c>
      <c r="E27">
        <f>IFERROR(IF(ISNUMBER(INDEX(SPPR!$E:$Z,MATCH($A27,SPPR!$A:$A,0),2)),$C27*INDEX(SPPR!$E:$Z,MATCH($A27,SPPR!$A:$A,0),2),""),"")</f>
        <v/>
      </c>
      <c r="F27">
        <f>IFERROR(IF(ISNUMBER(INDEX(SPPR!$E:$Z,MATCH($A27,SPPR!$A:$A,0),3)),$C27*INDEX(SPPR!$E:$Z,MATCH($A27,SPPR!$A:$A,0),3),""),"")</f>
        <v/>
      </c>
      <c r="G27">
        <f>IFERROR(IF(ISNUMBER(INDEX(SPPR!$E:$Z,MATCH($A27,SPPR!$A:$A,0),4)),$C27*INDEX(SPPR!$E:$Z,MATCH($A27,SPPR!$A:$A,0),4),""),"")</f>
        <v/>
      </c>
      <c r="H27">
        <f>IFERROR(IF(ISNUMBER(INDEX(SPPR!$E:$Z,MATCH($A27,SPPR!$A:$A,0),5)),$C27*INDEX(SPPR!$E:$Z,MATCH($A27,SPPR!$A:$A,0),5),""),"")</f>
        <v/>
      </c>
      <c r="I27">
        <f>IFERROR(IF(ISNUMBER(INDEX(SPPR!$E:$Z,MATCH($A27,SPPR!$A:$A,0),6)),$C27*INDEX(SPPR!$E:$Z,MATCH($A27,SPPR!$A:$A,0),6),""),"")</f>
        <v/>
      </c>
      <c r="J27">
        <f>IFERROR(IF(ISNUMBER(INDEX(SPPR!$E:$Z,MATCH($A27,SPPR!$A:$A,0),7)),$C27*INDEX(SPPR!$E:$Z,MATCH($A27,SPPR!$A:$A,0),7),""),"")</f>
        <v/>
      </c>
      <c r="K27">
        <f>IFERROR(IF(ISNUMBER(INDEX(SPPR!$E:$Z,MATCH($A27,SPPR!$A:$A,0),8)),$C27*INDEX(SPPR!$E:$Z,MATCH($A27,SPPR!$A:$A,0),8),""),"")</f>
        <v/>
      </c>
      <c r="L27">
        <f>IFERROR(IF(ISNUMBER(INDEX(SPPR!$E:$Z,MATCH($A27,SPPR!$A:$A,0),9)),$C27*INDEX(SPPR!$E:$Z,MATCH($A27,SPPR!$A:$A,0),9),""),"")</f>
        <v/>
      </c>
      <c r="M27">
        <f>IFERROR(IF(ISNUMBER(INDEX(SPPR!$E:$Z,MATCH($A27,SPPR!$A:$A,0),10)),$C27*INDEX(SPPR!$E:$Z,MATCH($A27,SPPR!$A:$A,0),10),""),"")</f>
        <v/>
      </c>
      <c r="N27">
        <f>IFERROR(IF(ISNUMBER(INDEX(SPPR!$E:$Z,MATCH($A27,SPPR!$A:$A,0),11)),$C27*INDEX(SPPR!$E:$Z,MATCH($A27,SPPR!$A:$A,0),11),""),"")</f>
        <v/>
      </c>
      <c r="O27">
        <f>IFERROR(IF(ISNUMBER(INDEX(SPPR!$E:$Z,MATCH($A27,SPPR!$A:$A,0),12)),$C27*INDEX(SPPR!$E:$Z,MATCH($A27,SPPR!$A:$A,0),12),""),"")</f>
        <v/>
      </c>
      <c r="P27">
        <f>IFERROR(IF(ISNUMBER(INDEX(SPPR!$E:$Z,MATCH($A27,SPPR!$A:$A,0),13)),$C27*INDEX(SPPR!$E:$Z,MATCH($A27,SPPR!$A:$A,0),13),""),"")</f>
        <v/>
      </c>
      <c r="Q27">
        <f>IFERROR(IF(ISNUMBER(INDEX(SPPR!$E:$Z,MATCH($A27,SPPR!$A:$A,0),14)),$C27*INDEX(SPPR!$E:$Z,MATCH($A27,SPPR!$A:$A,0),14),""),"")</f>
        <v/>
      </c>
      <c r="R27">
        <f>IFERROR(IF(ISNUMBER(INDEX(SPPR!$E:$Z,MATCH($A27,SPPR!$A:$A,0),15)),$C27*INDEX(SPPR!$E:$Z,MATCH($A27,SPPR!$A:$A,0),15),""),"")</f>
        <v/>
      </c>
      <c r="S27">
        <f>IFERROR(IF(ISNUMBER(INDEX(SPPR!$E:$Z,MATCH($A27,SPPR!$A:$A,0),16)),$C27*INDEX(SPPR!$E:$Z,MATCH($A27,SPPR!$A:$A,0),16),""),"")</f>
        <v/>
      </c>
      <c r="T27">
        <f>IFERROR(IF(ISNUMBER(INDEX(SPPR!$E:$Z,MATCH($A27,SPPR!$A:$A,0),17)),$C27*INDEX(SPPR!$E:$Z,MATCH($A27,SPPR!$A:$A,0),17),""),"")</f>
        <v/>
      </c>
      <c r="U27">
        <f>IFERROR(IF(ISNUMBER(INDEX(SPPR!$E:$Z,MATCH($A27,SPPR!$A:$A,0),18)),$C27*INDEX(SPPR!$E:$Z,MATCH($A27,SPPR!$A:$A,0),18),""),"")</f>
        <v/>
      </c>
      <c r="V27">
        <f>IFERROR(IF(ISNUMBER(INDEX(SPPR!$E:$Z,MATCH($A27,SPPR!$A:$A,0),19)),$C27*INDEX(SPPR!$E:$Z,MATCH($A27,SPPR!$A:$A,0),19),""),"")</f>
        <v/>
      </c>
      <c r="W27">
        <f>IFERROR(IF(ISNUMBER(INDEX(SPPR!$E:$Z,MATCH($A27,SPPR!$A:$A,0),20)),$C27*INDEX(SPPR!$E:$Z,MATCH($A27,SPPR!$A:$A,0),20),""),"")</f>
        <v/>
      </c>
      <c r="X27">
        <f>IFERROR(IF(ISNUMBER(INDEX(SPPR!$E:$Z,MATCH($A27,SPPR!$A:$A,0),21)),$C27*INDEX(SPPR!$E:$Z,MATCH($A27,SPPR!$A:$A,0),21),""),"")</f>
        <v/>
      </c>
      <c r="Y27">
        <f>IFERROR(IF(ISNUMBER(INDEX(SPPR!$E:$Z,MATCH($A27,SPPR!$A:$A,0),22)),$C27*INDEX(SPPR!$E:$Z,MATCH($A27,SPPR!$A:$A,0),22),""),"")</f>
        <v/>
      </c>
    </row>
    <row r="28">
      <c r="A28" t="inlineStr">
        <is>
          <t>Sardinella longiceps</t>
        </is>
      </c>
      <c r="B28">
        <f>IFERROR(INDEX(SPPR!$D:$D,MATCH($A28,SPPR!$A:$A,0)),"")</f>
        <v/>
      </c>
      <c r="C28">
        <f>IFERROR(INDEX(Catch!$E:$BV,MATCH($A28,Catch!$A:$A,0),MATCH($B$4,Catch!$E$1:$BV$1,0)),0)</f>
        <v/>
      </c>
      <c r="D28">
        <f>IFERROR(IF(ISNUMBER(INDEX(SPPR!$E:$Z,MATCH($A28,SPPR!$A:$A,0),1)),$C28*INDEX(SPPR!$E:$Z,MATCH($A28,SPPR!$A:$A,0),1),""),"")</f>
        <v/>
      </c>
      <c r="E28">
        <f>IFERROR(IF(ISNUMBER(INDEX(SPPR!$E:$Z,MATCH($A28,SPPR!$A:$A,0),2)),$C28*INDEX(SPPR!$E:$Z,MATCH($A28,SPPR!$A:$A,0),2),""),"")</f>
        <v/>
      </c>
      <c r="F28">
        <f>IFERROR(IF(ISNUMBER(INDEX(SPPR!$E:$Z,MATCH($A28,SPPR!$A:$A,0),3)),$C28*INDEX(SPPR!$E:$Z,MATCH($A28,SPPR!$A:$A,0),3),""),"")</f>
        <v/>
      </c>
      <c r="G28">
        <f>IFERROR(IF(ISNUMBER(INDEX(SPPR!$E:$Z,MATCH($A28,SPPR!$A:$A,0),4)),$C28*INDEX(SPPR!$E:$Z,MATCH($A28,SPPR!$A:$A,0),4),""),"")</f>
        <v/>
      </c>
      <c r="H28">
        <f>IFERROR(IF(ISNUMBER(INDEX(SPPR!$E:$Z,MATCH($A28,SPPR!$A:$A,0),5)),$C28*INDEX(SPPR!$E:$Z,MATCH($A28,SPPR!$A:$A,0),5),""),"")</f>
        <v/>
      </c>
      <c r="I28">
        <f>IFERROR(IF(ISNUMBER(INDEX(SPPR!$E:$Z,MATCH($A28,SPPR!$A:$A,0),6)),$C28*INDEX(SPPR!$E:$Z,MATCH($A28,SPPR!$A:$A,0),6),""),"")</f>
        <v/>
      </c>
      <c r="J28">
        <f>IFERROR(IF(ISNUMBER(INDEX(SPPR!$E:$Z,MATCH($A28,SPPR!$A:$A,0),7)),$C28*INDEX(SPPR!$E:$Z,MATCH($A28,SPPR!$A:$A,0),7),""),"")</f>
        <v/>
      </c>
      <c r="K28">
        <f>IFERROR(IF(ISNUMBER(INDEX(SPPR!$E:$Z,MATCH($A28,SPPR!$A:$A,0),8)),$C28*INDEX(SPPR!$E:$Z,MATCH($A28,SPPR!$A:$A,0),8),""),"")</f>
        <v/>
      </c>
      <c r="L28">
        <f>IFERROR(IF(ISNUMBER(INDEX(SPPR!$E:$Z,MATCH($A28,SPPR!$A:$A,0),9)),$C28*INDEX(SPPR!$E:$Z,MATCH($A28,SPPR!$A:$A,0),9),""),"")</f>
        <v/>
      </c>
      <c r="M28">
        <f>IFERROR(IF(ISNUMBER(INDEX(SPPR!$E:$Z,MATCH($A28,SPPR!$A:$A,0),10)),$C28*INDEX(SPPR!$E:$Z,MATCH($A28,SPPR!$A:$A,0),10),""),"")</f>
        <v/>
      </c>
      <c r="N28">
        <f>IFERROR(IF(ISNUMBER(INDEX(SPPR!$E:$Z,MATCH($A28,SPPR!$A:$A,0),11)),$C28*INDEX(SPPR!$E:$Z,MATCH($A28,SPPR!$A:$A,0),11),""),"")</f>
        <v/>
      </c>
      <c r="O28">
        <f>IFERROR(IF(ISNUMBER(INDEX(SPPR!$E:$Z,MATCH($A28,SPPR!$A:$A,0),12)),$C28*INDEX(SPPR!$E:$Z,MATCH($A28,SPPR!$A:$A,0),12),""),"")</f>
        <v/>
      </c>
      <c r="P28">
        <f>IFERROR(IF(ISNUMBER(INDEX(SPPR!$E:$Z,MATCH($A28,SPPR!$A:$A,0),13)),$C28*INDEX(SPPR!$E:$Z,MATCH($A28,SPPR!$A:$A,0),13),""),"")</f>
        <v/>
      </c>
      <c r="Q28">
        <f>IFERROR(IF(ISNUMBER(INDEX(SPPR!$E:$Z,MATCH($A28,SPPR!$A:$A,0),14)),$C28*INDEX(SPPR!$E:$Z,MATCH($A28,SPPR!$A:$A,0),14),""),"")</f>
        <v/>
      </c>
      <c r="R28">
        <f>IFERROR(IF(ISNUMBER(INDEX(SPPR!$E:$Z,MATCH($A28,SPPR!$A:$A,0),15)),$C28*INDEX(SPPR!$E:$Z,MATCH($A28,SPPR!$A:$A,0),15),""),"")</f>
        <v/>
      </c>
      <c r="S28">
        <f>IFERROR(IF(ISNUMBER(INDEX(SPPR!$E:$Z,MATCH($A28,SPPR!$A:$A,0),16)),$C28*INDEX(SPPR!$E:$Z,MATCH($A28,SPPR!$A:$A,0),16),""),"")</f>
        <v/>
      </c>
      <c r="T28">
        <f>IFERROR(IF(ISNUMBER(INDEX(SPPR!$E:$Z,MATCH($A28,SPPR!$A:$A,0),17)),$C28*INDEX(SPPR!$E:$Z,MATCH($A28,SPPR!$A:$A,0),17),""),"")</f>
        <v/>
      </c>
      <c r="U28">
        <f>IFERROR(IF(ISNUMBER(INDEX(SPPR!$E:$Z,MATCH($A28,SPPR!$A:$A,0),18)),$C28*INDEX(SPPR!$E:$Z,MATCH($A28,SPPR!$A:$A,0),18),""),"")</f>
        <v/>
      </c>
      <c r="V28">
        <f>IFERROR(IF(ISNUMBER(INDEX(SPPR!$E:$Z,MATCH($A28,SPPR!$A:$A,0),19)),$C28*INDEX(SPPR!$E:$Z,MATCH($A28,SPPR!$A:$A,0),19),""),"")</f>
        <v/>
      </c>
      <c r="W28">
        <f>IFERROR(IF(ISNUMBER(INDEX(SPPR!$E:$Z,MATCH($A28,SPPR!$A:$A,0),20)),$C28*INDEX(SPPR!$E:$Z,MATCH($A28,SPPR!$A:$A,0),20),""),"")</f>
        <v/>
      </c>
      <c r="X28">
        <f>IFERROR(IF(ISNUMBER(INDEX(SPPR!$E:$Z,MATCH($A28,SPPR!$A:$A,0),21)),$C28*INDEX(SPPR!$E:$Z,MATCH($A28,SPPR!$A:$A,0),21),""),"")</f>
        <v/>
      </c>
      <c r="Y28">
        <f>IFERROR(IF(ISNUMBER(INDEX(SPPR!$E:$Z,MATCH($A28,SPPR!$A:$A,0),22)),$C28*INDEX(SPPR!$E:$Z,MATCH($A28,SPPR!$A:$A,0),22),""),"")</f>
        <v/>
      </c>
    </row>
    <row r="29">
      <c r="A29" t="inlineStr">
        <is>
          <t>Scombridae</t>
        </is>
      </c>
      <c r="B29">
        <f>IFERROR(INDEX(SPPR!$D:$D,MATCH($A29,SPPR!$A:$A,0)),"")</f>
        <v/>
      </c>
      <c r="C29">
        <f>IFERROR(INDEX(Catch!$E:$BV,MATCH($A29,Catch!$A:$A,0),MATCH($B$4,Catch!$E$1:$BV$1,0)),0)</f>
        <v/>
      </c>
      <c r="D29">
        <f>IFERROR(IF(ISNUMBER(INDEX(SPPR!$E:$Z,MATCH($A29,SPPR!$A:$A,0),1)),$C29*INDEX(SPPR!$E:$Z,MATCH($A29,SPPR!$A:$A,0),1),""),"")</f>
        <v/>
      </c>
      <c r="E29">
        <f>IFERROR(IF(ISNUMBER(INDEX(SPPR!$E:$Z,MATCH($A29,SPPR!$A:$A,0),2)),$C29*INDEX(SPPR!$E:$Z,MATCH($A29,SPPR!$A:$A,0),2),""),"")</f>
        <v/>
      </c>
      <c r="F29">
        <f>IFERROR(IF(ISNUMBER(INDEX(SPPR!$E:$Z,MATCH($A29,SPPR!$A:$A,0),3)),$C29*INDEX(SPPR!$E:$Z,MATCH($A29,SPPR!$A:$A,0),3),""),"")</f>
        <v/>
      </c>
      <c r="G29">
        <f>IFERROR(IF(ISNUMBER(INDEX(SPPR!$E:$Z,MATCH($A29,SPPR!$A:$A,0),4)),$C29*INDEX(SPPR!$E:$Z,MATCH($A29,SPPR!$A:$A,0),4),""),"")</f>
        <v/>
      </c>
      <c r="H29">
        <f>IFERROR(IF(ISNUMBER(INDEX(SPPR!$E:$Z,MATCH($A29,SPPR!$A:$A,0),5)),$C29*INDEX(SPPR!$E:$Z,MATCH($A29,SPPR!$A:$A,0),5),""),"")</f>
        <v/>
      </c>
      <c r="I29">
        <f>IFERROR(IF(ISNUMBER(INDEX(SPPR!$E:$Z,MATCH($A29,SPPR!$A:$A,0),6)),$C29*INDEX(SPPR!$E:$Z,MATCH($A29,SPPR!$A:$A,0),6),""),"")</f>
        <v/>
      </c>
      <c r="J29">
        <f>IFERROR(IF(ISNUMBER(INDEX(SPPR!$E:$Z,MATCH($A29,SPPR!$A:$A,0),7)),$C29*INDEX(SPPR!$E:$Z,MATCH($A29,SPPR!$A:$A,0),7),""),"")</f>
        <v/>
      </c>
      <c r="K29">
        <f>IFERROR(IF(ISNUMBER(INDEX(SPPR!$E:$Z,MATCH($A29,SPPR!$A:$A,0),8)),$C29*INDEX(SPPR!$E:$Z,MATCH($A29,SPPR!$A:$A,0),8),""),"")</f>
        <v/>
      </c>
      <c r="L29">
        <f>IFERROR(IF(ISNUMBER(INDEX(SPPR!$E:$Z,MATCH($A29,SPPR!$A:$A,0),9)),$C29*INDEX(SPPR!$E:$Z,MATCH($A29,SPPR!$A:$A,0),9),""),"")</f>
        <v/>
      </c>
      <c r="M29">
        <f>IFERROR(IF(ISNUMBER(INDEX(SPPR!$E:$Z,MATCH($A29,SPPR!$A:$A,0),10)),$C29*INDEX(SPPR!$E:$Z,MATCH($A29,SPPR!$A:$A,0),10),""),"")</f>
        <v/>
      </c>
      <c r="N29">
        <f>IFERROR(IF(ISNUMBER(INDEX(SPPR!$E:$Z,MATCH($A29,SPPR!$A:$A,0),11)),$C29*INDEX(SPPR!$E:$Z,MATCH($A29,SPPR!$A:$A,0),11),""),"")</f>
        <v/>
      </c>
      <c r="O29">
        <f>IFERROR(IF(ISNUMBER(INDEX(SPPR!$E:$Z,MATCH($A29,SPPR!$A:$A,0),12)),$C29*INDEX(SPPR!$E:$Z,MATCH($A29,SPPR!$A:$A,0),12),""),"")</f>
        <v/>
      </c>
      <c r="P29">
        <f>IFERROR(IF(ISNUMBER(INDEX(SPPR!$E:$Z,MATCH($A29,SPPR!$A:$A,0),13)),$C29*INDEX(SPPR!$E:$Z,MATCH($A29,SPPR!$A:$A,0),13),""),"")</f>
        <v/>
      </c>
      <c r="Q29">
        <f>IFERROR(IF(ISNUMBER(INDEX(SPPR!$E:$Z,MATCH($A29,SPPR!$A:$A,0),14)),$C29*INDEX(SPPR!$E:$Z,MATCH($A29,SPPR!$A:$A,0),14),""),"")</f>
        <v/>
      </c>
      <c r="R29">
        <f>IFERROR(IF(ISNUMBER(INDEX(SPPR!$E:$Z,MATCH($A29,SPPR!$A:$A,0),15)),$C29*INDEX(SPPR!$E:$Z,MATCH($A29,SPPR!$A:$A,0),15),""),"")</f>
        <v/>
      </c>
      <c r="S29">
        <f>IFERROR(IF(ISNUMBER(INDEX(SPPR!$E:$Z,MATCH($A29,SPPR!$A:$A,0),16)),$C29*INDEX(SPPR!$E:$Z,MATCH($A29,SPPR!$A:$A,0),16),""),"")</f>
        <v/>
      </c>
      <c r="T29">
        <f>IFERROR(IF(ISNUMBER(INDEX(SPPR!$E:$Z,MATCH($A29,SPPR!$A:$A,0),17)),$C29*INDEX(SPPR!$E:$Z,MATCH($A29,SPPR!$A:$A,0),17),""),"")</f>
        <v/>
      </c>
      <c r="U29">
        <f>IFERROR(IF(ISNUMBER(INDEX(SPPR!$E:$Z,MATCH($A29,SPPR!$A:$A,0),18)),$C29*INDEX(SPPR!$E:$Z,MATCH($A29,SPPR!$A:$A,0),18),""),"")</f>
        <v/>
      </c>
      <c r="V29">
        <f>IFERROR(IF(ISNUMBER(INDEX(SPPR!$E:$Z,MATCH($A29,SPPR!$A:$A,0),19)),$C29*INDEX(SPPR!$E:$Z,MATCH($A29,SPPR!$A:$A,0),19),""),"")</f>
        <v/>
      </c>
      <c r="W29">
        <f>IFERROR(IF(ISNUMBER(INDEX(SPPR!$E:$Z,MATCH($A29,SPPR!$A:$A,0),20)),$C29*INDEX(SPPR!$E:$Z,MATCH($A29,SPPR!$A:$A,0),20),""),"")</f>
        <v/>
      </c>
      <c r="X29">
        <f>IFERROR(IF(ISNUMBER(INDEX(SPPR!$E:$Z,MATCH($A29,SPPR!$A:$A,0),21)),$C29*INDEX(SPPR!$E:$Z,MATCH($A29,SPPR!$A:$A,0),21),""),"")</f>
        <v/>
      </c>
      <c r="Y29">
        <f>IFERROR(IF(ISNUMBER(INDEX(SPPR!$E:$Z,MATCH($A29,SPPR!$A:$A,0),22)),$C29*INDEX(SPPR!$E:$Z,MATCH($A29,SPPR!$A:$A,0),22),""),"")</f>
        <v/>
      </c>
    </row>
    <row r="30">
      <c r="A30" t="inlineStr">
        <is>
          <t>Anguilliformes</t>
        </is>
      </c>
      <c r="B30">
        <f>IFERROR(INDEX(SPPR!$D:$D,MATCH($A30,SPPR!$A:$A,0)),"")</f>
        <v/>
      </c>
      <c r="C30">
        <f>IFERROR(INDEX(Catch!$E:$BV,MATCH($A30,Catch!$A:$A,0),MATCH($B$4,Catch!$E$1:$BV$1,0)),0)</f>
        <v/>
      </c>
      <c r="D30">
        <f>IFERROR(IF(ISNUMBER(INDEX(SPPR!$E:$Z,MATCH($A30,SPPR!$A:$A,0),1)),$C30*INDEX(SPPR!$E:$Z,MATCH($A30,SPPR!$A:$A,0),1),""),"")</f>
        <v/>
      </c>
      <c r="E30">
        <f>IFERROR(IF(ISNUMBER(INDEX(SPPR!$E:$Z,MATCH($A30,SPPR!$A:$A,0),2)),$C30*INDEX(SPPR!$E:$Z,MATCH($A30,SPPR!$A:$A,0),2),""),"")</f>
        <v/>
      </c>
      <c r="F30">
        <f>IFERROR(IF(ISNUMBER(INDEX(SPPR!$E:$Z,MATCH($A30,SPPR!$A:$A,0),3)),$C30*INDEX(SPPR!$E:$Z,MATCH($A30,SPPR!$A:$A,0),3),""),"")</f>
        <v/>
      </c>
      <c r="G30">
        <f>IFERROR(IF(ISNUMBER(INDEX(SPPR!$E:$Z,MATCH($A30,SPPR!$A:$A,0),4)),$C30*INDEX(SPPR!$E:$Z,MATCH($A30,SPPR!$A:$A,0),4),""),"")</f>
        <v/>
      </c>
      <c r="H30">
        <f>IFERROR(IF(ISNUMBER(INDEX(SPPR!$E:$Z,MATCH($A30,SPPR!$A:$A,0),5)),$C30*INDEX(SPPR!$E:$Z,MATCH($A30,SPPR!$A:$A,0),5),""),"")</f>
        <v/>
      </c>
      <c r="I30">
        <f>IFERROR(IF(ISNUMBER(INDEX(SPPR!$E:$Z,MATCH($A30,SPPR!$A:$A,0),6)),$C30*INDEX(SPPR!$E:$Z,MATCH($A30,SPPR!$A:$A,0),6),""),"")</f>
        <v/>
      </c>
      <c r="J30">
        <f>IFERROR(IF(ISNUMBER(INDEX(SPPR!$E:$Z,MATCH($A30,SPPR!$A:$A,0),7)),$C30*INDEX(SPPR!$E:$Z,MATCH($A30,SPPR!$A:$A,0),7),""),"")</f>
        <v/>
      </c>
      <c r="K30">
        <f>IFERROR(IF(ISNUMBER(INDEX(SPPR!$E:$Z,MATCH($A30,SPPR!$A:$A,0),8)),$C30*INDEX(SPPR!$E:$Z,MATCH($A30,SPPR!$A:$A,0),8),""),"")</f>
        <v/>
      </c>
      <c r="L30">
        <f>IFERROR(IF(ISNUMBER(INDEX(SPPR!$E:$Z,MATCH($A30,SPPR!$A:$A,0),9)),$C30*INDEX(SPPR!$E:$Z,MATCH($A30,SPPR!$A:$A,0),9),""),"")</f>
        <v/>
      </c>
      <c r="M30">
        <f>IFERROR(IF(ISNUMBER(INDEX(SPPR!$E:$Z,MATCH($A30,SPPR!$A:$A,0),10)),$C30*INDEX(SPPR!$E:$Z,MATCH($A30,SPPR!$A:$A,0),10),""),"")</f>
        <v/>
      </c>
      <c r="N30">
        <f>IFERROR(IF(ISNUMBER(INDEX(SPPR!$E:$Z,MATCH($A30,SPPR!$A:$A,0),11)),$C30*INDEX(SPPR!$E:$Z,MATCH($A30,SPPR!$A:$A,0),11),""),"")</f>
        <v/>
      </c>
      <c r="O30">
        <f>IFERROR(IF(ISNUMBER(INDEX(SPPR!$E:$Z,MATCH($A30,SPPR!$A:$A,0),12)),$C30*INDEX(SPPR!$E:$Z,MATCH($A30,SPPR!$A:$A,0),12),""),"")</f>
        <v/>
      </c>
      <c r="P30">
        <f>IFERROR(IF(ISNUMBER(INDEX(SPPR!$E:$Z,MATCH($A30,SPPR!$A:$A,0),13)),$C30*INDEX(SPPR!$E:$Z,MATCH($A30,SPPR!$A:$A,0),13),""),"")</f>
        <v/>
      </c>
      <c r="Q30">
        <f>IFERROR(IF(ISNUMBER(INDEX(SPPR!$E:$Z,MATCH($A30,SPPR!$A:$A,0),14)),$C30*INDEX(SPPR!$E:$Z,MATCH($A30,SPPR!$A:$A,0),14),""),"")</f>
        <v/>
      </c>
      <c r="R30">
        <f>IFERROR(IF(ISNUMBER(INDEX(SPPR!$E:$Z,MATCH($A30,SPPR!$A:$A,0),15)),$C30*INDEX(SPPR!$E:$Z,MATCH($A30,SPPR!$A:$A,0),15),""),"")</f>
        <v/>
      </c>
      <c r="S30">
        <f>IFERROR(IF(ISNUMBER(INDEX(SPPR!$E:$Z,MATCH($A30,SPPR!$A:$A,0),16)),$C30*INDEX(SPPR!$E:$Z,MATCH($A30,SPPR!$A:$A,0),16),""),"")</f>
        <v/>
      </c>
      <c r="T30">
        <f>IFERROR(IF(ISNUMBER(INDEX(SPPR!$E:$Z,MATCH($A30,SPPR!$A:$A,0),17)),$C30*INDEX(SPPR!$E:$Z,MATCH($A30,SPPR!$A:$A,0),17),""),"")</f>
        <v/>
      </c>
      <c r="U30">
        <f>IFERROR(IF(ISNUMBER(INDEX(SPPR!$E:$Z,MATCH($A30,SPPR!$A:$A,0),18)),$C30*INDEX(SPPR!$E:$Z,MATCH($A30,SPPR!$A:$A,0),18),""),"")</f>
        <v/>
      </c>
      <c r="V30">
        <f>IFERROR(IF(ISNUMBER(INDEX(SPPR!$E:$Z,MATCH($A30,SPPR!$A:$A,0),19)),$C30*INDEX(SPPR!$E:$Z,MATCH($A30,SPPR!$A:$A,0),19),""),"")</f>
        <v/>
      </c>
      <c r="W30">
        <f>IFERROR(IF(ISNUMBER(INDEX(SPPR!$E:$Z,MATCH($A30,SPPR!$A:$A,0),20)),$C30*INDEX(SPPR!$E:$Z,MATCH($A30,SPPR!$A:$A,0),20),""),"")</f>
        <v/>
      </c>
      <c r="X30">
        <f>IFERROR(IF(ISNUMBER(INDEX(SPPR!$E:$Z,MATCH($A30,SPPR!$A:$A,0),21)),$C30*INDEX(SPPR!$E:$Z,MATCH($A30,SPPR!$A:$A,0),21),""),"")</f>
        <v/>
      </c>
      <c r="Y30">
        <f>IFERROR(IF(ISNUMBER(INDEX(SPPR!$E:$Z,MATCH($A30,SPPR!$A:$A,0),22)),$C30*INDEX(SPPR!$E:$Z,MATCH($A30,SPPR!$A:$A,0),22),""),"")</f>
        <v/>
      </c>
    </row>
    <row r="31">
      <c r="A31" t="inlineStr">
        <is>
          <t>Decapoda</t>
        </is>
      </c>
      <c r="B31">
        <f>IFERROR(INDEX(SPPR!$D:$D,MATCH($A31,SPPR!$A:$A,0)),"")</f>
        <v/>
      </c>
      <c r="C31">
        <f>IFERROR(INDEX(Catch!$E:$BV,MATCH($A31,Catch!$A:$A,0),MATCH($B$4,Catch!$E$1:$BV$1,0)),0)</f>
        <v/>
      </c>
      <c r="D31">
        <f>IFERROR(IF(ISNUMBER(INDEX(SPPR!$E:$Z,MATCH($A31,SPPR!$A:$A,0),1)),$C31*INDEX(SPPR!$E:$Z,MATCH($A31,SPPR!$A:$A,0),1),""),"")</f>
        <v/>
      </c>
      <c r="E31">
        <f>IFERROR(IF(ISNUMBER(INDEX(SPPR!$E:$Z,MATCH($A31,SPPR!$A:$A,0),2)),$C31*INDEX(SPPR!$E:$Z,MATCH($A31,SPPR!$A:$A,0),2),""),"")</f>
        <v/>
      </c>
      <c r="F31">
        <f>IFERROR(IF(ISNUMBER(INDEX(SPPR!$E:$Z,MATCH($A31,SPPR!$A:$A,0),3)),$C31*INDEX(SPPR!$E:$Z,MATCH($A31,SPPR!$A:$A,0),3),""),"")</f>
        <v/>
      </c>
      <c r="G31">
        <f>IFERROR(IF(ISNUMBER(INDEX(SPPR!$E:$Z,MATCH($A31,SPPR!$A:$A,0),4)),$C31*INDEX(SPPR!$E:$Z,MATCH($A31,SPPR!$A:$A,0),4),""),"")</f>
        <v/>
      </c>
      <c r="H31">
        <f>IFERROR(IF(ISNUMBER(INDEX(SPPR!$E:$Z,MATCH($A31,SPPR!$A:$A,0),5)),$C31*INDEX(SPPR!$E:$Z,MATCH($A31,SPPR!$A:$A,0),5),""),"")</f>
        <v/>
      </c>
      <c r="I31">
        <f>IFERROR(IF(ISNUMBER(INDEX(SPPR!$E:$Z,MATCH($A31,SPPR!$A:$A,0),6)),$C31*INDEX(SPPR!$E:$Z,MATCH($A31,SPPR!$A:$A,0),6),""),"")</f>
        <v/>
      </c>
      <c r="J31">
        <f>IFERROR(IF(ISNUMBER(INDEX(SPPR!$E:$Z,MATCH($A31,SPPR!$A:$A,0),7)),$C31*INDEX(SPPR!$E:$Z,MATCH($A31,SPPR!$A:$A,0),7),""),"")</f>
        <v/>
      </c>
      <c r="K31">
        <f>IFERROR(IF(ISNUMBER(INDEX(SPPR!$E:$Z,MATCH($A31,SPPR!$A:$A,0),8)),$C31*INDEX(SPPR!$E:$Z,MATCH($A31,SPPR!$A:$A,0),8),""),"")</f>
        <v/>
      </c>
      <c r="L31">
        <f>IFERROR(IF(ISNUMBER(INDEX(SPPR!$E:$Z,MATCH($A31,SPPR!$A:$A,0),9)),$C31*INDEX(SPPR!$E:$Z,MATCH($A31,SPPR!$A:$A,0),9),""),"")</f>
        <v/>
      </c>
      <c r="M31">
        <f>IFERROR(IF(ISNUMBER(INDEX(SPPR!$E:$Z,MATCH($A31,SPPR!$A:$A,0),10)),$C31*INDEX(SPPR!$E:$Z,MATCH($A31,SPPR!$A:$A,0),10),""),"")</f>
        <v/>
      </c>
      <c r="N31">
        <f>IFERROR(IF(ISNUMBER(INDEX(SPPR!$E:$Z,MATCH($A31,SPPR!$A:$A,0),11)),$C31*INDEX(SPPR!$E:$Z,MATCH($A31,SPPR!$A:$A,0),11),""),"")</f>
        <v/>
      </c>
      <c r="O31">
        <f>IFERROR(IF(ISNUMBER(INDEX(SPPR!$E:$Z,MATCH($A31,SPPR!$A:$A,0),12)),$C31*INDEX(SPPR!$E:$Z,MATCH($A31,SPPR!$A:$A,0),12),""),"")</f>
        <v/>
      </c>
      <c r="P31">
        <f>IFERROR(IF(ISNUMBER(INDEX(SPPR!$E:$Z,MATCH($A31,SPPR!$A:$A,0),13)),$C31*INDEX(SPPR!$E:$Z,MATCH($A31,SPPR!$A:$A,0),13),""),"")</f>
        <v/>
      </c>
      <c r="Q31">
        <f>IFERROR(IF(ISNUMBER(INDEX(SPPR!$E:$Z,MATCH($A31,SPPR!$A:$A,0),14)),$C31*INDEX(SPPR!$E:$Z,MATCH($A31,SPPR!$A:$A,0),14),""),"")</f>
        <v/>
      </c>
      <c r="R31">
        <f>IFERROR(IF(ISNUMBER(INDEX(SPPR!$E:$Z,MATCH($A31,SPPR!$A:$A,0),15)),$C31*INDEX(SPPR!$E:$Z,MATCH($A31,SPPR!$A:$A,0),15),""),"")</f>
        <v/>
      </c>
      <c r="S31">
        <f>IFERROR(IF(ISNUMBER(INDEX(SPPR!$E:$Z,MATCH($A31,SPPR!$A:$A,0),16)),$C31*INDEX(SPPR!$E:$Z,MATCH($A31,SPPR!$A:$A,0),16),""),"")</f>
        <v/>
      </c>
      <c r="T31">
        <f>IFERROR(IF(ISNUMBER(INDEX(SPPR!$E:$Z,MATCH($A31,SPPR!$A:$A,0),17)),$C31*INDEX(SPPR!$E:$Z,MATCH($A31,SPPR!$A:$A,0),17),""),"")</f>
        <v/>
      </c>
      <c r="U31">
        <f>IFERROR(IF(ISNUMBER(INDEX(SPPR!$E:$Z,MATCH($A31,SPPR!$A:$A,0),18)),$C31*INDEX(SPPR!$E:$Z,MATCH($A31,SPPR!$A:$A,0),18),""),"")</f>
        <v/>
      </c>
      <c r="V31">
        <f>IFERROR(IF(ISNUMBER(INDEX(SPPR!$E:$Z,MATCH($A31,SPPR!$A:$A,0),19)),$C31*INDEX(SPPR!$E:$Z,MATCH($A31,SPPR!$A:$A,0),19),""),"")</f>
        <v/>
      </c>
      <c r="W31">
        <f>IFERROR(IF(ISNUMBER(INDEX(SPPR!$E:$Z,MATCH($A31,SPPR!$A:$A,0),20)),$C31*INDEX(SPPR!$E:$Z,MATCH($A31,SPPR!$A:$A,0),20),""),"")</f>
        <v/>
      </c>
      <c r="X31">
        <f>IFERROR(IF(ISNUMBER(INDEX(SPPR!$E:$Z,MATCH($A31,SPPR!$A:$A,0),21)),$C31*INDEX(SPPR!$E:$Z,MATCH($A31,SPPR!$A:$A,0),21),""),"")</f>
        <v/>
      </c>
      <c r="Y31">
        <f>IFERROR(IF(ISNUMBER(INDEX(SPPR!$E:$Z,MATCH($A31,SPPR!$A:$A,0),22)),$C31*INDEX(SPPR!$E:$Z,MATCH($A31,SPPR!$A:$A,0),22),""),"")</f>
        <v/>
      </c>
    </row>
    <row r="32">
      <c r="A32" t="inlineStr">
        <is>
          <t>Megalaspis cordyla</t>
        </is>
      </c>
      <c r="B32">
        <f>IFERROR(INDEX(SPPR!$D:$D,MATCH($A32,SPPR!$A:$A,0)),"")</f>
        <v/>
      </c>
      <c r="C32">
        <f>IFERROR(INDEX(Catch!$E:$BV,MATCH($A32,Catch!$A:$A,0),MATCH($B$4,Catch!$E$1:$BV$1,0)),0)</f>
        <v/>
      </c>
      <c r="D32">
        <f>IFERROR(IF(ISNUMBER(INDEX(SPPR!$E:$Z,MATCH($A32,SPPR!$A:$A,0),1)),$C32*INDEX(SPPR!$E:$Z,MATCH($A32,SPPR!$A:$A,0),1),""),"")</f>
        <v/>
      </c>
      <c r="E32">
        <f>IFERROR(IF(ISNUMBER(INDEX(SPPR!$E:$Z,MATCH($A32,SPPR!$A:$A,0),2)),$C32*INDEX(SPPR!$E:$Z,MATCH($A32,SPPR!$A:$A,0),2),""),"")</f>
        <v/>
      </c>
      <c r="F32">
        <f>IFERROR(IF(ISNUMBER(INDEX(SPPR!$E:$Z,MATCH($A32,SPPR!$A:$A,0),3)),$C32*INDEX(SPPR!$E:$Z,MATCH($A32,SPPR!$A:$A,0),3),""),"")</f>
        <v/>
      </c>
      <c r="G32">
        <f>IFERROR(IF(ISNUMBER(INDEX(SPPR!$E:$Z,MATCH($A32,SPPR!$A:$A,0),4)),$C32*INDEX(SPPR!$E:$Z,MATCH($A32,SPPR!$A:$A,0),4),""),"")</f>
        <v/>
      </c>
      <c r="H32">
        <f>IFERROR(IF(ISNUMBER(INDEX(SPPR!$E:$Z,MATCH($A32,SPPR!$A:$A,0),5)),$C32*INDEX(SPPR!$E:$Z,MATCH($A32,SPPR!$A:$A,0),5),""),"")</f>
        <v/>
      </c>
      <c r="I32">
        <f>IFERROR(IF(ISNUMBER(INDEX(SPPR!$E:$Z,MATCH($A32,SPPR!$A:$A,0),6)),$C32*INDEX(SPPR!$E:$Z,MATCH($A32,SPPR!$A:$A,0),6),""),"")</f>
        <v/>
      </c>
      <c r="J32">
        <f>IFERROR(IF(ISNUMBER(INDEX(SPPR!$E:$Z,MATCH($A32,SPPR!$A:$A,0),7)),$C32*INDEX(SPPR!$E:$Z,MATCH($A32,SPPR!$A:$A,0),7),""),"")</f>
        <v/>
      </c>
      <c r="K32">
        <f>IFERROR(IF(ISNUMBER(INDEX(SPPR!$E:$Z,MATCH($A32,SPPR!$A:$A,0),8)),$C32*INDEX(SPPR!$E:$Z,MATCH($A32,SPPR!$A:$A,0),8),""),"")</f>
        <v/>
      </c>
      <c r="L32">
        <f>IFERROR(IF(ISNUMBER(INDEX(SPPR!$E:$Z,MATCH($A32,SPPR!$A:$A,0),9)),$C32*INDEX(SPPR!$E:$Z,MATCH($A32,SPPR!$A:$A,0),9),""),"")</f>
        <v/>
      </c>
      <c r="M32">
        <f>IFERROR(IF(ISNUMBER(INDEX(SPPR!$E:$Z,MATCH($A32,SPPR!$A:$A,0),10)),$C32*INDEX(SPPR!$E:$Z,MATCH($A32,SPPR!$A:$A,0),10),""),"")</f>
        <v/>
      </c>
      <c r="N32">
        <f>IFERROR(IF(ISNUMBER(INDEX(SPPR!$E:$Z,MATCH($A32,SPPR!$A:$A,0),11)),$C32*INDEX(SPPR!$E:$Z,MATCH($A32,SPPR!$A:$A,0),11),""),"")</f>
        <v/>
      </c>
      <c r="O32">
        <f>IFERROR(IF(ISNUMBER(INDEX(SPPR!$E:$Z,MATCH($A32,SPPR!$A:$A,0),12)),$C32*INDEX(SPPR!$E:$Z,MATCH($A32,SPPR!$A:$A,0),12),""),"")</f>
        <v/>
      </c>
      <c r="P32">
        <f>IFERROR(IF(ISNUMBER(INDEX(SPPR!$E:$Z,MATCH($A32,SPPR!$A:$A,0),13)),$C32*INDEX(SPPR!$E:$Z,MATCH($A32,SPPR!$A:$A,0),13),""),"")</f>
        <v/>
      </c>
      <c r="Q32">
        <f>IFERROR(IF(ISNUMBER(INDEX(SPPR!$E:$Z,MATCH($A32,SPPR!$A:$A,0),14)),$C32*INDEX(SPPR!$E:$Z,MATCH($A32,SPPR!$A:$A,0),14),""),"")</f>
        <v/>
      </c>
      <c r="R32">
        <f>IFERROR(IF(ISNUMBER(INDEX(SPPR!$E:$Z,MATCH($A32,SPPR!$A:$A,0),15)),$C32*INDEX(SPPR!$E:$Z,MATCH($A32,SPPR!$A:$A,0),15),""),"")</f>
        <v/>
      </c>
      <c r="S32">
        <f>IFERROR(IF(ISNUMBER(INDEX(SPPR!$E:$Z,MATCH($A32,SPPR!$A:$A,0),16)),$C32*INDEX(SPPR!$E:$Z,MATCH($A32,SPPR!$A:$A,0),16),""),"")</f>
        <v/>
      </c>
      <c r="T32">
        <f>IFERROR(IF(ISNUMBER(INDEX(SPPR!$E:$Z,MATCH($A32,SPPR!$A:$A,0),17)),$C32*INDEX(SPPR!$E:$Z,MATCH($A32,SPPR!$A:$A,0),17),""),"")</f>
        <v/>
      </c>
      <c r="U32">
        <f>IFERROR(IF(ISNUMBER(INDEX(SPPR!$E:$Z,MATCH($A32,SPPR!$A:$A,0),18)),$C32*INDEX(SPPR!$E:$Z,MATCH($A32,SPPR!$A:$A,0),18),""),"")</f>
        <v/>
      </c>
      <c r="V32">
        <f>IFERROR(IF(ISNUMBER(INDEX(SPPR!$E:$Z,MATCH($A32,SPPR!$A:$A,0),19)),$C32*INDEX(SPPR!$E:$Z,MATCH($A32,SPPR!$A:$A,0),19),""),"")</f>
        <v/>
      </c>
      <c r="W32">
        <f>IFERROR(IF(ISNUMBER(INDEX(SPPR!$E:$Z,MATCH($A32,SPPR!$A:$A,0),20)),$C32*INDEX(SPPR!$E:$Z,MATCH($A32,SPPR!$A:$A,0),20),""),"")</f>
        <v/>
      </c>
      <c r="X32">
        <f>IFERROR(IF(ISNUMBER(INDEX(SPPR!$E:$Z,MATCH($A32,SPPR!$A:$A,0),21)),$C32*INDEX(SPPR!$E:$Z,MATCH($A32,SPPR!$A:$A,0),21),""),"")</f>
        <v/>
      </c>
      <c r="Y32">
        <f>IFERROR(IF(ISNUMBER(INDEX(SPPR!$E:$Z,MATCH($A32,SPPR!$A:$A,0),22)),$C32*INDEX(SPPR!$E:$Z,MATCH($A32,SPPR!$A:$A,0),22),""),"")</f>
        <v/>
      </c>
    </row>
    <row r="33">
      <c r="A33" t="inlineStr">
        <is>
          <t>Pampus argenteus</t>
        </is>
      </c>
      <c r="B33">
        <f>IFERROR(INDEX(SPPR!$D:$D,MATCH($A33,SPPR!$A:$A,0)),"")</f>
        <v/>
      </c>
      <c r="C33">
        <f>IFERROR(INDEX(Catch!$E:$BV,MATCH($A33,Catch!$A:$A,0),MATCH($B$4,Catch!$E$1:$BV$1,0)),0)</f>
        <v/>
      </c>
      <c r="D33">
        <f>IFERROR(IF(ISNUMBER(INDEX(SPPR!$E:$Z,MATCH($A33,SPPR!$A:$A,0),1)),$C33*INDEX(SPPR!$E:$Z,MATCH($A33,SPPR!$A:$A,0),1),""),"")</f>
        <v/>
      </c>
      <c r="E33">
        <f>IFERROR(IF(ISNUMBER(INDEX(SPPR!$E:$Z,MATCH($A33,SPPR!$A:$A,0),2)),$C33*INDEX(SPPR!$E:$Z,MATCH($A33,SPPR!$A:$A,0),2),""),"")</f>
        <v/>
      </c>
      <c r="F33">
        <f>IFERROR(IF(ISNUMBER(INDEX(SPPR!$E:$Z,MATCH($A33,SPPR!$A:$A,0),3)),$C33*INDEX(SPPR!$E:$Z,MATCH($A33,SPPR!$A:$A,0),3),""),"")</f>
        <v/>
      </c>
      <c r="G33">
        <f>IFERROR(IF(ISNUMBER(INDEX(SPPR!$E:$Z,MATCH($A33,SPPR!$A:$A,0),4)),$C33*INDEX(SPPR!$E:$Z,MATCH($A33,SPPR!$A:$A,0),4),""),"")</f>
        <v/>
      </c>
      <c r="H33">
        <f>IFERROR(IF(ISNUMBER(INDEX(SPPR!$E:$Z,MATCH($A33,SPPR!$A:$A,0),5)),$C33*INDEX(SPPR!$E:$Z,MATCH($A33,SPPR!$A:$A,0),5),""),"")</f>
        <v/>
      </c>
      <c r="I33">
        <f>IFERROR(IF(ISNUMBER(INDEX(SPPR!$E:$Z,MATCH($A33,SPPR!$A:$A,0),6)),$C33*INDEX(SPPR!$E:$Z,MATCH($A33,SPPR!$A:$A,0),6),""),"")</f>
        <v/>
      </c>
      <c r="J33">
        <f>IFERROR(IF(ISNUMBER(INDEX(SPPR!$E:$Z,MATCH($A33,SPPR!$A:$A,0),7)),$C33*INDEX(SPPR!$E:$Z,MATCH($A33,SPPR!$A:$A,0),7),""),"")</f>
        <v/>
      </c>
      <c r="K33">
        <f>IFERROR(IF(ISNUMBER(INDEX(SPPR!$E:$Z,MATCH($A33,SPPR!$A:$A,0),8)),$C33*INDEX(SPPR!$E:$Z,MATCH($A33,SPPR!$A:$A,0),8),""),"")</f>
        <v/>
      </c>
      <c r="L33">
        <f>IFERROR(IF(ISNUMBER(INDEX(SPPR!$E:$Z,MATCH($A33,SPPR!$A:$A,0),9)),$C33*INDEX(SPPR!$E:$Z,MATCH($A33,SPPR!$A:$A,0),9),""),"")</f>
        <v/>
      </c>
      <c r="M33">
        <f>IFERROR(IF(ISNUMBER(INDEX(SPPR!$E:$Z,MATCH($A33,SPPR!$A:$A,0),10)),$C33*INDEX(SPPR!$E:$Z,MATCH($A33,SPPR!$A:$A,0),10),""),"")</f>
        <v/>
      </c>
      <c r="N33">
        <f>IFERROR(IF(ISNUMBER(INDEX(SPPR!$E:$Z,MATCH($A33,SPPR!$A:$A,0),11)),$C33*INDEX(SPPR!$E:$Z,MATCH($A33,SPPR!$A:$A,0),11),""),"")</f>
        <v/>
      </c>
      <c r="O33">
        <f>IFERROR(IF(ISNUMBER(INDEX(SPPR!$E:$Z,MATCH($A33,SPPR!$A:$A,0),12)),$C33*INDEX(SPPR!$E:$Z,MATCH($A33,SPPR!$A:$A,0),12),""),"")</f>
        <v/>
      </c>
      <c r="P33">
        <f>IFERROR(IF(ISNUMBER(INDEX(SPPR!$E:$Z,MATCH($A33,SPPR!$A:$A,0),13)),$C33*INDEX(SPPR!$E:$Z,MATCH($A33,SPPR!$A:$A,0),13),""),"")</f>
        <v/>
      </c>
      <c r="Q33">
        <f>IFERROR(IF(ISNUMBER(INDEX(SPPR!$E:$Z,MATCH($A33,SPPR!$A:$A,0),14)),$C33*INDEX(SPPR!$E:$Z,MATCH($A33,SPPR!$A:$A,0),14),""),"")</f>
        <v/>
      </c>
      <c r="R33">
        <f>IFERROR(IF(ISNUMBER(INDEX(SPPR!$E:$Z,MATCH($A33,SPPR!$A:$A,0),15)),$C33*INDEX(SPPR!$E:$Z,MATCH($A33,SPPR!$A:$A,0),15),""),"")</f>
        <v/>
      </c>
      <c r="S33">
        <f>IFERROR(IF(ISNUMBER(INDEX(SPPR!$E:$Z,MATCH($A33,SPPR!$A:$A,0),16)),$C33*INDEX(SPPR!$E:$Z,MATCH($A33,SPPR!$A:$A,0),16),""),"")</f>
        <v/>
      </c>
      <c r="T33">
        <f>IFERROR(IF(ISNUMBER(INDEX(SPPR!$E:$Z,MATCH($A33,SPPR!$A:$A,0),17)),$C33*INDEX(SPPR!$E:$Z,MATCH($A33,SPPR!$A:$A,0),17),""),"")</f>
        <v/>
      </c>
      <c r="U33">
        <f>IFERROR(IF(ISNUMBER(INDEX(SPPR!$E:$Z,MATCH($A33,SPPR!$A:$A,0),18)),$C33*INDEX(SPPR!$E:$Z,MATCH($A33,SPPR!$A:$A,0),18),""),"")</f>
        <v/>
      </c>
      <c r="V33">
        <f>IFERROR(IF(ISNUMBER(INDEX(SPPR!$E:$Z,MATCH($A33,SPPR!$A:$A,0),19)),$C33*INDEX(SPPR!$E:$Z,MATCH($A33,SPPR!$A:$A,0),19),""),"")</f>
        <v/>
      </c>
      <c r="W33">
        <f>IFERROR(IF(ISNUMBER(INDEX(SPPR!$E:$Z,MATCH($A33,SPPR!$A:$A,0),20)),$C33*INDEX(SPPR!$E:$Z,MATCH($A33,SPPR!$A:$A,0),20),""),"")</f>
        <v/>
      </c>
      <c r="X33">
        <f>IFERROR(IF(ISNUMBER(INDEX(SPPR!$E:$Z,MATCH($A33,SPPR!$A:$A,0),21)),$C33*INDEX(SPPR!$E:$Z,MATCH($A33,SPPR!$A:$A,0),21),""),"")</f>
        <v/>
      </c>
      <c r="Y33">
        <f>IFERROR(IF(ISNUMBER(INDEX(SPPR!$E:$Z,MATCH($A33,SPPR!$A:$A,0),22)),$C33*INDEX(SPPR!$E:$Z,MATCH($A33,SPPR!$A:$A,0),22),""),"")</f>
        <v/>
      </c>
    </row>
    <row r="34">
      <c r="A34" t="inlineStr">
        <is>
          <t>Bivalvia</t>
        </is>
      </c>
      <c r="B34">
        <f>IFERROR(INDEX(SPPR!$D:$D,MATCH($A34,SPPR!$A:$A,0)),"")</f>
        <v/>
      </c>
      <c r="C34">
        <f>IFERROR(INDEX(Catch!$E:$BV,MATCH($A34,Catch!$A:$A,0),MATCH($B$4,Catch!$E$1:$BV$1,0)),0)</f>
        <v/>
      </c>
      <c r="D34">
        <f>IFERROR(IF(ISNUMBER(INDEX(SPPR!$E:$Z,MATCH($A34,SPPR!$A:$A,0),1)),$C34*INDEX(SPPR!$E:$Z,MATCH($A34,SPPR!$A:$A,0),1),""),"")</f>
        <v/>
      </c>
      <c r="E34">
        <f>IFERROR(IF(ISNUMBER(INDEX(SPPR!$E:$Z,MATCH($A34,SPPR!$A:$A,0),2)),$C34*INDEX(SPPR!$E:$Z,MATCH($A34,SPPR!$A:$A,0),2),""),"")</f>
        <v/>
      </c>
      <c r="F34">
        <f>IFERROR(IF(ISNUMBER(INDEX(SPPR!$E:$Z,MATCH($A34,SPPR!$A:$A,0),3)),$C34*INDEX(SPPR!$E:$Z,MATCH($A34,SPPR!$A:$A,0),3),""),"")</f>
        <v/>
      </c>
      <c r="G34">
        <f>IFERROR(IF(ISNUMBER(INDEX(SPPR!$E:$Z,MATCH($A34,SPPR!$A:$A,0),4)),$C34*INDEX(SPPR!$E:$Z,MATCH($A34,SPPR!$A:$A,0),4),""),"")</f>
        <v/>
      </c>
      <c r="H34">
        <f>IFERROR(IF(ISNUMBER(INDEX(SPPR!$E:$Z,MATCH($A34,SPPR!$A:$A,0),5)),$C34*INDEX(SPPR!$E:$Z,MATCH($A34,SPPR!$A:$A,0),5),""),"")</f>
        <v/>
      </c>
      <c r="I34">
        <f>IFERROR(IF(ISNUMBER(INDEX(SPPR!$E:$Z,MATCH($A34,SPPR!$A:$A,0),6)),$C34*INDEX(SPPR!$E:$Z,MATCH($A34,SPPR!$A:$A,0),6),""),"")</f>
        <v/>
      </c>
      <c r="J34">
        <f>IFERROR(IF(ISNUMBER(INDEX(SPPR!$E:$Z,MATCH($A34,SPPR!$A:$A,0),7)),$C34*INDEX(SPPR!$E:$Z,MATCH($A34,SPPR!$A:$A,0),7),""),"")</f>
        <v/>
      </c>
      <c r="K34">
        <f>IFERROR(IF(ISNUMBER(INDEX(SPPR!$E:$Z,MATCH($A34,SPPR!$A:$A,0),8)),$C34*INDEX(SPPR!$E:$Z,MATCH($A34,SPPR!$A:$A,0),8),""),"")</f>
        <v/>
      </c>
      <c r="L34">
        <f>IFERROR(IF(ISNUMBER(INDEX(SPPR!$E:$Z,MATCH($A34,SPPR!$A:$A,0),9)),$C34*INDEX(SPPR!$E:$Z,MATCH($A34,SPPR!$A:$A,0),9),""),"")</f>
        <v/>
      </c>
      <c r="M34">
        <f>IFERROR(IF(ISNUMBER(INDEX(SPPR!$E:$Z,MATCH($A34,SPPR!$A:$A,0),10)),$C34*INDEX(SPPR!$E:$Z,MATCH($A34,SPPR!$A:$A,0),10),""),"")</f>
        <v/>
      </c>
      <c r="N34">
        <f>IFERROR(IF(ISNUMBER(INDEX(SPPR!$E:$Z,MATCH($A34,SPPR!$A:$A,0),11)),$C34*INDEX(SPPR!$E:$Z,MATCH($A34,SPPR!$A:$A,0),11),""),"")</f>
        <v/>
      </c>
      <c r="O34">
        <f>IFERROR(IF(ISNUMBER(INDEX(SPPR!$E:$Z,MATCH($A34,SPPR!$A:$A,0),12)),$C34*INDEX(SPPR!$E:$Z,MATCH($A34,SPPR!$A:$A,0),12),""),"")</f>
        <v/>
      </c>
      <c r="P34">
        <f>IFERROR(IF(ISNUMBER(INDEX(SPPR!$E:$Z,MATCH($A34,SPPR!$A:$A,0),13)),$C34*INDEX(SPPR!$E:$Z,MATCH($A34,SPPR!$A:$A,0),13),""),"")</f>
        <v/>
      </c>
      <c r="Q34">
        <f>IFERROR(IF(ISNUMBER(INDEX(SPPR!$E:$Z,MATCH($A34,SPPR!$A:$A,0),14)),$C34*INDEX(SPPR!$E:$Z,MATCH($A34,SPPR!$A:$A,0),14),""),"")</f>
        <v/>
      </c>
      <c r="R34">
        <f>IFERROR(IF(ISNUMBER(INDEX(SPPR!$E:$Z,MATCH($A34,SPPR!$A:$A,0),15)),$C34*INDEX(SPPR!$E:$Z,MATCH($A34,SPPR!$A:$A,0),15),""),"")</f>
        <v/>
      </c>
      <c r="S34">
        <f>IFERROR(IF(ISNUMBER(INDEX(SPPR!$E:$Z,MATCH($A34,SPPR!$A:$A,0),16)),$C34*INDEX(SPPR!$E:$Z,MATCH($A34,SPPR!$A:$A,0),16),""),"")</f>
        <v/>
      </c>
      <c r="T34">
        <f>IFERROR(IF(ISNUMBER(INDEX(SPPR!$E:$Z,MATCH($A34,SPPR!$A:$A,0),17)),$C34*INDEX(SPPR!$E:$Z,MATCH($A34,SPPR!$A:$A,0),17),""),"")</f>
        <v/>
      </c>
      <c r="U34">
        <f>IFERROR(IF(ISNUMBER(INDEX(SPPR!$E:$Z,MATCH($A34,SPPR!$A:$A,0),18)),$C34*INDEX(SPPR!$E:$Z,MATCH($A34,SPPR!$A:$A,0),18),""),"")</f>
        <v/>
      </c>
      <c r="V34">
        <f>IFERROR(IF(ISNUMBER(INDEX(SPPR!$E:$Z,MATCH($A34,SPPR!$A:$A,0),19)),$C34*INDEX(SPPR!$E:$Z,MATCH($A34,SPPR!$A:$A,0),19),""),"")</f>
        <v/>
      </c>
      <c r="W34">
        <f>IFERROR(IF(ISNUMBER(INDEX(SPPR!$E:$Z,MATCH($A34,SPPR!$A:$A,0),20)),$C34*INDEX(SPPR!$E:$Z,MATCH($A34,SPPR!$A:$A,0),20),""),"")</f>
        <v/>
      </c>
      <c r="X34">
        <f>IFERROR(IF(ISNUMBER(INDEX(SPPR!$E:$Z,MATCH($A34,SPPR!$A:$A,0),21)),$C34*INDEX(SPPR!$E:$Z,MATCH($A34,SPPR!$A:$A,0),21),""),"")</f>
        <v/>
      </c>
      <c r="Y34">
        <f>IFERROR(IF(ISNUMBER(INDEX(SPPR!$E:$Z,MATCH($A34,SPPR!$A:$A,0),22)),$C34*INDEX(SPPR!$E:$Z,MATCH($A34,SPPR!$A:$A,0),22),""),"")</f>
        <v/>
      </c>
    </row>
    <row r="35">
      <c r="A35" t="inlineStr">
        <is>
          <t>Cephalopoda</t>
        </is>
      </c>
      <c r="B35">
        <f>IFERROR(INDEX(SPPR!$D:$D,MATCH($A35,SPPR!$A:$A,0)),"")</f>
        <v/>
      </c>
      <c r="C35">
        <f>IFERROR(INDEX(Catch!$E:$BV,MATCH($A35,Catch!$A:$A,0),MATCH($B$4,Catch!$E$1:$BV$1,0)),0)</f>
        <v/>
      </c>
      <c r="D35">
        <f>IFERROR(IF(ISNUMBER(INDEX(SPPR!$E:$Z,MATCH($A35,SPPR!$A:$A,0),1)),$C35*INDEX(SPPR!$E:$Z,MATCH($A35,SPPR!$A:$A,0),1),""),"")</f>
        <v/>
      </c>
      <c r="E35">
        <f>IFERROR(IF(ISNUMBER(INDEX(SPPR!$E:$Z,MATCH($A35,SPPR!$A:$A,0),2)),$C35*INDEX(SPPR!$E:$Z,MATCH($A35,SPPR!$A:$A,0),2),""),"")</f>
        <v/>
      </c>
      <c r="F35">
        <f>IFERROR(IF(ISNUMBER(INDEX(SPPR!$E:$Z,MATCH($A35,SPPR!$A:$A,0),3)),$C35*INDEX(SPPR!$E:$Z,MATCH($A35,SPPR!$A:$A,0),3),""),"")</f>
        <v/>
      </c>
      <c r="G35">
        <f>IFERROR(IF(ISNUMBER(INDEX(SPPR!$E:$Z,MATCH($A35,SPPR!$A:$A,0),4)),$C35*INDEX(SPPR!$E:$Z,MATCH($A35,SPPR!$A:$A,0),4),""),"")</f>
        <v/>
      </c>
      <c r="H35">
        <f>IFERROR(IF(ISNUMBER(INDEX(SPPR!$E:$Z,MATCH($A35,SPPR!$A:$A,0),5)),$C35*INDEX(SPPR!$E:$Z,MATCH($A35,SPPR!$A:$A,0),5),""),"")</f>
        <v/>
      </c>
      <c r="I35">
        <f>IFERROR(IF(ISNUMBER(INDEX(SPPR!$E:$Z,MATCH($A35,SPPR!$A:$A,0),6)),$C35*INDEX(SPPR!$E:$Z,MATCH($A35,SPPR!$A:$A,0),6),""),"")</f>
        <v/>
      </c>
      <c r="J35">
        <f>IFERROR(IF(ISNUMBER(INDEX(SPPR!$E:$Z,MATCH($A35,SPPR!$A:$A,0),7)),$C35*INDEX(SPPR!$E:$Z,MATCH($A35,SPPR!$A:$A,0),7),""),"")</f>
        <v/>
      </c>
      <c r="K35">
        <f>IFERROR(IF(ISNUMBER(INDEX(SPPR!$E:$Z,MATCH($A35,SPPR!$A:$A,0),8)),$C35*INDEX(SPPR!$E:$Z,MATCH($A35,SPPR!$A:$A,0),8),""),"")</f>
        <v/>
      </c>
      <c r="L35">
        <f>IFERROR(IF(ISNUMBER(INDEX(SPPR!$E:$Z,MATCH($A35,SPPR!$A:$A,0),9)),$C35*INDEX(SPPR!$E:$Z,MATCH($A35,SPPR!$A:$A,0),9),""),"")</f>
        <v/>
      </c>
      <c r="M35">
        <f>IFERROR(IF(ISNUMBER(INDEX(SPPR!$E:$Z,MATCH($A35,SPPR!$A:$A,0),10)),$C35*INDEX(SPPR!$E:$Z,MATCH($A35,SPPR!$A:$A,0),10),""),"")</f>
        <v/>
      </c>
      <c r="N35">
        <f>IFERROR(IF(ISNUMBER(INDEX(SPPR!$E:$Z,MATCH($A35,SPPR!$A:$A,0),11)),$C35*INDEX(SPPR!$E:$Z,MATCH($A35,SPPR!$A:$A,0),11),""),"")</f>
        <v/>
      </c>
      <c r="O35">
        <f>IFERROR(IF(ISNUMBER(INDEX(SPPR!$E:$Z,MATCH($A35,SPPR!$A:$A,0),12)),$C35*INDEX(SPPR!$E:$Z,MATCH($A35,SPPR!$A:$A,0),12),""),"")</f>
        <v/>
      </c>
      <c r="P35">
        <f>IFERROR(IF(ISNUMBER(INDEX(SPPR!$E:$Z,MATCH($A35,SPPR!$A:$A,0),13)),$C35*INDEX(SPPR!$E:$Z,MATCH($A35,SPPR!$A:$A,0),13),""),"")</f>
        <v/>
      </c>
      <c r="Q35">
        <f>IFERROR(IF(ISNUMBER(INDEX(SPPR!$E:$Z,MATCH($A35,SPPR!$A:$A,0),14)),$C35*INDEX(SPPR!$E:$Z,MATCH($A35,SPPR!$A:$A,0),14),""),"")</f>
        <v/>
      </c>
      <c r="R35">
        <f>IFERROR(IF(ISNUMBER(INDEX(SPPR!$E:$Z,MATCH($A35,SPPR!$A:$A,0),15)),$C35*INDEX(SPPR!$E:$Z,MATCH($A35,SPPR!$A:$A,0),15),""),"")</f>
        <v/>
      </c>
      <c r="S35">
        <f>IFERROR(IF(ISNUMBER(INDEX(SPPR!$E:$Z,MATCH($A35,SPPR!$A:$A,0),16)),$C35*INDEX(SPPR!$E:$Z,MATCH($A35,SPPR!$A:$A,0),16),""),"")</f>
        <v/>
      </c>
      <c r="T35">
        <f>IFERROR(IF(ISNUMBER(INDEX(SPPR!$E:$Z,MATCH($A35,SPPR!$A:$A,0),17)),$C35*INDEX(SPPR!$E:$Z,MATCH($A35,SPPR!$A:$A,0),17),""),"")</f>
        <v/>
      </c>
      <c r="U35">
        <f>IFERROR(IF(ISNUMBER(INDEX(SPPR!$E:$Z,MATCH($A35,SPPR!$A:$A,0),18)),$C35*INDEX(SPPR!$E:$Z,MATCH($A35,SPPR!$A:$A,0),18),""),"")</f>
        <v/>
      </c>
      <c r="V35">
        <f>IFERROR(IF(ISNUMBER(INDEX(SPPR!$E:$Z,MATCH($A35,SPPR!$A:$A,0),19)),$C35*INDEX(SPPR!$E:$Z,MATCH($A35,SPPR!$A:$A,0),19),""),"")</f>
        <v/>
      </c>
      <c r="W35">
        <f>IFERROR(IF(ISNUMBER(INDEX(SPPR!$E:$Z,MATCH($A35,SPPR!$A:$A,0),20)),$C35*INDEX(SPPR!$E:$Z,MATCH($A35,SPPR!$A:$A,0),20),""),"")</f>
        <v/>
      </c>
      <c r="X35">
        <f>IFERROR(IF(ISNUMBER(INDEX(SPPR!$E:$Z,MATCH($A35,SPPR!$A:$A,0),21)),$C35*INDEX(SPPR!$E:$Z,MATCH($A35,SPPR!$A:$A,0),21),""),"")</f>
        <v/>
      </c>
      <c r="Y35">
        <f>IFERROR(IF(ISNUMBER(INDEX(SPPR!$E:$Z,MATCH($A35,SPPR!$A:$A,0),22)),$C35*INDEX(SPPR!$E:$Z,MATCH($A35,SPPR!$A:$A,0),22),""),"")</f>
        <v/>
      </c>
    </row>
    <row r="36">
      <c r="A36" t="inlineStr">
        <is>
          <t>Cephea</t>
        </is>
      </c>
      <c r="B36">
        <f>IFERROR(INDEX(SPPR!$D:$D,MATCH($A36,SPPR!$A:$A,0)),"")</f>
        <v/>
      </c>
      <c r="C36">
        <f>IFERROR(INDEX(Catch!$E:$BV,MATCH($A36,Catch!$A:$A,0),MATCH($B$4,Catch!$E$1:$BV$1,0)),0)</f>
        <v/>
      </c>
      <c r="D36">
        <f>IFERROR(IF(ISNUMBER(INDEX(SPPR!$E:$Z,MATCH($A36,SPPR!$A:$A,0),1)),$C36*INDEX(SPPR!$E:$Z,MATCH($A36,SPPR!$A:$A,0),1),""),"")</f>
        <v/>
      </c>
      <c r="E36">
        <f>IFERROR(IF(ISNUMBER(INDEX(SPPR!$E:$Z,MATCH($A36,SPPR!$A:$A,0),2)),$C36*INDEX(SPPR!$E:$Z,MATCH($A36,SPPR!$A:$A,0),2),""),"")</f>
        <v/>
      </c>
      <c r="F36">
        <f>IFERROR(IF(ISNUMBER(INDEX(SPPR!$E:$Z,MATCH($A36,SPPR!$A:$A,0),3)),$C36*INDEX(SPPR!$E:$Z,MATCH($A36,SPPR!$A:$A,0),3),""),"")</f>
        <v/>
      </c>
      <c r="G36">
        <f>IFERROR(IF(ISNUMBER(INDEX(SPPR!$E:$Z,MATCH($A36,SPPR!$A:$A,0),4)),$C36*INDEX(SPPR!$E:$Z,MATCH($A36,SPPR!$A:$A,0),4),""),"")</f>
        <v/>
      </c>
      <c r="H36">
        <f>IFERROR(IF(ISNUMBER(INDEX(SPPR!$E:$Z,MATCH($A36,SPPR!$A:$A,0),5)),$C36*INDEX(SPPR!$E:$Z,MATCH($A36,SPPR!$A:$A,0),5),""),"")</f>
        <v/>
      </c>
      <c r="I36">
        <f>IFERROR(IF(ISNUMBER(INDEX(SPPR!$E:$Z,MATCH($A36,SPPR!$A:$A,0),6)),$C36*INDEX(SPPR!$E:$Z,MATCH($A36,SPPR!$A:$A,0),6),""),"")</f>
        <v/>
      </c>
      <c r="J36">
        <f>IFERROR(IF(ISNUMBER(INDEX(SPPR!$E:$Z,MATCH($A36,SPPR!$A:$A,0),7)),$C36*INDEX(SPPR!$E:$Z,MATCH($A36,SPPR!$A:$A,0),7),""),"")</f>
        <v/>
      </c>
      <c r="K36">
        <f>IFERROR(IF(ISNUMBER(INDEX(SPPR!$E:$Z,MATCH($A36,SPPR!$A:$A,0),8)),$C36*INDEX(SPPR!$E:$Z,MATCH($A36,SPPR!$A:$A,0),8),""),"")</f>
        <v/>
      </c>
      <c r="L36">
        <f>IFERROR(IF(ISNUMBER(INDEX(SPPR!$E:$Z,MATCH($A36,SPPR!$A:$A,0),9)),$C36*INDEX(SPPR!$E:$Z,MATCH($A36,SPPR!$A:$A,0),9),""),"")</f>
        <v/>
      </c>
      <c r="M36">
        <f>IFERROR(IF(ISNUMBER(INDEX(SPPR!$E:$Z,MATCH($A36,SPPR!$A:$A,0),10)),$C36*INDEX(SPPR!$E:$Z,MATCH($A36,SPPR!$A:$A,0),10),""),"")</f>
        <v/>
      </c>
      <c r="N36">
        <f>IFERROR(IF(ISNUMBER(INDEX(SPPR!$E:$Z,MATCH($A36,SPPR!$A:$A,0),11)),$C36*INDEX(SPPR!$E:$Z,MATCH($A36,SPPR!$A:$A,0),11),""),"")</f>
        <v/>
      </c>
      <c r="O36">
        <f>IFERROR(IF(ISNUMBER(INDEX(SPPR!$E:$Z,MATCH($A36,SPPR!$A:$A,0),12)),$C36*INDEX(SPPR!$E:$Z,MATCH($A36,SPPR!$A:$A,0),12),""),"")</f>
        <v/>
      </c>
      <c r="P36">
        <f>IFERROR(IF(ISNUMBER(INDEX(SPPR!$E:$Z,MATCH($A36,SPPR!$A:$A,0),13)),$C36*INDEX(SPPR!$E:$Z,MATCH($A36,SPPR!$A:$A,0),13),""),"")</f>
        <v/>
      </c>
      <c r="Q36">
        <f>IFERROR(IF(ISNUMBER(INDEX(SPPR!$E:$Z,MATCH($A36,SPPR!$A:$A,0),14)),$C36*INDEX(SPPR!$E:$Z,MATCH($A36,SPPR!$A:$A,0),14),""),"")</f>
        <v/>
      </c>
      <c r="R36">
        <f>IFERROR(IF(ISNUMBER(INDEX(SPPR!$E:$Z,MATCH($A36,SPPR!$A:$A,0),15)),$C36*INDEX(SPPR!$E:$Z,MATCH($A36,SPPR!$A:$A,0),15),""),"")</f>
        <v/>
      </c>
      <c r="S36">
        <f>IFERROR(IF(ISNUMBER(INDEX(SPPR!$E:$Z,MATCH($A36,SPPR!$A:$A,0),16)),$C36*INDEX(SPPR!$E:$Z,MATCH($A36,SPPR!$A:$A,0),16),""),"")</f>
        <v/>
      </c>
      <c r="T36">
        <f>IFERROR(IF(ISNUMBER(INDEX(SPPR!$E:$Z,MATCH($A36,SPPR!$A:$A,0),17)),$C36*INDEX(SPPR!$E:$Z,MATCH($A36,SPPR!$A:$A,0),17),""),"")</f>
        <v/>
      </c>
      <c r="U36">
        <f>IFERROR(IF(ISNUMBER(INDEX(SPPR!$E:$Z,MATCH($A36,SPPR!$A:$A,0),18)),$C36*INDEX(SPPR!$E:$Z,MATCH($A36,SPPR!$A:$A,0),18),""),"")</f>
        <v/>
      </c>
      <c r="V36">
        <f>IFERROR(IF(ISNUMBER(INDEX(SPPR!$E:$Z,MATCH($A36,SPPR!$A:$A,0),19)),$C36*INDEX(SPPR!$E:$Z,MATCH($A36,SPPR!$A:$A,0),19),""),"")</f>
        <v/>
      </c>
      <c r="W36">
        <f>IFERROR(IF(ISNUMBER(INDEX(SPPR!$E:$Z,MATCH($A36,SPPR!$A:$A,0),20)),$C36*INDEX(SPPR!$E:$Z,MATCH($A36,SPPR!$A:$A,0),20),""),"")</f>
        <v/>
      </c>
      <c r="X36">
        <f>IFERROR(IF(ISNUMBER(INDEX(SPPR!$E:$Z,MATCH($A36,SPPR!$A:$A,0),21)),$C36*INDEX(SPPR!$E:$Z,MATCH($A36,SPPR!$A:$A,0),21),""),"")</f>
        <v/>
      </c>
      <c r="Y36">
        <f>IFERROR(IF(ISNUMBER(INDEX(SPPR!$E:$Z,MATCH($A36,SPPR!$A:$A,0),22)),$C36*INDEX(SPPR!$E:$Z,MATCH($A36,SPPR!$A:$A,0),22),""),"")</f>
        <v/>
      </c>
    </row>
    <row r="37">
      <c r="A37" t="inlineStr">
        <is>
          <t>Miscellaneous marine crustaceans</t>
        </is>
      </c>
      <c r="B37">
        <f>IFERROR(INDEX(SPPR!$D:$D,MATCH($A37,SPPR!$A:$A,0)),"")</f>
        <v/>
      </c>
      <c r="C37">
        <f>IFERROR(INDEX(Catch!$E:$BV,MATCH($A37,Catch!$A:$A,0),MATCH($B$4,Catch!$E$1:$BV$1,0)),0)</f>
        <v/>
      </c>
      <c r="D37">
        <f>IFERROR(IF(ISNUMBER(INDEX(SPPR!$E:$Z,MATCH($A37,SPPR!$A:$A,0),1)),$C37*INDEX(SPPR!$E:$Z,MATCH($A37,SPPR!$A:$A,0),1),""),"")</f>
        <v/>
      </c>
      <c r="E37">
        <f>IFERROR(IF(ISNUMBER(INDEX(SPPR!$E:$Z,MATCH($A37,SPPR!$A:$A,0),2)),$C37*INDEX(SPPR!$E:$Z,MATCH($A37,SPPR!$A:$A,0),2),""),"")</f>
        <v/>
      </c>
      <c r="F37">
        <f>IFERROR(IF(ISNUMBER(INDEX(SPPR!$E:$Z,MATCH($A37,SPPR!$A:$A,0),3)),$C37*INDEX(SPPR!$E:$Z,MATCH($A37,SPPR!$A:$A,0),3),""),"")</f>
        <v/>
      </c>
      <c r="G37">
        <f>IFERROR(IF(ISNUMBER(INDEX(SPPR!$E:$Z,MATCH($A37,SPPR!$A:$A,0),4)),$C37*INDEX(SPPR!$E:$Z,MATCH($A37,SPPR!$A:$A,0),4),""),"")</f>
        <v/>
      </c>
      <c r="H37">
        <f>IFERROR(IF(ISNUMBER(INDEX(SPPR!$E:$Z,MATCH($A37,SPPR!$A:$A,0),5)),$C37*INDEX(SPPR!$E:$Z,MATCH($A37,SPPR!$A:$A,0),5),""),"")</f>
        <v/>
      </c>
      <c r="I37">
        <f>IFERROR(IF(ISNUMBER(INDEX(SPPR!$E:$Z,MATCH($A37,SPPR!$A:$A,0),6)),$C37*INDEX(SPPR!$E:$Z,MATCH($A37,SPPR!$A:$A,0),6),""),"")</f>
        <v/>
      </c>
      <c r="J37">
        <f>IFERROR(IF(ISNUMBER(INDEX(SPPR!$E:$Z,MATCH($A37,SPPR!$A:$A,0),7)),$C37*INDEX(SPPR!$E:$Z,MATCH($A37,SPPR!$A:$A,0),7),""),"")</f>
        <v/>
      </c>
      <c r="K37">
        <f>IFERROR(IF(ISNUMBER(INDEX(SPPR!$E:$Z,MATCH($A37,SPPR!$A:$A,0),8)),$C37*INDEX(SPPR!$E:$Z,MATCH($A37,SPPR!$A:$A,0),8),""),"")</f>
        <v/>
      </c>
      <c r="L37">
        <f>IFERROR(IF(ISNUMBER(INDEX(SPPR!$E:$Z,MATCH($A37,SPPR!$A:$A,0),9)),$C37*INDEX(SPPR!$E:$Z,MATCH($A37,SPPR!$A:$A,0),9),""),"")</f>
        <v/>
      </c>
      <c r="M37">
        <f>IFERROR(IF(ISNUMBER(INDEX(SPPR!$E:$Z,MATCH($A37,SPPR!$A:$A,0),10)),$C37*INDEX(SPPR!$E:$Z,MATCH($A37,SPPR!$A:$A,0),10),""),"")</f>
        <v/>
      </c>
      <c r="N37">
        <f>IFERROR(IF(ISNUMBER(INDEX(SPPR!$E:$Z,MATCH($A37,SPPR!$A:$A,0),11)),$C37*INDEX(SPPR!$E:$Z,MATCH($A37,SPPR!$A:$A,0),11),""),"")</f>
        <v/>
      </c>
      <c r="O37">
        <f>IFERROR(IF(ISNUMBER(INDEX(SPPR!$E:$Z,MATCH($A37,SPPR!$A:$A,0),12)),$C37*INDEX(SPPR!$E:$Z,MATCH($A37,SPPR!$A:$A,0),12),""),"")</f>
        <v/>
      </c>
      <c r="P37">
        <f>IFERROR(IF(ISNUMBER(INDEX(SPPR!$E:$Z,MATCH($A37,SPPR!$A:$A,0),13)),$C37*INDEX(SPPR!$E:$Z,MATCH($A37,SPPR!$A:$A,0),13),""),"")</f>
        <v/>
      </c>
      <c r="Q37">
        <f>IFERROR(IF(ISNUMBER(INDEX(SPPR!$E:$Z,MATCH($A37,SPPR!$A:$A,0),14)),$C37*INDEX(SPPR!$E:$Z,MATCH($A37,SPPR!$A:$A,0),14),""),"")</f>
        <v/>
      </c>
      <c r="R37">
        <f>IFERROR(IF(ISNUMBER(INDEX(SPPR!$E:$Z,MATCH($A37,SPPR!$A:$A,0),15)),$C37*INDEX(SPPR!$E:$Z,MATCH($A37,SPPR!$A:$A,0),15),""),"")</f>
        <v/>
      </c>
      <c r="S37">
        <f>IFERROR(IF(ISNUMBER(INDEX(SPPR!$E:$Z,MATCH($A37,SPPR!$A:$A,0),16)),$C37*INDEX(SPPR!$E:$Z,MATCH($A37,SPPR!$A:$A,0),16),""),"")</f>
        <v/>
      </c>
      <c r="T37">
        <f>IFERROR(IF(ISNUMBER(INDEX(SPPR!$E:$Z,MATCH($A37,SPPR!$A:$A,0),17)),$C37*INDEX(SPPR!$E:$Z,MATCH($A37,SPPR!$A:$A,0),17),""),"")</f>
        <v/>
      </c>
      <c r="U37">
        <f>IFERROR(IF(ISNUMBER(INDEX(SPPR!$E:$Z,MATCH($A37,SPPR!$A:$A,0),18)),$C37*INDEX(SPPR!$E:$Z,MATCH($A37,SPPR!$A:$A,0),18),""),"")</f>
        <v/>
      </c>
      <c r="V37">
        <f>IFERROR(IF(ISNUMBER(INDEX(SPPR!$E:$Z,MATCH($A37,SPPR!$A:$A,0),19)),$C37*INDEX(SPPR!$E:$Z,MATCH($A37,SPPR!$A:$A,0),19),""),"")</f>
        <v/>
      </c>
      <c r="W37">
        <f>IFERROR(IF(ISNUMBER(INDEX(SPPR!$E:$Z,MATCH($A37,SPPR!$A:$A,0),20)),$C37*INDEX(SPPR!$E:$Z,MATCH($A37,SPPR!$A:$A,0),20),""),"")</f>
        <v/>
      </c>
      <c r="X37">
        <f>IFERROR(IF(ISNUMBER(INDEX(SPPR!$E:$Z,MATCH($A37,SPPR!$A:$A,0),21)),$C37*INDEX(SPPR!$E:$Z,MATCH($A37,SPPR!$A:$A,0),21),""),"")</f>
        <v/>
      </c>
      <c r="Y37">
        <f>IFERROR(IF(ISNUMBER(INDEX(SPPR!$E:$Z,MATCH($A37,SPPR!$A:$A,0),22)),$C37*INDEX(SPPR!$E:$Z,MATCH($A37,SPPR!$A:$A,0),22),""),"")</f>
        <v/>
      </c>
    </row>
    <row r="38">
      <c r="A38" t="inlineStr">
        <is>
          <t>Scomberomorus</t>
        </is>
      </c>
      <c r="B38">
        <f>IFERROR(INDEX(SPPR!$D:$D,MATCH($A38,SPPR!$A:$A,0)),"")</f>
        <v/>
      </c>
      <c r="C38">
        <f>IFERROR(INDEX(Catch!$E:$BV,MATCH($A38,Catch!$A:$A,0),MATCH($B$4,Catch!$E$1:$BV$1,0)),0)</f>
        <v/>
      </c>
      <c r="D38">
        <f>IFERROR(IF(ISNUMBER(INDEX(SPPR!$E:$Z,MATCH($A38,SPPR!$A:$A,0),1)),$C38*INDEX(SPPR!$E:$Z,MATCH($A38,SPPR!$A:$A,0),1),""),"")</f>
        <v/>
      </c>
      <c r="E38">
        <f>IFERROR(IF(ISNUMBER(INDEX(SPPR!$E:$Z,MATCH($A38,SPPR!$A:$A,0),2)),$C38*INDEX(SPPR!$E:$Z,MATCH($A38,SPPR!$A:$A,0),2),""),"")</f>
        <v/>
      </c>
      <c r="F38">
        <f>IFERROR(IF(ISNUMBER(INDEX(SPPR!$E:$Z,MATCH($A38,SPPR!$A:$A,0),3)),$C38*INDEX(SPPR!$E:$Z,MATCH($A38,SPPR!$A:$A,0),3),""),"")</f>
        <v/>
      </c>
      <c r="G38">
        <f>IFERROR(IF(ISNUMBER(INDEX(SPPR!$E:$Z,MATCH($A38,SPPR!$A:$A,0),4)),$C38*INDEX(SPPR!$E:$Z,MATCH($A38,SPPR!$A:$A,0),4),""),"")</f>
        <v/>
      </c>
      <c r="H38">
        <f>IFERROR(IF(ISNUMBER(INDEX(SPPR!$E:$Z,MATCH($A38,SPPR!$A:$A,0),5)),$C38*INDEX(SPPR!$E:$Z,MATCH($A38,SPPR!$A:$A,0),5),""),"")</f>
        <v/>
      </c>
      <c r="I38">
        <f>IFERROR(IF(ISNUMBER(INDEX(SPPR!$E:$Z,MATCH($A38,SPPR!$A:$A,0),6)),$C38*INDEX(SPPR!$E:$Z,MATCH($A38,SPPR!$A:$A,0),6),""),"")</f>
        <v/>
      </c>
      <c r="J38">
        <f>IFERROR(IF(ISNUMBER(INDEX(SPPR!$E:$Z,MATCH($A38,SPPR!$A:$A,0),7)),$C38*INDEX(SPPR!$E:$Z,MATCH($A38,SPPR!$A:$A,0),7),""),"")</f>
        <v/>
      </c>
      <c r="K38">
        <f>IFERROR(IF(ISNUMBER(INDEX(SPPR!$E:$Z,MATCH($A38,SPPR!$A:$A,0),8)),$C38*INDEX(SPPR!$E:$Z,MATCH($A38,SPPR!$A:$A,0),8),""),"")</f>
        <v/>
      </c>
      <c r="L38">
        <f>IFERROR(IF(ISNUMBER(INDEX(SPPR!$E:$Z,MATCH($A38,SPPR!$A:$A,0),9)),$C38*INDEX(SPPR!$E:$Z,MATCH($A38,SPPR!$A:$A,0),9),""),"")</f>
        <v/>
      </c>
      <c r="M38">
        <f>IFERROR(IF(ISNUMBER(INDEX(SPPR!$E:$Z,MATCH($A38,SPPR!$A:$A,0),10)),$C38*INDEX(SPPR!$E:$Z,MATCH($A38,SPPR!$A:$A,0),10),""),"")</f>
        <v/>
      </c>
      <c r="N38">
        <f>IFERROR(IF(ISNUMBER(INDEX(SPPR!$E:$Z,MATCH($A38,SPPR!$A:$A,0),11)),$C38*INDEX(SPPR!$E:$Z,MATCH($A38,SPPR!$A:$A,0),11),""),"")</f>
        <v/>
      </c>
      <c r="O38">
        <f>IFERROR(IF(ISNUMBER(INDEX(SPPR!$E:$Z,MATCH($A38,SPPR!$A:$A,0),12)),$C38*INDEX(SPPR!$E:$Z,MATCH($A38,SPPR!$A:$A,0),12),""),"")</f>
        <v/>
      </c>
      <c r="P38">
        <f>IFERROR(IF(ISNUMBER(INDEX(SPPR!$E:$Z,MATCH($A38,SPPR!$A:$A,0),13)),$C38*INDEX(SPPR!$E:$Z,MATCH($A38,SPPR!$A:$A,0),13),""),"")</f>
        <v/>
      </c>
      <c r="Q38">
        <f>IFERROR(IF(ISNUMBER(INDEX(SPPR!$E:$Z,MATCH($A38,SPPR!$A:$A,0),14)),$C38*INDEX(SPPR!$E:$Z,MATCH($A38,SPPR!$A:$A,0),14),""),"")</f>
        <v/>
      </c>
      <c r="R38">
        <f>IFERROR(IF(ISNUMBER(INDEX(SPPR!$E:$Z,MATCH($A38,SPPR!$A:$A,0),15)),$C38*INDEX(SPPR!$E:$Z,MATCH($A38,SPPR!$A:$A,0),15),""),"")</f>
        <v/>
      </c>
      <c r="S38">
        <f>IFERROR(IF(ISNUMBER(INDEX(SPPR!$E:$Z,MATCH($A38,SPPR!$A:$A,0),16)),$C38*INDEX(SPPR!$E:$Z,MATCH($A38,SPPR!$A:$A,0),16),""),"")</f>
        <v/>
      </c>
      <c r="T38">
        <f>IFERROR(IF(ISNUMBER(INDEX(SPPR!$E:$Z,MATCH($A38,SPPR!$A:$A,0),17)),$C38*INDEX(SPPR!$E:$Z,MATCH($A38,SPPR!$A:$A,0),17),""),"")</f>
        <v/>
      </c>
      <c r="U38">
        <f>IFERROR(IF(ISNUMBER(INDEX(SPPR!$E:$Z,MATCH($A38,SPPR!$A:$A,0),18)),$C38*INDEX(SPPR!$E:$Z,MATCH($A38,SPPR!$A:$A,0),18),""),"")</f>
        <v/>
      </c>
      <c r="V38">
        <f>IFERROR(IF(ISNUMBER(INDEX(SPPR!$E:$Z,MATCH($A38,SPPR!$A:$A,0),19)),$C38*INDEX(SPPR!$E:$Z,MATCH($A38,SPPR!$A:$A,0),19),""),"")</f>
        <v/>
      </c>
      <c r="W38">
        <f>IFERROR(IF(ISNUMBER(INDEX(SPPR!$E:$Z,MATCH($A38,SPPR!$A:$A,0),20)),$C38*INDEX(SPPR!$E:$Z,MATCH($A38,SPPR!$A:$A,0),20),""),"")</f>
        <v/>
      </c>
      <c r="X38">
        <f>IFERROR(IF(ISNUMBER(INDEX(SPPR!$E:$Z,MATCH($A38,SPPR!$A:$A,0),21)),$C38*INDEX(SPPR!$E:$Z,MATCH($A38,SPPR!$A:$A,0),21),""),"")</f>
        <v/>
      </c>
      <c r="Y38">
        <f>IFERROR(IF(ISNUMBER(INDEX(SPPR!$E:$Z,MATCH($A38,SPPR!$A:$A,0),22)),$C38*INDEX(SPPR!$E:$Z,MATCH($A38,SPPR!$A:$A,0),22),""),"")</f>
        <v/>
      </c>
    </row>
    <row r="39">
      <c r="A39" t="inlineStr">
        <is>
          <t>Platycephalidae</t>
        </is>
      </c>
      <c r="B39">
        <f>IFERROR(INDEX(SPPR!$D:$D,MATCH($A39,SPPR!$A:$A,0)),"")</f>
        <v/>
      </c>
      <c r="C39">
        <f>IFERROR(INDEX(Catch!$E:$BV,MATCH($A39,Catch!$A:$A,0),MATCH($B$4,Catch!$E$1:$BV$1,0)),0)</f>
        <v/>
      </c>
      <c r="D39">
        <f>IFERROR(IF(ISNUMBER(INDEX(SPPR!$E:$Z,MATCH($A39,SPPR!$A:$A,0),1)),$C39*INDEX(SPPR!$E:$Z,MATCH($A39,SPPR!$A:$A,0),1),""),"")</f>
        <v/>
      </c>
      <c r="E39">
        <f>IFERROR(IF(ISNUMBER(INDEX(SPPR!$E:$Z,MATCH($A39,SPPR!$A:$A,0),2)),$C39*INDEX(SPPR!$E:$Z,MATCH($A39,SPPR!$A:$A,0),2),""),"")</f>
        <v/>
      </c>
      <c r="F39">
        <f>IFERROR(IF(ISNUMBER(INDEX(SPPR!$E:$Z,MATCH($A39,SPPR!$A:$A,0),3)),$C39*INDEX(SPPR!$E:$Z,MATCH($A39,SPPR!$A:$A,0),3),""),"")</f>
        <v/>
      </c>
      <c r="G39">
        <f>IFERROR(IF(ISNUMBER(INDEX(SPPR!$E:$Z,MATCH($A39,SPPR!$A:$A,0),4)),$C39*INDEX(SPPR!$E:$Z,MATCH($A39,SPPR!$A:$A,0),4),""),"")</f>
        <v/>
      </c>
      <c r="H39">
        <f>IFERROR(IF(ISNUMBER(INDEX(SPPR!$E:$Z,MATCH($A39,SPPR!$A:$A,0),5)),$C39*INDEX(SPPR!$E:$Z,MATCH($A39,SPPR!$A:$A,0),5),""),"")</f>
        <v/>
      </c>
      <c r="I39">
        <f>IFERROR(IF(ISNUMBER(INDEX(SPPR!$E:$Z,MATCH($A39,SPPR!$A:$A,0),6)),$C39*INDEX(SPPR!$E:$Z,MATCH($A39,SPPR!$A:$A,0),6),""),"")</f>
        <v/>
      </c>
      <c r="J39">
        <f>IFERROR(IF(ISNUMBER(INDEX(SPPR!$E:$Z,MATCH($A39,SPPR!$A:$A,0),7)),$C39*INDEX(SPPR!$E:$Z,MATCH($A39,SPPR!$A:$A,0),7),""),"")</f>
        <v/>
      </c>
      <c r="K39">
        <f>IFERROR(IF(ISNUMBER(INDEX(SPPR!$E:$Z,MATCH($A39,SPPR!$A:$A,0),8)),$C39*INDEX(SPPR!$E:$Z,MATCH($A39,SPPR!$A:$A,0),8),""),"")</f>
        <v/>
      </c>
      <c r="L39">
        <f>IFERROR(IF(ISNUMBER(INDEX(SPPR!$E:$Z,MATCH($A39,SPPR!$A:$A,0),9)),$C39*INDEX(SPPR!$E:$Z,MATCH($A39,SPPR!$A:$A,0),9),""),"")</f>
        <v/>
      </c>
      <c r="M39">
        <f>IFERROR(IF(ISNUMBER(INDEX(SPPR!$E:$Z,MATCH($A39,SPPR!$A:$A,0),10)),$C39*INDEX(SPPR!$E:$Z,MATCH($A39,SPPR!$A:$A,0),10),""),"")</f>
        <v/>
      </c>
      <c r="N39">
        <f>IFERROR(IF(ISNUMBER(INDEX(SPPR!$E:$Z,MATCH($A39,SPPR!$A:$A,0),11)),$C39*INDEX(SPPR!$E:$Z,MATCH($A39,SPPR!$A:$A,0),11),""),"")</f>
        <v/>
      </c>
      <c r="O39">
        <f>IFERROR(IF(ISNUMBER(INDEX(SPPR!$E:$Z,MATCH($A39,SPPR!$A:$A,0),12)),$C39*INDEX(SPPR!$E:$Z,MATCH($A39,SPPR!$A:$A,0),12),""),"")</f>
        <v/>
      </c>
      <c r="P39">
        <f>IFERROR(IF(ISNUMBER(INDEX(SPPR!$E:$Z,MATCH($A39,SPPR!$A:$A,0),13)),$C39*INDEX(SPPR!$E:$Z,MATCH($A39,SPPR!$A:$A,0),13),""),"")</f>
        <v/>
      </c>
      <c r="Q39">
        <f>IFERROR(IF(ISNUMBER(INDEX(SPPR!$E:$Z,MATCH($A39,SPPR!$A:$A,0),14)),$C39*INDEX(SPPR!$E:$Z,MATCH($A39,SPPR!$A:$A,0),14),""),"")</f>
        <v/>
      </c>
      <c r="R39">
        <f>IFERROR(IF(ISNUMBER(INDEX(SPPR!$E:$Z,MATCH($A39,SPPR!$A:$A,0),15)),$C39*INDEX(SPPR!$E:$Z,MATCH($A39,SPPR!$A:$A,0),15),""),"")</f>
        <v/>
      </c>
      <c r="S39">
        <f>IFERROR(IF(ISNUMBER(INDEX(SPPR!$E:$Z,MATCH($A39,SPPR!$A:$A,0),16)),$C39*INDEX(SPPR!$E:$Z,MATCH($A39,SPPR!$A:$A,0),16),""),"")</f>
        <v/>
      </c>
      <c r="T39">
        <f>IFERROR(IF(ISNUMBER(INDEX(SPPR!$E:$Z,MATCH($A39,SPPR!$A:$A,0),17)),$C39*INDEX(SPPR!$E:$Z,MATCH($A39,SPPR!$A:$A,0),17),""),"")</f>
        <v/>
      </c>
      <c r="U39">
        <f>IFERROR(IF(ISNUMBER(INDEX(SPPR!$E:$Z,MATCH($A39,SPPR!$A:$A,0),18)),$C39*INDEX(SPPR!$E:$Z,MATCH($A39,SPPR!$A:$A,0),18),""),"")</f>
        <v/>
      </c>
      <c r="V39">
        <f>IFERROR(IF(ISNUMBER(INDEX(SPPR!$E:$Z,MATCH($A39,SPPR!$A:$A,0),19)),$C39*INDEX(SPPR!$E:$Z,MATCH($A39,SPPR!$A:$A,0),19),""),"")</f>
        <v/>
      </c>
      <c r="W39">
        <f>IFERROR(IF(ISNUMBER(INDEX(SPPR!$E:$Z,MATCH($A39,SPPR!$A:$A,0),20)),$C39*INDEX(SPPR!$E:$Z,MATCH($A39,SPPR!$A:$A,0),20),""),"")</f>
        <v/>
      </c>
      <c r="X39">
        <f>IFERROR(IF(ISNUMBER(INDEX(SPPR!$E:$Z,MATCH($A39,SPPR!$A:$A,0),21)),$C39*INDEX(SPPR!$E:$Z,MATCH($A39,SPPR!$A:$A,0),21),""),"")</f>
        <v/>
      </c>
      <c r="Y39">
        <f>IFERROR(IF(ISNUMBER(INDEX(SPPR!$E:$Z,MATCH($A39,SPPR!$A:$A,0),22)),$C39*INDEX(SPPR!$E:$Z,MATCH($A39,SPPR!$A:$A,0),22),""),"")</f>
        <v/>
      </c>
    </row>
    <row r="40">
      <c r="A40" t="inlineStr">
        <is>
          <t>Selaroides leptolepis</t>
        </is>
      </c>
      <c r="B40">
        <f>IFERROR(INDEX(SPPR!$D:$D,MATCH($A40,SPPR!$A:$A,0)),"")</f>
        <v/>
      </c>
      <c r="C40">
        <f>IFERROR(INDEX(Catch!$E:$BV,MATCH($A40,Catch!$A:$A,0),MATCH($B$4,Catch!$E$1:$BV$1,0)),0)</f>
        <v/>
      </c>
      <c r="D40">
        <f>IFERROR(IF(ISNUMBER(INDEX(SPPR!$E:$Z,MATCH($A40,SPPR!$A:$A,0),1)),$C40*INDEX(SPPR!$E:$Z,MATCH($A40,SPPR!$A:$A,0),1),""),"")</f>
        <v/>
      </c>
      <c r="E40">
        <f>IFERROR(IF(ISNUMBER(INDEX(SPPR!$E:$Z,MATCH($A40,SPPR!$A:$A,0),2)),$C40*INDEX(SPPR!$E:$Z,MATCH($A40,SPPR!$A:$A,0),2),""),"")</f>
        <v/>
      </c>
      <c r="F40">
        <f>IFERROR(IF(ISNUMBER(INDEX(SPPR!$E:$Z,MATCH($A40,SPPR!$A:$A,0),3)),$C40*INDEX(SPPR!$E:$Z,MATCH($A40,SPPR!$A:$A,0),3),""),"")</f>
        <v/>
      </c>
      <c r="G40">
        <f>IFERROR(IF(ISNUMBER(INDEX(SPPR!$E:$Z,MATCH($A40,SPPR!$A:$A,0),4)),$C40*INDEX(SPPR!$E:$Z,MATCH($A40,SPPR!$A:$A,0),4),""),"")</f>
        <v/>
      </c>
      <c r="H40">
        <f>IFERROR(IF(ISNUMBER(INDEX(SPPR!$E:$Z,MATCH($A40,SPPR!$A:$A,0),5)),$C40*INDEX(SPPR!$E:$Z,MATCH($A40,SPPR!$A:$A,0),5),""),"")</f>
        <v/>
      </c>
      <c r="I40">
        <f>IFERROR(IF(ISNUMBER(INDEX(SPPR!$E:$Z,MATCH($A40,SPPR!$A:$A,0),6)),$C40*INDEX(SPPR!$E:$Z,MATCH($A40,SPPR!$A:$A,0),6),""),"")</f>
        <v/>
      </c>
      <c r="J40">
        <f>IFERROR(IF(ISNUMBER(INDEX(SPPR!$E:$Z,MATCH($A40,SPPR!$A:$A,0),7)),$C40*INDEX(SPPR!$E:$Z,MATCH($A40,SPPR!$A:$A,0),7),""),"")</f>
        <v/>
      </c>
      <c r="K40">
        <f>IFERROR(IF(ISNUMBER(INDEX(SPPR!$E:$Z,MATCH($A40,SPPR!$A:$A,0),8)),$C40*INDEX(SPPR!$E:$Z,MATCH($A40,SPPR!$A:$A,0),8),""),"")</f>
        <v/>
      </c>
      <c r="L40">
        <f>IFERROR(IF(ISNUMBER(INDEX(SPPR!$E:$Z,MATCH($A40,SPPR!$A:$A,0),9)),$C40*INDEX(SPPR!$E:$Z,MATCH($A40,SPPR!$A:$A,0),9),""),"")</f>
        <v/>
      </c>
      <c r="M40">
        <f>IFERROR(IF(ISNUMBER(INDEX(SPPR!$E:$Z,MATCH($A40,SPPR!$A:$A,0),10)),$C40*INDEX(SPPR!$E:$Z,MATCH($A40,SPPR!$A:$A,0),10),""),"")</f>
        <v/>
      </c>
      <c r="N40">
        <f>IFERROR(IF(ISNUMBER(INDEX(SPPR!$E:$Z,MATCH($A40,SPPR!$A:$A,0),11)),$C40*INDEX(SPPR!$E:$Z,MATCH($A40,SPPR!$A:$A,0),11),""),"")</f>
        <v/>
      </c>
      <c r="O40">
        <f>IFERROR(IF(ISNUMBER(INDEX(SPPR!$E:$Z,MATCH($A40,SPPR!$A:$A,0),12)),$C40*INDEX(SPPR!$E:$Z,MATCH($A40,SPPR!$A:$A,0),12),""),"")</f>
        <v/>
      </c>
      <c r="P40">
        <f>IFERROR(IF(ISNUMBER(INDEX(SPPR!$E:$Z,MATCH($A40,SPPR!$A:$A,0),13)),$C40*INDEX(SPPR!$E:$Z,MATCH($A40,SPPR!$A:$A,0),13),""),"")</f>
        <v/>
      </c>
      <c r="Q40">
        <f>IFERROR(IF(ISNUMBER(INDEX(SPPR!$E:$Z,MATCH($A40,SPPR!$A:$A,0),14)),$C40*INDEX(SPPR!$E:$Z,MATCH($A40,SPPR!$A:$A,0),14),""),"")</f>
        <v/>
      </c>
      <c r="R40">
        <f>IFERROR(IF(ISNUMBER(INDEX(SPPR!$E:$Z,MATCH($A40,SPPR!$A:$A,0),15)),$C40*INDEX(SPPR!$E:$Z,MATCH($A40,SPPR!$A:$A,0),15),""),"")</f>
        <v/>
      </c>
      <c r="S40">
        <f>IFERROR(IF(ISNUMBER(INDEX(SPPR!$E:$Z,MATCH($A40,SPPR!$A:$A,0),16)),$C40*INDEX(SPPR!$E:$Z,MATCH($A40,SPPR!$A:$A,0),16),""),"")</f>
        <v/>
      </c>
      <c r="T40">
        <f>IFERROR(IF(ISNUMBER(INDEX(SPPR!$E:$Z,MATCH($A40,SPPR!$A:$A,0),17)),$C40*INDEX(SPPR!$E:$Z,MATCH($A40,SPPR!$A:$A,0),17),""),"")</f>
        <v/>
      </c>
      <c r="U40">
        <f>IFERROR(IF(ISNUMBER(INDEX(SPPR!$E:$Z,MATCH($A40,SPPR!$A:$A,0),18)),$C40*INDEX(SPPR!$E:$Z,MATCH($A40,SPPR!$A:$A,0),18),""),"")</f>
        <v/>
      </c>
      <c r="V40">
        <f>IFERROR(IF(ISNUMBER(INDEX(SPPR!$E:$Z,MATCH($A40,SPPR!$A:$A,0),19)),$C40*INDEX(SPPR!$E:$Z,MATCH($A40,SPPR!$A:$A,0),19),""),"")</f>
        <v/>
      </c>
      <c r="W40">
        <f>IFERROR(IF(ISNUMBER(INDEX(SPPR!$E:$Z,MATCH($A40,SPPR!$A:$A,0),20)),$C40*INDEX(SPPR!$E:$Z,MATCH($A40,SPPR!$A:$A,0),20),""),"")</f>
        <v/>
      </c>
      <c r="X40">
        <f>IFERROR(IF(ISNUMBER(INDEX(SPPR!$E:$Z,MATCH($A40,SPPR!$A:$A,0),21)),$C40*INDEX(SPPR!$E:$Z,MATCH($A40,SPPR!$A:$A,0),21),""),"")</f>
        <v/>
      </c>
      <c r="Y40">
        <f>IFERROR(IF(ISNUMBER(INDEX(SPPR!$E:$Z,MATCH($A40,SPPR!$A:$A,0),22)),$C40*INDEX(SPPR!$E:$Z,MATCH($A40,SPPR!$A:$A,0),22),""),"")</f>
        <v/>
      </c>
    </row>
    <row r="41">
      <c r="A41" t="inlineStr">
        <is>
          <t>Parastromateus niger</t>
        </is>
      </c>
      <c r="B41">
        <f>IFERROR(INDEX(SPPR!$D:$D,MATCH($A41,SPPR!$A:$A,0)),"")</f>
        <v/>
      </c>
      <c r="C41">
        <f>IFERROR(INDEX(Catch!$E:$BV,MATCH($A41,Catch!$A:$A,0),MATCH($B$4,Catch!$E$1:$BV$1,0)),0)</f>
        <v/>
      </c>
      <c r="D41">
        <f>IFERROR(IF(ISNUMBER(INDEX(SPPR!$E:$Z,MATCH($A41,SPPR!$A:$A,0),1)),$C41*INDEX(SPPR!$E:$Z,MATCH($A41,SPPR!$A:$A,0),1),""),"")</f>
        <v/>
      </c>
      <c r="E41">
        <f>IFERROR(IF(ISNUMBER(INDEX(SPPR!$E:$Z,MATCH($A41,SPPR!$A:$A,0),2)),$C41*INDEX(SPPR!$E:$Z,MATCH($A41,SPPR!$A:$A,0),2),""),"")</f>
        <v/>
      </c>
      <c r="F41">
        <f>IFERROR(IF(ISNUMBER(INDEX(SPPR!$E:$Z,MATCH($A41,SPPR!$A:$A,0),3)),$C41*INDEX(SPPR!$E:$Z,MATCH($A41,SPPR!$A:$A,0),3),""),"")</f>
        <v/>
      </c>
      <c r="G41">
        <f>IFERROR(IF(ISNUMBER(INDEX(SPPR!$E:$Z,MATCH($A41,SPPR!$A:$A,0),4)),$C41*INDEX(SPPR!$E:$Z,MATCH($A41,SPPR!$A:$A,0),4),""),"")</f>
        <v/>
      </c>
      <c r="H41">
        <f>IFERROR(IF(ISNUMBER(INDEX(SPPR!$E:$Z,MATCH($A41,SPPR!$A:$A,0),5)),$C41*INDEX(SPPR!$E:$Z,MATCH($A41,SPPR!$A:$A,0),5),""),"")</f>
        <v/>
      </c>
      <c r="I41">
        <f>IFERROR(IF(ISNUMBER(INDEX(SPPR!$E:$Z,MATCH($A41,SPPR!$A:$A,0),6)),$C41*INDEX(SPPR!$E:$Z,MATCH($A41,SPPR!$A:$A,0),6),""),"")</f>
        <v/>
      </c>
      <c r="J41">
        <f>IFERROR(IF(ISNUMBER(INDEX(SPPR!$E:$Z,MATCH($A41,SPPR!$A:$A,0),7)),$C41*INDEX(SPPR!$E:$Z,MATCH($A41,SPPR!$A:$A,0),7),""),"")</f>
        <v/>
      </c>
      <c r="K41">
        <f>IFERROR(IF(ISNUMBER(INDEX(SPPR!$E:$Z,MATCH($A41,SPPR!$A:$A,0),8)),$C41*INDEX(SPPR!$E:$Z,MATCH($A41,SPPR!$A:$A,0),8),""),"")</f>
        <v/>
      </c>
      <c r="L41">
        <f>IFERROR(IF(ISNUMBER(INDEX(SPPR!$E:$Z,MATCH($A41,SPPR!$A:$A,0),9)),$C41*INDEX(SPPR!$E:$Z,MATCH($A41,SPPR!$A:$A,0),9),""),"")</f>
        <v/>
      </c>
      <c r="M41">
        <f>IFERROR(IF(ISNUMBER(INDEX(SPPR!$E:$Z,MATCH($A41,SPPR!$A:$A,0),10)),$C41*INDEX(SPPR!$E:$Z,MATCH($A41,SPPR!$A:$A,0),10),""),"")</f>
        <v/>
      </c>
      <c r="N41">
        <f>IFERROR(IF(ISNUMBER(INDEX(SPPR!$E:$Z,MATCH($A41,SPPR!$A:$A,0),11)),$C41*INDEX(SPPR!$E:$Z,MATCH($A41,SPPR!$A:$A,0),11),""),"")</f>
        <v/>
      </c>
      <c r="O41">
        <f>IFERROR(IF(ISNUMBER(INDEX(SPPR!$E:$Z,MATCH($A41,SPPR!$A:$A,0),12)),$C41*INDEX(SPPR!$E:$Z,MATCH($A41,SPPR!$A:$A,0),12),""),"")</f>
        <v/>
      </c>
      <c r="P41">
        <f>IFERROR(IF(ISNUMBER(INDEX(SPPR!$E:$Z,MATCH($A41,SPPR!$A:$A,0),13)),$C41*INDEX(SPPR!$E:$Z,MATCH($A41,SPPR!$A:$A,0),13),""),"")</f>
        <v/>
      </c>
      <c r="Q41">
        <f>IFERROR(IF(ISNUMBER(INDEX(SPPR!$E:$Z,MATCH($A41,SPPR!$A:$A,0),14)),$C41*INDEX(SPPR!$E:$Z,MATCH($A41,SPPR!$A:$A,0),14),""),"")</f>
        <v/>
      </c>
      <c r="R41">
        <f>IFERROR(IF(ISNUMBER(INDEX(SPPR!$E:$Z,MATCH($A41,SPPR!$A:$A,0),15)),$C41*INDEX(SPPR!$E:$Z,MATCH($A41,SPPR!$A:$A,0),15),""),"")</f>
        <v/>
      </c>
      <c r="S41">
        <f>IFERROR(IF(ISNUMBER(INDEX(SPPR!$E:$Z,MATCH($A41,SPPR!$A:$A,0),16)),$C41*INDEX(SPPR!$E:$Z,MATCH($A41,SPPR!$A:$A,0),16),""),"")</f>
        <v/>
      </c>
      <c r="T41">
        <f>IFERROR(IF(ISNUMBER(INDEX(SPPR!$E:$Z,MATCH($A41,SPPR!$A:$A,0),17)),$C41*INDEX(SPPR!$E:$Z,MATCH($A41,SPPR!$A:$A,0),17),""),"")</f>
        <v/>
      </c>
      <c r="U41">
        <f>IFERROR(IF(ISNUMBER(INDEX(SPPR!$E:$Z,MATCH($A41,SPPR!$A:$A,0),18)),$C41*INDEX(SPPR!$E:$Z,MATCH($A41,SPPR!$A:$A,0),18),""),"")</f>
        <v/>
      </c>
      <c r="V41">
        <f>IFERROR(IF(ISNUMBER(INDEX(SPPR!$E:$Z,MATCH($A41,SPPR!$A:$A,0),19)),$C41*INDEX(SPPR!$E:$Z,MATCH($A41,SPPR!$A:$A,0),19),""),"")</f>
        <v/>
      </c>
      <c r="W41">
        <f>IFERROR(IF(ISNUMBER(INDEX(SPPR!$E:$Z,MATCH($A41,SPPR!$A:$A,0),20)),$C41*INDEX(SPPR!$E:$Z,MATCH($A41,SPPR!$A:$A,0),20),""),"")</f>
        <v/>
      </c>
      <c r="X41">
        <f>IFERROR(IF(ISNUMBER(INDEX(SPPR!$E:$Z,MATCH($A41,SPPR!$A:$A,0),21)),$C41*INDEX(SPPR!$E:$Z,MATCH($A41,SPPR!$A:$A,0),21),""),"")</f>
        <v/>
      </c>
      <c r="Y41">
        <f>IFERROR(IF(ISNUMBER(INDEX(SPPR!$E:$Z,MATCH($A41,SPPR!$A:$A,0),22)),$C41*INDEX(SPPR!$E:$Z,MATCH($A41,SPPR!$A:$A,0),22),""),"")</f>
        <v/>
      </c>
    </row>
    <row r="42">
      <c r="A42" t="inlineStr">
        <is>
          <t>Nemipterus</t>
        </is>
      </c>
      <c r="B42">
        <f>IFERROR(INDEX(SPPR!$D:$D,MATCH($A42,SPPR!$A:$A,0)),"")</f>
        <v/>
      </c>
      <c r="C42">
        <f>IFERROR(INDEX(Catch!$E:$BV,MATCH($A42,Catch!$A:$A,0),MATCH($B$4,Catch!$E$1:$BV$1,0)),0)</f>
        <v/>
      </c>
      <c r="D42">
        <f>IFERROR(IF(ISNUMBER(INDEX(SPPR!$E:$Z,MATCH($A42,SPPR!$A:$A,0),1)),$C42*INDEX(SPPR!$E:$Z,MATCH($A42,SPPR!$A:$A,0),1),""),"")</f>
        <v/>
      </c>
      <c r="E42">
        <f>IFERROR(IF(ISNUMBER(INDEX(SPPR!$E:$Z,MATCH($A42,SPPR!$A:$A,0),2)),$C42*INDEX(SPPR!$E:$Z,MATCH($A42,SPPR!$A:$A,0),2),""),"")</f>
        <v/>
      </c>
      <c r="F42">
        <f>IFERROR(IF(ISNUMBER(INDEX(SPPR!$E:$Z,MATCH($A42,SPPR!$A:$A,0),3)),$C42*INDEX(SPPR!$E:$Z,MATCH($A42,SPPR!$A:$A,0),3),""),"")</f>
        <v/>
      </c>
      <c r="G42">
        <f>IFERROR(IF(ISNUMBER(INDEX(SPPR!$E:$Z,MATCH($A42,SPPR!$A:$A,0),4)),$C42*INDEX(SPPR!$E:$Z,MATCH($A42,SPPR!$A:$A,0),4),""),"")</f>
        <v/>
      </c>
      <c r="H42">
        <f>IFERROR(IF(ISNUMBER(INDEX(SPPR!$E:$Z,MATCH($A42,SPPR!$A:$A,0),5)),$C42*INDEX(SPPR!$E:$Z,MATCH($A42,SPPR!$A:$A,0),5),""),"")</f>
        <v/>
      </c>
      <c r="I42">
        <f>IFERROR(IF(ISNUMBER(INDEX(SPPR!$E:$Z,MATCH($A42,SPPR!$A:$A,0),6)),$C42*INDEX(SPPR!$E:$Z,MATCH($A42,SPPR!$A:$A,0),6),""),"")</f>
        <v/>
      </c>
      <c r="J42">
        <f>IFERROR(IF(ISNUMBER(INDEX(SPPR!$E:$Z,MATCH($A42,SPPR!$A:$A,0),7)),$C42*INDEX(SPPR!$E:$Z,MATCH($A42,SPPR!$A:$A,0),7),""),"")</f>
        <v/>
      </c>
      <c r="K42">
        <f>IFERROR(IF(ISNUMBER(INDEX(SPPR!$E:$Z,MATCH($A42,SPPR!$A:$A,0),8)),$C42*INDEX(SPPR!$E:$Z,MATCH($A42,SPPR!$A:$A,0),8),""),"")</f>
        <v/>
      </c>
      <c r="L42">
        <f>IFERROR(IF(ISNUMBER(INDEX(SPPR!$E:$Z,MATCH($A42,SPPR!$A:$A,0),9)),$C42*INDEX(SPPR!$E:$Z,MATCH($A42,SPPR!$A:$A,0),9),""),"")</f>
        <v/>
      </c>
      <c r="M42">
        <f>IFERROR(IF(ISNUMBER(INDEX(SPPR!$E:$Z,MATCH($A42,SPPR!$A:$A,0),10)),$C42*INDEX(SPPR!$E:$Z,MATCH($A42,SPPR!$A:$A,0),10),""),"")</f>
        <v/>
      </c>
      <c r="N42">
        <f>IFERROR(IF(ISNUMBER(INDEX(SPPR!$E:$Z,MATCH($A42,SPPR!$A:$A,0),11)),$C42*INDEX(SPPR!$E:$Z,MATCH($A42,SPPR!$A:$A,0),11),""),"")</f>
        <v/>
      </c>
      <c r="O42">
        <f>IFERROR(IF(ISNUMBER(INDEX(SPPR!$E:$Z,MATCH($A42,SPPR!$A:$A,0),12)),$C42*INDEX(SPPR!$E:$Z,MATCH($A42,SPPR!$A:$A,0),12),""),"")</f>
        <v/>
      </c>
      <c r="P42">
        <f>IFERROR(IF(ISNUMBER(INDEX(SPPR!$E:$Z,MATCH($A42,SPPR!$A:$A,0),13)),$C42*INDEX(SPPR!$E:$Z,MATCH($A42,SPPR!$A:$A,0),13),""),"")</f>
        <v/>
      </c>
      <c r="Q42">
        <f>IFERROR(IF(ISNUMBER(INDEX(SPPR!$E:$Z,MATCH($A42,SPPR!$A:$A,0),14)),$C42*INDEX(SPPR!$E:$Z,MATCH($A42,SPPR!$A:$A,0),14),""),"")</f>
        <v/>
      </c>
      <c r="R42">
        <f>IFERROR(IF(ISNUMBER(INDEX(SPPR!$E:$Z,MATCH($A42,SPPR!$A:$A,0),15)),$C42*INDEX(SPPR!$E:$Z,MATCH($A42,SPPR!$A:$A,0),15),""),"")</f>
        <v/>
      </c>
      <c r="S42">
        <f>IFERROR(IF(ISNUMBER(INDEX(SPPR!$E:$Z,MATCH($A42,SPPR!$A:$A,0),16)),$C42*INDEX(SPPR!$E:$Z,MATCH($A42,SPPR!$A:$A,0),16),""),"")</f>
        <v/>
      </c>
      <c r="T42">
        <f>IFERROR(IF(ISNUMBER(INDEX(SPPR!$E:$Z,MATCH($A42,SPPR!$A:$A,0),17)),$C42*INDEX(SPPR!$E:$Z,MATCH($A42,SPPR!$A:$A,0),17),""),"")</f>
        <v/>
      </c>
      <c r="U42">
        <f>IFERROR(IF(ISNUMBER(INDEX(SPPR!$E:$Z,MATCH($A42,SPPR!$A:$A,0),18)),$C42*INDEX(SPPR!$E:$Z,MATCH($A42,SPPR!$A:$A,0),18),""),"")</f>
        <v/>
      </c>
      <c r="V42">
        <f>IFERROR(IF(ISNUMBER(INDEX(SPPR!$E:$Z,MATCH($A42,SPPR!$A:$A,0),19)),$C42*INDEX(SPPR!$E:$Z,MATCH($A42,SPPR!$A:$A,0),19),""),"")</f>
        <v/>
      </c>
      <c r="W42">
        <f>IFERROR(IF(ISNUMBER(INDEX(SPPR!$E:$Z,MATCH($A42,SPPR!$A:$A,0),20)),$C42*INDEX(SPPR!$E:$Z,MATCH($A42,SPPR!$A:$A,0),20),""),"")</f>
        <v/>
      </c>
      <c r="X42">
        <f>IFERROR(IF(ISNUMBER(INDEX(SPPR!$E:$Z,MATCH($A42,SPPR!$A:$A,0),21)),$C42*INDEX(SPPR!$E:$Z,MATCH($A42,SPPR!$A:$A,0),21),""),"")</f>
        <v/>
      </c>
      <c r="Y42">
        <f>IFERROR(IF(ISNUMBER(INDEX(SPPR!$E:$Z,MATCH($A42,SPPR!$A:$A,0),22)),$C42*INDEX(SPPR!$E:$Z,MATCH($A42,SPPR!$A:$A,0),22),""),"")</f>
        <v/>
      </c>
    </row>
    <row r="43">
      <c r="A43" t="inlineStr">
        <is>
          <t>Chirocentrus</t>
        </is>
      </c>
      <c r="B43">
        <f>IFERROR(INDEX(SPPR!$D:$D,MATCH($A43,SPPR!$A:$A,0)),"")</f>
        <v/>
      </c>
      <c r="C43">
        <f>IFERROR(INDEX(Catch!$E:$BV,MATCH($A43,Catch!$A:$A,0),MATCH($B$4,Catch!$E$1:$BV$1,0)),0)</f>
        <v/>
      </c>
      <c r="D43">
        <f>IFERROR(IF(ISNUMBER(INDEX(SPPR!$E:$Z,MATCH($A43,SPPR!$A:$A,0),1)),$C43*INDEX(SPPR!$E:$Z,MATCH($A43,SPPR!$A:$A,0),1),""),"")</f>
        <v/>
      </c>
      <c r="E43">
        <f>IFERROR(IF(ISNUMBER(INDEX(SPPR!$E:$Z,MATCH($A43,SPPR!$A:$A,0),2)),$C43*INDEX(SPPR!$E:$Z,MATCH($A43,SPPR!$A:$A,0),2),""),"")</f>
        <v/>
      </c>
      <c r="F43">
        <f>IFERROR(IF(ISNUMBER(INDEX(SPPR!$E:$Z,MATCH($A43,SPPR!$A:$A,0),3)),$C43*INDEX(SPPR!$E:$Z,MATCH($A43,SPPR!$A:$A,0),3),""),"")</f>
        <v/>
      </c>
      <c r="G43">
        <f>IFERROR(IF(ISNUMBER(INDEX(SPPR!$E:$Z,MATCH($A43,SPPR!$A:$A,0),4)),$C43*INDEX(SPPR!$E:$Z,MATCH($A43,SPPR!$A:$A,0),4),""),"")</f>
        <v/>
      </c>
      <c r="H43">
        <f>IFERROR(IF(ISNUMBER(INDEX(SPPR!$E:$Z,MATCH($A43,SPPR!$A:$A,0),5)),$C43*INDEX(SPPR!$E:$Z,MATCH($A43,SPPR!$A:$A,0),5),""),"")</f>
        <v/>
      </c>
      <c r="I43">
        <f>IFERROR(IF(ISNUMBER(INDEX(SPPR!$E:$Z,MATCH($A43,SPPR!$A:$A,0),6)),$C43*INDEX(SPPR!$E:$Z,MATCH($A43,SPPR!$A:$A,0),6),""),"")</f>
        <v/>
      </c>
      <c r="J43">
        <f>IFERROR(IF(ISNUMBER(INDEX(SPPR!$E:$Z,MATCH($A43,SPPR!$A:$A,0),7)),$C43*INDEX(SPPR!$E:$Z,MATCH($A43,SPPR!$A:$A,0),7),""),"")</f>
        <v/>
      </c>
      <c r="K43">
        <f>IFERROR(IF(ISNUMBER(INDEX(SPPR!$E:$Z,MATCH($A43,SPPR!$A:$A,0),8)),$C43*INDEX(SPPR!$E:$Z,MATCH($A43,SPPR!$A:$A,0),8),""),"")</f>
        <v/>
      </c>
      <c r="L43">
        <f>IFERROR(IF(ISNUMBER(INDEX(SPPR!$E:$Z,MATCH($A43,SPPR!$A:$A,0),9)),$C43*INDEX(SPPR!$E:$Z,MATCH($A43,SPPR!$A:$A,0),9),""),"")</f>
        <v/>
      </c>
      <c r="M43">
        <f>IFERROR(IF(ISNUMBER(INDEX(SPPR!$E:$Z,MATCH($A43,SPPR!$A:$A,0),10)),$C43*INDEX(SPPR!$E:$Z,MATCH($A43,SPPR!$A:$A,0),10),""),"")</f>
        <v/>
      </c>
      <c r="N43">
        <f>IFERROR(IF(ISNUMBER(INDEX(SPPR!$E:$Z,MATCH($A43,SPPR!$A:$A,0),11)),$C43*INDEX(SPPR!$E:$Z,MATCH($A43,SPPR!$A:$A,0),11),""),"")</f>
        <v/>
      </c>
      <c r="O43">
        <f>IFERROR(IF(ISNUMBER(INDEX(SPPR!$E:$Z,MATCH($A43,SPPR!$A:$A,0),12)),$C43*INDEX(SPPR!$E:$Z,MATCH($A43,SPPR!$A:$A,0),12),""),"")</f>
        <v/>
      </c>
      <c r="P43">
        <f>IFERROR(IF(ISNUMBER(INDEX(SPPR!$E:$Z,MATCH($A43,SPPR!$A:$A,0),13)),$C43*INDEX(SPPR!$E:$Z,MATCH($A43,SPPR!$A:$A,0),13),""),"")</f>
        <v/>
      </c>
      <c r="Q43">
        <f>IFERROR(IF(ISNUMBER(INDEX(SPPR!$E:$Z,MATCH($A43,SPPR!$A:$A,0),14)),$C43*INDEX(SPPR!$E:$Z,MATCH($A43,SPPR!$A:$A,0),14),""),"")</f>
        <v/>
      </c>
      <c r="R43">
        <f>IFERROR(IF(ISNUMBER(INDEX(SPPR!$E:$Z,MATCH($A43,SPPR!$A:$A,0),15)),$C43*INDEX(SPPR!$E:$Z,MATCH($A43,SPPR!$A:$A,0),15),""),"")</f>
        <v/>
      </c>
      <c r="S43">
        <f>IFERROR(IF(ISNUMBER(INDEX(SPPR!$E:$Z,MATCH($A43,SPPR!$A:$A,0),16)),$C43*INDEX(SPPR!$E:$Z,MATCH($A43,SPPR!$A:$A,0),16),""),"")</f>
        <v/>
      </c>
      <c r="T43">
        <f>IFERROR(IF(ISNUMBER(INDEX(SPPR!$E:$Z,MATCH($A43,SPPR!$A:$A,0),17)),$C43*INDEX(SPPR!$E:$Z,MATCH($A43,SPPR!$A:$A,0),17),""),"")</f>
        <v/>
      </c>
      <c r="U43">
        <f>IFERROR(IF(ISNUMBER(INDEX(SPPR!$E:$Z,MATCH($A43,SPPR!$A:$A,0),18)),$C43*INDEX(SPPR!$E:$Z,MATCH($A43,SPPR!$A:$A,0),18),""),"")</f>
        <v/>
      </c>
      <c r="V43">
        <f>IFERROR(IF(ISNUMBER(INDEX(SPPR!$E:$Z,MATCH($A43,SPPR!$A:$A,0),19)),$C43*INDEX(SPPR!$E:$Z,MATCH($A43,SPPR!$A:$A,0),19),""),"")</f>
        <v/>
      </c>
      <c r="W43">
        <f>IFERROR(IF(ISNUMBER(INDEX(SPPR!$E:$Z,MATCH($A43,SPPR!$A:$A,0),20)),$C43*INDEX(SPPR!$E:$Z,MATCH($A43,SPPR!$A:$A,0),20),""),"")</f>
        <v/>
      </c>
      <c r="X43">
        <f>IFERROR(IF(ISNUMBER(INDEX(SPPR!$E:$Z,MATCH($A43,SPPR!$A:$A,0),21)),$C43*INDEX(SPPR!$E:$Z,MATCH($A43,SPPR!$A:$A,0),21),""),"")</f>
        <v/>
      </c>
      <c r="Y43">
        <f>IFERROR(IF(ISNUMBER(INDEX(SPPR!$E:$Z,MATCH($A43,SPPR!$A:$A,0),22)),$C43*INDEX(SPPR!$E:$Z,MATCH($A43,SPPR!$A:$A,0),22),""),"")</f>
        <v/>
      </c>
    </row>
    <row r="44">
      <c r="A44" t="inlineStr">
        <is>
          <t>Siluriformes</t>
        </is>
      </c>
      <c r="B44">
        <f>IFERROR(INDEX(SPPR!$D:$D,MATCH($A44,SPPR!$A:$A,0)),"")</f>
        <v/>
      </c>
      <c r="C44">
        <f>IFERROR(INDEX(Catch!$E:$BV,MATCH($A44,Catch!$A:$A,0),MATCH($B$4,Catch!$E$1:$BV$1,0)),0)</f>
        <v/>
      </c>
      <c r="D44">
        <f>IFERROR(IF(ISNUMBER(INDEX(SPPR!$E:$Z,MATCH($A44,SPPR!$A:$A,0),1)),$C44*INDEX(SPPR!$E:$Z,MATCH($A44,SPPR!$A:$A,0),1),""),"")</f>
        <v/>
      </c>
      <c r="E44">
        <f>IFERROR(IF(ISNUMBER(INDEX(SPPR!$E:$Z,MATCH($A44,SPPR!$A:$A,0),2)),$C44*INDEX(SPPR!$E:$Z,MATCH($A44,SPPR!$A:$A,0),2),""),"")</f>
        <v/>
      </c>
      <c r="F44">
        <f>IFERROR(IF(ISNUMBER(INDEX(SPPR!$E:$Z,MATCH($A44,SPPR!$A:$A,0),3)),$C44*INDEX(SPPR!$E:$Z,MATCH($A44,SPPR!$A:$A,0),3),""),"")</f>
        <v/>
      </c>
      <c r="G44">
        <f>IFERROR(IF(ISNUMBER(INDEX(SPPR!$E:$Z,MATCH($A44,SPPR!$A:$A,0),4)),$C44*INDEX(SPPR!$E:$Z,MATCH($A44,SPPR!$A:$A,0),4),""),"")</f>
        <v/>
      </c>
      <c r="H44">
        <f>IFERROR(IF(ISNUMBER(INDEX(SPPR!$E:$Z,MATCH($A44,SPPR!$A:$A,0),5)),$C44*INDEX(SPPR!$E:$Z,MATCH($A44,SPPR!$A:$A,0),5),""),"")</f>
        <v/>
      </c>
      <c r="I44">
        <f>IFERROR(IF(ISNUMBER(INDEX(SPPR!$E:$Z,MATCH($A44,SPPR!$A:$A,0),6)),$C44*INDEX(SPPR!$E:$Z,MATCH($A44,SPPR!$A:$A,0),6),""),"")</f>
        <v/>
      </c>
      <c r="J44">
        <f>IFERROR(IF(ISNUMBER(INDEX(SPPR!$E:$Z,MATCH($A44,SPPR!$A:$A,0),7)),$C44*INDEX(SPPR!$E:$Z,MATCH($A44,SPPR!$A:$A,0),7),""),"")</f>
        <v/>
      </c>
      <c r="K44">
        <f>IFERROR(IF(ISNUMBER(INDEX(SPPR!$E:$Z,MATCH($A44,SPPR!$A:$A,0),8)),$C44*INDEX(SPPR!$E:$Z,MATCH($A44,SPPR!$A:$A,0),8),""),"")</f>
        <v/>
      </c>
      <c r="L44">
        <f>IFERROR(IF(ISNUMBER(INDEX(SPPR!$E:$Z,MATCH($A44,SPPR!$A:$A,0),9)),$C44*INDEX(SPPR!$E:$Z,MATCH($A44,SPPR!$A:$A,0),9),""),"")</f>
        <v/>
      </c>
      <c r="M44">
        <f>IFERROR(IF(ISNUMBER(INDEX(SPPR!$E:$Z,MATCH($A44,SPPR!$A:$A,0),10)),$C44*INDEX(SPPR!$E:$Z,MATCH($A44,SPPR!$A:$A,0),10),""),"")</f>
        <v/>
      </c>
      <c r="N44">
        <f>IFERROR(IF(ISNUMBER(INDEX(SPPR!$E:$Z,MATCH($A44,SPPR!$A:$A,0),11)),$C44*INDEX(SPPR!$E:$Z,MATCH($A44,SPPR!$A:$A,0),11),""),"")</f>
        <v/>
      </c>
      <c r="O44">
        <f>IFERROR(IF(ISNUMBER(INDEX(SPPR!$E:$Z,MATCH($A44,SPPR!$A:$A,0),12)),$C44*INDEX(SPPR!$E:$Z,MATCH($A44,SPPR!$A:$A,0),12),""),"")</f>
        <v/>
      </c>
      <c r="P44">
        <f>IFERROR(IF(ISNUMBER(INDEX(SPPR!$E:$Z,MATCH($A44,SPPR!$A:$A,0),13)),$C44*INDEX(SPPR!$E:$Z,MATCH($A44,SPPR!$A:$A,0),13),""),"")</f>
        <v/>
      </c>
      <c r="Q44">
        <f>IFERROR(IF(ISNUMBER(INDEX(SPPR!$E:$Z,MATCH($A44,SPPR!$A:$A,0),14)),$C44*INDEX(SPPR!$E:$Z,MATCH($A44,SPPR!$A:$A,0),14),""),"")</f>
        <v/>
      </c>
      <c r="R44">
        <f>IFERROR(IF(ISNUMBER(INDEX(SPPR!$E:$Z,MATCH($A44,SPPR!$A:$A,0),15)),$C44*INDEX(SPPR!$E:$Z,MATCH($A44,SPPR!$A:$A,0),15),""),"")</f>
        <v/>
      </c>
      <c r="S44">
        <f>IFERROR(IF(ISNUMBER(INDEX(SPPR!$E:$Z,MATCH($A44,SPPR!$A:$A,0),16)),$C44*INDEX(SPPR!$E:$Z,MATCH($A44,SPPR!$A:$A,0),16),""),"")</f>
        <v/>
      </c>
      <c r="T44">
        <f>IFERROR(IF(ISNUMBER(INDEX(SPPR!$E:$Z,MATCH($A44,SPPR!$A:$A,0),17)),$C44*INDEX(SPPR!$E:$Z,MATCH($A44,SPPR!$A:$A,0),17),""),"")</f>
        <v/>
      </c>
      <c r="U44">
        <f>IFERROR(IF(ISNUMBER(INDEX(SPPR!$E:$Z,MATCH($A44,SPPR!$A:$A,0),18)),$C44*INDEX(SPPR!$E:$Z,MATCH($A44,SPPR!$A:$A,0),18),""),"")</f>
        <v/>
      </c>
      <c r="V44">
        <f>IFERROR(IF(ISNUMBER(INDEX(SPPR!$E:$Z,MATCH($A44,SPPR!$A:$A,0),19)),$C44*INDEX(SPPR!$E:$Z,MATCH($A44,SPPR!$A:$A,0),19),""),"")</f>
        <v/>
      </c>
      <c r="W44">
        <f>IFERROR(IF(ISNUMBER(INDEX(SPPR!$E:$Z,MATCH($A44,SPPR!$A:$A,0),20)),$C44*INDEX(SPPR!$E:$Z,MATCH($A44,SPPR!$A:$A,0),20),""),"")</f>
        <v/>
      </c>
      <c r="X44">
        <f>IFERROR(IF(ISNUMBER(INDEX(SPPR!$E:$Z,MATCH($A44,SPPR!$A:$A,0),21)),$C44*INDEX(SPPR!$E:$Z,MATCH($A44,SPPR!$A:$A,0),21),""),"")</f>
        <v/>
      </c>
      <c r="Y44">
        <f>IFERROR(IF(ISNUMBER(INDEX(SPPR!$E:$Z,MATCH($A44,SPPR!$A:$A,0),22)),$C44*INDEX(SPPR!$E:$Z,MATCH($A44,SPPR!$A:$A,0),22),""),"")</f>
        <v/>
      </c>
    </row>
    <row r="45">
      <c r="A45" t="inlineStr">
        <is>
          <t>Dendrobranchiata</t>
        </is>
      </c>
      <c r="B45">
        <f>IFERROR(INDEX(SPPR!$D:$D,MATCH($A45,SPPR!$A:$A,0)),"")</f>
        <v/>
      </c>
      <c r="C45">
        <f>IFERROR(INDEX(Catch!$E:$BV,MATCH($A45,Catch!$A:$A,0),MATCH($B$4,Catch!$E$1:$BV$1,0)),0)</f>
        <v/>
      </c>
      <c r="D45">
        <f>IFERROR(IF(ISNUMBER(INDEX(SPPR!$E:$Z,MATCH($A45,SPPR!$A:$A,0),1)),$C45*INDEX(SPPR!$E:$Z,MATCH($A45,SPPR!$A:$A,0),1),""),"")</f>
        <v/>
      </c>
      <c r="E45">
        <f>IFERROR(IF(ISNUMBER(INDEX(SPPR!$E:$Z,MATCH($A45,SPPR!$A:$A,0),2)),$C45*INDEX(SPPR!$E:$Z,MATCH($A45,SPPR!$A:$A,0),2),""),"")</f>
        <v/>
      </c>
      <c r="F45">
        <f>IFERROR(IF(ISNUMBER(INDEX(SPPR!$E:$Z,MATCH($A45,SPPR!$A:$A,0),3)),$C45*INDEX(SPPR!$E:$Z,MATCH($A45,SPPR!$A:$A,0),3),""),"")</f>
        <v/>
      </c>
      <c r="G45">
        <f>IFERROR(IF(ISNUMBER(INDEX(SPPR!$E:$Z,MATCH($A45,SPPR!$A:$A,0),4)),$C45*INDEX(SPPR!$E:$Z,MATCH($A45,SPPR!$A:$A,0),4),""),"")</f>
        <v/>
      </c>
      <c r="H45">
        <f>IFERROR(IF(ISNUMBER(INDEX(SPPR!$E:$Z,MATCH($A45,SPPR!$A:$A,0),5)),$C45*INDEX(SPPR!$E:$Z,MATCH($A45,SPPR!$A:$A,0),5),""),"")</f>
        <v/>
      </c>
      <c r="I45">
        <f>IFERROR(IF(ISNUMBER(INDEX(SPPR!$E:$Z,MATCH($A45,SPPR!$A:$A,0),6)),$C45*INDEX(SPPR!$E:$Z,MATCH($A45,SPPR!$A:$A,0),6),""),"")</f>
        <v/>
      </c>
      <c r="J45">
        <f>IFERROR(IF(ISNUMBER(INDEX(SPPR!$E:$Z,MATCH($A45,SPPR!$A:$A,0),7)),$C45*INDEX(SPPR!$E:$Z,MATCH($A45,SPPR!$A:$A,0),7),""),"")</f>
        <v/>
      </c>
      <c r="K45">
        <f>IFERROR(IF(ISNUMBER(INDEX(SPPR!$E:$Z,MATCH($A45,SPPR!$A:$A,0),8)),$C45*INDEX(SPPR!$E:$Z,MATCH($A45,SPPR!$A:$A,0),8),""),"")</f>
        <v/>
      </c>
      <c r="L45">
        <f>IFERROR(IF(ISNUMBER(INDEX(SPPR!$E:$Z,MATCH($A45,SPPR!$A:$A,0),9)),$C45*INDEX(SPPR!$E:$Z,MATCH($A45,SPPR!$A:$A,0),9),""),"")</f>
        <v/>
      </c>
      <c r="M45">
        <f>IFERROR(IF(ISNUMBER(INDEX(SPPR!$E:$Z,MATCH($A45,SPPR!$A:$A,0),10)),$C45*INDEX(SPPR!$E:$Z,MATCH($A45,SPPR!$A:$A,0),10),""),"")</f>
        <v/>
      </c>
      <c r="N45">
        <f>IFERROR(IF(ISNUMBER(INDEX(SPPR!$E:$Z,MATCH($A45,SPPR!$A:$A,0),11)),$C45*INDEX(SPPR!$E:$Z,MATCH($A45,SPPR!$A:$A,0),11),""),"")</f>
        <v/>
      </c>
      <c r="O45">
        <f>IFERROR(IF(ISNUMBER(INDEX(SPPR!$E:$Z,MATCH($A45,SPPR!$A:$A,0),12)),$C45*INDEX(SPPR!$E:$Z,MATCH($A45,SPPR!$A:$A,0),12),""),"")</f>
        <v/>
      </c>
      <c r="P45">
        <f>IFERROR(IF(ISNUMBER(INDEX(SPPR!$E:$Z,MATCH($A45,SPPR!$A:$A,0),13)),$C45*INDEX(SPPR!$E:$Z,MATCH($A45,SPPR!$A:$A,0),13),""),"")</f>
        <v/>
      </c>
      <c r="Q45">
        <f>IFERROR(IF(ISNUMBER(INDEX(SPPR!$E:$Z,MATCH($A45,SPPR!$A:$A,0),14)),$C45*INDEX(SPPR!$E:$Z,MATCH($A45,SPPR!$A:$A,0),14),""),"")</f>
        <v/>
      </c>
      <c r="R45">
        <f>IFERROR(IF(ISNUMBER(INDEX(SPPR!$E:$Z,MATCH($A45,SPPR!$A:$A,0),15)),$C45*INDEX(SPPR!$E:$Z,MATCH($A45,SPPR!$A:$A,0),15),""),"")</f>
        <v/>
      </c>
      <c r="S45">
        <f>IFERROR(IF(ISNUMBER(INDEX(SPPR!$E:$Z,MATCH($A45,SPPR!$A:$A,0),16)),$C45*INDEX(SPPR!$E:$Z,MATCH($A45,SPPR!$A:$A,0),16),""),"")</f>
        <v/>
      </c>
      <c r="T45">
        <f>IFERROR(IF(ISNUMBER(INDEX(SPPR!$E:$Z,MATCH($A45,SPPR!$A:$A,0),17)),$C45*INDEX(SPPR!$E:$Z,MATCH($A45,SPPR!$A:$A,0),17),""),"")</f>
        <v/>
      </c>
      <c r="U45">
        <f>IFERROR(IF(ISNUMBER(INDEX(SPPR!$E:$Z,MATCH($A45,SPPR!$A:$A,0),18)),$C45*INDEX(SPPR!$E:$Z,MATCH($A45,SPPR!$A:$A,0),18),""),"")</f>
        <v/>
      </c>
      <c r="V45">
        <f>IFERROR(IF(ISNUMBER(INDEX(SPPR!$E:$Z,MATCH($A45,SPPR!$A:$A,0),19)),$C45*INDEX(SPPR!$E:$Z,MATCH($A45,SPPR!$A:$A,0),19),""),"")</f>
        <v/>
      </c>
      <c r="W45">
        <f>IFERROR(IF(ISNUMBER(INDEX(SPPR!$E:$Z,MATCH($A45,SPPR!$A:$A,0),20)),$C45*INDEX(SPPR!$E:$Z,MATCH($A45,SPPR!$A:$A,0),20),""),"")</f>
        <v/>
      </c>
      <c r="X45">
        <f>IFERROR(IF(ISNUMBER(INDEX(SPPR!$E:$Z,MATCH($A45,SPPR!$A:$A,0),21)),$C45*INDEX(SPPR!$E:$Z,MATCH($A45,SPPR!$A:$A,0),21),""),"")</f>
        <v/>
      </c>
      <c r="Y45">
        <f>IFERROR(IF(ISNUMBER(INDEX(SPPR!$E:$Z,MATCH($A45,SPPR!$A:$A,0),22)),$C45*INDEX(SPPR!$E:$Z,MATCH($A45,SPPR!$A:$A,0),22),""),"")</f>
        <v/>
      </c>
    </row>
    <row r="46">
      <c r="A46" t="inlineStr">
        <is>
          <t>Pennahia</t>
        </is>
      </c>
      <c r="B46">
        <f>IFERROR(INDEX(SPPR!$D:$D,MATCH($A46,SPPR!$A:$A,0)),"")</f>
        <v/>
      </c>
      <c r="C46">
        <f>IFERROR(INDEX(Catch!$E:$BV,MATCH($A46,Catch!$A:$A,0),MATCH($B$4,Catch!$E$1:$BV$1,0)),0)</f>
        <v/>
      </c>
      <c r="D46">
        <f>IFERROR(IF(ISNUMBER(INDEX(SPPR!$E:$Z,MATCH($A46,SPPR!$A:$A,0),1)),$C46*INDEX(SPPR!$E:$Z,MATCH($A46,SPPR!$A:$A,0),1),""),"")</f>
        <v/>
      </c>
      <c r="E46">
        <f>IFERROR(IF(ISNUMBER(INDEX(SPPR!$E:$Z,MATCH($A46,SPPR!$A:$A,0),2)),$C46*INDEX(SPPR!$E:$Z,MATCH($A46,SPPR!$A:$A,0),2),""),"")</f>
        <v/>
      </c>
      <c r="F46">
        <f>IFERROR(IF(ISNUMBER(INDEX(SPPR!$E:$Z,MATCH($A46,SPPR!$A:$A,0),3)),$C46*INDEX(SPPR!$E:$Z,MATCH($A46,SPPR!$A:$A,0),3),""),"")</f>
        <v/>
      </c>
      <c r="G46">
        <f>IFERROR(IF(ISNUMBER(INDEX(SPPR!$E:$Z,MATCH($A46,SPPR!$A:$A,0),4)),$C46*INDEX(SPPR!$E:$Z,MATCH($A46,SPPR!$A:$A,0),4),""),"")</f>
        <v/>
      </c>
      <c r="H46">
        <f>IFERROR(IF(ISNUMBER(INDEX(SPPR!$E:$Z,MATCH($A46,SPPR!$A:$A,0),5)),$C46*INDEX(SPPR!$E:$Z,MATCH($A46,SPPR!$A:$A,0),5),""),"")</f>
        <v/>
      </c>
      <c r="I46">
        <f>IFERROR(IF(ISNUMBER(INDEX(SPPR!$E:$Z,MATCH($A46,SPPR!$A:$A,0),6)),$C46*INDEX(SPPR!$E:$Z,MATCH($A46,SPPR!$A:$A,0),6),""),"")</f>
        <v/>
      </c>
      <c r="J46">
        <f>IFERROR(IF(ISNUMBER(INDEX(SPPR!$E:$Z,MATCH($A46,SPPR!$A:$A,0),7)),$C46*INDEX(SPPR!$E:$Z,MATCH($A46,SPPR!$A:$A,0),7),""),"")</f>
        <v/>
      </c>
      <c r="K46">
        <f>IFERROR(IF(ISNUMBER(INDEX(SPPR!$E:$Z,MATCH($A46,SPPR!$A:$A,0),8)),$C46*INDEX(SPPR!$E:$Z,MATCH($A46,SPPR!$A:$A,0),8),""),"")</f>
        <v/>
      </c>
      <c r="L46">
        <f>IFERROR(IF(ISNUMBER(INDEX(SPPR!$E:$Z,MATCH($A46,SPPR!$A:$A,0),9)),$C46*INDEX(SPPR!$E:$Z,MATCH($A46,SPPR!$A:$A,0),9),""),"")</f>
        <v/>
      </c>
      <c r="M46">
        <f>IFERROR(IF(ISNUMBER(INDEX(SPPR!$E:$Z,MATCH($A46,SPPR!$A:$A,0),10)),$C46*INDEX(SPPR!$E:$Z,MATCH($A46,SPPR!$A:$A,0),10),""),"")</f>
        <v/>
      </c>
      <c r="N46">
        <f>IFERROR(IF(ISNUMBER(INDEX(SPPR!$E:$Z,MATCH($A46,SPPR!$A:$A,0),11)),$C46*INDEX(SPPR!$E:$Z,MATCH($A46,SPPR!$A:$A,0),11),""),"")</f>
        <v/>
      </c>
      <c r="O46">
        <f>IFERROR(IF(ISNUMBER(INDEX(SPPR!$E:$Z,MATCH($A46,SPPR!$A:$A,0),12)),$C46*INDEX(SPPR!$E:$Z,MATCH($A46,SPPR!$A:$A,0),12),""),"")</f>
        <v/>
      </c>
      <c r="P46">
        <f>IFERROR(IF(ISNUMBER(INDEX(SPPR!$E:$Z,MATCH($A46,SPPR!$A:$A,0),13)),$C46*INDEX(SPPR!$E:$Z,MATCH($A46,SPPR!$A:$A,0),13),""),"")</f>
        <v/>
      </c>
      <c r="Q46">
        <f>IFERROR(IF(ISNUMBER(INDEX(SPPR!$E:$Z,MATCH($A46,SPPR!$A:$A,0),14)),$C46*INDEX(SPPR!$E:$Z,MATCH($A46,SPPR!$A:$A,0),14),""),"")</f>
        <v/>
      </c>
      <c r="R46">
        <f>IFERROR(IF(ISNUMBER(INDEX(SPPR!$E:$Z,MATCH($A46,SPPR!$A:$A,0),15)),$C46*INDEX(SPPR!$E:$Z,MATCH($A46,SPPR!$A:$A,0),15),""),"")</f>
        <v/>
      </c>
      <c r="S46">
        <f>IFERROR(IF(ISNUMBER(INDEX(SPPR!$E:$Z,MATCH($A46,SPPR!$A:$A,0),16)),$C46*INDEX(SPPR!$E:$Z,MATCH($A46,SPPR!$A:$A,0),16),""),"")</f>
        <v/>
      </c>
      <c r="T46">
        <f>IFERROR(IF(ISNUMBER(INDEX(SPPR!$E:$Z,MATCH($A46,SPPR!$A:$A,0),17)),$C46*INDEX(SPPR!$E:$Z,MATCH($A46,SPPR!$A:$A,0),17),""),"")</f>
        <v/>
      </c>
      <c r="U46">
        <f>IFERROR(IF(ISNUMBER(INDEX(SPPR!$E:$Z,MATCH($A46,SPPR!$A:$A,0),18)),$C46*INDEX(SPPR!$E:$Z,MATCH($A46,SPPR!$A:$A,0),18),""),"")</f>
        <v/>
      </c>
      <c r="V46">
        <f>IFERROR(IF(ISNUMBER(INDEX(SPPR!$E:$Z,MATCH($A46,SPPR!$A:$A,0),19)),$C46*INDEX(SPPR!$E:$Z,MATCH($A46,SPPR!$A:$A,0),19),""),"")</f>
        <v/>
      </c>
      <c r="W46">
        <f>IFERROR(IF(ISNUMBER(INDEX(SPPR!$E:$Z,MATCH($A46,SPPR!$A:$A,0),20)),$C46*INDEX(SPPR!$E:$Z,MATCH($A46,SPPR!$A:$A,0),20),""),"")</f>
        <v/>
      </c>
      <c r="X46">
        <f>IFERROR(IF(ISNUMBER(INDEX(SPPR!$E:$Z,MATCH($A46,SPPR!$A:$A,0),21)),$C46*INDEX(SPPR!$E:$Z,MATCH($A46,SPPR!$A:$A,0),21),""),"")</f>
        <v/>
      </c>
      <c r="Y46">
        <f>IFERROR(IF(ISNUMBER(INDEX(SPPR!$E:$Z,MATCH($A46,SPPR!$A:$A,0),22)),$C46*INDEX(SPPR!$E:$Z,MATCH($A46,SPPR!$A:$A,0),22),""),"")</f>
        <v/>
      </c>
    </row>
    <row r="47">
      <c r="A47" t="inlineStr">
        <is>
          <t>Trichiuridae</t>
        </is>
      </c>
      <c r="B47">
        <f>IFERROR(INDEX(SPPR!$D:$D,MATCH($A47,SPPR!$A:$A,0)),"")</f>
        <v/>
      </c>
      <c r="C47">
        <f>IFERROR(INDEX(Catch!$E:$BV,MATCH($A47,Catch!$A:$A,0),MATCH($B$4,Catch!$E$1:$BV$1,0)),0)</f>
        <v/>
      </c>
      <c r="D47">
        <f>IFERROR(IF(ISNUMBER(INDEX(SPPR!$E:$Z,MATCH($A47,SPPR!$A:$A,0),1)),$C47*INDEX(SPPR!$E:$Z,MATCH($A47,SPPR!$A:$A,0),1),""),"")</f>
        <v/>
      </c>
      <c r="E47">
        <f>IFERROR(IF(ISNUMBER(INDEX(SPPR!$E:$Z,MATCH($A47,SPPR!$A:$A,0),2)),$C47*INDEX(SPPR!$E:$Z,MATCH($A47,SPPR!$A:$A,0),2),""),"")</f>
        <v/>
      </c>
      <c r="F47">
        <f>IFERROR(IF(ISNUMBER(INDEX(SPPR!$E:$Z,MATCH($A47,SPPR!$A:$A,0),3)),$C47*INDEX(SPPR!$E:$Z,MATCH($A47,SPPR!$A:$A,0),3),""),"")</f>
        <v/>
      </c>
      <c r="G47">
        <f>IFERROR(IF(ISNUMBER(INDEX(SPPR!$E:$Z,MATCH($A47,SPPR!$A:$A,0),4)),$C47*INDEX(SPPR!$E:$Z,MATCH($A47,SPPR!$A:$A,0),4),""),"")</f>
        <v/>
      </c>
      <c r="H47">
        <f>IFERROR(IF(ISNUMBER(INDEX(SPPR!$E:$Z,MATCH($A47,SPPR!$A:$A,0),5)),$C47*INDEX(SPPR!$E:$Z,MATCH($A47,SPPR!$A:$A,0),5),""),"")</f>
        <v/>
      </c>
      <c r="I47">
        <f>IFERROR(IF(ISNUMBER(INDEX(SPPR!$E:$Z,MATCH($A47,SPPR!$A:$A,0),6)),$C47*INDEX(SPPR!$E:$Z,MATCH($A47,SPPR!$A:$A,0),6),""),"")</f>
        <v/>
      </c>
      <c r="J47">
        <f>IFERROR(IF(ISNUMBER(INDEX(SPPR!$E:$Z,MATCH($A47,SPPR!$A:$A,0),7)),$C47*INDEX(SPPR!$E:$Z,MATCH($A47,SPPR!$A:$A,0),7),""),"")</f>
        <v/>
      </c>
      <c r="K47">
        <f>IFERROR(IF(ISNUMBER(INDEX(SPPR!$E:$Z,MATCH($A47,SPPR!$A:$A,0),8)),$C47*INDEX(SPPR!$E:$Z,MATCH($A47,SPPR!$A:$A,0),8),""),"")</f>
        <v/>
      </c>
      <c r="L47">
        <f>IFERROR(IF(ISNUMBER(INDEX(SPPR!$E:$Z,MATCH($A47,SPPR!$A:$A,0),9)),$C47*INDEX(SPPR!$E:$Z,MATCH($A47,SPPR!$A:$A,0),9),""),"")</f>
        <v/>
      </c>
      <c r="M47">
        <f>IFERROR(IF(ISNUMBER(INDEX(SPPR!$E:$Z,MATCH($A47,SPPR!$A:$A,0),10)),$C47*INDEX(SPPR!$E:$Z,MATCH($A47,SPPR!$A:$A,0),10),""),"")</f>
        <v/>
      </c>
      <c r="N47">
        <f>IFERROR(IF(ISNUMBER(INDEX(SPPR!$E:$Z,MATCH($A47,SPPR!$A:$A,0),11)),$C47*INDEX(SPPR!$E:$Z,MATCH($A47,SPPR!$A:$A,0),11),""),"")</f>
        <v/>
      </c>
      <c r="O47">
        <f>IFERROR(IF(ISNUMBER(INDEX(SPPR!$E:$Z,MATCH($A47,SPPR!$A:$A,0),12)),$C47*INDEX(SPPR!$E:$Z,MATCH($A47,SPPR!$A:$A,0),12),""),"")</f>
        <v/>
      </c>
      <c r="P47">
        <f>IFERROR(IF(ISNUMBER(INDEX(SPPR!$E:$Z,MATCH($A47,SPPR!$A:$A,0),13)),$C47*INDEX(SPPR!$E:$Z,MATCH($A47,SPPR!$A:$A,0),13),""),"")</f>
        <v/>
      </c>
      <c r="Q47">
        <f>IFERROR(IF(ISNUMBER(INDEX(SPPR!$E:$Z,MATCH($A47,SPPR!$A:$A,0),14)),$C47*INDEX(SPPR!$E:$Z,MATCH($A47,SPPR!$A:$A,0),14),""),"")</f>
        <v/>
      </c>
      <c r="R47">
        <f>IFERROR(IF(ISNUMBER(INDEX(SPPR!$E:$Z,MATCH($A47,SPPR!$A:$A,0),15)),$C47*INDEX(SPPR!$E:$Z,MATCH($A47,SPPR!$A:$A,0),15),""),"")</f>
        <v/>
      </c>
      <c r="S47">
        <f>IFERROR(IF(ISNUMBER(INDEX(SPPR!$E:$Z,MATCH($A47,SPPR!$A:$A,0),16)),$C47*INDEX(SPPR!$E:$Z,MATCH($A47,SPPR!$A:$A,0),16),""),"")</f>
        <v/>
      </c>
      <c r="T47">
        <f>IFERROR(IF(ISNUMBER(INDEX(SPPR!$E:$Z,MATCH($A47,SPPR!$A:$A,0),17)),$C47*INDEX(SPPR!$E:$Z,MATCH($A47,SPPR!$A:$A,0),17),""),"")</f>
        <v/>
      </c>
      <c r="U47">
        <f>IFERROR(IF(ISNUMBER(INDEX(SPPR!$E:$Z,MATCH($A47,SPPR!$A:$A,0),18)),$C47*INDEX(SPPR!$E:$Z,MATCH($A47,SPPR!$A:$A,0),18),""),"")</f>
        <v/>
      </c>
      <c r="V47">
        <f>IFERROR(IF(ISNUMBER(INDEX(SPPR!$E:$Z,MATCH($A47,SPPR!$A:$A,0),19)),$C47*INDEX(SPPR!$E:$Z,MATCH($A47,SPPR!$A:$A,0),19),""),"")</f>
        <v/>
      </c>
      <c r="W47">
        <f>IFERROR(IF(ISNUMBER(INDEX(SPPR!$E:$Z,MATCH($A47,SPPR!$A:$A,0),20)),$C47*INDEX(SPPR!$E:$Z,MATCH($A47,SPPR!$A:$A,0),20),""),"")</f>
        <v/>
      </c>
      <c r="X47">
        <f>IFERROR(IF(ISNUMBER(INDEX(SPPR!$E:$Z,MATCH($A47,SPPR!$A:$A,0),21)),$C47*INDEX(SPPR!$E:$Z,MATCH($A47,SPPR!$A:$A,0),21),""),"")</f>
        <v/>
      </c>
      <c r="Y47">
        <f>IFERROR(IF(ISNUMBER(INDEX(SPPR!$E:$Z,MATCH($A47,SPPR!$A:$A,0),22)),$C47*INDEX(SPPR!$E:$Z,MATCH($A47,SPPR!$A:$A,0),22),""),"")</f>
        <v/>
      </c>
    </row>
    <row r="48">
      <c r="A48" t="inlineStr">
        <is>
          <t>Perciformes</t>
        </is>
      </c>
      <c r="B48">
        <f>IFERROR(INDEX(SPPR!$D:$D,MATCH($A48,SPPR!$A:$A,0)),"")</f>
        <v/>
      </c>
      <c r="C48">
        <f>IFERROR(INDEX(Catch!$E:$BV,MATCH($A48,Catch!$A:$A,0),MATCH($B$4,Catch!$E$1:$BV$1,0)),0)</f>
        <v/>
      </c>
      <c r="D48">
        <f>IFERROR(IF(ISNUMBER(INDEX(SPPR!$E:$Z,MATCH($A48,SPPR!$A:$A,0),1)),$C48*INDEX(SPPR!$E:$Z,MATCH($A48,SPPR!$A:$A,0),1),""),"")</f>
        <v/>
      </c>
      <c r="E48">
        <f>IFERROR(IF(ISNUMBER(INDEX(SPPR!$E:$Z,MATCH($A48,SPPR!$A:$A,0),2)),$C48*INDEX(SPPR!$E:$Z,MATCH($A48,SPPR!$A:$A,0),2),""),"")</f>
        <v/>
      </c>
      <c r="F48">
        <f>IFERROR(IF(ISNUMBER(INDEX(SPPR!$E:$Z,MATCH($A48,SPPR!$A:$A,0),3)),$C48*INDEX(SPPR!$E:$Z,MATCH($A48,SPPR!$A:$A,0),3),""),"")</f>
        <v/>
      </c>
      <c r="G48">
        <f>IFERROR(IF(ISNUMBER(INDEX(SPPR!$E:$Z,MATCH($A48,SPPR!$A:$A,0),4)),$C48*INDEX(SPPR!$E:$Z,MATCH($A48,SPPR!$A:$A,0),4),""),"")</f>
        <v/>
      </c>
      <c r="H48">
        <f>IFERROR(IF(ISNUMBER(INDEX(SPPR!$E:$Z,MATCH($A48,SPPR!$A:$A,0),5)),$C48*INDEX(SPPR!$E:$Z,MATCH($A48,SPPR!$A:$A,0),5),""),"")</f>
        <v/>
      </c>
      <c r="I48">
        <f>IFERROR(IF(ISNUMBER(INDEX(SPPR!$E:$Z,MATCH($A48,SPPR!$A:$A,0),6)),$C48*INDEX(SPPR!$E:$Z,MATCH($A48,SPPR!$A:$A,0),6),""),"")</f>
        <v/>
      </c>
      <c r="J48">
        <f>IFERROR(IF(ISNUMBER(INDEX(SPPR!$E:$Z,MATCH($A48,SPPR!$A:$A,0),7)),$C48*INDEX(SPPR!$E:$Z,MATCH($A48,SPPR!$A:$A,0),7),""),"")</f>
        <v/>
      </c>
      <c r="K48">
        <f>IFERROR(IF(ISNUMBER(INDEX(SPPR!$E:$Z,MATCH($A48,SPPR!$A:$A,0),8)),$C48*INDEX(SPPR!$E:$Z,MATCH($A48,SPPR!$A:$A,0),8),""),"")</f>
        <v/>
      </c>
      <c r="L48">
        <f>IFERROR(IF(ISNUMBER(INDEX(SPPR!$E:$Z,MATCH($A48,SPPR!$A:$A,0),9)),$C48*INDEX(SPPR!$E:$Z,MATCH($A48,SPPR!$A:$A,0),9),""),"")</f>
        <v/>
      </c>
      <c r="M48">
        <f>IFERROR(IF(ISNUMBER(INDEX(SPPR!$E:$Z,MATCH($A48,SPPR!$A:$A,0),10)),$C48*INDEX(SPPR!$E:$Z,MATCH($A48,SPPR!$A:$A,0),10),""),"")</f>
        <v/>
      </c>
      <c r="N48">
        <f>IFERROR(IF(ISNUMBER(INDEX(SPPR!$E:$Z,MATCH($A48,SPPR!$A:$A,0),11)),$C48*INDEX(SPPR!$E:$Z,MATCH($A48,SPPR!$A:$A,0),11),""),"")</f>
        <v/>
      </c>
      <c r="O48">
        <f>IFERROR(IF(ISNUMBER(INDEX(SPPR!$E:$Z,MATCH($A48,SPPR!$A:$A,0),12)),$C48*INDEX(SPPR!$E:$Z,MATCH($A48,SPPR!$A:$A,0),12),""),"")</f>
        <v/>
      </c>
      <c r="P48">
        <f>IFERROR(IF(ISNUMBER(INDEX(SPPR!$E:$Z,MATCH($A48,SPPR!$A:$A,0),13)),$C48*INDEX(SPPR!$E:$Z,MATCH($A48,SPPR!$A:$A,0),13),""),"")</f>
        <v/>
      </c>
      <c r="Q48">
        <f>IFERROR(IF(ISNUMBER(INDEX(SPPR!$E:$Z,MATCH($A48,SPPR!$A:$A,0),14)),$C48*INDEX(SPPR!$E:$Z,MATCH($A48,SPPR!$A:$A,0),14),""),"")</f>
        <v/>
      </c>
      <c r="R48">
        <f>IFERROR(IF(ISNUMBER(INDEX(SPPR!$E:$Z,MATCH($A48,SPPR!$A:$A,0),15)),$C48*INDEX(SPPR!$E:$Z,MATCH($A48,SPPR!$A:$A,0),15),""),"")</f>
        <v/>
      </c>
      <c r="S48">
        <f>IFERROR(IF(ISNUMBER(INDEX(SPPR!$E:$Z,MATCH($A48,SPPR!$A:$A,0),16)),$C48*INDEX(SPPR!$E:$Z,MATCH($A48,SPPR!$A:$A,0),16),""),"")</f>
        <v/>
      </c>
      <c r="T48">
        <f>IFERROR(IF(ISNUMBER(INDEX(SPPR!$E:$Z,MATCH($A48,SPPR!$A:$A,0),17)),$C48*INDEX(SPPR!$E:$Z,MATCH($A48,SPPR!$A:$A,0),17),""),"")</f>
        <v/>
      </c>
      <c r="U48">
        <f>IFERROR(IF(ISNUMBER(INDEX(SPPR!$E:$Z,MATCH($A48,SPPR!$A:$A,0),18)),$C48*INDEX(SPPR!$E:$Z,MATCH($A48,SPPR!$A:$A,0),18),""),"")</f>
        <v/>
      </c>
      <c r="V48">
        <f>IFERROR(IF(ISNUMBER(INDEX(SPPR!$E:$Z,MATCH($A48,SPPR!$A:$A,0),19)),$C48*INDEX(SPPR!$E:$Z,MATCH($A48,SPPR!$A:$A,0),19),""),"")</f>
        <v/>
      </c>
      <c r="W48">
        <f>IFERROR(IF(ISNUMBER(INDEX(SPPR!$E:$Z,MATCH($A48,SPPR!$A:$A,0),20)),$C48*INDEX(SPPR!$E:$Z,MATCH($A48,SPPR!$A:$A,0),20),""),"")</f>
        <v/>
      </c>
      <c r="X48">
        <f>IFERROR(IF(ISNUMBER(INDEX(SPPR!$E:$Z,MATCH($A48,SPPR!$A:$A,0),21)),$C48*INDEX(SPPR!$E:$Z,MATCH($A48,SPPR!$A:$A,0),21),""),"")</f>
        <v/>
      </c>
      <c r="Y48">
        <f>IFERROR(IF(ISNUMBER(INDEX(SPPR!$E:$Z,MATCH($A48,SPPR!$A:$A,0),22)),$C48*INDEX(SPPR!$E:$Z,MATCH($A48,SPPR!$A:$A,0),22),""),"")</f>
        <v/>
      </c>
    </row>
    <row r="49">
      <c r="A49" t="inlineStr">
        <is>
          <t>Odontamblyopus rubicundus</t>
        </is>
      </c>
      <c r="B49">
        <f>IFERROR(INDEX(SPPR!$D:$D,MATCH($A49,SPPR!$A:$A,0)),"")</f>
        <v/>
      </c>
      <c r="C49">
        <f>IFERROR(INDEX(Catch!$E:$BV,MATCH($A49,Catch!$A:$A,0),MATCH($B$4,Catch!$E$1:$BV$1,0)),0)</f>
        <v/>
      </c>
      <c r="D49">
        <f>IFERROR(IF(ISNUMBER(INDEX(SPPR!$E:$Z,MATCH($A49,SPPR!$A:$A,0),1)),$C49*INDEX(SPPR!$E:$Z,MATCH($A49,SPPR!$A:$A,0),1),""),"")</f>
        <v/>
      </c>
      <c r="E49">
        <f>IFERROR(IF(ISNUMBER(INDEX(SPPR!$E:$Z,MATCH($A49,SPPR!$A:$A,0),2)),$C49*INDEX(SPPR!$E:$Z,MATCH($A49,SPPR!$A:$A,0),2),""),"")</f>
        <v/>
      </c>
      <c r="F49">
        <f>IFERROR(IF(ISNUMBER(INDEX(SPPR!$E:$Z,MATCH($A49,SPPR!$A:$A,0),3)),$C49*INDEX(SPPR!$E:$Z,MATCH($A49,SPPR!$A:$A,0),3),""),"")</f>
        <v/>
      </c>
      <c r="G49">
        <f>IFERROR(IF(ISNUMBER(INDEX(SPPR!$E:$Z,MATCH($A49,SPPR!$A:$A,0),4)),$C49*INDEX(SPPR!$E:$Z,MATCH($A49,SPPR!$A:$A,0),4),""),"")</f>
        <v/>
      </c>
      <c r="H49">
        <f>IFERROR(IF(ISNUMBER(INDEX(SPPR!$E:$Z,MATCH($A49,SPPR!$A:$A,0),5)),$C49*INDEX(SPPR!$E:$Z,MATCH($A49,SPPR!$A:$A,0),5),""),"")</f>
        <v/>
      </c>
      <c r="I49">
        <f>IFERROR(IF(ISNUMBER(INDEX(SPPR!$E:$Z,MATCH($A49,SPPR!$A:$A,0),6)),$C49*INDEX(SPPR!$E:$Z,MATCH($A49,SPPR!$A:$A,0),6),""),"")</f>
        <v/>
      </c>
      <c r="J49">
        <f>IFERROR(IF(ISNUMBER(INDEX(SPPR!$E:$Z,MATCH($A49,SPPR!$A:$A,0),7)),$C49*INDEX(SPPR!$E:$Z,MATCH($A49,SPPR!$A:$A,0),7),""),"")</f>
        <v/>
      </c>
      <c r="K49">
        <f>IFERROR(IF(ISNUMBER(INDEX(SPPR!$E:$Z,MATCH($A49,SPPR!$A:$A,0),8)),$C49*INDEX(SPPR!$E:$Z,MATCH($A49,SPPR!$A:$A,0),8),""),"")</f>
        <v/>
      </c>
      <c r="L49">
        <f>IFERROR(IF(ISNUMBER(INDEX(SPPR!$E:$Z,MATCH($A49,SPPR!$A:$A,0),9)),$C49*INDEX(SPPR!$E:$Z,MATCH($A49,SPPR!$A:$A,0),9),""),"")</f>
        <v/>
      </c>
      <c r="M49">
        <f>IFERROR(IF(ISNUMBER(INDEX(SPPR!$E:$Z,MATCH($A49,SPPR!$A:$A,0),10)),$C49*INDEX(SPPR!$E:$Z,MATCH($A49,SPPR!$A:$A,0),10),""),"")</f>
        <v/>
      </c>
      <c r="N49">
        <f>IFERROR(IF(ISNUMBER(INDEX(SPPR!$E:$Z,MATCH($A49,SPPR!$A:$A,0),11)),$C49*INDEX(SPPR!$E:$Z,MATCH($A49,SPPR!$A:$A,0),11),""),"")</f>
        <v/>
      </c>
      <c r="O49">
        <f>IFERROR(IF(ISNUMBER(INDEX(SPPR!$E:$Z,MATCH($A49,SPPR!$A:$A,0),12)),$C49*INDEX(SPPR!$E:$Z,MATCH($A49,SPPR!$A:$A,0),12),""),"")</f>
        <v/>
      </c>
      <c r="P49">
        <f>IFERROR(IF(ISNUMBER(INDEX(SPPR!$E:$Z,MATCH($A49,SPPR!$A:$A,0),13)),$C49*INDEX(SPPR!$E:$Z,MATCH($A49,SPPR!$A:$A,0),13),""),"")</f>
        <v/>
      </c>
      <c r="Q49">
        <f>IFERROR(IF(ISNUMBER(INDEX(SPPR!$E:$Z,MATCH($A49,SPPR!$A:$A,0),14)),$C49*INDEX(SPPR!$E:$Z,MATCH($A49,SPPR!$A:$A,0),14),""),"")</f>
        <v/>
      </c>
      <c r="R49">
        <f>IFERROR(IF(ISNUMBER(INDEX(SPPR!$E:$Z,MATCH($A49,SPPR!$A:$A,0),15)),$C49*INDEX(SPPR!$E:$Z,MATCH($A49,SPPR!$A:$A,0),15),""),"")</f>
        <v/>
      </c>
      <c r="S49">
        <f>IFERROR(IF(ISNUMBER(INDEX(SPPR!$E:$Z,MATCH($A49,SPPR!$A:$A,0),16)),$C49*INDEX(SPPR!$E:$Z,MATCH($A49,SPPR!$A:$A,0),16),""),"")</f>
        <v/>
      </c>
      <c r="T49">
        <f>IFERROR(IF(ISNUMBER(INDEX(SPPR!$E:$Z,MATCH($A49,SPPR!$A:$A,0),17)),$C49*INDEX(SPPR!$E:$Z,MATCH($A49,SPPR!$A:$A,0),17),""),"")</f>
        <v/>
      </c>
      <c r="U49">
        <f>IFERROR(IF(ISNUMBER(INDEX(SPPR!$E:$Z,MATCH($A49,SPPR!$A:$A,0),18)),$C49*INDEX(SPPR!$E:$Z,MATCH($A49,SPPR!$A:$A,0),18),""),"")</f>
        <v/>
      </c>
      <c r="V49">
        <f>IFERROR(IF(ISNUMBER(INDEX(SPPR!$E:$Z,MATCH($A49,SPPR!$A:$A,0),19)),$C49*INDEX(SPPR!$E:$Z,MATCH($A49,SPPR!$A:$A,0),19),""),"")</f>
        <v/>
      </c>
      <c r="W49">
        <f>IFERROR(IF(ISNUMBER(INDEX(SPPR!$E:$Z,MATCH($A49,SPPR!$A:$A,0),20)),$C49*INDEX(SPPR!$E:$Z,MATCH($A49,SPPR!$A:$A,0),20),""),"")</f>
        <v/>
      </c>
      <c r="X49">
        <f>IFERROR(IF(ISNUMBER(INDEX(SPPR!$E:$Z,MATCH($A49,SPPR!$A:$A,0),21)),$C49*INDEX(SPPR!$E:$Z,MATCH($A49,SPPR!$A:$A,0),21),""),"")</f>
        <v/>
      </c>
      <c r="Y49">
        <f>IFERROR(IF(ISNUMBER(INDEX(SPPR!$E:$Z,MATCH($A49,SPPR!$A:$A,0),22)),$C49*INDEX(SPPR!$E:$Z,MATCH($A49,SPPR!$A:$A,0),22),""),"")</f>
        <v/>
      </c>
    </row>
    <row r="50">
      <c r="A50" t="inlineStr">
        <is>
          <t>Scomberomorus commerson</t>
        </is>
      </c>
      <c r="B50">
        <f>IFERROR(INDEX(SPPR!$D:$D,MATCH($A50,SPPR!$A:$A,0)),"")</f>
        <v/>
      </c>
      <c r="C50">
        <f>IFERROR(INDEX(Catch!$E:$BV,MATCH($A50,Catch!$A:$A,0),MATCH($B$4,Catch!$E$1:$BV$1,0)),0)</f>
        <v/>
      </c>
      <c r="D50">
        <f>IFERROR(IF(ISNUMBER(INDEX(SPPR!$E:$Z,MATCH($A50,SPPR!$A:$A,0),1)),$C50*INDEX(SPPR!$E:$Z,MATCH($A50,SPPR!$A:$A,0),1),""),"")</f>
        <v/>
      </c>
      <c r="E50">
        <f>IFERROR(IF(ISNUMBER(INDEX(SPPR!$E:$Z,MATCH($A50,SPPR!$A:$A,0),2)),$C50*INDEX(SPPR!$E:$Z,MATCH($A50,SPPR!$A:$A,0),2),""),"")</f>
        <v/>
      </c>
      <c r="F50">
        <f>IFERROR(IF(ISNUMBER(INDEX(SPPR!$E:$Z,MATCH($A50,SPPR!$A:$A,0),3)),$C50*INDEX(SPPR!$E:$Z,MATCH($A50,SPPR!$A:$A,0),3),""),"")</f>
        <v/>
      </c>
      <c r="G50">
        <f>IFERROR(IF(ISNUMBER(INDEX(SPPR!$E:$Z,MATCH($A50,SPPR!$A:$A,0),4)),$C50*INDEX(SPPR!$E:$Z,MATCH($A50,SPPR!$A:$A,0),4),""),"")</f>
        <v/>
      </c>
      <c r="H50">
        <f>IFERROR(IF(ISNUMBER(INDEX(SPPR!$E:$Z,MATCH($A50,SPPR!$A:$A,0),5)),$C50*INDEX(SPPR!$E:$Z,MATCH($A50,SPPR!$A:$A,0),5),""),"")</f>
        <v/>
      </c>
      <c r="I50">
        <f>IFERROR(IF(ISNUMBER(INDEX(SPPR!$E:$Z,MATCH($A50,SPPR!$A:$A,0),6)),$C50*INDEX(SPPR!$E:$Z,MATCH($A50,SPPR!$A:$A,0),6),""),"")</f>
        <v/>
      </c>
      <c r="J50">
        <f>IFERROR(IF(ISNUMBER(INDEX(SPPR!$E:$Z,MATCH($A50,SPPR!$A:$A,0),7)),$C50*INDEX(SPPR!$E:$Z,MATCH($A50,SPPR!$A:$A,0),7),""),"")</f>
        <v/>
      </c>
      <c r="K50">
        <f>IFERROR(IF(ISNUMBER(INDEX(SPPR!$E:$Z,MATCH($A50,SPPR!$A:$A,0),8)),$C50*INDEX(SPPR!$E:$Z,MATCH($A50,SPPR!$A:$A,0),8),""),"")</f>
        <v/>
      </c>
      <c r="L50">
        <f>IFERROR(IF(ISNUMBER(INDEX(SPPR!$E:$Z,MATCH($A50,SPPR!$A:$A,0),9)),$C50*INDEX(SPPR!$E:$Z,MATCH($A50,SPPR!$A:$A,0),9),""),"")</f>
        <v/>
      </c>
      <c r="M50">
        <f>IFERROR(IF(ISNUMBER(INDEX(SPPR!$E:$Z,MATCH($A50,SPPR!$A:$A,0),10)),$C50*INDEX(SPPR!$E:$Z,MATCH($A50,SPPR!$A:$A,0),10),""),"")</f>
        <v/>
      </c>
      <c r="N50">
        <f>IFERROR(IF(ISNUMBER(INDEX(SPPR!$E:$Z,MATCH($A50,SPPR!$A:$A,0),11)),$C50*INDEX(SPPR!$E:$Z,MATCH($A50,SPPR!$A:$A,0),11),""),"")</f>
        <v/>
      </c>
      <c r="O50">
        <f>IFERROR(IF(ISNUMBER(INDEX(SPPR!$E:$Z,MATCH($A50,SPPR!$A:$A,0),12)),$C50*INDEX(SPPR!$E:$Z,MATCH($A50,SPPR!$A:$A,0),12),""),"")</f>
        <v/>
      </c>
      <c r="P50">
        <f>IFERROR(IF(ISNUMBER(INDEX(SPPR!$E:$Z,MATCH($A50,SPPR!$A:$A,0),13)),$C50*INDEX(SPPR!$E:$Z,MATCH($A50,SPPR!$A:$A,0),13),""),"")</f>
        <v/>
      </c>
      <c r="Q50">
        <f>IFERROR(IF(ISNUMBER(INDEX(SPPR!$E:$Z,MATCH($A50,SPPR!$A:$A,0),14)),$C50*INDEX(SPPR!$E:$Z,MATCH($A50,SPPR!$A:$A,0),14),""),"")</f>
        <v/>
      </c>
      <c r="R50">
        <f>IFERROR(IF(ISNUMBER(INDEX(SPPR!$E:$Z,MATCH($A50,SPPR!$A:$A,0),15)),$C50*INDEX(SPPR!$E:$Z,MATCH($A50,SPPR!$A:$A,0),15),""),"")</f>
        <v/>
      </c>
      <c r="S50">
        <f>IFERROR(IF(ISNUMBER(INDEX(SPPR!$E:$Z,MATCH($A50,SPPR!$A:$A,0),16)),$C50*INDEX(SPPR!$E:$Z,MATCH($A50,SPPR!$A:$A,0),16),""),"")</f>
        <v/>
      </c>
      <c r="T50">
        <f>IFERROR(IF(ISNUMBER(INDEX(SPPR!$E:$Z,MATCH($A50,SPPR!$A:$A,0),17)),$C50*INDEX(SPPR!$E:$Z,MATCH($A50,SPPR!$A:$A,0),17),""),"")</f>
        <v/>
      </c>
      <c r="U50">
        <f>IFERROR(IF(ISNUMBER(INDEX(SPPR!$E:$Z,MATCH($A50,SPPR!$A:$A,0),18)),$C50*INDEX(SPPR!$E:$Z,MATCH($A50,SPPR!$A:$A,0),18),""),"")</f>
        <v/>
      </c>
      <c r="V50">
        <f>IFERROR(IF(ISNUMBER(INDEX(SPPR!$E:$Z,MATCH($A50,SPPR!$A:$A,0),19)),$C50*INDEX(SPPR!$E:$Z,MATCH($A50,SPPR!$A:$A,0),19),""),"")</f>
        <v/>
      </c>
      <c r="W50">
        <f>IFERROR(IF(ISNUMBER(INDEX(SPPR!$E:$Z,MATCH($A50,SPPR!$A:$A,0),20)),$C50*INDEX(SPPR!$E:$Z,MATCH($A50,SPPR!$A:$A,0),20),""),"")</f>
        <v/>
      </c>
      <c r="X50">
        <f>IFERROR(IF(ISNUMBER(INDEX(SPPR!$E:$Z,MATCH($A50,SPPR!$A:$A,0),21)),$C50*INDEX(SPPR!$E:$Z,MATCH($A50,SPPR!$A:$A,0),21),""),"")</f>
        <v/>
      </c>
      <c r="Y50">
        <f>IFERROR(IF(ISNUMBER(INDEX(SPPR!$E:$Z,MATCH($A50,SPPR!$A:$A,0),22)),$C50*INDEX(SPPR!$E:$Z,MATCH($A50,SPPR!$A:$A,0),22),""),"")</f>
        <v/>
      </c>
    </row>
    <row r="51">
      <c r="A51" t="inlineStr">
        <is>
          <t>Saurida</t>
        </is>
      </c>
      <c r="B51">
        <f>IFERROR(INDEX(SPPR!$D:$D,MATCH($A51,SPPR!$A:$A,0)),"")</f>
        <v/>
      </c>
      <c r="C51">
        <f>IFERROR(INDEX(Catch!$E:$BV,MATCH($A51,Catch!$A:$A,0),MATCH($B$4,Catch!$E$1:$BV$1,0)),0)</f>
        <v/>
      </c>
      <c r="D51">
        <f>IFERROR(IF(ISNUMBER(INDEX(SPPR!$E:$Z,MATCH($A51,SPPR!$A:$A,0),1)),$C51*INDEX(SPPR!$E:$Z,MATCH($A51,SPPR!$A:$A,0),1),""),"")</f>
        <v/>
      </c>
      <c r="E51">
        <f>IFERROR(IF(ISNUMBER(INDEX(SPPR!$E:$Z,MATCH($A51,SPPR!$A:$A,0),2)),$C51*INDEX(SPPR!$E:$Z,MATCH($A51,SPPR!$A:$A,0),2),""),"")</f>
        <v/>
      </c>
      <c r="F51">
        <f>IFERROR(IF(ISNUMBER(INDEX(SPPR!$E:$Z,MATCH($A51,SPPR!$A:$A,0),3)),$C51*INDEX(SPPR!$E:$Z,MATCH($A51,SPPR!$A:$A,0),3),""),"")</f>
        <v/>
      </c>
      <c r="G51">
        <f>IFERROR(IF(ISNUMBER(INDEX(SPPR!$E:$Z,MATCH($A51,SPPR!$A:$A,0),4)),$C51*INDEX(SPPR!$E:$Z,MATCH($A51,SPPR!$A:$A,0),4),""),"")</f>
        <v/>
      </c>
      <c r="H51">
        <f>IFERROR(IF(ISNUMBER(INDEX(SPPR!$E:$Z,MATCH($A51,SPPR!$A:$A,0),5)),$C51*INDEX(SPPR!$E:$Z,MATCH($A51,SPPR!$A:$A,0),5),""),"")</f>
        <v/>
      </c>
      <c r="I51">
        <f>IFERROR(IF(ISNUMBER(INDEX(SPPR!$E:$Z,MATCH($A51,SPPR!$A:$A,0),6)),$C51*INDEX(SPPR!$E:$Z,MATCH($A51,SPPR!$A:$A,0),6),""),"")</f>
        <v/>
      </c>
      <c r="J51">
        <f>IFERROR(IF(ISNUMBER(INDEX(SPPR!$E:$Z,MATCH($A51,SPPR!$A:$A,0),7)),$C51*INDEX(SPPR!$E:$Z,MATCH($A51,SPPR!$A:$A,0),7),""),"")</f>
        <v/>
      </c>
      <c r="K51">
        <f>IFERROR(IF(ISNUMBER(INDEX(SPPR!$E:$Z,MATCH($A51,SPPR!$A:$A,0),8)),$C51*INDEX(SPPR!$E:$Z,MATCH($A51,SPPR!$A:$A,0),8),""),"")</f>
        <v/>
      </c>
      <c r="L51">
        <f>IFERROR(IF(ISNUMBER(INDEX(SPPR!$E:$Z,MATCH($A51,SPPR!$A:$A,0),9)),$C51*INDEX(SPPR!$E:$Z,MATCH($A51,SPPR!$A:$A,0),9),""),"")</f>
        <v/>
      </c>
      <c r="M51">
        <f>IFERROR(IF(ISNUMBER(INDEX(SPPR!$E:$Z,MATCH($A51,SPPR!$A:$A,0),10)),$C51*INDEX(SPPR!$E:$Z,MATCH($A51,SPPR!$A:$A,0),10),""),"")</f>
        <v/>
      </c>
      <c r="N51">
        <f>IFERROR(IF(ISNUMBER(INDEX(SPPR!$E:$Z,MATCH($A51,SPPR!$A:$A,0),11)),$C51*INDEX(SPPR!$E:$Z,MATCH($A51,SPPR!$A:$A,0),11),""),"")</f>
        <v/>
      </c>
      <c r="O51">
        <f>IFERROR(IF(ISNUMBER(INDEX(SPPR!$E:$Z,MATCH($A51,SPPR!$A:$A,0),12)),$C51*INDEX(SPPR!$E:$Z,MATCH($A51,SPPR!$A:$A,0),12),""),"")</f>
        <v/>
      </c>
      <c r="P51">
        <f>IFERROR(IF(ISNUMBER(INDEX(SPPR!$E:$Z,MATCH($A51,SPPR!$A:$A,0),13)),$C51*INDEX(SPPR!$E:$Z,MATCH($A51,SPPR!$A:$A,0),13),""),"")</f>
        <v/>
      </c>
      <c r="Q51">
        <f>IFERROR(IF(ISNUMBER(INDEX(SPPR!$E:$Z,MATCH($A51,SPPR!$A:$A,0),14)),$C51*INDEX(SPPR!$E:$Z,MATCH($A51,SPPR!$A:$A,0),14),""),"")</f>
        <v/>
      </c>
      <c r="R51">
        <f>IFERROR(IF(ISNUMBER(INDEX(SPPR!$E:$Z,MATCH($A51,SPPR!$A:$A,0),15)),$C51*INDEX(SPPR!$E:$Z,MATCH($A51,SPPR!$A:$A,0),15),""),"")</f>
        <v/>
      </c>
      <c r="S51">
        <f>IFERROR(IF(ISNUMBER(INDEX(SPPR!$E:$Z,MATCH($A51,SPPR!$A:$A,0),16)),$C51*INDEX(SPPR!$E:$Z,MATCH($A51,SPPR!$A:$A,0),16),""),"")</f>
        <v/>
      </c>
      <c r="T51">
        <f>IFERROR(IF(ISNUMBER(INDEX(SPPR!$E:$Z,MATCH($A51,SPPR!$A:$A,0),17)),$C51*INDEX(SPPR!$E:$Z,MATCH($A51,SPPR!$A:$A,0),17),""),"")</f>
        <v/>
      </c>
      <c r="U51">
        <f>IFERROR(IF(ISNUMBER(INDEX(SPPR!$E:$Z,MATCH($A51,SPPR!$A:$A,0),18)),$C51*INDEX(SPPR!$E:$Z,MATCH($A51,SPPR!$A:$A,0),18),""),"")</f>
        <v/>
      </c>
      <c r="V51">
        <f>IFERROR(IF(ISNUMBER(INDEX(SPPR!$E:$Z,MATCH($A51,SPPR!$A:$A,0),19)),$C51*INDEX(SPPR!$E:$Z,MATCH($A51,SPPR!$A:$A,0),19),""),"")</f>
        <v/>
      </c>
      <c r="W51">
        <f>IFERROR(IF(ISNUMBER(INDEX(SPPR!$E:$Z,MATCH($A51,SPPR!$A:$A,0),20)),$C51*INDEX(SPPR!$E:$Z,MATCH($A51,SPPR!$A:$A,0),20),""),"")</f>
        <v/>
      </c>
      <c r="X51">
        <f>IFERROR(IF(ISNUMBER(INDEX(SPPR!$E:$Z,MATCH($A51,SPPR!$A:$A,0),21)),$C51*INDEX(SPPR!$E:$Z,MATCH($A51,SPPR!$A:$A,0),21),""),"")</f>
        <v/>
      </c>
      <c r="Y51">
        <f>IFERROR(IF(ISNUMBER(INDEX(SPPR!$E:$Z,MATCH($A51,SPPR!$A:$A,0),22)),$C51*INDEX(SPPR!$E:$Z,MATCH($A51,SPPR!$A:$A,0),22),""),"")</f>
        <v/>
      </c>
    </row>
    <row r="52">
      <c r="A52" t="inlineStr">
        <is>
          <t>Apogonidae</t>
        </is>
      </c>
      <c r="B52">
        <f>IFERROR(INDEX(SPPR!$D:$D,MATCH($A52,SPPR!$A:$A,0)),"")</f>
        <v/>
      </c>
      <c r="C52">
        <f>IFERROR(INDEX(Catch!$E:$BV,MATCH($A52,Catch!$A:$A,0),MATCH($B$4,Catch!$E$1:$BV$1,0)),0)</f>
        <v/>
      </c>
      <c r="D52">
        <f>IFERROR(IF(ISNUMBER(INDEX(SPPR!$E:$Z,MATCH($A52,SPPR!$A:$A,0),1)),$C52*INDEX(SPPR!$E:$Z,MATCH($A52,SPPR!$A:$A,0),1),""),"")</f>
        <v/>
      </c>
      <c r="E52">
        <f>IFERROR(IF(ISNUMBER(INDEX(SPPR!$E:$Z,MATCH($A52,SPPR!$A:$A,0),2)),$C52*INDEX(SPPR!$E:$Z,MATCH($A52,SPPR!$A:$A,0),2),""),"")</f>
        <v/>
      </c>
      <c r="F52">
        <f>IFERROR(IF(ISNUMBER(INDEX(SPPR!$E:$Z,MATCH($A52,SPPR!$A:$A,0),3)),$C52*INDEX(SPPR!$E:$Z,MATCH($A52,SPPR!$A:$A,0),3),""),"")</f>
        <v/>
      </c>
      <c r="G52">
        <f>IFERROR(IF(ISNUMBER(INDEX(SPPR!$E:$Z,MATCH($A52,SPPR!$A:$A,0),4)),$C52*INDEX(SPPR!$E:$Z,MATCH($A52,SPPR!$A:$A,0),4),""),"")</f>
        <v/>
      </c>
      <c r="H52">
        <f>IFERROR(IF(ISNUMBER(INDEX(SPPR!$E:$Z,MATCH($A52,SPPR!$A:$A,0),5)),$C52*INDEX(SPPR!$E:$Z,MATCH($A52,SPPR!$A:$A,0),5),""),"")</f>
        <v/>
      </c>
      <c r="I52">
        <f>IFERROR(IF(ISNUMBER(INDEX(SPPR!$E:$Z,MATCH($A52,SPPR!$A:$A,0),6)),$C52*INDEX(SPPR!$E:$Z,MATCH($A52,SPPR!$A:$A,0),6),""),"")</f>
        <v/>
      </c>
      <c r="J52">
        <f>IFERROR(IF(ISNUMBER(INDEX(SPPR!$E:$Z,MATCH($A52,SPPR!$A:$A,0),7)),$C52*INDEX(SPPR!$E:$Z,MATCH($A52,SPPR!$A:$A,0),7),""),"")</f>
        <v/>
      </c>
      <c r="K52">
        <f>IFERROR(IF(ISNUMBER(INDEX(SPPR!$E:$Z,MATCH($A52,SPPR!$A:$A,0),8)),$C52*INDEX(SPPR!$E:$Z,MATCH($A52,SPPR!$A:$A,0),8),""),"")</f>
        <v/>
      </c>
      <c r="L52">
        <f>IFERROR(IF(ISNUMBER(INDEX(SPPR!$E:$Z,MATCH($A52,SPPR!$A:$A,0),9)),$C52*INDEX(SPPR!$E:$Z,MATCH($A52,SPPR!$A:$A,0),9),""),"")</f>
        <v/>
      </c>
      <c r="M52">
        <f>IFERROR(IF(ISNUMBER(INDEX(SPPR!$E:$Z,MATCH($A52,SPPR!$A:$A,0),10)),$C52*INDEX(SPPR!$E:$Z,MATCH($A52,SPPR!$A:$A,0),10),""),"")</f>
        <v/>
      </c>
      <c r="N52">
        <f>IFERROR(IF(ISNUMBER(INDEX(SPPR!$E:$Z,MATCH($A52,SPPR!$A:$A,0),11)),$C52*INDEX(SPPR!$E:$Z,MATCH($A52,SPPR!$A:$A,0),11),""),"")</f>
        <v/>
      </c>
      <c r="O52">
        <f>IFERROR(IF(ISNUMBER(INDEX(SPPR!$E:$Z,MATCH($A52,SPPR!$A:$A,0),12)),$C52*INDEX(SPPR!$E:$Z,MATCH($A52,SPPR!$A:$A,0),12),""),"")</f>
        <v/>
      </c>
      <c r="P52">
        <f>IFERROR(IF(ISNUMBER(INDEX(SPPR!$E:$Z,MATCH($A52,SPPR!$A:$A,0),13)),$C52*INDEX(SPPR!$E:$Z,MATCH($A52,SPPR!$A:$A,0),13),""),"")</f>
        <v/>
      </c>
      <c r="Q52">
        <f>IFERROR(IF(ISNUMBER(INDEX(SPPR!$E:$Z,MATCH($A52,SPPR!$A:$A,0),14)),$C52*INDEX(SPPR!$E:$Z,MATCH($A52,SPPR!$A:$A,0),14),""),"")</f>
        <v/>
      </c>
      <c r="R52">
        <f>IFERROR(IF(ISNUMBER(INDEX(SPPR!$E:$Z,MATCH($A52,SPPR!$A:$A,0),15)),$C52*INDEX(SPPR!$E:$Z,MATCH($A52,SPPR!$A:$A,0),15),""),"")</f>
        <v/>
      </c>
      <c r="S52">
        <f>IFERROR(IF(ISNUMBER(INDEX(SPPR!$E:$Z,MATCH($A52,SPPR!$A:$A,0),16)),$C52*INDEX(SPPR!$E:$Z,MATCH($A52,SPPR!$A:$A,0),16),""),"")</f>
        <v/>
      </c>
      <c r="T52">
        <f>IFERROR(IF(ISNUMBER(INDEX(SPPR!$E:$Z,MATCH($A52,SPPR!$A:$A,0),17)),$C52*INDEX(SPPR!$E:$Z,MATCH($A52,SPPR!$A:$A,0),17),""),"")</f>
        <v/>
      </c>
      <c r="U52">
        <f>IFERROR(IF(ISNUMBER(INDEX(SPPR!$E:$Z,MATCH($A52,SPPR!$A:$A,0),18)),$C52*INDEX(SPPR!$E:$Z,MATCH($A52,SPPR!$A:$A,0),18),""),"")</f>
        <v/>
      </c>
      <c r="V52">
        <f>IFERROR(IF(ISNUMBER(INDEX(SPPR!$E:$Z,MATCH($A52,SPPR!$A:$A,0),19)),$C52*INDEX(SPPR!$E:$Z,MATCH($A52,SPPR!$A:$A,0),19),""),"")</f>
        <v/>
      </c>
      <c r="W52">
        <f>IFERROR(IF(ISNUMBER(INDEX(SPPR!$E:$Z,MATCH($A52,SPPR!$A:$A,0),20)),$C52*INDEX(SPPR!$E:$Z,MATCH($A52,SPPR!$A:$A,0),20),""),"")</f>
        <v/>
      </c>
      <c r="X52">
        <f>IFERROR(IF(ISNUMBER(INDEX(SPPR!$E:$Z,MATCH($A52,SPPR!$A:$A,0),21)),$C52*INDEX(SPPR!$E:$Z,MATCH($A52,SPPR!$A:$A,0),21),""),"")</f>
        <v/>
      </c>
      <c r="Y52">
        <f>IFERROR(IF(ISNUMBER(INDEX(SPPR!$E:$Z,MATCH($A52,SPPR!$A:$A,0),22)),$C52*INDEX(SPPR!$E:$Z,MATCH($A52,SPPR!$A:$A,0),22),""),"")</f>
        <v/>
      </c>
    </row>
    <row r="53">
      <c r="A53" t="inlineStr">
        <is>
          <t>Decapterus russelli</t>
        </is>
      </c>
      <c r="B53">
        <f>IFERROR(INDEX(SPPR!$D:$D,MATCH($A53,SPPR!$A:$A,0)),"")</f>
        <v/>
      </c>
      <c r="C53">
        <f>IFERROR(INDEX(Catch!$E:$BV,MATCH($A53,Catch!$A:$A,0),MATCH($B$4,Catch!$E$1:$BV$1,0)),0)</f>
        <v/>
      </c>
      <c r="D53">
        <f>IFERROR(IF(ISNUMBER(INDEX(SPPR!$E:$Z,MATCH($A53,SPPR!$A:$A,0),1)),$C53*INDEX(SPPR!$E:$Z,MATCH($A53,SPPR!$A:$A,0),1),""),"")</f>
        <v/>
      </c>
      <c r="E53">
        <f>IFERROR(IF(ISNUMBER(INDEX(SPPR!$E:$Z,MATCH($A53,SPPR!$A:$A,0),2)),$C53*INDEX(SPPR!$E:$Z,MATCH($A53,SPPR!$A:$A,0),2),""),"")</f>
        <v/>
      </c>
      <c r="F53">
        <f>IFERROR(IF(ISNUMBER(INDEX(SPPR!$E:$Z,MATCH($A53,SPPR!$A:$A,0),3)),$C53*INDEX(SPPR!$E:$Z,MATCH($A53,SPPR!$A:$A,0),3),""),"")</f>
        <v/>
      </c>
      <c r="G53">
        <f>IFERROR(IF(ISNUMBER(INDEX(SPPR!$E:$Z,MATCH($A53,SPPR!$A:$A,0),4)),$C53*INDEX(SPPR!$E:$Z,MATCH($A53,SPPR!$A:$A,0),4),""),"")</f>
        <v/>
      </c>
      <c r="H53">
        <f>IFERROR(IF(ISNUMBER(INDEX(SPPR!$E:$Z,MATCH($A53,SPPR!$A:$A,0),5)),$C53*INDEX(SPPR!$E:$Z,MATCH($A53,SPPR!$A:$A,0),5),""),"")</f>
        <v/>
      </c>
      <c r="I53">
        <f>IFERROR(IF(ISNUMBER(INDEX(SPPR!$E:$Z,MATCH($A53,SPPR!$A:$A,0),6)),$C53*INDEX(SPPR!$E:$Z,MATCH($A53,SPPR!$A:$A,0),6),""),"")</f>
        <v/>
      </c>
      <c r="J53">
        <f>IFERROR(IF(ISNUMBER(INDEX(SPPR!$E:$Z,MATCH($A53,SPPR!$A:$A,0),7)),$C53*INDEX(SPPR!$E:$Z,MATCH($A53,SPPR!$A:$A,0),7),""),"")</f>
        <v/>
      </c>
      <c r="K53">
        <f>IFERROR(IF(ISNUMBER(INDEX(SPPR!$E:$Z,MATCH($A53,SPPR!$A:$A,0),8)),$C53*INDEX(SPPR!$E:$Z,MATCH($A53,SPPR!$A:$A,0),8),""),"")</f>
        <v/>
      </c>
      <c r="L53">
        <f>IFERROR(IF(ISNUMBER(INDEX(SPPR!$E:$Z,MATCH($A53,SPPR!$A:$A,0),9)),$C53*INDEX(SPPR!$E:$Z,MATCH($A53,SPPR!$A:$A,0),9),""),"")</f>
        <v/>
      </c>
      <c r="M53">
        <f>IFERROR(IF(ISNUMBER(INDEX(SPPR!$E:$Z,MATCH($A53,SPPR!$A:$A,0),10)),$C53*INDEX(SPPR!$E:$Z,MATCH($A53,SPPR!$A:$A,0),10),""),"")</f>
        <v/>
      </c>
      <c r="N53">
        <f>IFERROR(IF(ISNUMBER(INDEX(SPPR!$E:$Z,MATCH($A53,SPPR!$A:$A,0),11)),$C53*INDEX(SPPR!$E:$Z,MATCH($A53,SPPR!$A:$A,0),11),""),"")</f>
        <v/>
      </c>
      <c r="O53">
        <f>IFERROR(IF(ISNUMBER(INDEX(SPPR!$E:$Z,MATCH($A53,SPPR!$A:$A,0),12)),$C53*INDEX(SPPR!$E:$Z,MATCH($A53,SPPR!$A:$A,0),12),""),"")</f>
        <v/>
      </c>
      <c r="P53">
        <f>IFERROR(IF(ISNUMBER(INDEX(SPPR!$E:$Z,MATCH($A53,SPPR!$A:$A,0),13)),$C53*INDEX(SPPR!$E:$Z,MATCH($A53,SPPR!$A:$A,0),13),""),"")</f>
        <v/>
      </c>
      <c r="Q53">
        <f>IFERROR(IF(ISNUMBER(INDEX(SPPR!$E:$Z,MATCH($A53,SPPR!$A:$A,0),14)),$C53*INDEX(SPPR!$E:$Z,MATCH($A53,SPPR!$A:$A,0),14),""),"")</f>
        <v/>
      </c>
      <c r="R53">
        <f>IFERROR(IF(ISNUMBER(INDEX(SPPR!$E:$Z,MATCH($A53,SPPR!$A:$A,0),15)),$C53*INDEX(SPPR!$E:$Z,MATCH($A53,SPPR!$A:$A,0),15),""),"")</f>
        <v/>
      </c>
      <c r="S53">
        <f>IFERROR(IF(ISNUMBER(INDEX(SPPR!$E:$Z,MATCH($A53,SPPR!$A:$A,0),16)),$C53*INDEX(SPPR!$E:$Z,MATCH($A53,SPPR!$A:$A,0),16),""),"")</f>
        <v/>
      </c>
      <c r="T53">
        <f>IFERROR(IF(ISNUMBER(INDEX(SPPR!$E:$Z,MATCH($A53,SPPR!$A:$A,0),17)),$C53*INDEX(SPPR!$E:$Z,MATCH($A53,SPPR!$A:$A,0),17),""),"")</f>
        <v/>
      </c>
      <c r="U53">
        <f>IFERROR(IF(ISNUMBER(INDEX(SPPR!$E:$Z,MATCH($A53,SPPR!$A:$A,0),18)),$C53*INDEX(SPPR!$E:$Z,MATCH($A53,SPPR!$A:$A,0),18),""),"")</f>
        <v/>
      </c>
      <c r="V53">
        <f>IFERROR(IF(ISNUMBER(INDEX(SPPR!$E:$Z,MATCH($A53,SPPR!$A:$A,0),19)),$C53*INDEX(SPPR!$E:$Z,MATCH($A53,SPPR!$A:$A,0),19),""),"")</f>
        <v/>
      </c>
      <c r="W53">
        <f>IFERROR(IF(ISNUMBER(INDEX(SPPR!$E:$Z,MATCH($A53,SPPR!$A:$A,0),20)),$C53*INDEX(SPPR!$E:$Z,MATCH($A53,SPPR!$A:$A,0),20),""),"")</f>
        <v/>
      </c>
      <c r="X53">
        <f>IFERROR(IF(ISNUMBER(INDEX(SPPR!$E:$Z,MATCH($A53,SPPR!$A:$A,0),21)),$C53*INDEX(SPPR!$E:$Z,MATCH($A53,SPPR!$A:$A,0),21),""),"")</f>
        <v/>
      </c>
      <c r="Y53">
        <f>IFERROR(IF(ISNUMBER(INDEX(SPPR!$E:$Z,MATCH($A53,SPPR!$A:$A,0),22)),$C53*INDEX(SPPR!$E:$Z,MATCH($A53,SPPR!$A:$A,0),22),""),"")</f>
        <v/>
      </c>
    </row>
    <row r="54">
      <c r="A54" t="inlineStr">
        <is>
          <t>Sepia</t>
        </is>
      </c>
      <c r="B54">
        <f>IFERROR(INDEX(SPPR!$D:$D,MATCH($A54,SPPR!$A:$A,0)),"")</f>
        <v/>
      </c>
      <c r="C54">
        <f>IFERROR(INDEX(Catch!$E:$BV,MATCH($A54,Catch!$A:$A,0),MATCH($B$4,Catch!$E$1:$BV$1,0)),0)</f>
        <v/>
      </c>
      <c r="D54">
        <f>IFERROR(IF(ISNUMBER(INDEX(SPPR!$E:$Z,MATCH($A54,SPPR!$A:$A,0),1)),$C54*INDEX(SPPR!$E:$Z,MATCH($A54,SPPR!$A:$A,0),1),""),"")</f>
        <v/>
      </c>
      <c r="E54">
        <f>IFERROR(IF(ISNUMBER(INDEX(SPPR!$E:$Z,MATCH($A54,SPPR!$A:$A,0),2)),$C54*INDEX(SPPR!$E:$Z,MATCH($A54,SPPR!$A:$A,0),2),""),"")</f>
        <v/>
      </c>
      <c r="F54">
        <f>IFERROR(IF(ISNUMBER(INDEX(SPPR!$E:$Z,MATCH($A54,SPPR!$A:$A,0),3)),$C54*INDEX(SPPR!$E:$Z,MATCH($A54,SPPR!$A:$A,0),3),""),"")</f>
        <v/>
      </c>
      <c r="G54">
        <f>IFERROR(IF(ISNUMBER(INDEX(SPPR!$E:$Z,MATCH($A54,SPPR!$A:$A,0),4)),$C54*INDEX(SPPR!$E:$Z,MATCH($A54,SPPR!$A:$A,0),4),""),"")</f>
        <v/>
      </c>
      <c r="H54">
        <f>IFERROR(IF(ISNUMBER(INDEX(SPPR!$E:$Z,MATCH($A54,SPPR!$A:$A,0),5)),$C54*INDEX(SPPR!$E:$Z,MATCH($A54,SPPR!$A:$A,0),5),""),"")</f>
        <v/>
      </c>
      <c r="I54">
        <f>IFERROR(IF(ISNUMBER(INDEX(SPPR!$E:$Z,MATCH($A54,SPPR!$A:$A,0),6)),$C54*INDEX(SPPR!$E:$Z,MATCH($A54,SPPR!$A:$A,0),6),""),"")</f>
        <v/>
      </c>
      <c r="J54">
        <f>IFERROR(IF(ISNUMBER(INDEX(SPPR!$E:$Z,MATCH($A54,SPPR!$A:$A,0),7)),$C54*INDEX(SPPR!$E:$Z,MATCH($A54,SPPR!$A:$A,0),7),""),"")</f>
        <v/>
      </c>
      <c r="K54">
        <f>IFERROR(IF(ISNUMBER(INDEX(SPPR!$E:$Z,MATCH($A54,SPPR!$A:$A,0),8)),$C54*INDEX(SPPR!$E:$Z,MATCH($A54,SPPR!$A:$A,0),8),""),"")</f>
        <v/>
      </c>
      <c r="L54">
        <f>IFERROR(IF(ISNUMBER(INDEX(SPPR!$E:$Z,MATCH($A54,SPPR!$A:$A,0),9)),$C54*INDEX(SPPR!$E:$Z,MATCH($A54,SPPR!$A:$A,0),9),""),"")</f>
        <v/>
      </c>
      <c r="M54">
        <f>IFERROR(IF(ISNUMBER(INDEX(SPPR!$E:$Z,MATCH($A54,SPPR!$A:$A,0),10)),$C54*INDEX(SPPR!$E:$Z,MATCH($A54,SPPR!$A:$A,0),10),""),"")</f>
        <v/>
      </c>
      <c r="N54">
        <f>IFERROR(IF(ISNUMBER(INDEX(SPPR!$E:$Z,MATCH($A54,SPPR!$A:$A,0),11)),$C54*INDEX(SPPR!$E:$Z,MATCH($A54,SPPR!$A:$A,0),11),""),"")</f>
        <v/>
      </c>
      <c r="O54">
        <f>IFERROR(IF(ISNUMBER(INDEX(SPPR!$E:$Z,MATCH($A54,SPPR!$A:$A,0),12)),$C54*INDEX(SPPR!$E:$Z,MATCH($A54,SPPR!$A:$A,0),12),""),"")</f>
        <v/>
      </c>
      <c r="P54">
        <f>IFERROR(IF(ISNUMBER(INDEX(SPPR!$E:$Z,MATCH($A54,SPPR!$A:$A,0),13)),$C54*INDEX(SPPR!$E:$Z,MATCH($A54,SPPR!$A:$A,0),13),""),"")</f>
        <v/>
      </c>
      <c r="Q54">
        <f>IFERROR(IF(ISNUMBER(INDEX(SPPR!$E:$Z,MATCH($A54,SPPR!$A:$A,0),14)),$C54*INDEX(SPPR!$E:$Z,MATCH($A54,SPPR!$A:$A,0),14),""),"")</f>
        <v/>
      </c>
      <c r="R54">
        <f>IFERROR(IF(ISNUMBER(INDEX(SPPR!$E:$Z,MATCH($A54,SPPR!$A:$A,0),15)),$C54*INDEX(SPPR!$E:$Z,MATCH($A54,SPPR!$A:$A,0),15),""),"")</f>
        <v/>
      </c>
      <c r="S54">
        <f>IFERROR(IF(ISNUMBER(INDEX(SPPR!$E:$Z,MATCH($A54,SPPR!$A:$A,0),16)),$C54*INDEX(SPPR!$E:$Z,MATCH($A54,SPPR!$A:$A,0),16),""),"")</f>
        <v/>
      </c>
      <c r="T54">
        <f>IFERROR(IF(ISNUMBER(INDEX(SPPR!$E:$Z,MATCH($A54,SPPR!$A:$A,0),17)),$C54*INDEX(SPPR!$E:$Z,MATCH($A54,SPPR!$A:$A,0),17),""),"")</f>
        <v/>
      </c>
      <c r="U54">
        <f>IFERROR(IF(ISNUMBER(INDEX(SPPR!$E:$Z,MATCH($A54,SPPR!$A:$A,0),18)),$C54*INDEX(SPPR!$E:$Z,MATCH($A54,SPPR!$A:$A,0),18),""),"")</f>
        <v/>
      </c>
      <c r="V54">
        <f>IFERROR(IF(ISNUMBER(INDEX(SPPR!$E:$Z,MATCH($A54,SPPR!$A:$A,0),19)),$C54*INDEX(SPPR!$E:$Z,MATCH($A54,SPPR!$A:$A,0),19),""),"")</f>
        <v/>
      </c>
      <c r="W54">
        <f>IFERROR(IF(ISNUMBER(INDEX(SPPR!$E:$Z,MATCH($A54,SPPR!$A:$A,0),20)),$C54*INDEX(SPPR!$E:$Z,MATCH($A54,SPPR!$A:$A,0),20),""),"")</f>
        <v/>
      </c>
      <c r="X54">
        <f>IFERROR(IF(ISNUMBER(INDEX(SPPR!$E:$Z,MATCH($A54,SPPR!$A:$A,0),21)),$C54*INDEX(SPPR!$E:$Z,MATCH($A54,SPPR!$A:$A,0),21),""),"")</f>
        <v/>
      </c>
      <c r="Y54">
        <f>IFERROR(IF(ISNUMBER(INDEX(SPPR!$E:$Z,MATCH($A54,SPPR!$A:$A,0),22)),$C54*INDEX(SPPR!$E:$Z,MATCH($A54,SPPR!$A:$A,0),22),""),"")</f>
        <v/>
      </c>
    </row>
    <row r="55">
      <c r="A55" t="inlineStr">
        <is>
          <t>Mugilidae</t>
        </is>
      </c>
      <c r="B55">
        <f>IFERROR(INDEX(SPPR!$D:$D,MATCH($A55,SPPR!$A:$A,0)),"")</f>
        <v/>
      </c>
      <c r="C55">
        <f>IFERROR(INDEX(Catch!$E:$BV,MATCH($A55,Catch!$A:$A,0),MATCH($B$4,Catch!$E$1:$BV$1,0)),0)</f>
        <v/>
      </c>
      <c r="D55">
        <f>IFERROR(IF(ISNUMBER(INDEX(SPPR!$E:$Z,MATCH($A55,SPPR!$A:$A,0),1)),$C55*INDEX(SPPR!$E:$Z,MATCH($A55,SPPR!$A:$A,0),1),""),"")</f>
        <v/>
      </c>
      <c r="E55">
        <f>IFERROR(IF(ISNUMBER(INDEX(SPPR!$E:$Z,MATCH($A55,SPPR!$A:$A,0),2)),$C55*INDEX(SPPR!$E:$Z,MATCH($A55,SPPR!$A:$A,0),2),""),"")</f>
        <v/>
      </c>
      <c r="F55">
        <f>IFERROR(IF(ISNUMBER(INDEX(SPPR!$E:$Z,MATCH($A55,SPPR!$A:$A,0),3)),$C55*INDEX(SPPR!$E:$Z,MATCH($A55,SPPR!$A:$A,0),3),""),"")</f>
        <v/>
      </c>
      <c r="G55">
        <f>IFERROR(IF(ISNUMBER(INDEX(SPPR!$E:$Z,MATCH($A55,SPPR!$A:$A,0),4)),$C55*INDEX(SPPR!$E:$Z,MATCH($A55,SPPR!$A:$A,0),4),""),"")</f>
        <v/>
      </c>
      <c r="H55">
        <f>IFERROR(IF(ISNUMBER(INDEX(SPPR!$E:$Z,MATCH($A55,SPPR!$A:$A,0),5)),$C55*INDEX(SPPR!$E:$Z,MATCH($A55,SPPR!$A:$A,0),5),""),"")</f>
        <v/>
      </c>
      <c r="I55">
        <f>IFERROR(IF(ISNUMBER(INDEX(SPPR!$E:$Z,MATCH($A55,SPPR!$A:$A,0),6)),$C55*INDEX(SPPR!$E:$Z,MATCH($A55,SPPR!$A:$A,0),6),""),"")</f>
        <v/>
      </c>
      <c r="J55">
        <f>IFERROR(IF(ISNUMBER(INDEX(SPPR!$E:$Z,MATCH($A55,SPPR!$A:$A,0),7)),$C55*INDEX(SPPR!$E:$Z,MATCH($A55,SPPR!$A:$A,0),7),""),"")</f>
        <v/>
      </c>
      <c r="K55">
        <f>IFERROR(IF(ISNUMBER(INDEX(SPPR!$E:$Z,MATCH($A55,SPPR!$A:$A,0),8)),$C55*INDEX(SPPR!$E:$Z,MATCH($A55,SPPR!$A:$A,0),8),""),"")</f>
        <v/>
      </c>
      <c r="L55">
        <f>IFERROR(IF(ISNUMBER(INDEX(SPPR!$E:$Z,MATCH($A55,SPPR!$A:$A,0),9)),$C55*INDEX(SPPR!$E:$Z,MATCH($A55,SPPR!$A:$A,0),9),""),"")</f>
        <v/>
      </c>
      <c r="M55">
        <f>IFERROR(IF(ISNUMBER(INDEX(SPPR!$E:$Z,MATCH($A55,SPPR!$A:$A,0),10)),$C55*INDEX(SPPR!$E:$Z,MATCH($A55,SPPR!$A:$A,0),10),""),"")</f>
        <v/>
      </c>
      <c r="N55">
        <f>IFERROR(IF(ISNUMBER(INDEX(SPPR!$E:$Z,MATCH($A55,SPPR!$A:$A,0),11)),$C55*INDEX(SPPR!$E:$Z,MATCH($A55,SPPR!$A:$A,0),11),""),"")</f>
        <v/>
      </c>
      <c r="O55">
        <f>IFERROR(IF(ISNUMBER(INDEX(SPPR!$E:$Z,MATCH($A55,SPPR!$A:$A,0),12)),$C55*INDEX(SPPR!$E:$Z,MATCH($A55,SPPR!$A:$A,0),12),""),"")</f>
        <v/>
      </c>
      <c r="P55">
        <f>IFERROR(IF(ISNUMBER(INDEX(SPPR!$E:$Z,MATCH($A55,SPPR!$A:$A,0),13)),$C55*INDEX(SPPR!$E:$Z,MATCH($A55,SPPR!$A:$A,0),13),""),"")</f>
        <v/>
      </c>
      <c r="Q55">
        <f>IFERROR(IF(ISNUMBER(INDEX(SPPR!$E:$Z,MATCH($A55,SPPR!$A:$A,0),14)),$C55*INDEX(SPPR!$E:$Z,MATCH($A55,SPPR!$A:$A,0),14),""),"")</f>
        <v/>
      </c>
      <c r="R55">
        <f>IFERROR(IF(ISNUMBER(INDEX(SPPR!$E:$Z,MATCH($A55,SPPR!$A:$A,0),15)),$C55*INDEX(SPPR!$E:$Z,MATCH($A55,SPPR!$A:$A,0),15),""),"")</f>
        <v/>
      </c>
      <c r="S55">
        <f>IFERROR(IF(ISNUMBER(INDEX(SPPR!$E:$Z,MATCH($A55,SPPR!$A:$A,0),16)),$C55*INDEX(SPPR!$E:$Z,MATCH($A55,SPPR!$A:$A,0),16),""),"")</f>
        <v/>
      </c>
      <c r="T55">
        <f>IFERROR(IF(ISNUMBER(INDEX(SPPR!$E:$Z,MATCH($A55,SPPR!$A:$A,0),17)),$C55*INDEX(SPPR!$E:$Z,MATCH($A55,SPPR!$A:$A,0),17),""),"")</f>
        <v/>
      </c>
      <c r="U55">
        <f>IFERROR(IF(ISNUMBER(INDEX(SPPR!$E:$Z,MATCH($A55,SPPR!$A:$A,0),18)),$C55*INDEX(SPPR!$E:$Z,MATCH($A55,SPPR!$A:$A,0),18),""),"")</f>
        <v/>
      </c>
      <c r="V55">
        <f>IFERROR(IF(ISNUMBER(INDEX(SPPR!$E:$Z,MATCH($A55,SPPR!$A:$A,0),19)),$C55*INDEX(SPPR!$E:$Z,MATCH($A55,SPPR!$A:$A,0),19),""),"")</f>
        <v/>
      </c>
      <c r="W55">
        <f>IFERROR(IF(ISNUMBER(INDEX(SPPR!$E:$Z,MATCH($A55,SPPR!$A:$A,0),20)),$C55*INDEX(SPPR!$E:$Z,MATCH($A55,SPPR!$A:$A,0),20),""),"")</f>
        <v/>
      </c>
      <c r="X55">
        <f>IFERROR(IF(ISNUMBER(INDEX(SPPR!$E:$Z,MATCH($A55,SPPR!$A:$A,0),21)),$C55*INDEX(SPPR!$E:$Z,MATCH($A55,SPPR!$A:$A,0),21),""),"")</f>
        <v/>
      </c>
      <c r="Y55">
        <f>IFERROR(IF(ISNUMBER(INDEX(SPPR!$E:$Z,MATCH($A55,SPPR!$A:$A,0),22)),$C55*INDEX(SPPR!$E:$Z,MATCH($A55,SPPR!$A:$A,0),22),""),"")</f>
        <v/>
      </c>
    </row>
    <row r="56">
      <c r="A56" t="inlineStr">
        <is>
          <t>Thryssa</t>
        </is>
      </c>
      <c r="B56">
        <f>IFERROR(INDEX(SPPR!$D:$D,MATCH($A56,SPPR!$A:$A,0)),"")</f>
        <v/>
      </c>
      <c r="C56">
        <f>IFERROR(INDEX(Catch!$E:$BV,MATCH($A56,Catch!$A:$A,0),MATCH($B$4,Catch!$E$1:$BV$1,0)),0)</f>
        <v/>
      </c>
      <c r="D56">
        <f>IFERROR(IF(ISNUMBER(INDEX(SPPR!$E:$Z,MATCH($A56,SPPR!$A:$A,0),1)),$C56*INDEX(SPPR!$E:$Z,MATCH($A56,SPPR!$A:$A,0),1),""),"")</f>
        <v/>
      </c>
      <c r="E56">
        <f>IFERROR(IF(ISNUMBER(INDEX(SPPR!$E:$Z,MATCH($A56,SPPR!$A:$A,0),2)),$C56*INDEX(SPPR!$E:$Z,MATCH($A56,SPPR!$A:$A,0),2),""),"")</f>
        <v/>
      </c>
      <c r="F56">
        <f>IFERROR(IF(ISNUMBER(INDEX(SPPR!$E:$Z,MATCH($A56,SPPR!$A:$A,0),3)),$C56*INDEX(SPPR!$E:$Z,MATCH($A56,SPPR!$A:$A,0),3),""),"")</f>
        <v/>
      </c>
      <c r="G56">
        <f>IFERROR(IF(ISNUMBER(INDEX(SPPR!$E:$Z,MATCH($A56,SPPR!$A:$A,0),4)),$C56*INDEX(SPPR!$E:$Z,MATCH($A56,SPPR!$A:$A,0),4),""),"")</f>
        <v/>
      </c>
      <c r="H56">
        <f>IFERROR(IF(ISNUMBER(INDEX(SPPR!$E:$Z,MATCH($A56,SPPR!$A:$A,0),5)),$C56*INDEX(SPPR!$E:$Z,MATCH($A56,SPPR!$A:$A,0),5),""),"")</f>
        <v/>
      </c>
      <c r="I56">
        <f>IFERROR(IF(ISNUMBER(INDEX(SPPR!$E:$Z,MATCH($A56,SPPR!$A:$A,0),6)),$C56*INDEX(SPPR!$E:$Z,MATCH($A56,SPPR!$A:$A,0),6),""),"")</f>
        <v/>
      </c>
      <c r="J56">
        <f>IFERROR(IF(ISNUMBER(INDEX(SPPR!$E:$Z,MATCH($A56,SPPR!$A:$A,0),7)),$C56*INDEX(SPPR!$E:$Z,MATCH($A56,SPPR!$A:$A,0),7),""),"")</f>
        <v/>
      </c>
      <c r="K56">
        <f>IFERROR(IF(ISNUMBER(INDEX(SPPR!$E:$Z,MATCH($A56,SPPR!$A:$A,0),8)),$C56*INDEX(SPPR!$E:$Z,MATCH($A56,SPPR!$A:$A,0),8),""),"")</f>
        <v/>
      </c>
      <c r="L56">
        <f>IFERROR(IF(ISNUMBER(INDEX(SPPR!$E:$Z,MATCH($A56,SPPR!$A:$A,0),9)),$C56*INDEX(SPPR!$E:$Z,MATCH($A56,SPPR!$A:$A,0),9),""),"")</f>
        <v/>
      </c>
      <c r="M56">
        <f>IFERROR(IF(ISNUMBER(INDEX(SPPR!$E:$Z,MATCH($A56,SPPR!$A:$A,0),10)),$C56*INDEX(SPPR!$E:$Z,MATCH($A56,SPPR!$A:$A,0),10),""),"")</f>
        <v/>
      </c>
      <c r="N56">
        <f>IFERROR(IF(ISNUMBER(INDEX(SPPR!$E:$Z,MATCH($A56,SPPR!$A:$A,0),11)),$C56*INDEX(SPPR!$E:$Z,MATCH($A56,SPPR!$A:$A,0),11),""),"")</f>
        <v/>
      </c>
      <c r="O56">
        <f>IFERROR(IF(ISNUMBER(INDEX(SPPR!$E:$Z,MATCH($A56,SPPR!$A:$A,0),12)),$C56*INDEX(SPPR!$E:$Z,MATCH($A56,SPPR!$A:$A,0),12),""),"")</f>
        <v/>
      </c>
      <c r="P56">
        <f>IFERROR(IF(ISNUMBER(INDEX(SPPR!$E:$Z,MATCH($A56,SPPR!$A:$A,0),13)),$C56*INDEX(SPPR!$E:$Z,MATCH($A56,SPPR!$A:$A,0),13),""),"")</f>
        <v/>
      </c>
      <c r="Q56">
        <f>IFERROR(IF(ISNUMBER(INDEX(SPPR!$E:$Z,MATCH($A56,SPPR!$A:$A,0),14)),$C56*INDEX(SPPR!$E:$Z,MATCH($A56,SPPR!$A:$A,0),14),""),"")</f>
        <v/>
      </c>
      <c r="R56">
        <f>IFERROR(IF(ISNUMBER(INDEX(SPPR!$E:$Z,MATCH($A56,SPPR!$A:$A,0),15)),$C56*INDEX(SPPR!$E:$Z,MATCH($A56,SPPR!$A:$A,0),15),""),"")</f>
        <v/>
      </c>
      <c r="S56">
        <f>IFERROR(IF(ISNUMBER(INDEX(SPPR!$E:$Z,MATCH($A56,SPPR!$A:$A,0),16)),$C56*INDEX(SPPR!$E:$Z,MATCH($A56,SPPR!$A:$A,0),16),""),"")</f>
        <v/>
      </c>
      <c r="T56">
        <f>IFERROR(IF(ISNUMBER(INDEX(SPPR!$E:$Z,MATCH($A56,SPPR!$A:$A,0),17)),$C56*INDEX(SPPR!$E:$Z,MATCH($A56,SPPR!$A:$A,0),17),""),"")</f>
        <v/>
      </c>
      <c r="U56">
        <f>IFERROR(IF(ISNUMBER(INDEX(SPPR!$E:$Z,MATCH($A56,SPPR!$A:$A,0),18)),$C56*INDEX(SPPR!$E:$Z,MATCH($A56,SPPR!$A:$A,0),18),""),"")</f>
        <v/>
      </c>
      <c r="V56">
        <f>IFERROR(IF(ISNUMBER(INDEX(SPPR!$E:$Z,MATCH($A56,SPPR!$A:$A,0),19)),$C56*INDEX(SPPR!$E:$Z,MATCH($A56,SPPR!$A:$A,0),19),""),"")</f>
        <v/>
      </c>
      <c r="W56">
        <f>IFERROR(IF(ISNUMBER(INDEX(SPPR!$E:$Z,MATCH($A56,SPPR!$A:$A,0),20)),$C56*INDEX(SPPR!$E:$Z,MATCH($A56,SPPR!$A:$A,0),20),""),"")</f>
        <v/>
      </c>
      <c r="X56">
        <f>IFERROR(IF(ISNUMBER(INDEX(SPPR!$E:$Z,MATCH($A56,SPPR!$A:$A,0),21)),$C56*INDEX(SPPR!$E:$Z,MATCH($A56,SPPR!$A:$A,0),21),""),"")</f>
        <v/>
      </c>
      <c r="Y56">
        <f>IFERROR(IF(ISNUMBER(INDEX(SPPR!$E:$Z,MATCH($A56,SPPR!$A:$A,0),22)),$C56*INDEX(SPPR!$E:$Z,MATCH($A56,SPPR!$A:$A,0),22),""),"")</f>
        <v/>
      </c>
    </row>
    <row r="57">
      <c r="A57" t="inlineStr">
        <is>
          <t>Portunidae</t>
        </is>
      </c>
      <c r="B57">
        <f>IFERROR(INDEX(SPPR!$D:$D,MATCH($A57,SPPR!$A:$A,0)),"")</f>
        <v/>
      </c>
      <c r="C57">
        <f>IFERROR(INDEX(Catch!$E:$BV,MATCH($A57,Catch!$A:$A,0),MATCH($B$4,Catch!$E$1:$BV$1,0)),0)</f>
        <v/>
      </c>
      <c r="D57">
        <f>IFERROR(IF(ISNUMBER(INDEX(SPPR!$E:$Z,MATCH($A57,SPPR!$A:$A,0),1)),$C57*INDEX(SPPR!$E:$Z,MATCH($A57,SPPR!$A:$A,0),1),""),"")</f>
        <v/>
      </c>
      <c r="E57">
        <f>IFERROR(IF(ISNUMBER(INDEX(SPPR!$E:$Z,MATCH($A57,SPPR!$A:$A,0),2)),$C57*INDEX(SPPR!$E:$Z,MATCH($A57,SPPR!$A:$A,0),2),""),"")</f>
        <v/>
      </c>
      <c r="F57">
        <f>IFERROR(IF(ISNUMBER(INDEX(SPPR!$E:$Z,MATCH($A57,SPPR!$A:$A,0),3)),$C57*INDEX(SPPR!$E:$Z,MATCH($A57,SPPR!$A:$A,0),3),""),"")</f>
        <v/>
      </c>
      <c r="G57">
        <f>IFERROR(IF(ISNUMBER(INDEX(SPPR!$E:$Z,MATCH($A57,SPPR!$A:$A,0),4)),$C57*INDEX(SPPR!$E:$Z,MATCH($A57,SPPR!$A:$A,0),4),""),"")</f>
        <v/>
      </c>
      <c r="H57">
        <f>IFERROR(IF(ISNUMBER(INDEX(SPPR!$E:$Z,MATCH($A57,SPPR!$A:$A,0),5)),$C57*INDEX(SPPR!$E:$Z,MATCH($A57,SPPR!$A:$A,0),5),""),"")</f>
        <v/>
      </c>
      <c r="I57">
        <f>IFERROR(IF(ISNUMBER(INDEX(SPPR!$E:$Z,MATCH($A57,SPPR!$A:$A,0),6)),$C57*INDEX(SPPR!$E:$Z,MATCH($A57,SPPR!$A:$A,0),6),""),"")</f>
        <v/>
      </c>
      <c r="J57">
        <f>IFERROR(IF(ISNUMBER(INDEX(SPPR!$E:$Z,MATCH($A57,SPPR!$A:$A,0),7)),$C57*INDEX(SPPR!$E:$Z,MATCH($A57,SPPR!$A:$A,0),7),""),"")</f>
        <v/>
      </c>
      <c r="K57">
        <f>IFERROR(IF(ISNUMBER(INDEX(SPPR!$E:$Z,MATCH($A57,SPPR!$A:$A,0),8)),$C57*INDEX(SPPR!$E:$Z,MATCH($A57,SPPR!$A:$A,0),8),""),"")</f>
        <v/>
      </c>
      <c r="L57">
        <f>IFERROR(IF(ISNUMBER(INDEX(SPPR!$E:$Z,MATCH($A57,SPPR!$A:$A,0),9)),$C57*INDEX(SPPR!$E:$Z,MATCH($A57,SPPR!$A:$A,0),9),""),"")</f>
        <v/>
      </c>
      <c r="M57">
        <f>IFERROR(IF(ISNUMBER(INDEX(SPPR!$E:$Z,MATCH($A57,SPPR!$A:$A,0),10)),$C57*INDEX(SPPR!$E:$Z,MATCH($A57,SPPR!$A:$A,0),10),""),"")</f>
        <v/>
      </c>
      <c r="N57">
        <f>IFERROR(IF(ISNUMBER(INDEX(SPPR!$E:$Z,MATCH($A57,SPPR!$A:$A,0),11)),$C57*INDEX(SPPR!$E:$Z,MATCH($A57,SPPR!$A:$A,0),11),""),"")</f>
        <v/>
      </c>
      <c r="O57">
        <f>IFERROR(IF(ISNUMBER(INDEX(SPPR!$E:$Z,MATCH($A57,SPPR!$A:$A,0),12)),$C57*INDEX(SPPR!$E:$Z,MATCH($A57,SPPR!$A:$A,0),12),""),"")</f>
        <v/>
      </c>
      <c r="P57">
        <f>IFERROR(IF(ISNUMBER(INDEX(SPPR!$E:$Z,MATCH($A57,SPPR!$A:$A,0),13)),$C57*INDEX(SPPR!$E:$Z,MATCH($A57,SPPR!$A:$A,0),13),""),"")</f>
        <v/>
      </c>
      <c r="Q57">
        <f>IFERROR(IF(ISNUMBER(INDEX(SPPR!$E:$Z,MATCH($A57,SPPR!$A:$A,0),14)),$C57*INDEX(SPPR!$E:$Z,MATCH($A57,SPPR!$A:$A,0),14),""),"")</f>
        <v/>
      </c>
      <c r="R57">
        <f>IFERROR(IF(ISNUMBER(INDEX(SPPR!$E:$Z,MATCH($A57,SPPR!$A:$A,0),15)),$C57*INDEX(SPPR!$E:$Z,MATCH($A57,SPPR!$A:$A,0),15),""),"")</f>
        <v/>
      </c>
      <c r="S57">
        <f>IFERROR(IF(ISNUMBER(INDEX(SPPR!$E:$Z,MATCH($A57,SPPR!$A:$A,0),16)),$C57*INDEX(SPPR!$E:$Z,MATCH($A57,SPPR!$A:$A,0),16),""),"")</f>
        <v/>
      </c>
      <c r="T57">
        <f>IFERROR(IF(ISNUMBER(INDEX(SPPR!$E:$Z,MATCH($A57,SPPR!$A:$A,0),17)),$C57*INDEX(SPPR!$E:$Z,MATCH($A57,SPPR!$A:$A,0),17),""),"")</f>
        <v/>
      </c>
      <c r="U57">
        <f>IFERROR(IF(ISNUMBER(INDEX(SPPR!$E:$Z,MATCH($A57,SPPR!$A:$A,0),18)),$C57*INDEX(SPPR!$E:$Z,MATCH($A57,SPPR!$A:$A,0),18),""),"")</f>
        <v/>
      </c>
      <c r="V57">
        <f>IFERROR(IF(ISNUMBER(INDEX(SPPR!$E:$Z,MATCH($A57,SPPR!$A:$A,0),19)),$C57*INDEX(SPPR!$E:$Z,MATCH($A57,SPPR!$A:$A,0),19),""),"")</f>
        <v/>
      </c>
      <c r="W57">
        <f>IFERROR(IF(ISNUMBER(INDEX(SPPR!$E:$Z,MATCH($A57,SPPR!$A:$A,0),20)),$C57*INDEX(SPPR!$E:$Z,MATCH($A57,SPPR!$A:$A,0),20),""),"")</f>
        <v/>
      </c>
      <c r="X57">
        <f>IFERROR(IF(ISNUMBER(INDEX(SPPR!$E:$Z,MATCH($A57,SPPR!$A:$A,0),21)),$C57*INDEX(SPPR!$E:$Z,MATCH($A57,SPPR!$A:$A,0),21),""),"")</f>
        <v/>
      </c>
      <c r="Y57">
        <f>IFERROR(IF(ISNUMBER(INDEX(SPPR!$E:$Z,MATCH($A57,SPPR!$A:$A,0),22)),$C57*INDEX(SPPR!$E:$Z,MATCH($A57,SPPR!$A:$A,0),22),""),"")</f>
        <v/>
      </c>
    </row>
    <row r="58">
      <c r="A58" t="inlineStr">
        <is>
          <t>Pterotolithus maculatus</t>
        </is>
      </c>
      <c r="B58">
        <f>IFERROR(INDEX(SPPR!$D:$D,MATCH($A58,SPPR!$A:$A,0)),"")</f>
        <v/>
      </c>
      <c r="C58">
        <f>IFERROR(INDEX(Catch!$E:$BV,MATCH($A58,Catch!$A:$A,0),MATCH($B$4,Catch!$E$1:$BV$1,0)),0)</f>
        <v/>
      </c>
      <c r="D58">
        <f>IFERROR(IF(ISNUMBER(INDEX(SPPR!$E:$Z,MATCH($A58,SPPR!$A:$A,0),1)),$C58*INDEX(SPPR!$E:$Z,MATCH($A58,SPPR!$A:$A,0),1),""),"")</f>
        <v/>
      </c>
      <c r="E58">
        <f>IFERROR(IF(ISNUMBER(INDEX(SPPR!$E:$Z,MATCH($A58,SPPR!$A:$A,0),2)),$C58*INDEX(SPPR!$E:$Z,MATCH($A58,SPPR!$A:$A,0),2),""),"")</f>
        <v/>
      </c>
      <c r="F58">
        <f>IFERROR(IF(ISNUMBER(INDEX(SPPR!$E:$Z,MATCH($A58,SPPR!$A:$A,0),3)),$C58*INDEX(SPPR!$E:$Z,MATCH($A58,SPPR!$A:$A,0),3),""),"")</f>
        <v/>
      </c>
      <c r="G58">
        <f>IFERROR(IF(ISNUMBER(INDEX(SPPR!$E:$Z,MATCH($A58,SPPR!$A:$A,0),4)),$C58*INDEX(SPPR!$E:$Z,MATCH($A58,SPPR!$A:$A,0),4),""),"")</f>
        <v/>
      </c>
      <c r="H58">
        <f>IFERROR(IF(ISNUMBER(INDEX(SPPR!$E:$Z,MATCH($A58,SPPR!$A:$A,0),5)),$C58*INDEX(SPPR!$E:$Z,MATCH($A58,SPPR!$A:$A,0),5),""),"")</f>
        <v/>
      </c>
      <c r="I58">
        <f>IFERROR(IF(ISNUMBER(INDEX(SPPR!$E:$Z,MATCH($A58,SPPR!$A:$A,0),6)),$C58*INDEX(SPPR!$E:$Z,MATCH($A58,SPPR!$A:$A,0),6),""),"")</f>
        <v/>
      </c>
      <c r="J58">
        <f>IFERROR(IF(ISNUMBER(INDEX(SPPR!$E:$Z,MATCH($A58,SPPR!$A:$A,0),7)),$C58*INDEX(SPPR!$E:$Z,MATCH($A58,SPPR!$A:$A,0),7),""),"")</f>
        <v/>
      </c>
      <c r="K58">
        <f>IFERROR(IF(ISNUMBER(INDEX(SPPR!$E:$Z,MATCH($A58,SPPR!$A:$A,0),8)),$C58*INDEX(SPPR!$E:$Z,MATCH($A58,SPPR!$A:$A,0),8),""),"")</f>
        <v/>
      </c>
      <c r="L58">
        <f>IFERROR(IF(ISNUMBER(INDEX(SPPR!$E:$Z,MATCH($A58,SPPR!$A:$A,0),9)),$C58*INDEX(SPPR!$E:$Z,MATCH($A58,SPPR!$A:$A,0),9),""),"")</f>
        <v/>
      </c>
      <c r="M58">
        <f>IFERROR(IF(ISNUMBER(INDEX(SPPR!$E:$Z,MATCH($A58,SPPR!$A:$A,0),10)),$C58*INDEX(SPPR!$E:$Z,MATCH($A58,SPPR!$A:$A,0),10),""),"")</f>
        <v/>
      </c>
      <c r="N58">
        <f>IFERROR(IF(ISNUMBER(INDEX(SPPR!$E:$Z,MATCH($A58,SPPR!$A:$A,0),11)),$C58*INDEX(SPPR!$E:$Z,MATCH($A58,SPPR!$A:$A,0),11),""),"")</f>
        <v/>
      </c>
      <c r="O58">
        <f>IFERROR(IF(ISNUMBER(INDEX(SPPR!$E:$Z,MATCH($A58,SPPR!$A:$A,0),12)),$C58*INDEX(SPPR!$E:$Z,MATCH($A58,SPPR!$A:$A,0),12),""),"")</f>
        <v/>
      </c>
      <c r="P58">
        <f>IFERROR(IF(ISNUMBER(INDEX(SPPR!$E:$Z,MATCH($A58,SPPR!$A:$A,0),13)),$C58*INDEX(SPPR!$E:$Z,MATCH($A58,SPPR!$A:$A,0),13),""),"")</f>
        <v/>
      </c>
      <c r="Q58">
        <f>IFERROR(IF(ISNUMBER(INDEX(SPPR!$E:$Z,MATCH($A58,SPPR!$A:$A,0),14)),$C58*INDEX(SPPR!$E:$Z,MATCH($A58,SPPR!$A:$A,0),14),""),"")</f>
        <v/>
      </c>
      <c r="R58">
        <f>IFERROR(IF(ISNUMBER(INDEX(SPPR!$E:$Z,MATCH($A58,SPPR!$A:$A,0),15)),$C58*INDEX(SPPR!$E:$Z,MATCH($A58,SPPR!$A:$A,0),15),""),"")</f>
        <v/>
      </c>
      <c r="S58">
        <f>IFERROR(IF(ISNUMBER(INDEX(SPPR!$E:$Z,MATCH($A58,SPPR!$A:$A,0),16)),$C58*INDEX(SPPR!$E:$Z,MATCH($A58,SPPR!$A:$A,0),16),""),"")</f>
        <v/>
      </c>
      <c r="T58">
        <f>IFERROR(IF(ISNUMBER(INDEX(SPPR!$E:$Z,MATCH($A58,SPPR!$A:$A,0),17)),$C58*INDEX(SPPR!$E:$Z,MATCH($A58,SPPR!$A:$A,0),17),""),"")</f>
        <v/>
      </c>
      <c r="U58">
        <f>IFERROR(IF(ISNUMBER(INDEX(SPPR!$E:$Z,MATCH($A58,SPPR!$A:$A,0),18)),$C58*INDEX(SPPR!$E:$Z,MATCH($A58,SPPR!$A:$A,0),18),""),"")</f>
        <v/>
      </c>
      <c r="V58">
        <f>IFERROR(IF(ISNUMBER(INDEX(SPPR!$E:$Z,MATCH($A58,SPPR!$A:$A,0),19)),$C58*INDEX(SPPR!$E:$Z,MATCH($A58,SPPR!$A:$A,0),19),""),"")</f>
        <v/>
      </c>
      <c r="W58">
        <f>IFERROR(IF(ISNUMBER(INDEX(SPPR!$E:$Z,MATCH($A58,SPPR!$A:$A,0),20)),$C58*INDEX(SPPR!$E:$Z,MATCH($A58,SPPR!$A:$A,0),20),""),"")</f>
        <v/>
      </c>
      <c r="X58">
        <f>IFERROR(IF(ISNUMBER(INDEX(SPPR!$E:$Z,MATCH($A58,SPPR!$A:$A,0),21)),$C58*INDEX(SPPR!$E:$Z,MATCH($A58,SPPR!$A:$A,0),21),""),"")</f>
        <v/>
      </c>
      <c r="Y58">
        <f>IFERROR(IF(ISNUMBER(INDEX(SPPR!$E:$Z,MATCH($A58,SPPR!$A:$A,0),22)),$C58*INDEX(SPPR!$E:$Z,MATCH($A58,SPPR!$A:$A,0),22),""),"")</f>
        <v/>
      </c>
    </row>
    <row r="59">
      <c r="A59" t="inlineStr">
        <is>
          <t>Rastrelliger brachysoma</t>
        </is>
      </c>
      <c r="B59">
        <f>IFERROR(INDEX(SPPR!$D:$D,MATCH($A59,SPPR!$A:$A,0)),"")</f>
        <v/>
      </c>
      <c r="C59">
        <f>IFERROR(INDEX(Catch!$E:$BV,MATCH($A59,Catch!$A:$A,0),MATCH($B$4,Catch!$E$1:$BV$1,0)),0)</f>
        <v/>
      </c>
      <c r="D59">
        <f>IFERROR(IF(ISNUMBER(INDEX(SPPR!$E:$Z,MATCH($A59,SPPR!$A:$A,0),1)),$C59*INDEX(SPPR!$E:$Z,MATCH($A59,SPPR!$A:$A,0),1),""),"")</f>
        <v/>
      </c>
      <c r="E59">
        <f>IFERROR(IF(ISNUMBER(INDEX(SPPR!$E:$Z,MATCH($A59,SPPR!$A:$A,0),2)),$C59*INDEX(SPPR!$E:$Z,MATCH($A59,SPPR!$A:$A,0),2),""),"")</f>
        <v/>
      </c>
      <c r="F59">
        <f>IFERROR(IF(ISNUMBER(INDEX(SPPR!$E:$Z,MATCH($A59,SPPR!$A:$A,0),3)),$C59*INDEX(SPPR!$E:$Z,MATCH($A59,SPPR!$A:$A,0),3),""),"")</f>
        <v/>
      </c>
      <c r="G59">
        <f>IFERROR(IF(ISNUMBER(INDEX(SPPR!$E:$Z,MATCH($A59,SPPR!$A:$A,0),4)),$C59*INDEX(SPPR!$E:$Z,MATCH($A59,SPPR!$A:$A,0),4),""),"")</f>
        <v/>
      </c>
      <c r="H59">
        <f>IFERROR(IF(ISNUMBER(INDEX(SPPR!$E:$Z,MATCH($A59,SPPR!$A:$A,0),5)),$C59*INDEX(SPPR!$E:$Z,MATCH($A59,SPPR!$A:$A,0),5),""),"")</f>
        <v/>
      </c>
      <c r="I59">
        <f>IFERROR(IF(ISNUMBER(INDEX(SPPR!$E:$Z,MATCH($A59,SPPR!$A:$A,0),6)),$C59*INDEX(SPPR!$E:$Z,MATCH($A59,SPPR!$A:$A,0),6),""),"")</f>
        <v/>
      </c>
      <c r="J59">
        <f>IFERROR(IF(ISNUMBER(INDEX(SPPR!$E:$Z,MATCH($A59,SPPR!$A:$A,0),7)),$C59*INDEX(SPPR!$E:$Z,MATCH($A59,SPPR!$A:$A,0),7),""),"")</f>
        <v/>
      </c>
      <c r="K59">
        <f>IFERROR(IF(ISNUMBER(INDEX(SPPR!$E:$Z,MATCH($A59,SPPR!$A:$A,0),8)),$C59*INDEX(SPPR!$E:$Z,MATCH($A59,SPPR!$A:$A,0),8),""),"")</f>
        <v/>
      </c>
      <c r="L59">
        <f>IFERROR(IF(ISNUMBER(INDEX(SPPR!$E:$Z,MATCH($A59,SPPR!$A:$A,0),9)),$C59*INDEX(SPPR!$E:$Z,MATCH($A59,SPPR!$A:$A,0),9),""),"")</f>
        <v/>
      </c>
      <c r="M59">
        <f>IFERROR(IF(ISNUMBER(INDEX(SPPR!$E:$Z,MATCH($A59,SPPR!$A:$A,0),10)),$C59*INDEX(SPPR!$E:$Z,MATCH($A59,SPPR!$A:$A,0),10),""),"")</f>
        <v/>
      </c>
      <c r="N59">
        <f>IFERROR(IF(ISNUMBER(INDEX(SPPR!$E:$Z,MATCH($A59,SPPR!$A:$A,0),11)),$C59*INDEX(SPPR!$E:$Z,MATCH($A59,SPPR!$A:$A,0),11),""),"")</f>
        <v/>
      </c>
      <c r="O59">
        <f>IFERROR(IF(ISNUMBER(INDEX(SPPR!$E:$Z,MATCH($A59,SPPR!$A:$A,0),12)),$C59*INDEX(SPPR!$E:$Z,MATCH($A59,SPPR!$A:$A,0),12),""),"")</f>
        <v/>
      </c>
      <c r="P59">
        <f>IFERROR(IF(ISNUMBER(INDEX(SPPR!$E:$Z,MATCH($A59,SPPR!$A:$A,0),13)),$C59*INDEX(SPPR!$E:$Z,MATCH($A59,SPPR!$A:$A,0),13),""),"")</f>
        <v/>
      </c>
      <c r="Q59">
        <f>IFERROR(IF(ISNUMBER(INDEX(SPPR!$E:$Z,MATCH($A59,SPPR!$A:$A,0),14)),$C59*INDEX(SPPR!$E:$Z,MATCH($A59,SPPR!$A:$A,0),14),""),"")</f>
        <v/>
      </c>
      <c r="R59">
        <f>IFERROR(IF(ISNUMBER(INDEX(SPPR!$E:$Z,MATCH($A59,SPPR!$A:$A,0),15)),$C59*INDEX(SPPR!$E:$Z,MATCH($A59,SPPR!$A:$A,0),15),""),"")</f>
        <v/>
      </c>
      <c r="S59">
        <f>IFERROR(IF(ISNUMBER(INDEX(SPPR!$E:$Z,MATCH($A59,SPPR!$A:$A,0),16)),$C59*INDEX(SPPR!$E:$Z,MATCH($A59,SPPR!$A:$A,0),16),""),"")</f>
        <v/>
      </c>
      <c r="T59">
        <f>IFERROR(IF(ISNUMBER(INDEX(SPPR!$E:$Z,MATCH($A59,SPPR!$A:$A,0),17)),$C59*INDEX(SPPR!$E:$Z,MATCH($A59,SPPR!$A:$A,0),17),""),"")</f>
        <v/>
      </c>
      <c r="U59">
        <f>IFERROR(IF(ISNUMBER(INDEX(SPPR!$E:$Z,MATCH($A59,SPPR!$A:$A,0),18)),$C59*INDEX(SPPR!$E:$Z,MATCH($A59,SPPR!$A:$A,0),18),""),"")</f>
        <v/>
      </c>
      <c r="V59">
        <f>IFERROR(IF(ISNUMBER(INDEX(SPPR!$E:$Z,MATCH($A59,SPPR!$A:$A,0),19)),$C59*INDEX(SPPR!$E:$Z,MATCH($A59,SPPR!$A:$A,0),19),""),"")</f>
        <v/>
      </c>
      <c r="W59">
        <f>IFERROR(IF(ISNUMBER(INDEX(SPPR!$E:$Z,MATCH($A59,SPPR!$A:$A,0),20)),$C59*INDEX(SPPR!$E:$Z,MATCH($A59,SPPR!$A:$A,0),20),""),"")</f>
        <v/>
      </c>
      <c r="X59">
        <f>IFERROR(IF(ISNUMBER(INDEX(SPPR!$E:$Z,MATCH($A59,SPPR!$A:$A,0),21)),$C59*INDEX(SPPR!$E:$Z,MATCH($A59,SPPR!$A:$A,0),21),""),"")</f>
        <v/>
      </c>
      <c r="Y59">
        <f>IFERROR(IF(ISNUMBER(INDEX(SPPR!$E:$Z,MATCH($A59,SPPR!$A:$A,0),22)),$C59*INDEX(SPPR!$E:$Z,MATCH($A59,SPPR!$A:$A,0),22),""),"")</f>
        <v/>
      </c>
    </row>
    <row r="60">
      <c r="A60" t="inlineStr">
        <is>
          <t>Polynemidae</t>
        </is>
      </c>
      <c r="B60">
        <f>IFERROR(INDEX(SPPR!$D:$D,MATCH($A60,SPPR!$A:$A,0)),"")</f>
        <v/>
      </c>
      <c r="C60">
        <f>IFERROR(INDEX(Catch!$E:$BV,MATCH($A60,Catch!$A:$A,0),MATCH($B$4,Catch!$E$1:$BV$1,0)),0)</f>
        <v/>
      </c>
      <c r="D60">
        <f>IFERROR(IF(ISNUMBER(INDEX(SPPR!$E:$Z,MATCH($A60,SPPR!$A:$A,0),1)),$C60*INDEX(SPPR!$E:$Z,MATCH($A60,SPPR!$A:$A,0),1),""),"")</f>
        <v/>
      </c>
      <c r="E60">
        <f>IFERROR(IF(ISNUMBER(INDEX(SPPR!$E:$Z,MATCH($A60,SPPR!$A:$A,0),2)),$C60*INDEX(SPPR!$E:$Z,MATCH($A60,SPPR!$A:$A,0),2),""),"")</f>
        <v/>
      </c>
      <c r="F60">
        <f>IFERROR(IF(ISNUMBER(INDEX(SPPR!$E:$Z,MATCH($A60,SPPR!$A:$A,0),3)),$C60*INDEX(SPPR!$E:$Z,MATCH($A60,SPPR!$A:$A,0),3),""),"")</f>
        <v/>
      </c>
      <c r="G60">
        <f>IFERROR(IF(ISNUMBER(INDEX(SPPR!$E:$Z,MATCH($A60,SPPR!$A:$A,0),4)),$C60*INDEX(SPPR!$E:$Z,MATCH($A60,SPPR!$A:$A,0),4),""),"")</f>
        <v/>
      </c>
      <c r="H60">
        <f>IFERROR(IF(ISNUMBER(INDEX(SPPR!$E:$Z,MATCH($A60,SPPR!$A:$A,0),5)),$C60*INDEX(SPPR!$E:$Z,MATCH($A60,SPPR!$A:$A,0),5),""),"")</f>
        <v/>
      </c>
      <c r="I60">
        <f>IFERROR(IF(ISNUMBER(INDEX(SPPR!$E:$Z,MATCH($A60,SPPR!$A:$A,0),6)),$C60*INDEX(SPPR!$E:$Z,MATCH($A60,SPPR!$A:$A,0),6),""),"")</f>
        <v/>
      </c>
      <c r="J60">
        <f>IFERROR(IF(ISNUMBER(INDEX(SPPR!$E:$Z,MATCH($A60,SPPR!$A:$A,0),7)),$C60*INDEX(SPPR!$E:$Z,MATCH($A60,SPPR!$A:$A,0),7),""),"")</f>
        <v/>
      </c>
      <c r="K60">
        <f>IFERROR(IF(ISNUMBER(INDEX(SPPR!$E:$Z,MATCH($A60,SPPR!$A:$A,0),8)),$C60*INDEX(SPPR!$E:$Z,MATCH($A60,SPPR!$A:$A,0),8),""),"")</f>
        <v/>
      </c>
      <c r="L60">
        <f>IFERROR(IF(ISNUMBER(INDEX(SPPR!$E:$Z,MATCH($A60,SPPR!$A:$A,0),9)),$C60*INDEX(SPPR!$E:$Z,MATCH($A60,SPPR!$A:$A,0),9),""),"")</f>
        <v/>
      </c>
      <c r="M60">
        <f>IFERROR(IF(ISNUMBER(INDEX(SPPR!$E:$Z,MATCH($A60,SPPR!$A:$A,0),10)),$C60*INDEX(SPPR!$E:$Z,MATCH($A60,SPPR!$A:$A,0),10),""),"")</f>
        <v/>
      </c>
      <c r="N60">
        <f>IFERROR(IF(ISNUMBER(INDEX(SPPR!$E:$Z,MATCH($A60,SPPR!$A:$A,0),11)),$C60*INDEX(SPPR!$E:$Z,MATCH($A60,SPPR!$A:$A,0),11),""),"")</f>
        <v/>
      </c>
      <c r="O60">
        <f>IFERROR(IF(ISNUMBER(INDEX(SPPR!$E:$Z,MATCH($A60,SPPR!$A:$A,0),12)),$C60*INDEX(SPPR!$E:$Z,MATCH($A60,SPPR!$A:$A,0),12),""),"")</f>
        <v/>
      </c>
      <c r="P60">
        <f>IFERROR(IF(ISNUMBER(INDEX(SPPR!$E:$Z,MATCH($A60,SPPR!$A:$A,0),13)),$C60*INDEX(SPPR!$E:$Z,MATCH($A60,SPPR!$A:$A,0),13),""),"")</f>
        <v/>
      </c>
      <c r="Q60">
        <f>IFERROR(IF(ISNUMBER(INDEX(SPPR!$E:$Z,MATCH($A60,SPPR!$A:$A,0),14)),$C60*INDEX(SPPR!$E:$Z,MATCH($A60,SPPR!$A:$A,0),14),""),"")</f>
        <v/>
      </c>
      <c r="R60">
        <f>IFERROR(IF(ISNUMBER(INDEX(SPPR!$E:$Z,MATCH($A60,SPPR!$A:$A,0),15)),$C60*INDEX(SPPR!$E:$Z,MATCH($A60,SPPR!$A:$A,0),15),""),"")</f>
        <v/>
      </c>
      <c r="S60">
        <f>IFERROR(IF(ISNUMBER(INDEX(SPPR!$E:$Z,MATCH($A60,SPPR!$A:$A,0),16)),$C60*INDEX(SPPR!$E:$Z,MATCH($A60,SPPR!$A:$A,0),16),""),"")</f>
        <v/>
      </c>
      <c r="T60">
        <f>IFERROR(IF(ISNUMBER(INDEX(SPPR!$E:$Z,MATCH($A60,SPPR!$A:$A,0),17)),$C60*INDEX(SPPR!$E:$Z,MATCH($A60,SPPR!$A:$A,0),17),""),"")</f>
        <v/>
      </c>
      <c r="U60">
        <f>IFERROR(IF(ISNUMBER(INDEX(SPPR!$E:$Z,MATCH($A60,SPPR!$A:$A,0),18)),$C60*INDEX(SPPR!$E:$Z,MATCH($A60,SPPR!$A:$A,0),18),""),"")</f>
        <v/>
      </c>
      <c r="V60">
        <f>IFERROR(IF(ISNUMBER(INDEX(SPPR!$E:$Z,MATCH($A60,SPPR!$A:$A,0),19)),$C60*INDEX(SPPR!$E:$Z,MATCH($A60,SPPR!$A:$A,0),19),""),"")</f>
        <v/>
      </c>
      <c r="W60">
        <f>IFERROR(IF(ISNUMBER(INDEX(SPPR!$E:$Z,MATCH($A60,SPPR!$A:$A,0),20)),$C60*INDEX(SPPR!$E:$Z,MATCH($A60,SPPR!$A:$A,0),20),""),"")</f>
        <v/>
      </c>
      <c r="X60">
        <f>IFERROR(IF(ISNUMBER(INDEX(SPPR!$E:$Z,MATCH($A60,SPPR!$A:$A,0),21)),$C60*INDEX(SPPR!$E:$Z,MATCH($A60,SPPR!$A:$A,0),21),""),"")</f>
        <v/>
      </c>
      <c r="Y60">
        <f>IFERROR(IF(ISNUMBER(INDEX(SPPR!$E:$Z,MATCH($A60,SPPR!$A:$A,0),22)),$C60*INDEX(SPPR!$E:$Z,MATCH($A60,SPPR!$A:$A,0),22),""),"")</f>
        <v/>
      </c>
    </row>
    <row r="61">
      <c r="A61" t="inlineStr">
        <is>
          <t>Thunnus albacares</t>
        </is>
      </c>
      <c r="B61">
        <f>IFERROR(INDEX(SPPR!$D:$D,MATCH($A61,SPPR!$A:$A,0)),"")</f>
        <v/>
      </c>
      <c r="C61">
        <f>IFERROR(INDEX(Catch!$E:$BV,MATCH($A61,Catch!$A:$A,0),MATCH($B$4,Catch!$E$1:$BV$1,0)),0)</f>
        <v/>
      </c>
      <c r="D61">
        <f>IFERROR(IF(ISNUMBER(INDEX(SPPR!$E:$Z,MATCH($A61,SPPR!$A:$A,0),1)),$C61*INDEX(SPPR!$E:$Z,MATCH($A61,SPPR!$A:$A,0),1),""),"")</f>
        <v/>
      </c>
      <c r="E61">
        <f>IFERROR(IF(ISNUMBER(INDEX(SPPR!$E:$Z,MATCH($A61,SPPR!$A:$A,0),2)),$C61*INDEX(SPPR!$E:$Z,MATCH($A61,SPPR!$A:$A,0),2),""),"")</f>
        <v/>
      </c>
      <c r="F61">
        <f>IFERROR(IF(ISNUMBER(INDEX(SPPR!$E:$Z,MATCH($A61,SPPR!$A:$A,0),3)),$C61*INDEX(SPPR!$E:$Z,MATCH($A61,SPPR!$A:$A,0),3),""),"")</f>
        <v/>
      </c>
      <c r="G61">
        <f>IFERROR(IF(ISNUMBER(INDEX(SPPR!$E:$Z,MATCH($A61,SPPR!$A:$A,0),4)),$C61*INDEX(SPPR!$E:$Z,MATCH($A61,SPPR!$A:$A,0),4),""),"")</f>
        <v/>
      </c>
      <c r="H61">
        <f>IFERROR(IF(ISNUMBER(INDEX(SPPR!$E:$Z,MATCH($A61,SPPR!$A:$A,0),5)),$C61*INDEX(SPPR!$E:$Z,MATCH($A61,SPPR!$A:$A,0),5),""),"")</f>
        <v/>
      </c>
      <c r="I61">
        <f>IFERROR(IF(ISNUMBER(INDEX(SPPR!$E:$Z,MATCH($A61,SPPR!$A:$A,0),6)),$C61*INDEX(SPPR!$E:$Z,MATCH($A61,SPPR!$A:$A,0),6),""),"")</f>
        <v/>
      </c>
      <c r="J61">
        <f>IFERROR(IF(ISNUMBER(INDEX(SPPR!$E:$Z,MATCH($A61,SPPR!$A:$A,0),7)),$C61*INDEX(SPPR!$E:$Z,MATCH($A61,SPPR!$A:$A,0),7),""),"")</f>
        <v/>
      </c>
      <c r="K61">
        <f>IFERROR(IF(ISNUMBER(INDEX(SPPR!$E:$Z,MATCH($A61,SPPR!$A:$A,0),8)),$C61*INDEX(SPPR!$E:$Z,MATCH($A61,SPPR!$A:$A,0),8),""),"")</f>
        <v/>
      </c>
      <c r="L61">
        <f>IFERROR(IF(ISNUMBER(INDEX(SPPR!$E:$Z,MATCH($A61,SPPR!$A:$A,0),9)),$C61*INDEX(SPPR!$E:$Z,MATCH($A61,SPPR!$A:$A,0),9),""),"")</f>
        <v/>
      </c>
      <c r="M61">
        <f>IFERROR(IF(ISNUMBER(INDEX(SPPR!$E:$Z,MATCH($A61,SPPR!$A:$A,0),10)),$C61*INDEX(SPPR!$E:$Z,MATCH($A61,SPPR!$A:$A,0),10),""),"")</f>
        <v/>
      </c>
      <c r="N61">
        <f>IFERROR(IF(ISNUMBER(INDEX(SPPR!$E:$Z,MATCH($A61,SPPR!$A:$A,0),11)),$C61*INDEX(SPPR!$E:$Z,MATCH($A61,SPPR!$A:$A,0),11),""),"")</f>
        <v/>
      </c>
      <c r="O61">
        <f>IFERROR(IF(ISNUMBER(INDEX(SPPR!$E:$Z,MATCH($A61,SPPR!$A:$A,0),12)),$C61*INDEX(SPPR!$E:$Z,MATCH($A61,SPPR!$A:$A,0),12),""),"")</f>
        <v/>
      </c>
      <c r="P61">
        <f>IFERROR(IF(ISNUMBER(INDEX(SPPR!$E:$Z,MATCH($A61,SPPR!$A:$A,0),13)),$C61*INDEX(SPPR!$E:$Z,MATCH($A61,SPPR!$A:$A,0),13),""),"")</f>
        <v/>
      </c>
      <c r="Q61">
        <f>IFERROR(IF(ISNUMBER(INDEX(SPPR!$E:$Z,MATCH($A61,SPPR!$A:$A,0),14)),$C61*INDEX(SPPR!$E:$Z,MATCH($A61,SPPR!$A:$A,0),14),""),"")</f>
        <v/>
      </c>
      <c r="R61">
        <f>IFERROR(IF(ISNUMBER(INDEX(SPPR!$E:$Z,MATCH($A61,SPPR!$A:$A,0),15)),$C61*INDEX(SPPR!$E:$Z,MATCH($A61,SPPR!$A:$A,0),15),""),"")</f>
        <v/>
      </c>
      <c r="S61">
        <f>IFERROR(IF(ISNUMBER(INDEX(SPPR!$E:$Z,MATCH($A61,SPPR!$A:$A,0),16)),$C61*INDEX(SPPR!$E:$Z,MATCH($A61,SPPR!$A:$A,0),16),""),"")</f>
        <v/>
      </c>
      <c r="T61">
        <f>IFERROR(IF(ISNUMBER(INDEX(SPPR!$E:$Z,MATCH($A61,SPPR!$A:$A,0),17)),$C61*INDEX(SPPR!$E:$Z,MATCH($A61,SPPR!$A:$A,0),17),""),"")</f>
        <v/>
      </c>
      <c r="U61">
        <f>IFERROR(IF(ISNUMBER(INDEX(SPPR!$E:$Z,MATCH($A61,SPPR!$A:$A,0),18)),$C61*INDEX(SPPR!$E:$Z,MATCH($A61,SPPR!$A:$A,0),18),""),"")</f>
        <v/>
      </c>
      <c r="V61">
        <f>IFERROR(IF(ISNUMBER(INDEX(SPPR!$E:$Z,MATCH($A61,SPPR!$A:$A,0),19)),$C61*INDEX(SPPR!$E:$Z,MATCH($A61,SPPR!$A:$A,0),19),""),"")</f>
        <v/>
      </c>
      <c r="W61">
        <f>IFERROR(IF(ISNUMBER(INDEX(SPPR!$E:$Z,MATCH($A61,SPPR!$A:$A,0),20)),$C61*INDEX(SPPR!$E:$Z,MATCH($A61,SPPR!$A:$A,0),20),""),"")</f>
        <v/>
      </c>
      <c r="X61">
        <f>IFERROR(IF(ISNUMBER(INDEX(SPPR!$E:$Z,MATCH($A61,SPPR!$A:$A,0),21)),$C61*INDEX(SPPR!$E:$Z,MATCH($A61,SPPR!$A:$A,0),21),""),"")</f>
        <v/>
      </c>
      <c r="Y61">
        <f>IFERROR(IF(ISNUMBER(INDEX(SPPR!$E:$Z,MATCH($A61,SPPR!$A:$A,0),22)),$C61*INDEX(SPPR!$E:$Z,MATCH($A61,SPPR!$A:$A,0),22),""),"")</f>
        <v/>
      </c>
    </row>
    <row r="62">
      <c r="A62" t="inlineStr">
        <is>
          <t>Mullidae</t>
        </is>
      </c>
      <c r="B62">
        <f>IFERROR(INDEX(SPPR!$D:$D,MATCH($A62,SPPR!$A:$A,0)),"")</f>
        <v/>
      </c>
      <c r="C62">
        <f>IFERROR(INDEX(Catch!$E:$BV,MATCH($A62,Catch!$A:$A,0),MATCH($B$4,Catch!$E$1:$BV$1,0)),0)</f>
        <v/>
      </c>
      <c r="D62">
        <f>IFERROR(IF(ISNUMBER(INDEX(SPPR!$E:$Z,MATCH($A62,SPPR!$A:$A,0),1)),$C62*INDEX(SPPR!$E:$Z,MATCH($A62,SPPR!$A:$A,0),1),""),"")</f>
        <v/>
      </c>
      <c r="E62">
        <f>IFERROR(IF(ISNUMBER(INDEX(SPPR!$E:$Z,MATCH($A62,SPPR!$A:$A,0),2)),$C62*INDEX(SPPR!$E:$Z,MATCH($A62,SPPR!$A:$A,0),2),""),"")</f>
        <v/>
      </c>
      <c r="F62">
        <f>IFERROR(IF(ISNUMBER(INDEX(SPPR!$E:$Z,MATCH($A62,SPPR!$A:$A,0),3)),$C62*INDEX(SPPR!$E:$Z,MATCH($A62,SPPR!$A:$A,0),3),""),"")</f>
        <v/>
      </c>
      <c r="G62">
        <f>IFERROR(IF(ISNUMBER(INDEX(SPPR!$E:$Z,MATCH($A62,SPPR!$A:$A,0),4)),$C62*INDEX(SPPR!$E:$Z,MATCH($A62,SPPR!$A:$A,0),4),""),"")</f>
        <v/>
      </c>
      <c r="H62">
        <f>IFERROR(IF(ISNUMBER(INDEX(SPPR!$E:$Z,MATCH($A62,SPPR!$A:$A,0),5)),$C62*INDEX(SPPR!$E:$Z,MATCH($A62,SPPR!$A:$A,0),5),""),"")</f>
        <v/>
      </c>
      <c r="I62">
        <f>IFERROR(IF(ISNUMBER(INDEX(SPPR!$E:$Z,MATCH($A62,SPPR!$A:$A,0),6)),$C62*INDEX(SPPR!$E:$Z,MATCH($A62,SPPR!$A:$A,0),6),""),"")</f>
        <v/>
      </c>
      <c r="J62">
        <f>IFERROR(IF(ISNUMBER(INDEX(SPPR!$E:$Z,MATCH($A62,SPPR!$A:$A,0),7)),$C62*INDEX(SPPR!$E:$Z,MATCH($A62,SPPR!$A:$A,0),7),""),"")</f>
        <v/>
      </c>
      <c r="K62">
        <f>IFERROR(IF(ISNUMBER(INDEX(SPPR!$E:$Z,MATCH($A62,SPPR!$A:$A,0),8)),$C62*INDEX(SPPR!$E:$Z,MATCH($A62,SPPR!$A:$A,0),8),""),"")</f>
        <v/>
      </c>
      <c r="L62">
        <f>IFERROR(IF(ISNUMBER(INDEX(SPPR!$E:$Z,MATCH($A62,SPPR!$A:$A,0),9)),$C62*INDEX(SPPR!$E:$Z,MATCH($A62,SPPR!$A:$A,0),9),""),"")</f>
        <v/>
      </c>
      <c r="M62">
        <f>IFERROR(IF(ISNUMBER(INDEX(SPPR!$E:$Z,MATCH($A62,SPPR!$A:$A,0),10)),$C62*INDEX(SPPR!$E:$Z,MATCH($A62,SPPR!$A:$A,0),10),""),"")</f>
        <v/>
      </c>
      <c r="N62">
        <f>IFERROR(IF(ISNUMBER(INDEX(SPPR!$E:$Z,MATCH($A62,SPPR!$A:$A,0),11)),$C62*INDEX(SPPR!$E:$Z,MATCH($A62,SPPR!$A:$A,0),11),""),"")</f>
        <v/>
      </c>
      <c r="O62">
        <f>IFERROR(IF(ISNUMBER(INDEX(SPPR!$E:$Z,MATCH($A62,SPPR!$A:$A,0),12)),$C62*INDEX(SPPR!$E:$Z,MATCH($A62,SPPR!$A:$A,0),12),""),"")</f>
        <v/>
      </c>
      <c r="P62">
        <f>IFERROR(IF(ISNUMBER(INDEX(SPPR!$E:$Z,MATCH($A62,SPPR!$A:$A,0),13)),$C62*INDEX(SPPR!$E:$Z,MATCH($A62,SPPR!$A:$A,0),13),""),"")</f>
        <v/>
      </c>
      <c r="Q62">
        <f>IFERROR(IF(ISNUMBER(INDEX(SPPR!$E:$Z,MATCH($A62,SPPR!$A:$A,0),14)),$C62*INDEX(SPPR!$E:$Z,MATCH($A62,SPPR!$A:$A,0),14),""),"")</f>
        <v/>
      </c>
      <c r="R62">
        <f>IFERROR(IF(ISNUMBER(INDEX(SPPR!$E:$Z,MATCH($A62,SPPR!$A:$A,0),15)),$C62*INDEX(SPPR!$E:$Z,MATCH($A62,SPPR!$A:$A,0),15),""),"")</f>
        <v/>
      </c>
      <c r="S62">
        <f>IFERROR(IF(ISNUMBER(INDEX(SPPR!$E:$Z,MATCH($A62,SPPR!$A:$A,0),16)),$C62*INDEX(SPPR!$E:$Z,MATCH($A62,SPPR!$A:$A,0),16),""),"")</f>
        <v/>
      </c>
      <c r="T62">
        <f>IFERROR(IF(ISNUMBER(INDEX(SPPR!$E:$Z,MATCH($A62,SPPR!$A:$A,0),17)),$C62*INDEX(SPPR!$E:$Z,MATCH($A62,SPPR!$A:$A,0),17),""),"")</f>
        <v/>
      </c>
      <c r="U62">
        <f>IFERROR(IF(ISNUMBER(INDEX(SPPR!$E:$Z,MATCH($A62,SPPR!$A:$A,0),18)),$C62*INDEX(SPPR!$E:$Z,MATCH($A62,SPPR!$A:$A,0),18),""),"")</f>
        <v/>
      </c>
      <c r="V62">
        <f>IFERROR(IF(ISNUMBER(INDEX(SPPR!$E:$Z,MATCH($A62,SPPR!$A:$A,0),19)),$C62*INDEX(SPPR!$E:$Z,MATCH($A62,SPPR!$A:$A,0),19),""),"")</f>
        <v/>
      </c>
      <c r="W62">
        <f>IFERROR(IF(ISNUMBER(INDEX(SPPR!$E:$Z,MATCH($A62,SPPR!$A:$A,0),20)),$C62*INDEX(SPPR!$E:$Z,MATCH($A62,SPPR!$A:$A,0),20),""),"")</f>
        <v/>
      </c>
      <c r="X62">
        <f>IFERROR(IF(ISNUMBER(INDEX(SPPR!$E:$Z,MATCH($A62,SPPR!$A:$A,0),21)),$C62*INDEX(SPPR!$E:$Z,MATCH($A62,SPPR!$A:$A,0),21),""),"")</f>
        <v/>
      </c>
      <c r="Y62">
        <f>IFERROR(IF(ISNUMBER(INDEX(SPPR!$E:$Z,MATCH($A62,SPPR!$A:$A,0),22)),$C62*INDEX(SPPR!$E:$Z,MATCH($A62,SPPR!$A:$A,0),22),""),"")</f>
        <v/>
      </c>
    </row>
    <row r="63">
      <c r="A63" t="inlineStr">
        <is>
          <t>Saurida tumbil</t>
        </is>
      </c>
      <c r="B63">
        <f>IFERROR(INDEX(SPPR!$D:$D,MATCH($A63,SPPR!$A:$A,0)),"")</f>
        <v/>
      </c>
      <c r="C63">
        <f>IFERROR(INDEX(Catch!$E:$BV,MATCH($A63,Catch!$A:$A,0),MATCH($B$4,Catch!$E$1:$BV$1,0)),0)</f>
        <v/>
      </c>
      <c r="D63">
        <f>IFERROR(IF(ISNUMBER(INDEX(SPPR!$E:$Z,MATCH($A63,SPPR!$A:$A,0),1)),$C63*INDEX(SPPR!$E:$Z,MATCH($A63,SPPR!$A:$A,0),1),""),"")</f>
        <v/>
      </c>
      <c r="E63">
        <f>IFERROR(IF(ISNUMBER(INDEX(SPPR!$E:$Z,MATCH($A63,SPPR!$A:$A,0),2)),$C63*INDEX(SPPR!$E:$Z,MATCH($A63,SPPR!$A:$A,0),2),""),"")</f>
        <v/>
      </c>
      <c r="F63">
        <f>IFERROR(IF(ISNUMBER(INDEX(SPPR!$E:$Z,MATCH($A63,SPPR!$A:$A,0),3)),$C63*INDEX(SPPR!$E:$Z,MATCH($A63,SPPR!$A:$A,0),3),""),"")</f>
        <v/>
      </c>
      <c r="G63">
        <f>IFERROR(IF(ISNUMBER(INDEX(SPPR!$E:$Z,MATCH($A63,SPPR!$A:$A,0),4)),$C63*INDEX(SPPR!$E:$Z,MATCH($A63,SPPR!$A:$A,0),4),""),"")</f>
        <v/>
      </c>
      <c r="H63">
        <f>IFERROR(IF(ISNUMBER(INDEX(SPPR!$E:$Z,MATCH($A63,SPPR!$A:$A,0),5)),$C63*INDEX(SPPR!$E:$Z,MATCH($A63,SPPR!$A:$A,0),5),""),"")</f>
        <v/>
      </c>
      <c r="I63">
        <f>IFERROR(IF(ISNUMBER(INDEX(SPPR!$E:$Z,MATCH($A63,SPPR!$A:$A,0),6)),$C63*INDEX(SPPR!$E:$Z,MATCH($A63,SPPR!$A:$A,0),6),""),"")</f>
        <v/>
      </c>
      <c r="J63">
        <f>IFERROR(IF(ISNUMBER(INDEX(SPPR!$E:$Z,MATCH($A63,SPPR!$A:$A,0),7)),$C63*INDEX(SPPR!$E:$Z,MATCH($A63,SPPR!$A:$A,0),7),""),"")</f>
        <v/>
      </c>
      <c r="K63">
        <f>IFERROR(IF(ISNUMBER(INDEX(SPPR!$E:$Z,MATCH($A63,SPPR!$A:$A,0),8)),$C63*INDEX(SPPR!$E:$Z,MATCH($A63,SPPR!$A:$A,0),8),""),"")</f>
        <v/>
      </c>
      <c r="L63">
        <f>IFERROR(IF(ISNUMBER(INDEX(SPPR!$E:$Z,MATCH($A63,SPPR!$A:$A,0),9)),$C63*INDEX(SPPR!$E:$Z,MATCH($A63,SPPR!$A:$A,0),9),""),"")</f>
        <v/>
      </c>
      <c r="M63">
        <f>IFERROR(IF(ISNUMBER(INDEX(SPPR!$E:$Z,MATCH($A63,SPPR!$A:$A,0),10)),$C63*INDEX(SPPR!$E:$Z,MATCH($A63,SPPR!$A:$A,0),10),""),"")</f>
        <v/>
      </c>
      <c r="N63">
        <f>IFERROR(IF(ISNUMBER(INDEX(SPPR!$E:$Z,MATCH($A63,SPPR!$A:$A,0),11)),$C63*INDEX(SPPR!$E:$Z,MATCH($A63,SPPR!$A:$A,0),11),""),"")</f>
        <v/>
      </c>
      <c r="O63">
        <f>IFERROR(IF(ISNUMBER(INDEX(SPPR!$E:$Z,MATCH($A63,SPPR!$A:$A,0),12)),$C63*INDEX(SPPR!$E:$Z,MATCH($A63,SPPR!$A:$A,0),12),""),"")</f>
        <v/>
      </c>
      <c r="P63">
        <f>IFERROR(IF(ISNUMBER(INDEX(SPPR!$E:$Z,MATCH($A63,SPPR!$A:$A,0),13)),$C63*INDEX(SPPR!$E:$Z,MATCH($A63,SPPR!$A:$A,0),13),""),"")</f>
        <v/>
      </c>
      <c r="Q63">
        <f>IFERROR(IF(ISNUMBER(INDEX(SPPR!$E:$Z,MATCH($A63,SPPR!$A:$A,0),14)),$C63*INDEX(SPPR!$E:$Z,MATCH($A63,SPPR!$A:$A,0),14),""),"")</f>
        <v/>
      </c>
      <c r="R63">
        <f>IFERROR(IF(ISNUMBER(INDEX(SPPR!$E:$Z,MATCH($A63,SPPR!$A:$A,0),15)),$C63*INDEX(SPPR!$E:$Z,MATCH($A63,SPPR!$A:$A,0),15),""),"")</f>
        <v/>
      </c>
      <c r="S63">
        <f>IFERROR(IF(ISNUMBER(INDEX(SPPR!$E:$Z,MATCH($A63,SPPR!$A:$A,0),16)),$C63*INDEX(SPPR!$E:$Z,MATCH($A63,SPPR!$A:$A,0),16),""),"")</f>
        <v/>
      </c>
      <c r="T63">
        <f>IFERROR(IF(ISNUMBER(INDEX(SPPR!$E:$Z,MATCH($A63,SPPR!$A:$A,0),17)),$C63*INDEX(SPPR!$E:$Z,MATCH($A63,SPPR!$A:$A,0),17),""),"")</f>
        <v/>
      </c>
      <c r="U63">
        <f>IFERROR(IF(ISNUMBER(INDEX(SPPR!$E:$Z,MATCH($A63,SPPR!$A:$A,0),18)),$C63*INDEX(SPPR!$E:$Z,MATCH($A63,SPPR!$A:$A,0),18),""),"")</f>
        <v/>
      </c>
      <c r="V63">
        <f>IFERROR(IF(ISNUMBER(INDEX(SPPR!$E:$Z,MATCH($A63,SPPR!$A:$A,0),19)),$C63*INDEX(SPPR!$E:$Z,MATCH($A63,SPPR!$A:$A,0),19),""),"")</f>
        <v/>
      </c>
      <c r="W63">
        <f>IFERROR(IF(ISNUMBER(INDEX(SPPR!$E:$Z,MATCH($A63,SPPR!$A:$A,0),20)),$C63*INDEX(SPPR!$E:$Z,MATCH($A63,SPPR!$A:$A,0),20),""),"")</f>
        <v/>
      </c>
      <c r="X63">
        <f>IFERROR(IF(ISNUMBER(INDEX(SPPR!$E:$Z,MATCH($A63,SPPR!$A:$A,0),21)),$C63*INDEX(SPPR!$E:$Z,MATCH($A63,SPPR!$A:$A,0),21),""),"")</f>
        <v/>
      </c>
      <c r="Y63">
        <f>IFERROR(IF(ISNUMBER(INDEX(SPPR!$E:$Z,MATCH($A63,SPPR!$A:$A,0),22)),$C63*INDEX(SPPR!$E:$Z,MATCH($A63,SPPR!$A:$A,0),22),""),"")</f>
        <v/>
      </c>
    </row>
    <row r="64">
      <c r="A64" t="inlineStr">
        <is>
          <t>Scomberomorus guttatus</t>
        </is>
      </c>
      <c r="B64">
        <f>IFERROR(INDEX(SPPR!$D:$D,MATCH($A64,SPPR!$A:$A,0)),"")</f>
        <v/>
      </c>
      <c r="C64">
        <f>IFERROR(INDEX(Catch!$E:$BV,MATCH($A64,Catch!$A:$A,0),MATCH($B$4,Catch!$E$1:$BV$1,0)),0)</f>
        <v/>
      </c>
      <c r="D64">
        <f>IFERROR(IF(ISNUMBER(INDEX(SPPR!$E:$Z,MATCH($A64,SPPR!$A:$A,0),1)),$C64*INDEX(SPPR!$E:$Z,MATCH($A64,SPPR!$A:$A,0),1),""),"")</f>
        <v/>
      </c>
      <c r="E64">
        <f>IFERROR(IF(ISNUMBER(INDEX(SPPR!$E:$Z,MATCH($A64,SPPR!$A:$A,0),2)),$C64*INDEX(SPPR!$E:$Z,MATCH($A64,SPPR!$A:$A,0),2),""),"")</f>
        <v/>
      </c>
      <c r="F64">
        <f>IFERROR(IF(ISNUMBER(INDEX(SPPR!$E:$Z,MATCH($A64,SPPR!$A:$A,0),3)),$C64*INDEX(SPPR!$E:$Z,MATCH($A64,SPPR!$A:$A,0),3),""),"")</f>
        <v/>
      </c>
      <c r="G64">
        <f>IFERROR(IF(ISNUMBER(INDEX(SPPR!$E:$Z,MATCH($A64,SPPR!$A:$A,0),4)),$C64*INDEX(SPPR!$E:$Z,MATCH($A64,SPPR!$A:$A,0),4),""),"")</f>
        <v/>
      </c>
      <c r="H64">
        <f>IFERROR(IF(ISNUMBER(INDEX(SPPR!$E:$Z,MATCH($A64,SPPR!$A:$A,0),5)),$C64*INDEX(SPPR!$E:$Z,MATCH($A64,SPPR!$A:$A,0),5),""),"")</f>
        <v/>
      </c>
      <c r="I64">
        <f>IFERROR(IF(ISNUMBER(INDEX(SPPR!$E:$Z,MATCH($A64,SPPR!$A:$A,0),6)),$C64*INDEX(SPPR!$E:$Z,MATCH($A64,SPPR!$A:$A,0),6),""),"")</f>
        <v/>
      </c>
      <c r="J64">
        <f>IFERROR(IF(ISNUMBER(INDEX(SPPR!$E:$Z,MATCH($A64,SPPR!$A:$A,0),7)),$C64*INDEX(SPPR!$E:$Z,MATCH($A64,SPPR!$A:$A,0),7),""),"")</f>
        <v/>
      </c>
      <c r="K64">
        <f>IFERROR(IF(ISNUMBER(INDEX(SPPR!$E:$Z,MATCH($A64,SPPR!$A:$A,0),8)),$C64*INDEX(SPPR!$E:$Z,MATCH($A64,SPPR!$A:$A,0),8),""),"")</f>
        <v/>
      </c>
      <c r="L64">
        <f>IFERROR(IF(ISNUMBER(INDEX(SPPR!$E:$Z,MATCH($A64,SPPR!$A:$A,0),9)),$C64*INDEX(SPPR!$E:$Z,MATCH($A64,SPPR!$A:$A,0),9),""),"")</f>
        <v/>
      </c>
      <c r="M64">
        <f>IFERROR(IF(ISNUMBER(INDEX(SPPR!$E:$Z,MATCH($A64,SPPR!$A:$A,0),10)),$C64*INDEX(SPPR!$E:$Z,MATCH($A64,SPPR!$A:$A,0),10),""),"")</f>
        <v/>
      </c>
      <c r="N64">
        <f>IFERROR(IF(ISNUMBER(INDEX(SPPR!$E:$Z,MATCH($A64,SPPR!$A:$A,0),11)),$C64*INDEX(SPPR!$E:$Z,MATCH($A64,SPPR!$A:$A,0),11),""),"")</f>
        <v/>
      </c>
      <c r="O64">
        <f>IFERROR(IF(ISNUMBER(INDEX(SPPR!$E:$Z,MATCH($A64,SPPR!$A:$A,0),12)),$C64*INDEX(SPPR!$E:$Z,MATCH($A64,SPPR!$A:$A,0),12),""),"")</f>
        <v/>
      </c>
      <c r="P64">
        <f>IFERROR(IF(ISNUMBER(INDEX(SPPR!$E:$Z,MATCH($A64,SPPR!$A:$A,0),13)),$C64*INDEX(SPPR!$E:$Z,MATCH($A64,SPPR!$A:$A,0),13),""),"")</f>
        <v/>
      </c>
      <c r="Q64">
        <f>IFERROR(IF(ISNUMBER(INDEX(SPPR!$E:$Z,MATCH($A64,SPPR!$A:$A,0),14)),$C64*INDEX(SPPR!$E:$Z,MATCH($A64,SPPR!$A:$A,0),14),""),"")</f>
        <v/>
      </c>
      <c r="R64">
        <f>IFERROR(IF(ISNUMBER(INDEX(SPPR!$E:$Z,MATCH($A64,SPPR!$A:$A,0),15)),$C64*INDEX(SPPR!$E:$Z,MATCH($A64,SPPR!$A:$A,0),15),""),"")</f>
        <v/>
      </c>
      <c r="S64">
        <f>IFERROR(IF(ISNUMBER(INDEX(SPPR!$E:$Z,MATCH($A64,SPPR!$A:$A,0),16)),$C64*INDEX(SPPR!$E:$Z,MATCH($A64,SPPR!$A:$A,0),16),""),"")</f>
        <v/>
      </c>
      <c r="T64">
        <f>IFERROR(IF(ISNUMBER(INDEX(SPPR!$E:$Z,MATCH($A64,SPPR!$A:$A,0),17)),$C64*INDEX(SPPR!$E:$Z,MATCH($A64,SPPR!$A:$A,0),17),""),"")</f>
        <v/>
      </c>
      <c r="U64">
        <f>IFERROR(IF(ISNUMBER(INDEX(SPPR!$E:$Z,MATCH($A64,SPPR!$A:$A,0),18)),$C64*INDEX(SPPR!$E:$Z,MATCH($A64,SPPR!$A:$A,0),18),""),"")</f>
        <v/>
      </c>
      <c r="V64">
        <f>IFERROR(IF(ISNUMBER(INDEX(SPPR!$E:$Z,MATCH($A64,SPPR!$A:$A,0),19)),$C64*INDEX(SPPR!$E:$Z,MATCH($A64,SPPR!$A:$A,0),19),""),"")</f>
        <v/>
      </c>
      <c r="W64">
        <f>IFERROR(IF(ISNUMBER(INDEX(SPPR!$E:$Z,MATCH($A64,SPPR!$A:$A,0),20)),$C64*INDEX(SPPR!$E:$Z,MATCH($A64,SPPR!$A:$A,0),20),""),"")</f>
        <v/>
      </c>
      <c r="X64">
        <f>IFERROR(IF(ISNUMBER(INDEX(SPPR!$E:$Z,MATCH($A64,SPPR!$A:$A,0),21)),$C64*INDEX(SPPR!$E:$Z,MATCH($A64,SPPR!$A:$A,0),21),""),"")</f>
        <v/>
      </c>
      <c r="Y64">
        <f>IFERROR(IF(ISNUMBER(INDEX(SPPR!$E:$Z,MATCH($A64,SPPR!$A:$A,0),22)),$C64*INDEX(SPPR!$E:$Z,MATCH($A64,SPPR!$A:$A,0),22),""),"")</f>
        <v/>
      </c>
    </row>
    <row r="65">
      <c r="A65" t="inlineStr">
        <is>
          <t>Priacanthus</t>
        </is>
      </c>
      <c r="B65">
        <f>IFERROR(INDEX(SPPR!$D:$D,MATCH($A65,SPPR!$A:$A,0)),"")</f>
        <v/>
      </c>
      <c r="C65">
        <f>IFERROR(INDEX(Catch!$E:$BV,MATCH($A65,Catch!$A:$A,0),MATCH($B$4,Catch!$E$1:$BV$1,0)),0)</f>
        <v/>
      </c>
      <c r="D65">
        <f>IFERROR(IF(ISNUMBER(INDEX(SPPR!$E:$Z,MATCH($A65,SPPR!$A:$A,0),1)),$C65*INDEX(SPPR!$E:$Z,MATCH($A65,SPPR!$A:$A,0),1),""),"")</f>
        <v/>
      </c>
      <c r="E65">
        <f>IFERROR(IF(ISNUMBER(INDEX(SPPR!$E:$Z,MATCH($A65,SPPR!$A:$A,0),2)),$C65*INDEX(SPPR!$E:$Z,MATCH($A65,SPPR!$A:$A,0),2),""),"")</f>
        <v/>
      </c>
      <c r="F65">
        <f>IFERROR(IF(ISNUMBER(INDEX(SPPR!$E:$Z,MATCH($A65,SPPR!$A:$A,0),3)),$C65*INDEX(SPPR!$E:$Z,MATCH($A65,SPPR!$A:$A,0),3),""),"")</f>
        <v/>
      </c>
      <c r="G65">
        <f>IFERROR(IF(ISNUMBER(INDEX(SPPR!$E:$Z,MATCH($A65,SPPR!$A:$A,0),4)),$C65*INDEX(SPPR!$E:$Z,MATCH($A65,SPPR!$A:$A,0),4),""),"")</f>
        <v/>
      </c>
      <c r="H65">
        <f>IFERROR(IF(ISNUMBER(INDEX(SPPR!$E:$Z,MATCH($A65,SPPR!$A:$A,0),5)),$C65*INDEX(SPPR!$E:$Z,MATCH($A65,SPPR!$A:$A,0),5),""),"")</f>
        <v/>
      </c>
      <c r="I65">
        <f>IFERROR(IF(ISNUMBER(INDEX(SPPR!$E:$Z,MATCH($A65,SPPR!$A:$A,0),6)),$C65*INDEX(SPPR!$E:$Z,MATCH($A65,SPPR!$A:$A,0),6),""),"")</f>
        <v/>
      </c>
      <c r="J65">
        <f>IFERROR(IF(ISNUMBER(INDEX(SPPR!$E:$Z,MATCH($A65,SPPR!$A:$A,0),7)),$C65*INDEX(SPPR!$E:$Z,MATCH($A65,SPPR!$A:$A,0),7),""),"")</f>
        <v/>
      </c>
      <c r="K65">
        <f>IFERROR(IF(ISNUMBER(INDEX(SPPR!$E:$Z,MATCH($A65,SPPR!$A:$A,0),8)),$C65*INDEX(SPPR!$E:$Z,MATCH($A65,SPPR!$A:$A,0),8),""),"")</f>
        <v/>
      </c>
      <c r="L65">
        <f>IFERROR(IF(ISNUMBER(INDEX(SPPR!$E:$Z,MATCH($A65,SPPR!$A:$A,0),9)),$C65*INDEX(SPPR!$E:$Z,MATCH($A65,SPPR!$A:$A,0),9),""),"")</f>
        <v/>
      </c>
      <c r="M65">
        <f>IFERROR(IF(ISNUMBER(INDEX(SPPR!$E:$Z,MATCH($A65,SPPR!$A:$A,0),10)),$C65*INDEX(SPPR!$E:$Z,MATCH($A65,SPPR!$A:$A,0),10),""),"")</f>
        <v/>
      </c>
      <c r="N65">
        <f>IFERROR(IF(ISNUMBER(INDEX(SPPR!$E:$Z,MATCH($A65,SPPR!$A:$A,0),11)),$C65*INDEX(SPPR!$E:$Z,MATCH($A65,SPPR!$A:$A,0),11),""),"")</f>
        <v/>
      </c>
      <c r="O65">
        <f>IFERROR(IF(ISNUMBER(INDEX(SPPR!$E:$Z,MATCH($A65,SPPR!$A:$A,0),12)),$C65*INDEX(SPPR!$E:$Z,MATCH($A65,SPPR!$A:$A,0),12),""),"")</f>
        <v/>
      </c>
      <c r="P65">
        <f>IFERROR(IF(ISNUMBER(INDEX(SPPR!$E:$Z,MATCH($A65,SPPR!$A:$A,0),13)),$C65*INDEX(SPPR!$E:$Z,MATCH($A65,SPPR!$A:$A,0),13),""),"")</f>
        <v/>
      </c>
      <c r="Q65">
        <f>IFERROR(IF(ISNUMBER(INDEX(SPPR!$E:$Z,MATCH($A65,SPPR!$A:$A,0),14)),$C65*INDEX(SPPR!$E:$Z,MATCH($A65,SPPR!$A:$A,0),14),""),"")</f>
        <v/>
      </c>
      <c r="R65">
        <f>IFERROR(IF(ISNUMBER(INDEX(SPPR!$E:$Z,MATCH($A65,SPPR!$A:$A,0),15)),$C65*INDEX(SPPR!$E:$Z,MATCH($A65,SPPR!$A:$A,0),15),""),"")</f>
        <v/>
      </c>
      <c r="S65">
        <f>IFERROR(IF(ISNUMBER(INDEX(SPPR!$E:$Z,MATCH($A65,SPPR!$A:$A,0),16)),$C65*INDEX(SPPR!$E:$Z,MATCH($A65,SPPR!$A:$A,0),16),""),"")</f>
        <v/>
      </c>
      <c r="T65">
        <f>IFERROR(IF(ISNUMBER(INDEX(SPPR!$E:$Z,MATCH($A65,SPPR!$A:$A,0),17)),$C65*INDEX(SPPR!$E:$Z,MATCH($A65,SPPR!$A:$A,0),17),""),"")</f>
        <v/>
      </c>
      <c r="U65">
        <f>IFERROR(IF(ISNUMBER(INDEX(SPPR!$E:$Z,MATCH($A65,SPPR!$A:$A,0),18)),$C65*INDEX(SPPR!$E:$Z,MATCH($A65,SPPR!$A:$A,0),18),""),"")</f>
        <v/>
      </c>
      <c r="V65">
        <f>IFERROR(IF(ISNUMBER(INDEX(SPPR!$E:$Z,MATCH($A65,SPPR!$A:$A,0),19)),$C65*INDEX(SPPR!$E:$Z,MATCH($A65,SPPR!$A:$A,0),19),""),"")</f>
        <v/>
      </c>
      <c r="W65">
        <f>IFERROR(IF(ISNUMBER(INDEX(SPPR!$E:$Z,MATCH($A65,SPPR!$A:$A,0),20)),$C65*INDEX(SPPR!$E:$Z,MATCH($A65,SPPR!$A:$A,0),20),""),"")</f>
        <v/>
      </c>
      <c r="X65">
        <f>IFERROR(IF(ISNUMBER(INDEX(SPPR!$E:$Z,MATCH($A65,SPPR!$A:$A,0),21)),$C65*INDEX(SPPR!$E:$Z,MATCH($A65,SPPR!$A:$A,0),21),""),"")</f>
        <v/>
      </c>
      <c r="Y65">
        <f>IFERROR(IF(ISNUMBER(INDEX(SPPR!$E:$Z,MATCH($A65,SPPR!$A:$A,0),22)),$C65*INDEX(SPPR!$E:$Z,MATCH($A65,SPPR!$A:$A,0),22),""),"")</f>
        <v/>
      </c>
    </row>
    <row r="66">
      <c r="A66" t="inlineStr">
        <is>
          <t>Marine pelagic fishes not identified</t>
        </is>
      </c>
      <c r="B66">
        <f>IFERROR(INDEX(SPPR!$D:$D,MATCH($A66,SPPR!$A:$A,0)),"")</f>
        <v/>
      </c>
      <c r="C66">
        <f>IFERROR(INDEX(Catch!$E:$BV,MATCH($A66,Catch!$A:$A,0),MATCH($B$4,Catch!$E$1:$BV$1,0)),0)</f>
        <v/>
      </c>
      <c r="D66">
        <f>IFERROR(IF(ISNUMBER(INDEX(SPPR!$E:$Z,MATCH($A66,SPPR!$A:$A,0),1)),$C66*INDEX(SPPR!$E:$Z,MATCH($A66,SPPR!$A:$A,0),1),""),"")</f>
        <v/>
      </c>
      <c r="E66">
        <f>IFERROR(IF(ISNUMBER(INDEX(SPPR!$E:$Z,MATCH($A66,SPPR!$A:$A,0),2)),$C66*INDEX(SPPR!$E:$Z,MATCH($A66,SPPR!$A:$A,0),2),""),"")</f>
        <v/>
      </c>
      <c r="F66">
        <f>IFERROR(IF(ISNUMBER(INDEX(SPPR!$E:$Z,MATCH($A66,SPPR!$A:$A,0),3)),$C66*INDEX(SPPR!$E:$Z,MATCH($A66,SPPR!$A:$A,0),3),""),"")</f>
        <v/>
      </c>
      <c r="G66">
        <f>IFERROR(IF(ISNUMBER(INDEX(SPPR!$E:$Z,MATCH($A66,SPPR!$A:$A,0),4)),$C66*INDEX(SPPR!$E:$Z,MATCH($A66,SPPR!$A:$A,0),4),""),"")</f>
        <v/>
      </c>
      <c r="H66">
        <f>IFERROR(IF(ISNUMBER(INDEX(SPPR!$E:$Z,MATCH($A66,SPPR!$A:$A,0),5)),$C66*INDEX(SPPR!$E:$Z,MATCH($A66,SPPR!$A:$A,0),5),""),"")</f>
        <v/>
      </c>
      <c r="I66">
        <f>IFERROR(IF(ISNUMBER(INDEX(SPPR!$E:$Z,MATCH($A66,SPPR!$A:$A,0),6)),$C66*INDEX(SPPR!$E:$Z,MATCH($A66,SPPR!$A:$A,0),6),""),"")</f>
        <v/>
      </c>
      <c r="J66">
        <f>IFERROR(IF(ISNUMBER(INDEX(SPPR!$E:$Z,MATCH($A66,SPPR!$A:$A,0),7)),$C66*INDEX(SPPR!$E:$Z,MATCH($A66,SPPR!$A:$A,0),7),""),"")</f>
        <v/>
      </c>
      <c r="K66">
        <f>IFERROR(IF(ISNUMBER(INDEX(SPPR!$E:$Z,MATCH($A66,SPPR!$A:$A,0),8)),$C66*INDEX(SPPR!$E:$Z,MATCH($A66,SPPR!$A:$A,0),8),""),"")</f>
        <v/>
      </c>
      <c r="L66">
        <f>IFERROR(IF(ISNUMBER(INDEX(SPPR!$E:$Z,MATCH($A66,SPPR!$A:$A,0),9)),$C66*INDEX(SPPR!$E:$Z,MATCH($A66,SPPR!$A:$A,0),9),""),"")</f>
        <v/>
      </c>
      <c r="M66">
        <f>IFERROR(IF(ISNUMBER(INDEX(SPPR!$E:$Z,MATCH($A66,SPPR!$A:$A,0),10)),$C66*INDEX(SPPR!$E:$Z,MATCH($A66,SPPR!$A:$A,0),10),""),"")</f>
        <v/>
      </c>
      <c r="N66">
        <f>IFERROR(IF(ISNUMBER(INDEX(SPPR!$E:$Z,MATCH($A66,SPPR!$A:$A,0),11)),$C66*INDEX(SPPR!$E:$Z,MATCH($A66,SPPR!$A:$A,0),11),""),"")</f>
        <v/>
      </c>
      <c r="O66">
        <f>IFERROR(IF(ISNUMBER(INDEX(SPPR!$E:$Z,MATCH($A66,SPPR!$A:$A,0),12)),$C66*INDEX(SPPR!$E:$Z,MATCH($A66,SPPR!$A:$A,0),12),""),"")</f>
        <v/>
      </c>
      <c r="P66">
        <f>IFERROR(IF(ISNUMBER(INDEX(SPPR!$E:$Z,MATCH($A66,SPPR!$A:$A,0),13)),$C66*INDEX(SPPR!$E:$Z,MATCH($A66,SPPR!$A:$A,0),13),""),"")</f>
        <v/>
      </c>
      <c r="Q66">
        <f>IFERROR(IF(ISNUMBER(INDEX(SPPR!$E:$Z,MATCH($A66,SPPR!$A:$A,0),14)),$C66*INDEX(SPPR!$E:$Z,MATCH($A66,SPPR!$A:$A,0),14),""),"")</f>
        <v/>
      </c>
      <c r="R66">
        <f>IFERROR(IF(ISNUMBER(INDEX(SPPR!$E:$Z,MATCH($A66,SPPR!$A:$A,0),15)),$C66*INDEX(SPPR!$E:$Z,MATCH($A66,SPPR!$A:$A,0),15),""),"")</f>
        <v/>
      </c>
      <c r="S66">
        <f>IFERROR(IF(ISNUMBER(INDEX(SPPR!$E:$Z,MATCH($A66,SPPR!$A:$A,0),16)),$C66*INDEX(SPPR!$E:$Z,MATCH($A66,SPPR!$A:$A,0),16),""),"")</f>
        <v/>
      </c>
      <c r="T66">
        <f>IFERROR(IF(ISNUMBER(INDEX(SPPR!$E:$Z,MATCH($A66,SPPR!$A:$A,0),17)),$C66*INDEX(SPPR!$E:$Z,MATCH($A66,SPPR!$A:$A,0),17),""),"")</f>
        <v/>
      </c>
      <c r="U66">
        <f>IFERROR(IF(ISNUMBER(INDEX(SPPR!$E:$Z,MATCH($A66,SPPR!$A:$A,0),18)),$C66*INDEX(SPPR!$E:$Z,MATCH($A66,SPPR!$A:$A,0),18),""),"")</f>
        <v/>
      </c>
      <c r="V66">
        <f>IFERROR(IF(ISNUMBER(INDEX(SPPR!$E:$Z,MATCH($A66,SPPR!$A:$A,0),19)),$C66*INDEX(SPPR!$E:$Z,MATCH($A66,SPPR!$A:$A,0),19),""),"")</f>
        <v/>
      </c>
      <c r="W66">
        <f>IFERROR(IF(ISNUMBER(INDEX(SPPR!$E:$Z,MATCH($A66,SPPR!$A:$A,0),20)),$C66*INDEX(SPPR!$E:$Z,MATCH($A66,SPPR!$A:$A,0),20),""),"")</f>
        <v/>
      </c>
      <c r="X66">
        <f>IFERROR(IF(ISNUMBER(INDEX(SPPR!$E:$Z,MATCH($A66,SPPR!$A:$A,0),21)),$C66*INDEX(SPPR!$E:$Z,MATCH($A66,SPPR!$A:$A,0),21),""),"")</f>
        <v/>
      </c>
      <c r="Y66">
        <f>IFERROR(IF(ISNUMBER(INDEX(SPPR!$E:$Z,MATCH($A66,SPPR!$A:$A,0),22)),$C66*INDEX(SPPR!$E:$Z,MATCH($A66,SPPR!$A:$A,0),22),""),"")</f>
        <v/>
      </c>
    </row>
    <row r="67">
      <c r="A67" t="inlineStr">
        <is>
          <t>Batoidea</t>
        </is>
      </c>
      <c r="B67">
        <f>IFERROR(INDEX(SPPR!$D:$D,MATCH($A67,SPPR!$A:$A,0)),"")</f>
        <v/>
      </c>
      <c r="C67">
        <f>IFERROR(INDEX(Catch!$E:$BV,MATCH($A67,Catch!$A:$A,0),MATCH($B$4,Catch!$E$1:$BV$1,0)),0)</f>
        <v/>
      </c>
      <c r="D67">
        <f>IFERROR(IF(ISNUMBER(INDEX(SPPR!$E:$Z,MATCH($A67,SPPR!$A:$A,0),1)),$C67*INDEX(SPPR!$E:$Z,MATCH($A67,SPPR!$A:$A,0),1),""),"")</f>
        <v/>
      </c>
      <c r="E67">
        <f>IFERROR(IF(ISNUMBER(INDEX(SPPR!$E:$Z,MATCH($A67,SPPR!$A:$A,0),2)),$C67*INDEX(SPPR!$E:$Z,MATCH($A67,SPPR!$A:$A,0),2),""),"")</f>
        <v/>
      </c>
      <c r="F67">
        <f>IFERROR(IF(ISNUMBER(INDEX(SPPR!$E:$Z,MATCH($A67,SPPR!$A:$A,0),3)),$C67*INDEX(SPPR!$E:$Z,MATCH($A67,SPPR!$A:$A,0),3),""),"")</f>
        <v/>
      </c>
      <c r="G67">
        <f>IFERROR(IF(ISNUMBER(INDEX(SPPR!$E:$Z,MATCH($A67,SPPR!$A:$A,0),4)),$C67*INDEX(SPPR!$E:$Z,MATCH($A67,SPPR!$A:$A,0),4),""),"")</f>
        <v/>
      </c>
      <c r="H67">
        <f>IFERROR(IF(ISNUMBER(INDEX(SPPR!$E:$Z,MATCH($A67,SPPR!$A:$A,0),5)),$C67*INDEX(SPPR!$E:$Z,MATCH($A67,SPPR!$A:$A,0),5),""),"")</f>
        <v/>
      </c>
      <c r="I67">
        <f>IFERROR(IF(ISNUMBER(INDEX(SPPR!$E:$Z,MATCH($A67,SPPR!$A:$A,0),6)),$C67*INDEX(SPPR!$E:$Z,MATCH($A67,SPPR!$A:$A,0),6),""),"")</f>
        <v/>
      </c>
      <c r="J67">
        <f>IFERROR(IF(ISNUMBER(INDEX(SPPR!$E:$Z,MATCH($A67,SPPR!$A:$A,0),7)),$C67*INDEX(SPPR!$E:$Z,MATCH($A67,SPPR!$A:$A,0),7),""),"")</f>
        <v/>
      </c>
      <c r="K67">
        <f>IFERROR(IF(ISNUMBER(INDEX(SPPR!$E:$Z,MATCH($A67,SPPR!$A:$A,0),8)),$C67*INDEX(SPPR!$E:$Z,MATCH($A67,SPPR!$A:$A,0),8),""),"")</f>
        <v/>
      </c>
      <c r="L67">
        <f>IFERROR(IF(ISNUMBER(INDEX(SPPR!$E:$Z,MATCH($A67,SPPR!$A:$A,0),9)),$C67*INDEX(SPPR!$E:$Z,MATCH($A67,SPPR!$A:$A,0),9),""),"")</f>
        <v/>
      </c>
      <c r="M67">
        <f>IFERROR(IF(ISNUMBER(INDEX(SPPR!$E:$Z,MATCH($A67,SPPR!$A:$A,0),10)),$C67*INDEX(SPPR!$E:$Z,MATCH($A67,SPPR!$A:$A,0),10),""),"")</f>
        <v/>
      </c>
      <c r="N67">
        <f>IFERROR(IF(ISNUMBER(INDEX(SPPR!$E:$Z,MATCH($A67,SPPR!$A:$A,0),11)),$C67*INDEX(SPPR!$E:$Z,MATCH($A67,SPPR!$A:$A,0),11),""),"")</f>
        <v/>
      </c>
      <c r="O67">
        <f>IFERROR(IF(ISNUMBER(INDEX(SPPR!$E:$Z,MATCH($A67,SPPR!$A:$A,0),12)),$C67*INDEX(SPPR!$E:$Z,MATCH($A67,SPPR!$A:$A,0),12),""),"")</f>
        <v/>
      </c>
      <c r="P67">
        <f>IFERROR(IF(ISNUMBER(INDEX(SPPR!$E:$Z,MATCH($A67,SPPR!$A:$A,0),13)),$C67*INDEX(SPPR!$E:$Z,MATCH($A67,SPPR!$A:$A,0),13),""),"")</f>
        <v/>
      </c>
      <c r="Q67">
        <f>IFERROR(IF(ISNUMBER(INDEX(SPPR!$E:$Z,MATCH($A67,SPPR!$A:$A,0),14)),$C67*INDEX(SPPR!$E:$Z,MATCH($A67,SPPR!$A:$A,0),14),""),"")</f>
        <v/>
      </c>
      <c r="R67">
        <f>IFERROR(IF(ISNUMBER(INDEX(SPPR!$E:$Z,MATCH($A67,SPPR!$A:$A,0),15)),$C67*INDEX(SPPR!$E:$Z,MATCH($A67,SPPR!$A:$A,0),15),""),"")</f>
        <v/>
      </c>
      <c r="S67">
        <f>IFERROR(IF(ISNUMBER(INDEX(SPPR!$E:$Z,MATCH($A67,SPPR!$A:$A,0),16)),$C67*INDEX(SPPR!$E:$Z,MATCH($A67,SPPR!$A:$A,0),16),""),"")</f>
        <v/>
      </c>
      <c r="T67">
        <f>IFERROR(IF(ISNUMBER(INDEX(SPPR!$E:$Z,MATCH($A67,SPPR!$A:$A,0),17)),$C67*INDEX(SPPR!$E:$Z,MATCH($A67,SPPR!$A:$A,0),17),""),"")</f>
        <v/>
      </c>
      <c r="U67">
        <f>IFERROR(IF(ISNUMBER(INDEX(SPPR!$E:$Z,MATCH($A67,SPPR!$A:$A,0),18)),$C67*INDEX(SPPR!$E:$Z,MATCH($A67,SPPR!$A:$A,0),18),""),"")</f>
        <v/>
      </c>
      <c r="V67">
        <f>IFERROR(IF(ISNUMBER(INDEX(SPPR!$E:$Z,MATCH($A67,SPPR!$A:$A,0),19)),$C67*INDEX(SPPR!$E:$Z,MATCH($A67,SPPR!$A:$A,0),19),""),"")</f>
        <v/>
      </c>
      <c r="W67">
        <f>IFERROR(IF(ISNUMBER(INDEX(SPPR!$E:$Z,MATCH($A67,SPPR!$A:$A,0),20)),$C67*INDEX(SPPR!$E:$Z,MATCH($A67,SPPR!$A:$A,0),20),""),"")</f>
        <v/>
      </c>
      <c r="X67">
        <f>IFERROR(IF(ISNUMBER(INDEX(SPPR!$E:$Z,MATCH($A67,SPPR!$A:$A,0),21)),$C67*INDEX(SPPR!$E:$Z,MATCH($A67,SPPR!$A:$A,0),21),""),"")</f>
        <v/>
      </c>
      <c r="Y67">
        <f>IFERROR(IF(ISNUMBER(INDEX(SPPR!$E:$Z,MATCH($A67,SPPR!$A:$A,0),22)),$C67*INDEX(SPPR!$E:$Z,MATCH($A67,SPPR!$A:$A,0),22),""),"")</f>
        <v/>
      </c>
    </row>
    <row r="68">
      <c r="A68" t="inlineStr">
        <is>
          <t>Parapenaeopsis</t>
        </is>
      </c>
      <c r="B68">
        <f>IFERROR(INDEX(SPPR!$D:$D,MATCH($A68,SPPR!$A:$A,0)),"")</f>
        <v/>
      </c>
      <c r="C68">
        <f>IFERROR(INDEX(Catch!$E:$BV,MATCH($A68,Catch!$A:$A,0),MATCH($B$4,Catch!$E$1:$BV$1,0)),0)</f>
        <v/>
      </c>
      <c r="D68">
        <f>IFERROR(IF(ISNUMBER(INDEX(SPPR!$E:$Z,MATCH($A68,SPPR!$A:$A,0),1)),$C68*INDEX(SPPR!$E:$Z,MATCH($A68,SPPR!$A:$A,0),1),""),"")</f>
        <v/>
      </c>
      <c r="E68">
        <f>IFERROR(IF(ISNUMBER(INDEX(SPPR!$E:$Z,MATCH($A68,SPPR!$A:$A,0),2)),$C68*INDEX(SPPR!$E:$Z,MATCH($A68,SPPR!$A:$A,0),2),""),"")</f>
        <v/>
      </c>
      <c r="F68">
        <f>IFERROR(IF(ISNUMBER(INDEX(SPPR!$E:$Z,MATCH($A68,SPPR!$A:$A,0),3)),$C68*INDEX(SPPR!$E:$Z,MATCH($A68,SPPR!$A:$A,0),3),""),"")</f>
        <v/>
      </c>
      <c r="G68">
        <f>IFERROR(IF(ISNUMBER(INDEX(SPPR!$E:$Z,MATCH($A68,SPPR!$A:$A,0),4)),$C68*INDEX(SPPR!$E:$Z,MATCH($A68,SPPR!$A:$A,0),4),""),"")</f>
        <v/>
      </c>
      <c r="H68">
        <f>IFERROR(IF(ISNUMBER(INDEX(SPPR!$E:$Z,MATCH($A68,SPPR!$A:$A,0),5)),$C68*INDEX(SPPR!$E:$Z,MATCH($A68,SPPR!$A:$A,0),5),""),"")</f>
        <v/>
      </c>
      <c r="I68">
        <f>IFERROR(IF(ISNUMBER(INDEX(SPPR!$E:$Z,MATCH($A68,SPPR!$A:$A,0),6)),$C68*INDEX(SPPR!$E:$Z,MATCH($A68,SPPR!$A:$A,0),6),""),"")</f>
        <v/>
      </c>
      <c r="J68">
        <f>IFERROR(IF(ISNUMBER(INDEX(SPPR!$E:$Z,MATCH($A68,SPPR!$A:$A,0),7)),$C68*INDEX(SPPR!$E:$Z,MATCH($A68,SPPR!$A:$A,0),7),""),"")</f>
        <v/>
      </c>
      <c r="K68">
        <f>IFERROR(IF(ISNUMBER(INDEX(SPPR!$E:$Z,MATCH($A68,SPPR!$A:$A,0),8)),$C68*INDEX(SPPR!$E:$Z,MATCH($A68,SPPR!$A:$A,0),8),""),"")</f>
        <v/>
      </c>
      <c r="L68">
        <f>IFERROR(IF(ISNUMBER(INDEX(SPPR!$E:$Z,MATCH($A68,SPPR!$A:$A,0),9)),$C68*INDEX(SPPR!$E:$Z,MATCH($A68,SPPR!$A:$A,0),9),""),"")</f>
        <v/>
      </c>
      <c r="M68">
        <f>IFERROR(IF(ISNUMBER(INDEX(SPPR!$E:$Z,MATCH($A68,SPPR!$A:$A,0),10)),$C68*INDEX(SPPR!$E:$Z,MATCH($A68,SPPR!$A:$A,0),10),""),"")</f>
        <v/>
      </c>
      <c r="N68">
        <f>IFERROR(IF(ISNUMBER(INDEX(SPPR!$E:$Z,MATCH($A68,SPPR!$A:$A,0),11)),$C68*INDEX(SPPR!$E:$Z,MATCH($A68,SPPR!$A:$A,0),11),""),"")</f>
        <v/>
      </c>
      <c r="O68">
        <f>IFERROR(IF(ISNUMBER(INDEX(SPPR!$E:$Z,MATCH($A68,SPPR!$A:$A,0),12)),$C68*INDEX(SPPR!$E:$Z,MATCH($A68,SPPR!$A:$A,0),12),""),"")</f>
        <v/>
      </c>
      <c r="P68">
        <f>IFERROR(IF(ISNUMBER(INDEX(SPPR!$E:$Z,MATCH($A68,SPPR!$A:$A,0),13)),$C68*INDEX(SPPR!$E:$Z,MATCH($A68,SPPR!$A:$A,0),13),""),"")</f>
        <v/>
      </c>
      <c r="Q68">
        <f>IFERROR(IF(ISNUMBER(INDEX(SPPR!$E:$Z,MATCH($A68,SPPR!$A:$A,0),14)),$C68*INDEX(SPPR!$E:$Z,MATCH($A68,SPPR!$A:$A,0),14),""),"")</f>
        <v/>
      </c>
      <c r="R68">
        <f>IFERROR(IF(ISNUMBER(INDEX(SPPR!$E:$Z,MATCH($A68,SPPR!$A:$A,0),15)),$C68*INDEX(SPPR!$E:$Z,MATCH($A68,SPPR!$A:$A,0),15),""),"")</f>
        <v/>
      </c>
      <c r="S68">
        <f>IFERROR(IF(ISNUMBER(INDEX(SPPR!$E:$Z,MATCH($A68,SPPR!$A:$A,0),16)),$C68*INDEX(SPPR!$E:$Z,MATCH($A68,SPPR!$A:$A,0),16),""),"")</f>
        <v/>
      </c>
      <c r="T68">
        <f>IFERROR(IF(ISNUMBER(INDEX(SPPR!$E:$Z,MATCH($A68,SPPR!$A:$A,0),17)),$C68*INDEX(SPPR!$E:$Z,MATCH($A68,SPPR!$A:$A,0),17),""),"")</f>
        <v/>
      </c>
      <c r="U68">
        <f>IFERROR(IF(ISNUMBER(INDEX(SPPR!$E:$Z,MATCH($A68,SPPR!$A:$A,0),18)),$C68*INDEX(SPPR!$E:$Z,MATCH($A68,SPPR!$A:$A,0),18),""),"")</f>
        <v/>
      </c>
      <c r="V68">
        <f>IFERROR(IF(ISNUMBER(INDEX(SPPR!$E:$Z,MATCH($A68,SPPR!$A:$A,0),19)),$C68*INDEX(SPPR!$E:$Z,MATCH($A68,SPPR!$A:$A,0),19),""),"")</f>
        <v/>
      </c>
      <c r="W68">
        <f>IFERROR(IF(ISNUMBER(INDEX(SPPR!$E:$Z,MATCH($A68,SPPR!$A:$A,0),20)),$C68*INDEX(SPPR!$E:$Z,MATCH($A68,SPPR!$A:$A,0),20),""),"")</f>
        <v/>
      </c>
      <c r="X68">
        <f>IFERROR(IF(ISNUMBER(INDEX(SPPR!$E:$Z,MATCH($A68,SPPR!$A:$A,0),21)),$C68*INDEX(SPPR!$E:$Z,MATCH($A68,SPPR!$A:$A,0),21),""),"")</f>
        <v/>
      </c>
      <c r="Y68">
        <f>IFERROR(IF(ISNUMBER(INDEX(SPPR!$E:$Z,MATCH($A68,SPPR!$A:$A,0),22)),$C68*INDEX(SPPR!$E:$Z,MATCH($A68,SPPR!$A:$A,0),22),""),"")</f>
        <v/>
      </c>
    </row>
    <row r="69">
      <c r="A69" t="inlineStr">
        <is>
          <t>Sphyraena</t>
        </is>
      </c>
      <c r="B69">
        <f>IFERROR(INDEX(SPPR!$D:$D,MATCH($A69,SPPR!$A:$A,0)),"")</f>
        <v/>
      </c>
      <c r="C69">
        <f>IFERROR(INDEX(Catch!$E:$BV,MATCH($A69,Catch!$A:$A,0),MATCH($B$4,Catch!$E$1:$BV$1,0)),0)</f>
        <v/>
      </c>
      <c r="D69">
        <f>IFERROR(IF(ISNUMBER(INDEX(SPPR!$E:$Z,MATCH($A69,SPPR!$A:$A,0),1)),$C69*INDEX(SPPR!$E:$Z,MATCH($A69,SPPR!$A:$A,0),1),""),"")</f>
        <v/>
      </c>
      <c r="E69">
        <f>IFERROR(IF(ISNUMBER(INDEX(SPPR!$E:$Z,MATCH($A69,SPPR!$A:$A,0),2)),$C69*INDEX(SPPR!$E:$Z,MATCH($A69,SPPR!$A:$A,0),2),""),"")</f>
        <v/>
      </c>
      <c r="F69">
        <f>IFERROR(IF(ISNUMBER(INDEX(SPPR!$E:$Z,MATCH($A69,SPPR!$A:$A,0),3)),$C69*INDEX(SPPR!$E:$Z,MATCH($A69,SPPR!$A:$A,0),3),""),"")</f>
        <v/>
      </c>
      <c r="G69">
        <f>IFERROR(IF(ISNUMBER(INDEX(SPPR!$E:$Z,MATCH($A69,SPPR!$A:$A,0),4)),$C69*INDEX(SPPR!$E:$Z,MATCH($A69,SPPR!$A:$A,0),4),""),"")</f>
        <v/>
      </c>
      <c r="H69">
        <f>IFERROR(IF(ISNUMBER(INDEX(SPPR!$E:$Z,MATCH($A69,SPPR!$A:$A,0),5)),$C69*INDEX(SPPR!$E:$Z,MATCH($A69,SPPR!$A:$A,0),5),""),"")</f>
        <v/>
      </c>
      <c r="I69">
        <f>IFERROR(IF(ISNUMBER(INDEX(SPPR!$E:$Z,MATCH($A69,SPPR!$A:$A,0),6)),$C69*INDEX(SPPR!$E:$Z,MATCH($A69,SPPR!$A:$A,0),6),""),"")</f>
        <v/>
      </c>
      <c r="J69">
        <f>IFERROR(IF(ISNUMBER(INDEX(SPPR!$E:$Z,MATCH($A69,SPPR!$A:$A,0),7)),$C69*INDEX(SPPR!$E:$Z,MATCH($A69,SPPR!$A:$A,0),7),""),"")</f>
        <v/>
      </c>
      <c r="K69">
        <f>IFERROR(IF(ISNUMBER(INDEX(SPPR!$E:$Z,MATCH($A69,SPPR!$A:$A,0),8)),$C69*INDEX(SPPR!$E:$Z,MATCH($A69,SPPR!$A:$A,0),8),""),"")</f>
        <v/>
      </c>
      <c r="L69">
        <f>IFERROR(IF(ISNUMBER(INDEX(SPPR!$E:$Z,MATCH($A69,SPPR!$A:$A,0),9)),$C69*INDEX(SPPR!$E:$Z,MATCH($A69,SPPR!$A:$A,0),9),""),"")</f>
        <v/>
      </c>
      <c r="M69">
        <f>IFERROR(IF(ISNUMBER(INDEX(SPPR!$E:$Z,MATCH($A69,SPPR!$A:$A,0),10)),$C69*INDEX(SPPR!$E:$Z,MATCH($A69,SPPR!$A:$A,0),10),""),"")</f>
        <v/>
      </c>
      <c r="N69">
        <f>IFERROR(IF(ISNUMBER(INDEX(SPPR!$E:$Z,MATCH($A69,SPPR!$A:$A,0),11)),$C69*INDEX(SPPR!$E:$Z,MATCH($A69,SPPR!$A:$A,0),11),""),"")</f>
        <v/>
      </c>
      <c r="O69">
        <f>IFERROR(IF(ISNUMBER(INDEX(SPPR!$E:$Z,MATCH($A69,SPPR!$A:$A,0),12)),$C69*INDEX(SPPR!$E:$Z,MATCH($A69,SPPR!$A:$A,0),12),""),"")</f>
        <v/>
      </c>
      <c r="P69">
        <f>IFERROR(IF(ISNUMBER(INDEX(SPPR!$E:$Z,MATCH($A69,SPPR!$A:$A,0),13)),$C69*INDEX(SPPR!$E:$Z,MATCH($A69,SPPR!$A:$A,0),13),""),"")</f>
        <v/>
      </c>
      <c r="Q69">
        <f>IFERROR(IF(ISNUMBER(INDEX(SPPR!$E:$Z,MATCH($A69,SPPR!$A:$A,0),14)),$C69*INDEX(SPPR!$E:$Z,MATCH($A69,SPPR!$A:$A,0),14),""),"")</f>
        <v/>
      </c>
      <c r="R69">
        <f>IFERROR(IF(ISNUMBER(INDEX(SPPR!$E:$Z,MATCH($A69,SPPR!$A:$A,0),15)),$C69*INDEX(SPPR!$E:$Z,MATCH($A69,SPPR!$A:$A,0),15),""),"")</f>
        <v/>
      </c>
      <c r="S69">
        <f>IFERROR(IF(ISNUMBER(INDEX(SPPR!$E:$Z,MATCH($A69,SPPR!$A:$A,0),16)),$C69*INDEX(SPPR!$E:$Z,MATCH($A69,SPPR!$A:$A,0),16),""),"")</f>
        <v/>
      </c>
      <c r="T69">
        <f>IFERROR(IF(ISNUMBER(INDEX(SPPR!$E:$Z,MATCH($A69,SPPR!$A:$A,0),17)),$C69*INDEX(SPPR!$E:$Z,MATCH($A69,SPPR!$A:$A,0),17),""),"")</f>
        <v/>
      </c>
      <c r="U69">
        <f>IFERROR(IF(ISNUMBER(INDEX(SPPR!$E:$Z,MATCH($A69,SPPR!$A:$A,0),18)),$C69*INDEX(SPPR!$E:$Z,MATCH($A69,SPPR!$A:$A,0),18),""),"")</f>
        <v/>
      </c>
      <c r="V69">
        <f>IFERROR(IF(ISNUMBER(INDEX(SPPR!$E:$Z,MATCH($A69,SPPR!$A:$A,0),19)),$C69*INDEX(SPPR!$E:$Z,MATCH($A69,SPPR!$A:$A,0),19),""),"")</f>
        <v/>
      </c>
      <c r="W69">
        <f>IFERROR(IF(ISNUMBER(INDEX(SPPR!$E:$Z,MATCH($A69,SPPR!$A:$A,0),20)),$C69*INDEX(SPPR!$E:$Z,MATCH($A69,SPPR!$A:$A,0),20),""),"")</f>
        <v/>
      </c>
      <c r="X69">
        <f>IFERROR(IF(ISNUMBER(INDEX(SPPR!$E:$Z,MATCH($A69,SPPR!$A:$A,0),21)),$C69*INDEX(SPPR!$E:$Z,MATCH($A69,SPPR!$A:$A,0),21),""),"")</f>
        <v/>
      </c>
      <c r="Y69">
        <f>IFERROR(IF(ISNUMBER(INDEX(SPPR!$E:$Z,MATCH($A69,SPPR!$A:$A,0),22)),$C69*INDEX(SPPR!$E:$Z,MATCH($A69,SPPR!$A:$A,0),22),""),"")</f>
        <v/>
      </c>
    </row>
    <row r="70">
      <c r="A70" t="inlineStr">
        <is>
          <t>Sepiidae</t>
        </is>
      </c>
      <c r="B70">
        <f>IFERROR(INDEX(SPPR!$D:$D,MATCH($A70,SPPR!$A:$A,0)),"")</f>
        <v/>
      </c>
      <c r="C70">
        <f>IFERROR(INDEX(Catch!$E:$BV,MATCH($A70,Catch!$A:$A,0),MATCH($B$4,Catch!$E$1:$BV$1,0)),0)</f>
        <v/>
      </c>
      <c r="D70">
        <f>IFERROR(IF(ISNUMBER(INDEX(SPPR!$E:$Z,MATCH($A70,SPPR!$A:$A,0),1)),$C70*INDEX(SPPR!$E:$Z,MATCH($A70,SPPR!$A:$A,0),1),""),"")</f>
        <v/>
      </c>
      <c r="E70">
        <f>IFERROR(IF(ISNUMBER(INDEX(SPPR!$E:$Z,MATCH($A70,SPPR!$A:$A,0),2)),$C70*INDEX(SPPR!$E:$Z,MATCH($A70,SPPR!$A:$A,0),2),""),"")</f>
        <v/>
      </c>
      <c r="F70">
        <f>IFERROR(IF(ISNUMBER(INDEX(SPPR!$E:$Z,MATCH($A70,SPPR!$A:$A,0),3)),$C70*INDEX(SPPR!$E:$Z,MATCH($A70,SPPR!$A:$A,0),3),""),"")</f>
        <v/>
      </c>
      <c r="G70">
        <f>IFERROR(IF(ISNUMBER(INDEX(SPPR!$E:$Z,MATCH($A70,SPPR!$A:$A,0),4)),$C70*INDEX(SPPR!$E:$Z,MATCH($A70,SPPR!$A:$A,0),4),""),"")</f>
        <v/>
      </c>
      <c r="H70">
        <f>IFERROR(IF(ISNUMBER(INDEX(SPPR!$E:$Z,MATCH($A70,SPPR!$A:$A,0),5)),$C70*INDEX(SPPR!$E:$Z,MATCH($A70,SPPR!$A:$A,0),5),""),"")</f>
        <v/>
      </c>
      <c r="I70">
        <f>IFERROR(IF(ISNUMBER(INDEX(SPPR!$E:$Z,MATCH($A70,SPPR!$A:$A,0),6)),$C70*INDEX(SPPR!$E:$Z,MATCH($A70,SPPR!$A:$A,0),6),""),"")</f>
        <v/>
      </c>
      <c r="J70">
        <f>IFERROR(IF(ISNUMBER(INDEX(SPPR!$E:$Z,MATCH($A70,SPPR!$A:$A,0),7)),$C70*INDEX(SPPR!$E:$Z,MATCH($A70,SPPR!$A:$A,0),7),""),"")</f>
        <v/>
      </c>
      <c r="K70">
        <f>IFERROR(IF(ISNUMBER(INDEX(SPPR!$E:$Z,MATCH($A70,SPPR!$A:$A,0),8)),$C70*INDEX(SPPR!$E:$Z,MATCH($A70,SPPR!$A:$A,0),8),""),"")</f>
        <v/>
      </c>
      <c r="L70">
        <f>IFERROR(IF(ISNUMBER(INDEX(SPPR!$E:$Z,MATCH($A70,SPPR!$A:$A,0),9)),$C70*INDEX(SPPR!$E:$Z,MATCH($A70,SPPR!$A:$A,0),9),""),"")</f>
        <v/>
      </c>
      <c r="M70">
        <f>IFERROR(IF(ISNUMBER(INDEX(SPPR!$E:$Z,MATCH($A70,SPPR!$A:$A,0),10)),$C70*INDEX(SPPR!$E:$Z,MATCH($A70,SPPR!$A:$A,0),10),""),"")</f>
        <v/>
      </c>
      <c r="N70">
        <f>IFERROR(IF(ISNUMBER(INDEX(SPPR!$E:$Z,MATCH($A70,SPPR!$A:$A,0),11)),$C70*INDEX(SPPR!$E:$Z,MATCH($A70,SPPR!$A:$A,0),11),""),"")</f>
        <v/>
      </c>
      <c r="O70">
        <f>IFERROR(IF(ISNUMBER(INDEX(SPPR!$E:$Z,MATCH($A70,SPPR!$A:$A,0),12)),$C70*INDEX(SPPR!$E:$Z,MATCH($A70,SPPR!$A:$A,0),12),""),"")</f>
        <v/>
      </c>
      <c r="P70">
        <f>IFERROR(IF(ISNUMBER(INDEX(SPPR!$E:$Z,MATCH($A70,SPPR!$A:$A,0),13)),$C70*INDEX(SPPR!$E:$Z,MATCH($A70,SPPR!$A:$A,0),13),""),"")</f>
        <v/>
      </c>
      <c r="Q70">
        <f>IFERROR(IF(ISNUMBER(INDEX(SPPR!$E:$Z,MATCH($A70,SPPR!$A:$A,0),14)),$C70*INDEX(SPPR!$E:$Z,MATCH($A70,SPPR!$A:$A,0),14),""),"")</f>
        <v/>
      </c>
      <c r="R70">
        <f>IFERROR(IF(ISNUMBER(INDEX(SPPR!$E:$Z,MATCH($A70,SPPR!$A:$A,0),15)),$C70*INDEX(SPPR!$E:$Z,MATCH($A70,SPPR!$A:$A,0),15),""),"")</f>
        <v/>
      </c>
      <c r="S70">
        <f>IFERROR(IF(ISNUMBER(INDEX(SPPR!$E:$Z,MATCH($A70,SPPR!$A:$A,0),16)),$C70*INDEX(SPPR!$E:$Z,MATCH($A70,SPPR!$A:$A,0),16),""),"")</f>
        <v/>
      </c>
      <c r="T70">
        <f>IFERROR(IF(ISNUMBER(INDEX(SPPR!$E:$Z,MATCH($A70,SPPR!$A:$A,0),17)),$C70*INDEX(SPPR!$E:$Z,MATCH($A70,SPPR!$A:$A,0),17),""),"")</f>
        <v/>
      </c>
      <c r="U70">
        <f>IFERROR(IF(ISNUMBER(INDEX(SPPR!$E:$Z,MATCH($A70,SPPR!$A:$A,0),18)),$C70*INDEX(SPPR!$E:$Z,MATCH($A70,SPPR!$A:$A,0),18),""),"")</f>
        <v/>
      </c>
      <c r="V70">
        <f>IFERROR(IF(ISNUMBER(INDEX(SPPR!$E:$Z,MATCH($A70,SPPR!$A:$A,0),19)),$C70*INDEX(SPPR!$E:$Z,MATCH($A70,SPPR!$A:$A,0),19),""),"")</f>
        <v/>
      </c>
      <c r="W70">
        <f>IFERROR(IF(ISNUMBER(INDEX(SPPR!$E:$Z,MATCH($A70,SPPR!$A:$A,0),20)),$C70*INDEX(SPPR!$E:$Z,MATCH($A70,SPPR!$A:$A,0),20),""),"")</f>
        <v/>
      </c>
      <c r="X70">
        <f>IFERROR(IF(ISNUMBER(INDEX(SPPR!$E:$Z,MATCH($A70,SPPR!$A:$A,0),21)),$C70*INDEX(SPPR!$E:$Z,MATCH($A70,SPPR!$A:$A,0),21),""),"")</f>
        <v/>
      </c>
      <c r="Y70">
        <f>IFERROR(IF(ISNUMBER(INDEX(SPPR!$E:$Z,MATCH($A70,SPPR!$A:$A,0),22)),$C70*INDEX(SPPR!$E:$Z,MATCH($A70,SPPR!$A:$A,0),22),""),"")</f>
        <v/>
      </c>
    </row>
    <row r="71">
      <c r="A71" t="inlineStr">
        <is>
          <t>Trichiurus lepturus</t>
        </is>
      </c>
      <c r="B71">
        <f>IFERROR(INDEX(SPPR!$D:$D,MATCH($A71,SPPR!$A:$A,0)),"")</f>
        <v/>
      </c>
      <c r="C71">
        <f>IFERROR(INDEX(Catch!$E:$BV,MATCH($A71,Catch!$A:$A,0),MATCH($B$4,Catch!$E$1:$BV$1,0)),0)</f>
        <v/>
      </c>
      <c r="D71">
        <f>IFERROR(IF(ISNUMBER(INDEX(SPPR!$E:$Z,MATCH($A71,SPPR!$A:$A,0),1)),$C71*INDEX(SPPR!$E:$Z,MATCH($A71,SPPR!$A:$A,0),1),""),"")</f>
        <v/>
      </c>
      <c r="E71">
        <f>IFERROR(IF(ISNUMBER(INDEX(SPPR!$E:$Z,MATCH($A71,SPPR!$A:$A,0),2)),$C71*INDEX(SPPR!$E:$Z,MATCH($A71,SPPR!$A:$A,0),2),""),"")</f>
        <v/>
      </c>
      <c r="F71">
        <f>IFERROR(IF(ISNUMBER(INDEX(SPPR!$E:$Z,MATCH($A71,SPPR!$A:$A,0),3)),$C71*INDEX(SPPR!$E:$Z,MATCH($A71,SPPR!$A:$A,0),3),""),"")</f>
        <v/>
      </c>
      <c r="G71">
        <f>IFERROR(IF(ISNUMBER(INDEX(SPPR!$E:$Z,MATCH($A71,SPPR!$A:$A,0),4)),$C71*INDEX(SPPR!$E:$Z,MATCH($A71,SPPR!$A:$A,0),4),""),"")</f>
        <v/>
      </c>
      <c r="H71">
        <f>IFERROR(IF(ISNUMBER(INDEX(SPPR!$E:$Z,MATCH($A71,SPPR!$A:$A,0),5)),$C71*INDEX(SPPR!$E:$Z,MATCH($A71,SPPR!$A:$A,0),5),""),"")</f>
        <v/>
      </c>
      <c r="I71">
        <f>IFERROR(IF(ISNUMBER(INDEX(SPPR!$E:$Z,MATCH($A71,SPPR!$A:$A,0),6)),$C71*INDEX(SPPR!$E:$Z,MATCH($A71,SPPR!$A:$A,0),6),""),"")</f>
        <v/>
      </c>
      <c r="J71">
        <f>IFERROR(IF(ISNUMBER(INDEX(SPPR!$E:$Z,MATCH($A71,SPPR!$A:$A,0),7)),$C71*INDEX(SPPR!$E:$Z,MATCH($A71,SPPR!$A:$A,0),7),""),"")</f>
        <v/>
      </c>
      <c r="K71">
        <f>IFERROR(IF(ISNUMBER(INDEX(SPPR!$E:$Z,MATCH($A71,SPPR!$A:$A,0),8)),$C71*INDEX(SPPR!$E:$Z,MATCH($A71,SPPR!$A:$A,0),8),""),"")</f>
        <v/>
      </c>
      <c r="L71">
        <f>IFERROR(IF(ISNUMBER(INDEX(SPPR!$E:$Z,MATCH($A71,SPPR!$A:$A,0),9)),$C71*INDEX(SPPR!$E:$Z,MATCH($A71,SPPR!$A:$A,0),9),""),"")</f>
        <v/>
      </c>
      <c r="M71">
        <f>IFERROR(IF(ISNUMBER(INDEX(SPPR!$E:$Z,MATCH($A71,SPPR!$A:$A,0),10)),$C71*INDEX(SPPR!$E:$Z,MATCH($A71,SPPR!$A:$A,0),10),""),"")</f>
        <v/>
      </c>
      <c r="N71">
        <f>IFERROR(IF(ISNUMBER(INDEX(SPPR!$E:$Z,MATCH($A71,SPPR!$A:$A,0),11)),$C71*INDEX(SPPR!$E:$Z,MATCH($A71,SPPR!$A:$A,0),11),""),"")</f>
        <v/>
      </c>
      <c r="O71">
        <f>IFERROR(IF(ISNUMBER(INDEX(SPPR!$E:$Z,MATCH($A71,SPPR!$A:$A,0),12)),$C71*INDEX(SPPR!$E:$Z,MATCH($A71,SPPR!$A:$A,0),12),""),"")</f>
        <v/>
      </c>
      <c r="P71">
        <f>IFERROR(IF(ISNUMBER(INDEX(SPPR!$E:$Z,MATCH($A71,SPPR!$A:$A,0),13)),$C71*INDEX(SPPR!$E:$Z,MATCH($A71,SPPR!$A:$A,0),13),""),"")</f>
        <v/>
      </c>
      <c r="Q71">
        <f>IFERROR(IF(ISNUMBER(INDEX(SPPR!$E:$Z,MATCH($A71,SPPR!$A:$A,0),14)),$C71*INDEX(SPPR!$E:$Z,MATCH($A71,SPPR!$A:$A,0),14),""),"")</f>
        <v/>
      </c>
      <c r="R71">
        <f>IFERROR(IF(ISNUMBER(INDEX(SPPR!$E:$Z,MATCH($A71,SPPR!$A:$A,0),15)),$C71*INDEX(SPPR!$E:$Z,MATCH($A71,SPPR!$A:$A,0),15),""),"")</f>
        <v/>
      </c>
      <c r="S71">
        <f>IFERROR(IF(ISNUMBER(INDEX(SPPR!$E:$Z,MATCH($A71,SPPR!$A:$A,0),16)),$C71*INDEX(SPPR!$E:$Z,MATCH($A71,SPPR!$A:$A,0),16),""),"")</f>
        <v/>
      </c>
      <c r="T71">
        <f>IFERROR(IF(ISNUMBER(INDEX(SPPR!$E:$Z,MATCH($A71,SPPR!$A:$A,0),17)),$C71*INDEX(SPPR!$E:$Z,MATCH($A71,SPPR!$A:$A,0),17),""),"")</f>
        <v/>
      </c>
      <c r="U71">
        <f>IFERROR(IF(ISNUMBER(INDEX(SPPR!$E:$Z,MATCH($A71,SPPR!$A:$A,0),18)),$C71*INDEX(SPPR!$E:$Z,MATCH($A71,SPPR!$A:$A,0),18),""),"")</f>
        <v/>
      </c>
      <c r="V71">
        <f>IFERROR(IF(ISNUMBER(INDEX(SPPR!$E:$Z,MATCH($A71,SPPR!$A:$A,0),19)),$C71*INDEX(SPPR!$E:$Z,MATCH($A71,SPPR!$A:$A,0),19),""),"")</f>
        <v/>
      </c>
      <c r="W71">
        <f>IFERROR(IF(ISNUMBER(INDEX(SPPR!$E:$Z,MATCH($A71,SPPR!$A:$A,0),20)),$C71*INDEX(SPPR!$E:$Z,MATCH($A71,SPPR!$A:$A,0),20),""),"")</f>
        <v/>
      </c>
      <c r="X71">
        <f>IFERROR(IF(ISNUMBER(INDEX(SPPR!$E:$Z,MATCH($A71,SPPR!$A:$A,0),21)),$C71*INDEX(SPPR!$E:$Z,MATCH($A71,SPPR!$A:$A,0),21),""),"")</f>
        <v/>
      </c>
      <c r="Y71">
        <f>IFERROR(IF(ISNUMBER(INDEX(SPPR!$E:$Z,MATCH($A71,SPPR!$A:$A,0),22)),$C71*INDEX(SPPR!$E:$Z,MATCH($A71,SPPR!$A:$A,0),22),""),"")</f>
        <v/>
      </c>
    </row>
    <row r="72">
      <c r="A72" t="inlineStr">
        <is>
          <t>Alepes</t>
        </is>
      </c>
      <c r="B72">
        <f>IFERROR(INDEX(SPPR!$D:$D,MATCH($A72,SPPR!$A:$A,0)),"")</f>
        <v/>
      </c>
      <c r="C72">
        <f>IFERROR(INDEX(Catch!$E:$BV,MATCH($A72,Catch!$A:$A,0),MATCH($B$4,Catch!$E$1:$BV$1,0)),0)</f>
        <v/>
      </c>
      <c r="D72">
        <f>IFERROR(IF(ISNUMBER(INDEX(SPPR!$E:$Z,MATCH($A72,SPPR!$A:$A,0),1)),$C72*INDEX(SPPR!$E:$Z,MATCH($A72,SPPR!$A:$A,0),1),""),"")</f>
        <v/>
      </c>
      <c r="E72">
        <f>IFERROR(IF(ISNUMBER(INDEX(SPPR!$E:$Z,MATCH($A72,SPPR!$A:$A,0),2)),$C72*INDEX(SPPR!$E:$Z,MATCH($A72,SPPR!$A:$A,0),2),""),"")</f>
        <v/>
      </c>
      <c r="F72">
        <f>IFERROR(IF(ISNUMBER(INDEX(SPPR!$E:$Z,MATCH($A72,SPPR!$A:$A,0),3)),$C72*INDEX(SPPR!$E:$Z,MATCH($A72,SPPR!$A:$A,0),3),""),"")</f>
        <v/>
      </c>
      <c r="G72">
        <f>IFERROR(IF(ISNUMBER(INDEX(SPPR!$E:$Z,MATCH($A72,SPPR!$A:$A,0),4)),$C72*INDEX(SPPR!$E:$Z,MATCH($A72,SPPR!$A:$A,0),4),""),"")</f>
        <v/>
      </c>
      <c r="H72">
        <f>IFERROR(IF(ISNUMBER(INDEX(SPPR!$E:$Z,MATCH($A72,SPPR!$A:$A,0),5)),$C72*INDEX(SPPR!$E:$Z,MATCH($A72,SPPR!$A:$A,0),5),""),"")</f>
        <v/>
      </c>
      <c r="I72">
        <f>IFERROR(IF(ISNUMBER(INDEX(SPPR!$E:$Z,MATCH($A72,SPPR!$A:$A,0),6)),$C72*INDEX(SPPR!$E:$Z,MATCH($A72,SPPR!$A:$A,0),6),""),"")</f>
        <v/>
      </c>
      <c r="J72">
        <f>IFERROR(IF(ISNUMBER(INDEX(SPPR!$E:$Z,MATCH($A72,SPPR!$A:$A,0),7)),$C72*INDEX(SPPR!$E:$Z,MATCH($A72,SPPR!$A:$A,0),7),""),"")</f>
        <v/>
      </c>
      <c r="K72">
        <f>IFERROR(IF(ISNUMBER(INDEX(SPPR!$E:$Z,MATCH($A72,SPPR!$A:$A,0),8)),$C72*INDEX(SPPR!$E:$Z,MATCH($A72,SPPR!$A:$A,0),8),""),"")</f>
        <v/>
      </c>
      <c r="L72">
        <f>IFERROR(IF(ISNUMBER(INDEX(SPPR!$E:$Z,MATCH($A72,SPPR!$A:$A,0),9)),$C72*INDEX(SPPR!$E:$Z,MATCH($A72,SPPR!$A:$A,0),9),""),"")</f>
        <v/>
      </c>
      <c r="M72">
        <f>IFERROR(IF(ISNUMBER(INDEX(SPPR!$E:$Z,MATCH($A72,SPPR!$A:$A,0),10)),$C72*INDEX(SPPR!$E:$Z,MATCH($A72,SPPR!$A:$A,0),10),""),"")</f>
        <v/>
      </c>
      <c r="N72">
        <f>IFERROR(IF(ISNUMBER(INDEX(SPPR!$E:$Z,MATCH($A72,SPPR!$A:$A,0),11)),$C72*INDEX(SPPR!$E:$Z,MATCH($A72,SPPR!$A:$A,0),11),""),"")</f>
        <v/>
      </c>
      <c r="O72">
        <f>IFERROR(IF(ISNUMBER(INDEX(SPPR!$E:$Z,MATCH($A72,SPPR!$A:$A,0),12)),$C72*INDEX(SPPR!$E:$Z,MATCH($A72,SPPR!$A:$A,0),12),""),"")</f>
        <v/>
      </c>
      <c r="P72">
        <f>IFERROR(IF(ISNUMBER(INDEX(SPPR!$E:$Z,MATCH($A72,SPPR!$A:$A,0),13)),$C72*INDEX(SPPR!$E:$Z,MATCH($A72,SPPR!$A:$A,0),13),""),"")</f>
        <v/>
      </c>
      <c r="Q72">
        <f>IFERROR(IF(ISNUMBER(INDEX(SPPR!$E:$Z,MATCH($A72,SPPR!$A:$A,0),14)),$C72*INDEX(SPPR!$E:$Z,MATCH($A72,SPPR!$A:$A,0),14),""),"")</f>
        <v/>
      </c>
      <c r="R72">
        <f>IFERROR(IF(ISNUMBER(INDEX(SPPR!$E:$Z,MATCH($A72,SPPR!$A:$A,0),15)),$C72*INDEX(SPPR!$E:$Z,MATCH($A72,SPPR!$A:$A,0),15),""),"")</f>
        <v/>
      </c>
      <c r="S72">
        <f>IFERROR(IF(ISNUMBER(INDEX(SPPR!$E:$Z,MATCH($A72,SPPR!$A:$A,0),16)),$C72*INDEX(SPPR!$E:$Z,MATCH($A72,SPPR!$A:$A,0),16),""),"")</f>
        <v/>
      </c>
      <c r="T72">
        <f>IFERROR(IF(ISNUMBER(INDEX(SPPR!$E:$Z,MATCH($A72,SPPR!$A:$A,0),17)),$C72*INDEX(SPPR!$E:$Z,MATCH($A72,SPPR!$A:$A,0),17),""),"")</f>
        <v/>
      </c>
      <c r="U72">
        <f>IFERROR(IF(ISNUMBER(INDEX(SPPR!$E:$Z,MATCH($A72,SPPR!$A:$A,0),18)),$C72*INDEX(SPPR!$E:$Z,MATCH($A72,SPPR!$A:$A,0),18),""),"")</f>
        <v/>
      </c>
      <c r="V72">
        <f>IFERROR(IF(ISNUMBER(INDEX(SPPR!$E:$Z,MATCH($A72,SPPR!$A:$A,0),19)),$C72*INDEX(SPPR!$E:$Z,MATCH($A72,SPPR!$A:$A,0),19),""),"")</f>
        <v/>
      </c>
      <c r="W72">
        <f>IFERROR(IF(ISNUMBER(INDEX(SPPR!$E:$Z,MATCH($A72,SPPR!$A:$A,0),20)),$C72*INDEX(SPPR!$E:$Z,MATCH($A72,SPPR!$A:$A,0),20),""),"")</f>
        <v/>
      </c>
      <c r="X72">
        <f>IFERROR(IF(ISNUMBER(INDEX(SPPR!$E:$Z,MATCH($A72,SPPR!$A:$A,0),21)),$C72*INDEX(SPPR!$E:$Z,MATCH($A72,SPPR!$A:$A,0),21),""),"")</f>
        <v/>
      </c>
      <c r="Y72">
        <f>IFERROR(IF(ISNUMBER(INDEX(SPPR!$E:$Z,MATCH($A72,SPPR!$A:$A,0),22)),$C72*INDEX(SPPR!$E:$Z,MATCH($A72,SPPR!$A:$A,0),22),""),"")</f>
        <v/>
      </c>
    </row>
    <row r="73">
      <c r="A73" t="inlineStr">
        <is>
          <t>Euthynnus affinis</t>
        </is>
      </c>
      <c r="B73">
        <f>IFERROR(INDEX(SPPR!$D:$D,MATCH($A73,SPPR!$A:$A,0)),"")</f>
        <v/>
      </c>
      <c r="C73">
        <f>IFERROR(INDEX(Catch!$E:$BV,MATCH($A73,Catch!$A:$A,0),MATCH($B$4,Catch!$E$1:$BV$1,0)),0)</f>
        <v/>
      </c>
      <c r="D73">
        <f>IFERROR(IF(ISNUMBER(INDEX(SPPR!$E:$Z,MATCH($A73,SPPR!$A:$A,0),1)),$C73*INDEX(SPPR!$E:$Z,MATCH($A73,SPPR!$A:$A,0),1),""),"")</f>
        <v/>
      </c>
      <c r="E73">
        <f>IFERROR(IF(ISNUMBER(INDEX(SPPR!$E:$Z,MATCH($A73,SPPR!$A:$A,0),2)),$C73*INDEX(SPPR!$E:$Z,MATCH($A73,SPPR!$A:$A,0),2),""),"")</f>
        <v/>
      </c>
      <c r="F73">
        <f>IFERROR(IF(ISNUMBER(INDEX(SPPR!$E:$Z,MATCH($A73,SPPR!$A:$A,0),3)),$C73*INDEX(SPPR!$E:$Z,MATCH($A73,SPPR!$A:$A,0),3),""),"")</f>
        <v/>
      </c>
      <c r="G73">
        <f>IFERROR(IF(ISNUMBER(INDEX(SPPR!$E:$Z,MATCH($A73,SPPR!$A:$A,0),4)),$C73*INDEX(SPPR!$E:$Z,MATCH($A73,SPPR!$A:$A,0),4),""),"")</f>
        <v/>
      </c>
      <c r="H73">
        <f>IFERROR(IF(ISNUMBER(INDEX(SPPR!$E:$Z,MATCH($A73,SPPR!$A:$A,0),5)),$C73*INDEX(SPPR!$E:$Z,MATCH($A73,SPPR!$A:$A,0),5),""),"")</f>
        <v/>
      </c>
      <c r="I73">
        <f>IFERROR(IF(ISNUMBER(INDEX(SPPR!$E:$Z,MATCH($A73,SPPR!$A:$A,0),6)),$C73*INDEX(SPPR!$E:$Z,MATCH($A73,SPPR!$A:$A,0),6),""),"")</f>
        <v/>
      </c>
      <c r="J73">
        <f>IFERROR(IF(ISNUMBER(INDEX(SPPR!$E:$Z,MATCH($A73,SPPR!$A:$A,0),7)),$C73*INDEX(SPPR!$E:$Z,MATCH($A73,SPPR!$A:$A,0),7),""),"")</f>
        <v/>
      </c>
      <c r="K73">
        <f>IFERROR(IF(ISNUMBER(INDEX(SPPR!$E:$Z,MATCH($A73,SPPR!$A:$A,0),8)),$C73*INDEX(SPPR!$E:$Z,MATCH($A73,SPPR!$A:$A,0),8),""),"")</f>
        <v/>
      </c>
      <c r="L73">
        <f>IFERROR(IF(ISNUMBER(INDEX(SPPR!$E:$Z,MATCH($A73,SPPR!$A:$A,0),9)),$C73*INDEX(SPPR!$E:$Z,MATCH($A73,SPPR!$A:$A,0),9),""),"")</f>
        <v/>
      </c>
      <c r="M73">
        <f>IFERROR(IF(ISNUMBER(INDEX(SPPR!$E:$Z,MATCH($A73,SPPR!$A:$A,0),10)),$C73*INDEX(SPPR!$E:$Z,MATCH($A73,SPPR!$A:$A,0),10),""),"")</f>
        <v/>
      </c>
      <c r="N73">
        <f>IFERROR(IF(ISNUMBER(INDEX(SPPR!$E:$Z,MATCH($A73,SPPR!$A:$A,0),11)),$C73*INDEX(SPPR!$E:$Z,MATCH($A73,SPPR!$A:$A,0),11),""),"")</f>
        <v/>
      </c>
      <c r="O73">
        <f>IFERROR(IF(ISNUMBER(INDEX(SPPR!$E:$Z,MATCH($A73,SPPR!$A:$A,0),12)),$C73*INDEX(SPPR!$E:$Z,MATCH($A73,SPPR!$A:$A,0),12),""),"")</f>
        <v/>
      </c>
      <c r="P73">
        <f>IFERROR(IF(ISNUMBER(INDEX(SPPR!$E:$Z,MATCH($A73,SPPR!$A:$A,0),13)),$C73*INDEX(SPPR!$E:$Z,MATCH($A73,SPPR!$A:$A,0),13),""),"")</f>
        <v/>
      </c>
      <c r="Q73">
        <f>IFERROR(IF(ISNUMBER(INDEX(SPPR!$E:$Z,MATCH($A73,SPPR!$A:$A,0),14)),$C73*INDEX(SPPR!$E:$Z,MATCH($A73,SPPR!$A:$A,0),14),""),"")</f>
        <v/>
      </c>
      <c r="R73">
        <f>IFERROR(IF(ISNUMBER(INDEX(SPPR!$E:$Z,MATCH($A73,SPPR!$A:$A,0),15)),$C73*INDEX(SPPR!$E:$Z,MATCH($A73,SPPR!$A:$A,0),15),""),"")</f>
        <v/>
      </c>
      <c r="S73">
        <f>IFERROR(IF(ISNUMBER(INDEX(SPPR!$E:$Z,MATCH($A73,SPPR!$A:$A,0),16)),$C73*INDEX(SPPR!$E:$Z,MATCH($A73,SPPR!$A:$A,0),16),""),"")</f>
        <v/>
      </c>
      <c r="T73">
        <f>IFERROR(IF(ISNUMBER(INDEX(SPPR!$E:$Z,MATCH($A73,SPPR!$A:$A,0),17)),$C73*INDEX(SPPR!$E:$Z,MATCH($A73,SPPR!$A:$A,0),17),""),"")</f>
        <v/>
      </c>
      <c r="U73">
        <f>IFERROR(IF(ISNUMBER(INDEX(SPPR!$E:$Z,MATCH($A73,SPPR!$A:$A,0),18)),$C73*INDEX(SPPR!$E:$Z,MATCH($A73,SPPR!$A:$A,0),18),""),"")</f>
        <v/>
      </c>
      <c r="V73">
        <f>IFERROR(IF(ISNUMBER(INDEX(SPPR!$E:$Z,MATCH($A73,SPPR!$A:$A,0),19)),$C73*INDEX(SPPR!$E:$Z,MATCH($A73,SPPR!$A:$A,0),19),""),"")</f>
        <v/>
      </c>
      <c r="W73">
        <f>IFERROR(IF(ISNUMBER(INDEX(SPPR!$E:$Z,MATCH($A73,SPPR!$A:$A,0),20)),$C73*INDEX(SPPR!$E:$Z,MATCH($A73,SPPR!$A:$A,0),20),""),"")</f>
        <v/>
      </c>
      <c r="X73">
        <f>IFERROR(IF(ISNUMBER(INDEX(SPPR!$E:$Z,MATCH($A73,SPPR!$A:$A,0),21)),$C73*INDEX(SPPR!$E:$Z,MATCH($A73,SPPR!$A:$A,0),21),""),"")</f>
        <v/>
      </c>
      <c r="Y73">
        <f>IFERROR(IF(ISNUMBER(INDEX(SPPR!$E:$Z,MATCH($A73,SPPR!$A:$A,0),22)),$C73*INDEX(SPPR!$E:$Z,MATCH($A73,SPPR!$A:$A,0),22),""),"")</f>
        <v/>
      </c>
    </row>
    <row r="74">
      <c r="A74" t="inlineStr">
        <is>
          <t>Trichiurus</t>
        </is>
      </c>
      <c r="B74">
        <f>IFERROR(INDEX(SPPR!$D:$D,MATCH($A74,SPPR!$A:$A,0)),"")</f>
        <v/>
      </c>
      <c r="C74">
        <f>IFERROR(INDEX(Catch!$E:$BV,MATCH($A74,Catch!$A:$A,0),MATCH($B$4,Catch!$E$1:$BV$1,0)),0)</f>
        <v/>
      </c>
      <c r="D74">
        <f>IFERROR(IF(ISNUMBER(INDEX(SPPR!$E:$Z,MATCH($A74,SPPR!$A:$A,0),1)),$C74*INDEX(SPPR!$E:$Z,MATCH($A74,SPPR!$A:$A,0),1),""),"")</f>
        <v/>
      </c>
      <c r="E74">
        <f>IFERROR(IF(ISNUMBER(INDEX(SPPR!$E:$Z,MATCH($A74,SPPR!$A:$A,0),2)),$C74*INDEX(SPPR!$E:$Z,MATCH($A74,SPPR!$A:$A,0),2),""),"")</f>
        <v/>
      </c>
      <c r="F74">
        <f>IFERROR(IF(ISNUMBER(INDEX(SPPR!$E:$Z,MATCH($A74,SPPR!$A:$A,0),3)),$C74*INDEX(SPPR!$E:$Z,MATCH($A74,SPPR!$A:$A,0),3),""),"")</f>
        <v/>
      </c>
      <c r="G74">
        <f>IFERROR(IF(ISNUMBER(INDEX(SPPR!$E:$Z,MATCH($A74,SPPR!$A:$A,0),4)),$C74*INDEX(SPPR!$E:$Z,MATCH($A74,SPPR!$A:$A,0),4),""),"")</f>
        <v/>
      </c>
      <c r="H74">
        <f>IFERROR(IF(ISNUMBER(INDEX(SPPR!$E:$Z,MATCH($A74,SPPR!$A:$A,0),5)),$C74*INDEX(SPPR!$E:$Z,MATCH($A74,SPPR!$A:$A,0),5),""),"")</f>
        <v/>
      </c>
      <c r="I74">
        <f>IFERROR(IF(ISNUMBER(INDEX(SPPR!$E:$Z,MATCH($A74,SPPR!$A:$A,0),6)),$C74*INDEX(SPPR!$E:$Z,MATCH($A74,SPPR!$A:$A,0),6),""),"")</f>
        <v/>
      </c>
      <c r="J74">
        <f>IFERROR(IF(ISNUMBER(INDEX(SPPR!$E:$Z,MATCH($A74,SPPR!$A:$A,0),7)),$C74*INDEX(SPPR!$E:$Z,MATCH($A74,SPPR!$A:$A,0),7),""),"")</f>
        <v/>
      </c>
      <c r="K74">
        <f>IFERROR(IF(ISNUMBER(INDEX(SPPR!$E:$Z,MATCH($A74,SPPR!$A:$A,0),8)),$C74*INDEX(SPPR!$E:$Z,MATCH($A74,SPPR!$A:$A,0),8),""),"")</f>
        <v/>
      </c>
      <c r="L74">
        <f>IFERROR(IF(ISNUMBER(INDEX(SPPR!$E:$Z,MATCH($A74,SPPR!$A:$A,0),9)),$C74*INDEX(SPPR!$E:$Z,MATCH($A74,SPPR!$A:$A,0),9),""),"")</f>
        <v/>
      </c>
      <c r="M74">
        <f>IFERROR(IF(ISNUMBER(INDEX(SPPR!$E:$Z,MATCH($A74,SPPR!$A:$A,0),10)),$C74*INDEX(SPPR!$E:$Z,MATCH($A74,SPPR!$A:$A,0),10),""),"")</f>
        <v/>
      </c>
      <c r="N74">
        <f>IFERROR(IF(ISNUMBER(INDEX(SPPR!$E:$Z,MATCH($A74,SPPR!$A:$A,0),11)),$C74*INDEX(SPPR!$E:$Z,MATCH($A74,SPPR!$A:$A,0),11),""),"")</f>
        <v/>
      </c>
      <c r="O74">
        <f>IFERROR(IF(ISNUMBER(INDEX(SPPR!$E:$Z,MATCH($A74,SPPR!$A:$A,0),12)),$C74*INDEX(SPPR!$E:$Z,MATCH($A74,SPPR!$A:$A,0),12),""),"")</f>
        <v/>
      </c>
      <c r="P74">
        <f>IFERROR(IF(ISNUMBER(INDEX(SPPR!$E:$Z,MATCH($A74,SPPR!$A:$A,0),13)),$C74*INDEX(SPPR!$E:$Z,MATCH($A74,SPPR!$A:$A,0),13),""),"")</f>
        <v/>
      </c>
      <c r="Q74">
        <f>IFERROR(IF(ISNUMBER(INDEX(SPPR!$E:$Z,MATCH($A74,SPPR!$A:$A,0),14)),$C74*INDEX(SPPR!$E:$Z,MATCH($A74,SPPR!$A:$A,0),14),""),"")</f>
        <v/>
      </c>
      <c r="R74">
        <f>IFERROR(IF(ISNUMBER(INDEX(SPPR!$E:$Z,MATCH($A74,SPPR!$A:$A,0),15)),$C74*INDEX(SPPR!$E:$Z,MATCH($A74,SPPR!$A:$A,0),15),""),"")</f>
        <v/>
      </c>
      <c r="S74">
        <f>IFERROR(IF(ISNUMBER(INDEX(SPPR!$E:$Z,MATCH($A74,SPPR!$A:$A,0),16)),$C74*INDEX(SPPR!$E:$Z,MATCH($A74,SPPR!$A:$A,0),16),""),"")</f>
        <v/>
      </c>
      <c r="T74">
        <f>IFERROR(IF(ISNUMBER(INDEX(SPPR!$E:$Z,MATCH($A74,SPPR!$A:$A,0),17)),$C74*INDEX(SPPR!$E:$Z,MATCH($A74,SPPR!$A:$A,0),17),""),"")</f>
        <v/>
      </c>
      <c r="U74">
        <f>IFERROR(IF(ISNUMBER(INDEX(SPPR!$E:$Z,MATCH($A74,SPPR!$A:$A,0),18)),$C74*INDEX(SPPR!$E:$Z,MATCH($A74,SPPR!$A:$A,0),18),""),"")</f>
        <v/>
      </c>
      <c r="V74">
        <f>IFERROR(IF(ISNUMBER(INDEX(SPPR!$E:$Z,MATCH($A74,SPPR!$A:$A,0),19)),$C74*INDEX(SPPR!$E:$Z,MATCH($A74,SPPR!$A:$A,0),19),""),"")</f>
        <v/>
      </c>
      <c r="W74">
        <f>IFERROR(IF(ISNUMBER(INDEX(SPPR!$E:$Z,MATCH($A74,SPPR!$A:$A,0),20)),$C74*INDEX(SPPR!$E:$Z,MATCH($A74,SPPR!$A:$A,0),20),""),"")</f>
        <v/>
      </c>
      <c r="X74">
        <f>IFERROR(IF(ISNUMBER(INDEX(SPPR!$E:$Z,MATCH($A74,SPPR!$A:$A,0),21)),$C74*INDEX(SPPR!$E:$Z,MATCH($A74,SPPR!$A:$A,0),21),""),"")</f>
        <v/>
      </c>
      <c r="Y74">
        <f>IFERROR(IF(ISNUMBER(INDEX(SPPR!$E:$Z,MATCH($A74,SPPR!$A:$A,0),22)),$C74*INDEX(SPPR!$E:$Z,MATCH($A74,SPPR!$A:$A,0),22),""),"")</f>
        <v/>
      </c>
    </row>
    <row r="75">
      <c r="A75" t="inlineStr">
        <is>
          <t>Portunus pelagicus</t>
        </is>
      </c>
      <c r="B75">
        <f>IFERROR(INDEX(SPPR!$D:$D,MATCH($A75,SPPR!$A:$A,0)),"")</f>
        <v/>
      </c>
      <c r="C75">
        <f>IFERROR(INDEX(Catch!$E:$BV,MATCH($A75,Catch!$A:$A,0),MATCH($B$4,Catch!$E$1:$BV$1,0)),0)</f>
        <v/>
      </c>
      <c r="D75">
        <f>IFERROR(IF(ISNUMBER(INDEX(SPPR!$E:$Z,MATCH($A75,SPPR!$A:$A,0),1)),$C75*INDEX(SPPR!$E:$Z,MATCH($A75,SPPR!$A:$A,0),1),""),"")</f>
        <v/>
      </c>
      <c r="E75">
        <f>IFERROR(IF(ISNUMBER(INDEX(SPPR!$E:$Z,MATCH($A75,SPPR!$A:$A,0),2)),$C75*INDEX(SPPR!$E:$Z,MATCH($A75,SPPR!$A:$A,0),2),""),"")</f>
        <v/>
      </c>
      <c r="F75">
        <f>IFERROR(IF(ISNUMBER(INDEX(SPPR!$E:$Z,MATCH($A75,SPPR!$A:$A,0),3)),$C75*INDEX(SPPR!$E:$Z,MATCH($A75,SPPR!$A:$A,0),3),""),"")</f>
        <v/>
      </c>
      <c r="G75">
        <f>IFERROR(IF(ISNUMBER(INDEX(SPPR!$E:$Z,MATCH($A75,SPPR!$A:$A,0),4)),$C75*INDEX(SPPR!$E:$Z,MATCH($A75,SPPR!$A:$A,0),4),""),"")</f>
        <v/>
      </c>
      <c r="H75">
        <f>IFERROR(IF(ISNUMBER(INDEX(SPPR!$E:$Z,MATCH($A75,SPPR!$A:$A,0),5)),$C75*INDEX(SPPR!$E:$Z,MATCH($A75,SPPR!$A:$A,0),5),""),"")</f>
        <v/>
      </c>
      <c r="I75">
        <f>IFERROR(IF(ISNUMBER(INDEX(SPPR!$E:$Z,MATCH($A75,SPPR!$A:$A,0),6)),$C75*INDEX(SPPR!$E:$Z,MATCH($A75,SPPR!$A:$A,0),6),""),"")</f>
        <v/>
      </c>
      <c r="J75">
        <f>IFERROR(IF(ISNUMBER(INDEX(SPPR!$E:$Z,MATCH($A75,SPPR!$A:$A,0),7)),$C75*INDEX(SPPR!$E:$Z,MATCH($A75,SPPR!$A:$A,0),7),""),"")</f>
        <v/>
      </c>
      <c r="K75">
        <f>IFERROR(IF(ISNUMBER(INDEX(SPPR!$E:$Z,MATCH($A75,SPPR!$A:$A,0),8)),$C75*INDEX(SPPR!$E:$Z,MATCH($A75,SPPR!$A:$A,0),8),""),"")</f>
        <v/>
      </c>
      <c r="L75">
        <f>IFERROR(IF(ISNUMBER(INDEX(SPPR!$E:$Z,MATCH($A75,SPPR!$A:$A,0),9)),$C75*INDEX(SPPR!$E:$Z,MATCH($A75,SPPR!$A:$A,0),9),""),"")</f>
        <v/>
      </c>
      <c r="M75">
        <f>IFERROR(IF(ISNUMBER(INDEX(SPPR!$E:$Z,MATCH($A75,SPPR!$A:$A,0),10)),$C75*INDEX(SPPR!$E:$Z,MATCH($A75,SPPR!$A:$A,0),10),""),"")</f>
        <v/>
      </c>
      <c r="N75">
        <f>IFERROR(IF(ISNUMBER(INDEX(SPPR!$E:$Z,MATCH($A75,SPPR!$A:$A,0),11)),$C75*INDEX(SPPR!$E:$Z,MATCH($A75,SPPR!$A:$A,0),11),""),"")</f>
        <v/>
      </c>
      <c r="O75">
        <f>IFERROR(IF(ISNUMBER(INDEX(SPPR!$E:$Z,MATCH($A75,SPPR!$A:$A,0),12)),$C75*INDEX(SPPR!$E:$Z,MATCH($A75,SPPR!$A:$A,0),12),""),"")</f>
        <v/>
      </c>
      <c r="P75">
        <f>IFERROR(IF(ISNUMBER(INDEX(SPPR!$E:$Z,MATCH($A75,SPPR!$A:$A,0),13)),$C75*INDEX(SPPR!$E:$Z,MATCH($A75,SPPR!$A:$A,0),13),""),"")</f>
        <v/>
      </c>
      <c r="Q75">
        <f>IFERROR(IF(ISNUMBER(INDEX(SPPR!$E:$Z,MATCH($A75,SPPR!$A:$A,0),14)),$C75*INDEX(SPPR!$E:$Z,MATCH($A75,SPPR!$A:$A,0),14),""),"")</f>
        <v/>
      </c>
      <c r="R75">
        <f>IFERROR(IF(ISNUMBER(INDEX(SPPR!$E:$Z,MATCH($A75,SPPR!$A:$A,0),15)),$C75*INDEX(SPPR!$E:$Z,MATCH($A75,SPPR!$A:$A,0),15),""),"")</f>
        <v/>
      </c>
      <c r="S75">
        <f>IFERROR(IF(ISNUMBER(INDEX(SPPR!$E:$Z,MATCH($A75,SPPR!$A:$A,0),16)),$C75*INDEX(SPPR!$E:$Z,MATCH($A75,SPPR!$A:$A,0),16),""),"")</f>
        <v/>
      </c>
      <c r="T75">
        <f>IFERROR(IF(ISNUMBER(INDEX(SPPR!$E:$Z,MATCH($A75,SPPR!$A:$A,0),17)),$C75*INDEX(SPPR!$E:$Z,MATCH($A75,SPPR!$A:$A,0),17),""),"")</f>
        <v/>
      </c>
      <c r="U75">
        <f>IFERROR(IF(ISNUMBER(INDEX(SPPR!$E:$Z,MATCH($A75,SPPR!$A:$A,0),18)),$C75*INDEX(SPPR!$E:$Z,MATCH($A75,SPPR!$A:$A,0),18),""),"")</f>
        <v/>
      </c>
      <c r="V75">
        <f>IFERROR(IF(ISNUMBER(INDEX(SPPR!$E:$Z,MATCH($A75,SPPR!$A:$A,0),19)),$C75*INDEX(SPPR!$E:$Z,MATCH($A75,SPPR!$A:$A,0),19),""),"")</f>
        <v/>
      </c>
      <c r="W75">
        <f>IFERROR(IF(ISNUMBER(INDEX(SPPR!$E:$Z,MATCH($A75,SPPR!$A:$A,0),20)),$C75*INDEX(SPPR!$E:$Z,MATCH($A75,SPPR!$A:$A,0),20),""),"")</f>
        <v/>
      </c>
      <c r="X75">
        <f>IFERROR(IF(ISNUMBER(INDEX(SPPR!$E:$Z,MATCH($A75,SPPR!$A:$A,0),21)),$C75*INDEX(SPPR!$E:$Z,MATCH($A75,SPPR!$A:$A,0),21),""),"")</f>
        <v/>
      </c>
      <c r="Y75">
        <f>IFERROR(IF(ISNUMBER(INDEX(SPPR!$E:$Z,MATCH($A75,SPPR!$A:$A,0),22)),$C75*INDEX(SPPR!$E:$Z,MATCH($A75,SPPR!$A:$A,0),22),""),"")</f>
        <v/>
      </c>
    </row>
    <row r="76">
      <c r="A76" t="inlineStr">
        <is>
          <t>Penaeus merguiensis</t>
        </is>
      </c>
      <c r="B76">
        <f>IFERROR(INDEX(SPPR!$D:$D,MATCH($A76,SPPR!$A:$A,0)),"")</f>
        <v/>
      </c>
      <c r="C76">
        <f>IFERROR(INDEX(Catch!$E:$BV,MATCH($A76,Catch!$A:$A,0),MATCH($B$4,Catch!$E$1:$BV$1,0)),0)</f>
        <v/>
      </c>
      <c r="D76">
        <f>IFERROR(IF(ISNUMBER(INDEX(SPPR!$E:$Z,MATCH($A76,SPPR!$A:$A,0),1)),$C76*INDEX(SPPR!$E:$Z,MATCH($A76,SPPR!$A:$A,0),1),""),"")</f>
        <v/>
      </c>
      <c r="E76">
        <f>IFERROR(IF(ISNUMBER(INDEX(SPPR!$E:$Z,MATCH($A76,SPPR!$A:$A,0),2)),$C76*INDEX(SPPR!$E:$Z,MATCH($A76,SPPR!$A:$A,0),2),""),"")</f>
        <v/>
      </c>
      <c r="F76">
        <f>IFERROR(IF(ISNUMBER(INDEX(SPPR!$E:$Z,MATCH($A76,SPPR!$A:$A,0),3)),$C76*INDEX(SPPR!$E:$Z,MATCH($A76,SPPR!$A:$A,0),3),""),"")</f>
        <v/>
      </c>
      <c r="G76">
        <f>IFERROR(IF(ISNUMBER(INDEX(SPPR!$E:$Z,MATCH($A76,SPPR!$A:$A,0),4)),$C76*INDEX(SPPR!$E:$Z,MATCH($A76,SPPR!$A:$A,0),4),""),"")</f>
        <v/>
      </c>
      <c r="H76">
        <f>IFERROR(IF(ISNUMBER(INDEX(SPPR!$E:$Z,MATCH($A76,SPPR!$A:$A,0),5)),$C76*INDEX(SPPR!$E:$Z,MATCH($A76,SPPR!$A:$A,0),5),""),"")</f>
        <v/>
      </c>
      <c r="I76">
        <f>IFERROR(IF(ISNUMBER(INDEX(SPPR!$E:$Z,MATCH($A76,SPPR!$A:$A,0),6)),$C76*INDEX(SPPR!$E:$Z,MATCH($A76,SPPR!$A:$A,0),6),""),"")</f>
        <v/>
      </c>
      <c r="J76">
        <f>IFERROR(IF(ISNUMBER(INDEX(SPPR!$E:$Z,MATCH($A76,SPPR!$A:$A,0),7)),$C76*INDEX(SPPR!$E:$Z,MATCH($A76,SPPR!$A:$A,0),7),""),"")</f>
        <v/>
      </c>
      <c r="K76">
        <f>IFERROR(IF(ISNUMBER(INDEX(SPPR!$E:$Z,MATCH($A76,SPPR!$A:$A,0),8)),$C76*INDEX(SPPR!$E:$Z,MATCH($A76,SPPR!$A:$A,0),8),""),"")</f>
        <v/>
      </c>
      <c r="L76">
        <f>IFERROR(IF(ISNUMBER(INDEX(SPPR!$E:$Z,MATCH($A76,SPPR!$A:$A,0),9)),$C76*INDEX(SPPR!$E:$Z,MATCH($A76,SPPR!$A:$A,0),9),""),"")</f>
        <v/>
      </c>
      <c r="M76">
        <f>IFERROR(IF(ISNUMBER(INDEX(SPPR!$E:$Z,MATCH($A76,SPPR!$A:$A,0),10)),$C76*INDEX(SPPR!$E:$Z,MATCH($A76,SPPR!$A:$A,0),10),""),"")</f>
        <v/>
      </c>
      <c r="N76">
        <f>IFERROR(IF(ISNUMBER(INDEX(SPPR!$E:$Z,MATCH($A76,SPPR!$A:$A,0),11)),$C76*INDEX(SPPR!$E:$Z,MATCH($A76,SPPR!$A:$A,0),11),""),"")</f>
        <v/>
      </c>
      <c r="O76">
        <f>IFERROR(IF(ISNUMBER(INDEX(SPPR!$E:$Z,MATCH($A76,SPPR!$A:$A,0),12)),$C76*INDEX(SPPR!$E:$Z,MATCH($A76,SPPR!$A:$A,0),12),""),"")</f>
        <v/>
      </c>
      <c r="P76">
        <f>IFERROR(IF(ISNUMBER(INDEX(SPPR!$E:$Z,MATCH($A76,SPPR!$A:$A,0),13)),$C76*INDEX(SPPR!$E:$Z,MATCH($A76,SPPR!$A:$A,0),13),""),"")</f>
        <v/>
      </c>
      <c r="Q76">
        <f>IFERROR(IF(ISNUMBER(INDEX(SPPR!$E:$Z,MATCH($A76,SPPR!$A:$A,0),14)),$C76*INDEX(SPPR!$E:$Z,MATCH($A76,SPPR!$A:$A,0),14),""),"")</f>
        <v/>
      </c>
      <c r="R76">
        <f>IFERROR(IF(ISNUMBER(INDEX(SPPR!$E:$Z,MATCH($A76,SPPR!$A:$A,0),15)),$C76*INDEX(SPPR!$E:$Z,MATCH($A76,SPPR!$A:$A,0),15),""),"")</f>
        <v/>
      </c>
      <c r="S76">
        <f>IFERROR(IF(ISNUMBER(INDEX(SPPR!$E:$Z,MATCH($A76,SPPR!$A:$A,0),16)),$C76*INDEX(SPPR!$E:$Z,MATCH($A76,SPPR!$A:$A,0),16),""),"")</f>
        <v/>
      </c>
      <c r="T76">
        <f>IFERROR(IF(ISNUMBER(INDEX(SPPR!$E:$Z,MATCH($A76,SPPR!$A:$A,0),17)),$C76*INDEX(SPPR!$E:$Z,MATCH($A76,SPPR!$A:$A,0),17),""),"")</f>
        <v/>
      </c>
      <c r="U76">
        <f>IFERROR(IF(ISNUMBER(INDEX(SPPR!$E:$Z,MATCH($A76,SPPR!$A:$A,0),18)),$C76*INDEX(SPPR!$E:$Z,MATCH($A76,SPPR!$A:$A,0),18),""),"")</f>
        <v/>
      </c>
      <c r="V76">
        <f>IFERROR(IF(ISNUMBER(INDEX(SPPR!$E:$Z,MATCH($A76,SPPR!$A:$A,0),19)),$C76*INDEX(SPPR!$E:$Z,MATCH($A76,SPPR!$A:$A,0),19),""),"")</f>
        <v/>
      </c>
      <c r="W76">
        <f>IFERROR(IF(ISNUMBER(INDEX(SPPR!$E:$Z,MATCH($A76,SPPR!$A:$A,0),20)),$C76*INDEX(SPPR!$E:$Z,MATCH($A76,SPPR!$A:$A,0),20),""),"")</f>
        <v/>
      </c>
      <c r="X76">
        <f>IFERROR(IF(ISNUMBER(INDEX(SPPR!$E:$Z,MATCH($A76,SPPR!$A:$A,0),21)),$C76*INDEX(SPPR!$E:$Z,MATCH($A76,SPPR!$A:$A,0),21),""),"")</f>
        <v/>
      </c>
      <c r="Y76">
        <f>IFERROR(IF(ISNUMBER(INDEX(SPPR!$E:$Z,MATCH($A76,SPPR!$A:$A,0),22)),$C76*INDEX(SPPR!$E:$Z,MATCH($A76,SPPR!$A:$A,0),22),""),"")</f>
        <v/>
      </c>
    </row>
    <row r="77">
      <c r="A77" t="inlineStr">
        <is>
          <t>Metapenaeus</t>
        </is>
      </c>
      <c r="B77">
        <f>IFERROR(INDEX(SPPR!$D:$D,MATCH($A77,SPPR!$A:$A,0)),"")</f>
        <v/>
      </c>
      <c r="C77">
        <f>IFERROR(INDEX(Catch!$E:$BV,MATCH($A77,Catch!$A:$A,0),MATCH($B$4,Catch!$E$1:$BV$1,0)),0)</f>
        <v/>
      </c>
      <c r="D77">
        <f>IFERROR(IF(ISNUMBER(INDEX(SPPR!$E:$Z,MATCH($A77,SPPR!$A:$A,0),1)),$C77*INDEX(SPPR!$E:$Z,MATCH($A77,SPPR!$A:$A,0),1),""),"")</f>
        <v/>
      </c>
      <c r="E77">
        <f>IFERROR(IF(ISNUMBER(INDEX(SPPR!$E:$Z,MATCH($A77,SPPR!$A:$A,0),2)),$C77*INDEX(SPPR!$E:$Z,MATCH($A77,SPPR!$A:$A,0),2),""),"")</f>
        <v/>
      </c>
      <c r="F77">
        <f>IFERROR(IF(ISNUMBER(INDEX(SPPR!$E:$Z,MATCH($A77,SPPR!$A:$A,0),3)),$C77*INDEX(SPPR!$E:$Z,MATCH($A77,SPPR!$A:$A,0),3),""),"")</f>
        <v/>
      </c>
      <c r="G77">
        <f>IFERROR(IF(ISNUMBER(INDEX(SPPR!$E:$Z,MATCH($A77,SPPR!$A:$A,0),4)),$C77*INDEX(SPPR!$E:$Z,MATCH($A77,SPPR!$A:$A,0),4),""),"")</f>
        <v/>
      </c>
      <c r="H77">
        <f>IFERROR(IF(ISNUMBER(INDEX(SPPR!$E:$Z,MATCH($A77,SPPR!$A:$A,0),5)),$C77*INDEX(SPPR!$E:$Z,MATCH($A77,SPPR!$A:$A,0),5),""),"")</f>
        <v/>
      </c>
      <c r="I77">
        <f>IFERROR(IF(ISNUMBER(INDEX(SPPR!$E:$Z,MATCH($A77,SPPR!$A:$A,0),6)),$C77*INDEX(SPPR!$E:$Z,MATCH($A77,SPPR!$A:$A,0),6),""),"")</f>
        <v/>
      </c>
      <c r="J77">
        <f>IFERROR(IF(ISNUMBER(INDEX(SPPR!$E:$Z,MATCH($A77,SPPR!$A:$A,0),7)),$C77*INDEX(SPPR!$E:$Z,MATCH($A77,SPPR!$A:$A,0),7),""),"")</f>
        <v/>
      </c>
      <c r="K77">
        <f>IFERROR(IF(ISNUMBER(INDEX(SPPR!$E:$Z,MATCH($A77,SPPR!$A:$A,0),8)),$C77*INDEX(SPPR!$E:$Z,MATCH($A77,SPPR!$A:$A,0),8),""),"")</f>
        <v/>
      </c>
      <c r="L77">
        <f>IFERROR(IF(ISNUMBER(INDEX(SPPR!$E:$Z,MATCH($A77,SPPR!$A:$A,0),9)),$C77*INDEX(SPPR!$E:$Z,MATCH($A77,SPPR!$A:$A,0),9),""),"")</f>
        <v/>
      </c>
      <c r="M77">
        <f>IFERROR(IF(ISNUMBER(INDEX(SPPR!$E:$Z,MATCH($A77,SPPR!$A:$A,0),10)),$C77*INDEX(SPPR!$E:$Z,MATCH($A77,SPPR!$A:$A,0),10),""),"")</f>
        <v/>
      </c>
      <c r="N77">
        <f>IFERROR(IF(ISNUMBER(INDEX(SPPR!$E:$Z,MATCH($A77,SPPR!$A:$A,0),11)),$C77*INDEX(SPPR!$E:$Z,MATCH($A77,SPPR!$A:$A,0),11),""),"")</f>
        <v/>
      </c>
      <c r="O77">
        <f>IFERROR(IF(ISNUMBER(INDEX(SPPR!$E:$Z,MATCH($A77,SPPR!$A:$A,0),12)),$C77*INDEX(SPPR!$E:$Z,MATCH($A77,SPPR!$A:$A,0),12),""),"")</f>
        <v/>
      </c>
      <c r="P77">
        <f>IFERROR(IF(ISNUMBER(INDEX(SPPR!$E:$Z,MATCH($A77,SPPR!$A:$A,0),13)),$C77*INDEX(SPPR!$E:$Z,MATCH($A77,SPPR!$A:$A,0),13),""),"")</f>
        <v/>
      </c>
      <c r="Q77">
        <f>IFERROR(IF(ISNUMBER(INDEX(SPPR!$E:$Z,MATCH($A77,SPPR!$A:$A,0),14)),$C77*INDEX(SPPR!$E:$Z,MATCH($A77,SPPR!$A:$A,0),14),""),"")</f>
        <v/>
      </c>
      <c r="R77">
        <f>IFERROR(IF(ISNUMBER(INDEX(SPPR!$E:$Z,MATCH($A77,SPPR!$A:$A,0),15)),$C77*INDEX(SPPR!$E:$Z,MATCH($A77,SPPR!$A:$A,0),15),""),"")</f>
        <v/>
      </c>
      <c r="S77">
        <f>IFERROR(IF(ISNUMBER(INDEX(SPPR!$E:$Z,MATCH($A77,SPPR!$A:$A,0),16)),$C77*INDEX(SPPR!$E:$Z,MATCH($A77,SPPR!$A:$A,0),16),""),"")</f>
        <v/>
      </c>
      <c r="T77">
        <f>IFERROR(IF(ISNUMBER(INDEX(SPPR!$E:$Z,MATCH($A77,SPPR!$A:$A,0),17)),$C77*INDEX(SPPR!$E:$Z,MATCH($A77,SPPR!$A:$A,0),17),""),"")</f>
        <v/>
      </c>
      <c r="U77">
        <f>IFERROR(IF(ISNUMBER(INDEX(SPPR!$E:$Z,MATCH($A77,SPPR!$A:$A,0),18)),$C77*INDEX(SPPR!$E:$Z,MATCH($A77,SPPR!$A:$A,0),18),""),"")</f>
        <v/>
      </c>
      <c r="V77">
        <f>IFERROR(IF(ISNUMBER(INDEX(SPPR!$E:$Z,MATCH($A77,SPPR!$A:$A,0),19)),$C77*INDEX(SPPR!$E:$Z,MATCH($A77,SPPR!$A:$A,0),19),""),"")</f>
        <v/>
      </c>
      <c r="W77">
        <f>IFERROR(IF(ISNUMBER(INDEX(SPPR!$E:$Z,MATCH($A77,SPPR!$A:$A,0),20)),$C77*INDEX(SPPR!$E:$Z,MATCH($A77,SPPR!$A:$A,0),20),""),"")</f>
        <v/>
      </c>
      <c r="X77">
        <f>IFERROR(IF(ISNUMBER(INDEX(SPPR!$E:$Z,MATCH($A77,SPPR!$A:$A,0),21)),$C77*INDEX(SPPR!$E:$Z,MATCH($A77,SPPR!$A:$A,0),21),""),"")</f>
        <v/>
      </c>
      <c r="Y77">
        <f>IFERROR(IF(ISNUMBER(INDEX(SPPR!$E:$Z,MATCH($A77,SPPR!$A:$A,0),22)),$C77*INDEX(SPPR!$E:$Z,MATCH($A77,SPPR!$A:$A,0),22),""),"")</f>
        <v/>
      </c>
    </row>
    <row r="78">
      <c r="A78" t="inlineStr">
        <is>
          <t>Tegillarca granosa</t>
        </is>
      </c>
      <c r="B78">
        <f>IFERROR(INDEX(SPPR!$D:$D,MATCH($A78,SPPR!$A:$A,0)),"")</f>
        <v/>
      </c>
      <c r="C78">
        <f>IFERROR(INDEX(Catch!$E:$BV,MATCH($A78,Catch!$A:$A,0),MATCH($B$4,Catch!$E$1:$BV$1,0)),0)</f>
        <v/>
      </c>
      <c r="D78">
        <f>IFERROR(IF(ISNUMBER(INDEX(SPPR!$E:$Z,MATCH($A78,SPPR!$A:$A,0),1)),$C78*INDEX(SPPR!$E:$Z,MATCH($A78,SPPR!$A:$A,0),1),""),"")</f>
        <v/>
      </c>
      <c r="E78">
        <f>IFERROR(IF(ISNUMBER(INDEX(SPPR!$E:$Z,MATCH($A78,SPPR!$A:$A,0),2)),$C78*INDEX(SPPR!$E:$Z,MATCH($A78,SPPR!$A:$A,0),2),""),"")</f>
        <v/>
      </c>
      <c r="F78">
        <f>IFERROR(IF(ISNUMBER(INDEX(SPPR!$E:$Z,MATCH($A78,SPPR!$A:$A,0),3)),$C78*INDEX(SPPR!$E:$Z,MATCH($A78,SPPR!$A:$A,0),3),""),"")</f>
        <v/>
      </c>
      <c r="G78">
        <f>IFERROR(IF(ISNUMBER(INDEX(SPPR!$E:$Z,MATCH($A78,SPPR!$A:$A,0),4)),$C78*INDEX(SPPR!$E:$Z,MATCH($A78,SPPR!$A:$A,0),4),""),"")</f>
        <v/>
      </c>
      <c r="H78">
        <f>IFERROR(IF(ISNUMBER(INDEX(SPPR!$E:$Z,MATCH($A78,SPPR!$A:$A,0),5)),$C78*INDEX(SPPR!$E:$Z,MATCH($A78,SPPR!$A:$A,0),5),""),"")</f>
        <v/>
      </c>
      <c r="I78">
        <f>IFERROR(IF(ISNUMBER(INDEX(SPPR!$E:$Z,MATCH($A78,SPPR!$A:$A,0),6)),$C78*INDEX(SPPR!$E:$Z,MATCH($A78,SPPR!$A:$A,0),6),""),"")</f>
        <v/>
      </c>
      <c r="J78">
        <f>IFERROR(IF(ISNUMBER(INDEX(SPPR!$E:$Z,MATCH($A78,SPPR!$A:$A,0),7)),$C78*INDEX(SPPR!$E:$Z,MATCH($A78,SPPR!$A:$A,0),7),""),"")</f>
        <v/>
      </c>
      <c r="K78">
        <f>IFERROR(IF(ISNUMBER(INDEX(SPPR!$E:$Z,MATCH($A78,SPPR!$A:$A,0),8)),$C78*INDEX(SPPR!$E:$Z,MATCH($A78,SPPR!$A:$A,0),8),""),"")</f>
        <v/>
      </c>
      <c r="L78">
        <f>IFERROR(IF(ISNUMBER(INDEX(SPPR!$E:$Z,MATCH($A78,SPPR!$A:$A,0),9)),$C78*INDEX(SPPR!$E:$Z,MATCH($A78,SPPR!$A:$A,0),9),""),"")</f>
        <v/>
      </c>
      <c r="M78">
        <f>IFERROR(IF(ISNUMBER(INDEX(SPPR!$E:$Z,MATCH($A78,SPPR!$A:$A,0),10)),$C78*INDEX(SPPR!$E:$Z,MATCH($A78,SPPR!$A:$A,0),10),""),"")</f>
        <v/>
      </c>
      <c r="N78">
        <f>IFERROR(IF(ISNUMBER(INDEX(SPPR!$E:$Z,MATCH($A78,SPPR!$A:$A,0),11)),$C78*INDEX(SPPR!$E:$Z,MATCH($A78,SPPR!$A:$A,0),11),""),"")</f>
        <v/>
      </c>
      <c r="O78">
        <f>IFERROR(IF(ISNUMBER(INDEX(SPPR!$E:$Z,MATCH($A78,SPPR!$A:$A,0),12)),$C78*INDEX(SPPR!$E:$Z,MATCH($A78,SPPR!$A:$A,0),12),""),"")</f>
        <v/>
      </c>
      <c r="P78">
        <f>IFERROR(IF(ISNUMBER(INDEX(SPPR!$E:$Z,MATCH($A78,SPPR!$A:$A,0),13)),$C78*INDEX(SPPR!$E:$Z,MATCH($A78,SPPR!$A:$A,0),13),""),"")</f>
        <v/>
      </c>
      <c r="Q78">
        <f>IFERROR(IF(ISNUMBER(INDEX(SPPR!$E:$Z,MATCH($A78,SPPR!$A:$A,0),14)),$C78*INDEX(SPPR!$E:$Z,MATCH($A78,SPPR!$A:$A,0),14),""),"")</f>
        <v/>
      </c>
      <c r="R78">
        <f>IFERROR(IF(ISNUMBER(INDEX(SPPR!$E:$Z,MATCH($A78,SPPR!$A:$A,0),15)),$C78*INDEX(SPPR!$E:$Z,MATCH($A78,SPPR!$A:$A,0),15),""),"")</f>
        <v/>
      </c>
      <c r="S78">
        <f>IFERROR(IF(ISNUMBER(INDEX(SPPR!$E:$Z,MATCH($A78,SPPR!$A:$A,0),16)),$C78*INDEX(SPPR!$E:$Z,MATCH($A78,SPPR!$A:$A,0),16),""),"")</f>
        <v/>
      </c>
      <c r="T78">
        <f>IFERROR(IF(ISNUMBER(INDEX(SPPR!$E:$Z,MATCH($A78,SPPR!$A:$A,0),17)),$C78*INDEX(SPPR!$E:$Z,MATCH($A78,SPPR!$A:$A,0),17),""),"")</f>
        <v/>
      </c>
      <c r="U78">
        <f>IFERROR(IF(ISNUMBER(INDEX(SPPR!$E:$Z,MATCH($A78,SPPR!$A:$A,0),18)),$C78*INDEX(SPPR!$E:$Z,MATCH($A78,SPPR!$A:$A,0),18),""),"")</f>
        <v/>
      </c>
      <c r="V78">
        <f>IFERROR(IF(ISNUMBER(INDEX(SPPR!$E:$Z,MATCH($A78,SPPR!$A:$A,0),19)),$C78*INDEX(SPPR!$E:$Z,MATCH($A78,SPPR!$A:$A,0),19),""),"")</f>
        <v/>
      </c>
      <c r="W78">
        <f>IFERROR(IF(ISNUMBER(INDEX(SPPR!$E:$Z,MATCH($A78,SPPR!$A:$A,0),20)),$C78*INDEX(SPPR!$E:$Z,MATCH($A78,SPPR!$A:$A,0),20),""),"")</f>
        <v/>
      </c>
      <c r="X78">
        <f>IFERROR(IF(ISNUMBER(INDEX(SPPR!$E:$Z,MATCH($A78,SPPR!$A:$A,0),21)),$C78*INDEX(SPPR!$E:$Z,MATCH($A78,SPPR!$A:$A,0),21),""),"")</f>
        <v/>
      </c>
      <c r="Y78">
        <f>IFERROR(IF(ISNUMBER(INDEX(SPPR!$E:$Z,MATCH($A78,SPPR!$A:$A,0),22)),$C78*INDEX(SPPR!$E:$Z,MATCH($A78,SPPR!$A:$A,0),22),""),"")</f>
        <v/>
      </c>
    </row>
    <row r="79">
      <c r="A79" t="inlineStr">
        <is>
          <t>Setipinna taty</t>
        </is>
      </c>
      <c r="B79">
        <f>IFERROR(INDEX(SPPR!$D:$D,MATCH($A79,SPPR!$A:$A,0)),"")</f>
        <v/>
      </c>
      <c r="C79">
        <f>IFERROR(INDEX(Catch!$E:$BV,MATCH($A79,Catch!$A:$A,0),MATCH($B$4,Catch!$E$1:$BV$1,0)),0)</f>
        <v/>
      </c>
      <c r="D79">
        <f>IFERROR(IF(ISNUMBER(INDEX(SPPR!$E:$Z,MATCH($A79,SPPR!$A:$A,0),1)),$C79*INDEX(SPPR!$E:$Z,MATCH($A79,SPPR!$A:$A,0),1),""),"")</f>
        <v/>
      </c>
      <c r="E79">
        <f>IFERROR(IF(ISNUMBER(INDEX(SPPR!$E:$Z,MATCH($A79,SPPR!$A:$A,0),2)),$C79*INDEX(SPPR!$E:$Z,MATCH($A79,SPPR!$A:$A,0),2),""),"")</f>
        <v/>
      </c>
      <c r="F79">
        <f>IFERROR(IF(ISNUMBER(INDEX(SPPR!$E:$Z,MATCH($A79,SPPR!$A:$A,0),3)),$C79*INDEX(SPPR!$E:$Z,MATCH($A79,SPPR!$A:$A,0),3),""),"")</f>
        <v/>
      </c>
      <c r="G79">
        <f>IFERROR(IF(ISNUMBER(INDEX(SPPR!$E:$Z,MATCH($A79,SPPR!$A:$A,0),4)),$C79*INDEX(SPPR!$E:$Z,MATCH($A79,SPPR!$A:$A,0),4),""),"")</f>
        <v/>
      </c>
      <c r="H79">
        <f>IFERROR(IF(ISNUMBER(INDEX(SPPR!$E:$Z,MATCH($A79,SPPR!$A:$A,0),5)),$C79*INDEX(SPPR!$E:$Z,MATCH($A79,SPPR!$A:$A,0),5),""),"")</f>
        <v/>
      </c>
      <c r="I79">
        <f>IFERROR(IF(ISNUMBER(INDEX(SPPR!$E:$Z,MATCH($A79,SPPR!$A:$A,0),6)),$C79*INDEX(SPPR!$E:$Z,MATCH($A79,SPPR!$A:$A,0),6),""),"")</f>
        <v/>
      </c>
      <c r="J79">
        <f>IFERROR(IF(ISNUMBER(INDEX(SPPR!$E:$Z,MATCH($A79,SPPR!$A:$A,0),7)),$C79*INDEX(SPPR!$E:$Z,MATCH($A79,SPPR!$A:$A,0),7),""),"")</f>
        <v/>
      </c>
      <c r="K79">
        <f>IFERROR(IF(ISNUMBER(INDEX(SPPR!$E:$Z,MATCH($A79,SPPR!$A:$A,0),8)),$C79*INDEX(SPPR!$E:$Z,MATCH($A79,SPPR!$A:$A,0),8),""),"")</f>
        <v/>
      </c>
      <c r="L79">
        <f>IFERROR(IF(ISNUMBER(INDEX(SPPR!$E:$Z,MATCH($A79,SPPR!$A:$A,0),9)),$C79*INDEX(SPPR!$E:$Z,MATCH($A79,SPPR!$A:$A,0),9),""),"")</f>
        <v/>
      </c>
      <c r="M79">
        <f>IFERROR(IF(ISNUMBER(INDEX(SPPR!$E:$Z,MATCH($A79,SPPR!$A:$A,0),10)),$C79*INDEX(SPPR!$E:$Z,MATCH($A79,SPPR!$A:$A,0),10),""),"")</f>
        <v/>
      </c>
      <c r="N79">
        <f>IFERROR(IF(ISNUMBER(INDEX(SPPR!$E:$Z,MATCH($A79,SPPR!$A:$A,0),11)),$C79*INDEX(SPPR!$E:$Z,MATCH($A79,SPPR!$A:$A,0),11),""),"")</f>
        <v/>
      </c>
      <c r="O79">
        <f>IFERROR(IF(ISNUMBER(INDEX(SPPR!$E:$Z,MATCH($A79,SPPR!$A:$A,0),12)),$C79*INDEX(SPPR!$E:$Z,MATCH($A79,SPPR!$A:$A,0),12),""),"")</f>
        <v/>
      </c>
      <c r="P79">
        <f>IFERROR(IF(ISNUMBER(INDEX(SPPR!$E:$Z,MATCH($A79,SPPR!$A:$A,0),13)),$C79*INDEX(SPPR!$E:$Z,MATCH($A79,SPPR!$A:$A,0),13),""),"")</f>
        <v/>
      </c>
      <c r="Q79">
        <f>IFERROR(IF(ISNUMBER(INDEX(SPPR!$E:$Z,MATCH($A79,SPPR!$A:$A,0),14)),$C79*INDEX(SPPR!$E:$Z,MATCH($A79,SPPR!$A:$A,0),14),""),"")</f>
        <v/>
      </c>
      <c r="R79">
        <f>IFERROR(IF(ISNUMBER(INDEX(SPPR!$E:$Z,MATCH($A79,SPPR!$A:$A,0),15)),$C79*INDEX(SPPR!$E:$Z,MATCH($A79,SPPR!$A:$A,0),15),""),"")</f>
        <v/>
      </c>
      <c r="S79">
        <f>IFERROR(IF(ISNUMBER(INDEX(SPPR!$E:$Z,MATCH($A79,SPPR!$A:$A,0),16)),$C79*INDEX(SPPR!$E:$Z,MATCH($A79,SPPR!$A:$A,0),16),""),"")</f>
        <v/>
      </c>
      <c r="T79">
        <f>IFERROR(IF(ISNUMBER(INDEX(SPPR!$E:$Z,MATCH($A79,SPPR!$A:$A,0),17)),$C79*INDEX(SPPR!$E:$Z,MATCH($A79,SPPR!$A:$A,0),17),""),"")</f>
        <v/>
      </c>
      <c r="U79">
        <f>IFERROR(IF(ISNUMBER(INDEX(SPPR!$E:$Z,MATCH($A79,SPPR!$A:$A,0),18)),$C79*INDEX(SPPR!$E:$Z,MATCH($A79,SPPR!$A:$A,0),18),""),"")</f>
        <v/>
      </c>
      <c r="V79">
        <f>IFERROR(IF(ISNUMBER(INDEX(SPPR!$E:$Z,MATCH($A79,SPPR!$A:$A,0),19)),$C79*INDEX(SPPR!$E:$Z,MATCH($A79,SPPR!$A:$A,0),19),""),"")</f>
        <v/>
      </c>
      <c r="W79">
        <f>IFERROR(IF(ISNUMBER(INDEX(SPPR!$E:$Z,MATCH($A79,SPPR!$A:$A,0),20)),$C79*INDEX(SPPR!$E:$Z,MATCH($A79,SPPR!$A:$A,0),20),""),"")</f>
        <v/>
      </c>
      <c r="X79">
        <f>IFERROR(IF(ISNUMBER(INDEX(SPPR!$E:$Z,MATCH($A79,SPPR!$A:$A,0),21)),$C79*INDEX(SPPR!$E:$Z,MATCH($A79,SPPR!$A:$A,0),21),""),"")</f>
        <v/>
      </c>
      <c r="Y79">
        <f>IFERROR(IF(ISNUMBER(INDEX(SPPR!$E:$Z,MATCH($A79,SPPR!$A:$A,0),22)),$C79*INDEX(SPPR!$E:$Z,MATCH($A79,SPPR!$A:$A,0),22),""),"")</f>
        <v/>
      </c>
    </row>
    <row r="80">
      <c r="A80" t="inlineStr">
        <is>
          <t>Loliginidae</t>
        </is>
      </c>
      <c r="B80">
        <f>IFERROR(INDEX(SPPR!$D:$D,MATCH($A80,SPPR!$A:$A,0)),"")</f>
        <v/>
      </c>
      <c r="C80">
        <f>IFERROR(INDEX(Catch!$E:$BV,MATCH($A80,Catch!$A:$A,0),MATCH($B$4,Catch!$E$1:$BV$1,0)),0)</f>
        <v/>
      </c>
      <c r="D80">
        <f>IFERROR(IF(ISNUMBER(INDEX(SPPR!$E:$Z,MATCH($A80,SPPR!$A:$A,0),1)),$C80*INDEX(SPPR!$E:$Z,MATCH($A80,SPPR!$A:$A,0),1),""),"")</f>
        <v/>
      </c>
      <c r="E80">
        <f>IFERROR(IF(ISNUMBER(INDEX(SPPR!$E:$Z,MATCH($A80,SPPR!$A:$A,0),2)),$C80*INDEX(SPPR!$E:$Z,MATCH($A80,SPPR!$A:$A,0),2),""),"")</f>
        <v/>
      </c>
      <c r="F80">
        <f>IFERROR(IF(ISNUMBER(INDEX(SPPR!$E:$Z,MATCH($A80,SPPR!$A:$A,0),3)),$C80*INDEX(SPPR!$E:$Z,MATCH($A80,SPPR!$A:$A,0),3),""),"")</f>
        <v/>
      </c>
      <c r="G80">
        <f>IFERROR(IF(ISNUMBER(INDEX(SPPR!$E:$Z,MATCH($A80,SPPR!$A:$A,0),4)),$C80*INDEX(SPPR!$E:$Z,MATCH($A80,SPPR!$A:$A,0),4),""),"")</f>
        <v/>
      </c>
      <c r="H80">
        <f>IFERROR(IF(ISNUMBER(INDEX(SPPR!$E:$Z,MATCH($A80,SPPR!$A:$A,0),5)),$C80*INDEX(SPPR!$E:$Z,MATCH($A80,SPPR!$A:$A,0),5),""),"")</f>
        <v/>
      </c>
      <c r="I80">
        <f>IFERROR(IF(ISNUMBER(INDEX(SPPR!$E:$Z,MATCH($A80,SPPR!$A:$A,0),6)),$C80*INDEX(SPPR!$E:$Z,MATCH($A80,SPPR!$A:$A,0),6),""),"")</f>
        <v/>
      </c>
      <c r="J80">
        <f>IFERROR(IF(ISNUMBER(INDEX(SPPR!$E:$Z,MATCH($A80,SPPR!$A:$A,0),7)),$C80*INDEX(SPPR!$E:$Z,MATCH($A80,SPPR!$A:$A,0),7),""),"")</f>
        <v/>
      </c>
      <c r="K80">
        <f>IFERROR(IF(ISNUMBER(INDEX(SPPR!$E:$Z,MATCH($A80,SPPR!$A:$A,0),8)),$C80*INDEX(SPPR!$E:$Z,MATCH($A80,SPPR!$A:$A,0),8),""),"")</f>
        <v/>
      </c>
      <c r="L80">
        <f>IFERROR(IF(ISNUMBER(INDEX(SPPR!$E:$Z,MATCH($A80,SPPR!$A:$A,0),9)),$C80*INDEX(SPPR!$E:$Z,MATCH($A80,SPPR!$A:$A,0),9),""),"")</f>
        <v/>
      </c>
      <c r="M80">
        <f>IFERROR(IF(ISNUMBER(INDEX(SPPR!$E:$Z,MATCH($A80,SPPR!$A:$A,0),10)),$C80*INDEX(SPPR!$E:$Z,MATCH($A80,SPPR!$A:$A,0),10),""),"")</f>
        <v/>
      </c>
      <c r="N80">
        <f>IFERROR(IF(ISNUMBER(INDEX(SPPR!$E:$Z,MATCH($A80,SPPR!$A:$A,0),11)),$C80*INDEX(SPPR!$E:$Z,MATCH($A80,SPPR!$A:$A,0),11),""),"")</f>
        <v/>
      </c>
      <c r="O80">
        <f>IFERROR(IF(ISNUMBER(INDEX(SPPR!$E:$Z,MATCH($A80,SPPR!$A:$A,0),12)),$C80*INDEX(SPPR!$E:$Z,MATCH($A80,SPPR!$A:$A,0),12),""),"")</f>
        <v/>
      </c>
      <c r="P80">
        <f>IFERROR(IF(ISNUMBER(INDEX(SPPR!$E:$Z,MATCH($A80,SPPR!$A:$A,0),13)),$C80*INDEX(SPPR!$E:$Z,MATCH($A80,SPPR!$A:$A,0),13),""),"")</f>
        <v/>
      </c>
      <c r="Q80">
        <f>IFERROR(IF(ISNUMBER(INDEX(SPPR!$E:$Z,MATCH($A80,SPPR!$A:$A,0),14)),$C80*INDEX(SPPR!$E:$Z,MATCH($A80,SPPR!$A:$A,0),14),""),"")</f>
        <v/>
      </c>
      <c r="R80">
        <f>IFERROR(IF(ISNUMBER(INDEX(SPPR!$E:$Z,MATCH($A80,SPPR!$A:$A,0),15)),$C80*INDEX(SPPR!$E:$Z,MATCH($A80,SPPR!$A:$A,0),15),""),"")</f>
        <v/>
      </c>
      <c r="S80">
        <f>IFERROR(IF(ISNUMBER(INDEX(SPPR!$E:$Z,MATCH($A80,SPPR!$A:$A,0),16)),$C80*INDEX(SPPR!$E:$Z,MATCH($A80,SPPR!$A:$A,0),16),""),"")</f>
        <v/>
      </c>
      <c r="T80">
        <f>IFERROR(IF(ISNUMBER(INDEX(SPPR!$E:$Z,MATCH($A80,SPPR!$A:$A,0),17)),$C80*INDEX(SPPR!$E:$Z,MATCH($A80,SPPR!$A:$A,0),17),""),"")</f>
        <v/>
      </c>
      <c r="U80">
        <f>IFERROR(IF(ISNUMBER(INDEX(SPPR!$E:$Z,MATCH($A80,SPPR!$A:$A,0),18)),$C80*INDEX(SPPR!$E:$Z,MATCH($A80,SPPR!$A:$A,0),18),""),"")</f>
        <v/>
      </c>
      <c r="V80">
        <f>IFERROR(IF(ISNUMBER(INDEX(SPPR!$E:$Z,MATCH($A80,SPPR!$A:$A,0),19)),$C80*INDEX(SPPR!$E:$Z,MATCH($A80,SPPR!$A:$A,0),19),""),"")</f>
        <v/>
      </c>
      <c r="W80">
        <f>IFERROR(IF(ISNUMBER(INDEX(SPPR!$E:$Z,MATCH($A80,SPPR!$A:$A,0),20)),$C80*INDEX(SPPR!$E:$Z,MATCH($A80,SPPR!$A:$A,0),20),""),"")</f>
        <v/>
      </c>
      <c r="X80">
        <f>IFERROR(IF(ISNUMBER(INDEX(SPPR!$E:$Z,MATCH($A80,SPPR!$A:$A,0),21)),$C80*INDEX(SPPR!$E:$Z,MATCH($A80,SPPR!$A:$A,0),21),""),"")</f>
        <v/>
      </c>
      <c r="Y80">
        <f>IFERROR(IF(ISNUMBER(INDEX(SPPR!$E:$Z,MATCH($A80,SPPR!$A:$A,0),22)),$C80*INDEX(SPPR!$E:$Z,MATCH($A80,SPPR!$A:$A,0),22),""),"")</f>
        <v/>
      </c>
    </row>
    <row r="81">
      <c r="A81" t="inlineStr">
        <is>
          <t>Lethrinidae</t>
        </is>
      </c>
      <c r="B81">
        <f>IFERROR(INDEX(SPPR!$D:$D,MATCH($A81,SPPR!$A:$A,0)),"")</f>
        <v/>
      </c>
      <c r="C81">
        <f>IFERROR(INDEX(Catch!$E:$BV,MATCH($A81,Catch!$A:$A,0),MATCH($B$4,Catch!$E$1:$BV$1,0)),0)</f>
        <v/>
      </c>
      <c r="D81">
        <f>IFERROR(IF(ISNUMBER(INDEX(SPPR!$E:$Z,MATCH($A81,SPPR!$A:$A,0),1)),$C81*INDEX(SPPR!$E:$Z,MATCH($A81,SPPR!$A:$A,0),1),""),"")</f>
        <v/>
      </c>
      <c r="E81">
        <f>IFERROR(IF(ISNUMBER(INDEX(SPPR!$E:$Z,MATCH($A81,SPPR!$A:$A,0),2)),$C81*INDEX(SPPR!$E:$Z,MATCH($A81,SPPR!$A:$A,0),2),""),"")</f>
        <v/>
      </c>
      <c r="F81">
        <f>IFERROR(IF(ISNUMBER(INDEX(SPPR!$E:$Z,MATCH($A81,SPPR!$A:$A,0),3)),$C81*INDEX(SPPR!$E:$Z,MATCH($A81,SPPR!$A:$A,0),3),""),"")</f>
        <v/>
      </c>
      <c r="G81">
        <f>IFERROR(IF(ISNUMBER(INDEX(SPPR!$E:$Z,MATCH($A81,SPPR!$A:$A,0),4)),$C81*INDEX(SPPR!$E:$Z,MATCH($A81,SPPR!$A:$A,0),4),""),"")</f>
        <v/>
      </c>
      <c r="H81">
        <f>IFERROR(IF(ISNUMBER(INDEX(SPPR!$E:$Z,MATCH($A81,SPPR!$A:$A,0),5)),$C81*INDEX(SPPR!$E:$Z,MATCH($A81,SPPR!$A:$A,0),5),""),"")</f>
        <v/>
      </c>
      <c r="I81">
        <f>IFERROR(IF(ISNUMBER(INDEX(SPPR!$E:$Z,MATCH($A81,SPPR!$A:$A,0),6)),$C81*INDEX(SPPR!$E:$Z,MATCH($A81,SPPR!$A:$A,0),6),""),"")</f>
        <v/>
      </c>
      <c r="J81">
        <f>IFERROR(IF(ISNUMBER(INDEX(SPPR!$E:$Z,MATCH($A81,SPPR!$A:$A,0),7)),$C81*INDEX(SPPR!$E:$Z,MATCH($A81,SPPR!$A:$A,0),7),""),"")</f>
        <v/>
      </c>
      <c r="K81">
        <f>IFERROR(IF(ISNUMBER(INDEX(SPPR!$E:$Z,MATCH($A81,SPPR!$A:$A,0),8)),$C81*INDEX(SPPR!$E:$Z,MATCH($A81,SPPR!$A:$A,0),8),""),"")</f>
        <v/>
      </c>
      <c r="L81">
        <f>IFERROR(IF(ISNUMBER(INDEX(SPPR!$E:$Z,MATCH($A81,SPPR!$A:$A,0),9)),$C81*INDEX(SPPR!$E:$Z,MATCH($A81,SPPR!$A:$A,0),9),""),"")</f>
        <v/>
      </c>
      <c r="M81">
        <f>IFERROR(IF(ISNUMBER(INDEX(SPPR!$E:$Z,MATCH($A81,SPPR!$A:$A,0),10)),$C81*INDEX(SPPR!$E:$Z,MATCH($A81,SPPR!$A:$A,0),10),""),"")</f>
        <v/>
      </c>
      <c r="N81">
        <f>IFERROR(IF(ISNUMBER(INDEX(SPPR!$E:$Z,MATCH($A81,SPPR!$A:$A,0),11)),$C81*INDEX(SPPR!$E:$Z,MATCH($A81,SPPR!$A:$A,0),11),""),"")</f>
        <v/>
      </c>
      <c r="O81">
        <f>IFERROR(IF(ISNUMBER(INDEX(SPPR!$E:$Z,MATCH($A81,SPPR!$A:$A,0),12)),$C81*INDEX(SPPR!$E:$Z,MATCH($A81,SPPR!$A:$A,0),12),""),"")</f>
        <v/>
      </c>
      <c r="P81">
        <f>IFERROR(IF(ISNUMBER(INDEX(SPPR!$E:$Z,MATCH($A81,SPPR!$A:$A,0),13)),$C81*INDEX(SPPR!$E:$Z,MATCH($A81,SPPR!$A:$A,0),13),""),"")</f>
        <v/>
      </c>
      <c r="Q81">
        <f>IFERROR(IF(ISNUMBER(INDEX(SPPR!$E:$Z,MATCH($A81,SPPR!$A:$A,0),14)),$C81*INDEX(SPPR!$E:$Z,MATCH($A81,SPPR!$A:$A,0),14),""),"")</f>
        <v/>
      </c>
      <c r="R81">
        <f>IFERROR(IF(ISNUMBER(INDEX(SPPR!$E:$Z,MATCH($A81,SPPR!$A:$A,0),15)),$C81*INDEX(SPPR!$E:$Z,MATCH($A81,SPPR!$A:$A,0),15),""),"")</f>
        <v/>
      </c>
      <c r="S81">
        <f>IFERROR(IF(ISNUMBER(INDEX(SPPR!$E:$Z,MATCH($A81,SPPR!$A:$A,0),16)),$C81*INDEX(SPPR!$E:$Z,MATCH($A81,SPPR!$A:$A,0),16),""),"")</f>
        <v/>
      </c>
      <c r="T81">
        <f>IFERROR(IF(ISNUMBER(INDEX(SPPR!$E:$Z,MATCH($A81,SPPR!$A:$A,0),17)),$C81*INDEX(SPPR!$E:$Z,MATCH($A81,SPPR!$A:$A,0),17),""),"")</f>
        <v/>
      </c>
      <c r="U81">
        <f>IFERROR(IF(ISNUMBER(INDEX(SPPR!$E:$Z,MATCH($A81,SPPR!$A:$A,0),18)),$C81*INDEX(SPPR!$E:$Z,MATCH($A81,SPPR!$A:$A,0),18),""),"")</f>
        <v/>
      </c>
      <c r="V81">
        <f>IFERROR(IF(ISNUMBER(INDEX(SPPR!$E:$Z,MATCH($A81,SPPR!$A:$A,0),19)),$C81*INDEX(SPPR!$E:$Z,MATCH($A81,SPPR!$A:$A,0),19),""),"")</f>
        <v/>
      </c>
      <c r="W81">
        <f>IFERROR(IF(ISNUMBER(INDEX(SPPR!$E:$Z,MATCH($A81,SPPR!$A:$A,0),20)),$C81*INDEX(SPPR!$E:$Z,MATCH($A81,SPPR!$A:$A,0),20),""),"")</f>
        <v/>
      </c>
      <c r="X81">
        <f>IFERROR(IF(ISNUMBER(INDEX(SPPR!$E:$Z,MATCH($A81,SPPR!$A:$A,0),21)),$C81*INDEX(SPPR!$E:$Z,MATCH($A81,SPPR!$A:$A,0),21),""),"")</f>
        <v/>
      </c>
      <c r="Y81">
        <f>IFERROR(IF(ISNUMBER(INDEX(SPPR!$E:$Z,MATCH($A81,SPPR!$A:$A,0),22)),$C81*INDEX(SPPR!$E:$Z,MATCH($A81,SPPR!$A:$A,0),22),""),"")</f>
        <v/>
      </c>
    </row>
    <row r="82">
      <c r="A82" t="inlineStr">
        <is>
          <t>Setipinna phasa</t>
        </is>
      </c>
      <c r="B82">
        <f>IFERROR(INDEX(SPPR!$D:$D,MATCH($A82,SPPR!$A:$A,0)),"")</f>
        <v/>
      </c>
      <c r="C82">
        <f>IFERROR(INDEX(Catch!$E:$BV,MATCH($A82,Catch!$A:$A,0),MATCH($B$4,Catch!$E$1:$BV$1,0)),0)</f>
        <v/>
      </c>
      <c r="D82">
        <f>IFERROR(IF(ISNUMBER(INDEX(SPPR!$E:$Z,MATCH($A82,SPPR!$A:$A,0),1)),$C82*INDEX(SPPR!$E:$Z,MATCH($A82,SPPR!$A:$A,0),1),""),"")</f>
        <v/>
      </c>
      <c r="E82">
        <f>IFERROR(IF(ISNUMBER(INDEX(SPPR!$E:$Z,MATCH($A82,SPPR!$A:$A,0),2)),$C82*INDEX(SPPR!$E:$Z,MATCH($A82,SPPR!$A:$A,0),2),""),"")</f>
        <v/>
      </c>
      <c r="F82">
        <f>IFERROR(IF(ISNUMBER(INDEX(SPPR!$E:$Z,MATCH($A82,SPPR!$A:$A,0),3)),$C82*INDEX(SPPR!$E:$Z,MATCH($A82,SPPR!$A:$A,0),3),""),"")</f>
        <v/>
      </c>
      <c r="G82">
        <f>IFERROR(IF(ISNUMBER(INDEX(SPPR!$E:$Z,MATCH($A82,SPPR!$A:$A,0),4)),$C82*INDEX(SPPR!$E:$Z,MATCH($A82,SPPR!$A:$A,0),4),""),"")</f>
        <v/>
      </c>
      <c r="H82">
        <f>IFERROR(IF(ISNUMBER(INDEX(SPPR!$E:$Z,MATCH($A82,SPPR!$A:$A,0),5)),$C82*INDEX(SPPR!$E:$Z,MATCH($A82,SPPR!$A:$A,0),5),""),"")</f>
        <v/>
      </c>
      <c r="I82">
        <f>IFERROR(IF(ISNUMBER(INDEX(SPPR!$E:$Z,MATCH($A82,SPPR!$A:$A,0),6)),$C82*INDEX(SPPR!$E:$Z,MATCH($A82,SPPR!$A:$A,0),6),""),"")</f>
        <v/>
      </c>
      <c r="J82">
        <f>IFERROR(IF(ISNUMBER(INDEX(SPPR!$E:$Z,MATCH($A82,SPPR!$A:$A,0),7)),$C82*INDEX(SPPR!$E:$Z,MATCH($A82,SPPR!$A:$A,0),7),""),"")</f>
        <v/>
      </c>
      <c r="K82">
        <f>IFERROR(IF(ISNUMBER(INDEX(SPPR!$E:$Z,MATCH($A82,SPPR!$A:$A,0),8)),$C82*INDEX(SPPR!$E:$Z,MATCH($A82,SPPR!$A:$A,0),8),""),"")</f>
        <v/>
      </c>
      <c r="L82">
        <f>IFERROR(IF(ISNUMBER(INDEX(SPPR!$E:$Z,MATCH($A82,SPPR!$A:$A,0),9)),$C82*INDEX(SPPR!$E:$Z,MATCH($A82,SPPR!$A:$A,0),9),""),"")</f>
        <v/>
      </c>
      <c r="M82">
        <f>IFERROR(IF(ISNUMBER(INDEX(SPPR!$E:$Z,MATCH($A82,SPPR!$A:$A,0),10)),$C82*INDEX(SPPR!$E:$Z,MATCH($A82,SPPR!$A:$A,0),10),""),"")</f>
        <v/>
      </c>
      <c r="N82">
        <f>IFERROR(IF(ISNUMBER(INDEX(SPPR!$E:$Z,MATCH($A82,SPPR!$A:$A,0),11)),$C82*INDEX(SPPR!$E:$Z,MATCH($A82,SPPR!$A:$A,0),11),""),"")</f>
        <v/>
      </c>
      <c r="O82">
        <f>IFERROR(IF(ISNUMBER(INDEX(SPPR!$E:$Z,MATCH($A82,SPPR!$A:$A,0),12)),$C82*INDEX(SPPR!$E:$Z,MATCH($A82,SPPR!$A:$A,0),12),""),"")</f>
        <v/>
      </c>
      <c r="P82">
        <f>IFERROR(IF(ISNUMBER(INDEX(SPPR!$E:$Z,MATCH($A82,SPPR!$A:$A,0),13)),$C82*INDEX(SPPR!$E:$Z,MATCH($A82,SPPR!$A:$A,0),13),""),"")</f>
        <v/>
      </c>
      <c r="Q82">
        <f>IFERROR(IF(ISNUMBER(INDEX(SPPR!$E:$Z,MATCH($A82,SPPR!$A:$A,0),14)),$C82*INDEX(SPPR!$E:$Z,MATCH($A82,SPPR!$A:$A,0),14),""),"")</f>
        <v/>
      </c>
      <c r="R82">
        <f>IFERROR(IF(ISNUMBER(INDEX(SPPR!$E:$Z,MATCH($A82,SPPR!$A:$A,0),15)),$C82*INDEX(SPPR!$E:$Z,MATCH($A82,SPPR!$A:$A,0),15),""),"")</f>
        <v/>
      </c>
      <c r="S82">
        <f>IFERROR(IF(ISNUMBER(INDEX(SPPR!$E:$Z,MATCH($A82,SPPR!$A:$A,0),16)),$C82*INDEX(SPPR!$E:$Z,MATCH($A82,SPPR!$A:$A,0),16),""),"")</f>
        <v/>
      </c>
      <c r="T82">
        <f>IFERROR(IF(ISNUMBER(INDEX(SPPR!$E:$Z,MATCH($A82,SPPR!$A:$A,0),17)),$C82*INDEX(SPPR!$E:$Z,MATCH($A82,SPPR!$A:$A,0),17),""),"")</f>
        <v/>
      </c>
      <c r="U82">
        <f>IFERROR(IF(ISNUMBER(INDEX(SPPR!$E:$Z,MATCH($A82,SPPR!$A:$A,0),18)),$C82*INDEX(SPPR!$E:$Z,MATCH($A82,SPPR!$A:$A,0),18),""),"")</f>
        <v/>
      </c>
      <c r="V82">
        <f>IFERROR(IF(ISNUMBER(INDEX(SPPR!$E:$Z,MATCH($A82,SPPR!$A:$A,0),19)),$C82*INDEX(SPPR!$E:$Z,MATCH($A82,SPPR!$A:$A,0),19),""),"")</f>
        <v/>
      </c>
      <c r="W82">
        <f>IFERROR(IF(ISNUMBER(INDEX(SPPR!$E:$Z,MATCH($A82,SPPR!$A:$A,0),20)),$C82*INDEX(SPPR!$E:$Z,MATCH($A82,SPPR!$A:$A,0),20),""),"")</f>
        <v/>
      </c>
      <c r="X82">
        <f>IFERROR(IF(ISNUMBER(INDEX(SPPR!$E:$Z,MATCH($A82,SPPR!$A:$A,0),21)),$C82*INDEX(SPPR!$E:$Z,MATCH($A82,SPPR!$A:$A,0),21),""),"")</f>
        <v/>
      </c>
      <c r="Y82">
        <f>IFERROR(IF(ISNUMBER(INDEX(SPPR!$E:$Z,MATCH($A82,SPPR!$A:$A,0),22)),$C82*INDEX(SPPR!$E:$Z,MATCH($A82,SPPR!$A:$A,0),22),""),"")</f>
        <v/>
      </c>
    </row>
    <row r="83">
      <c r="A83" t="inlineStr">
        <is>
          <t>Auxis thazard</t>
        </is>
      </c>
      <c r="B83">
        <f>IFERROR(INDEX(SPPR!$D:$D,MATCH($A83,SPPR!$A:$A,0)),"")</f>
        <v/>
      </c>
      <c r="C83">
        <f>IFERROR(INDEX(Catch!$E:$BV,MATCH($A83,Catch!$A:$A,0),MATCH($B$4,Catch!$E$1:$BV$1,0)),0)</f>
        <v/>
      </c>
      <c r="D83">
        <f>IFERROR(IF(ISNUMBER(INDEX(SPPR!$E:$Z,MATCH($A83,SPPR!$A:$A,0),1)),$C83*INDEX(SPPR!$E:$Z,MATCH($A83,SPPR!$A:$A,0),1),""),"")</f>
        <v/>
      </c>
      <c r="E83">
        <f>IFERROR(IF(ISNUMBER(INDEX(SPPR!$E:$Z,MATCH($A83,SPPR!$A:$A,0),2)),$C83*INDEX(SPPR!$E:$Z,MATCH($A83,SPPR!$A:$A,0),2),""),"")</f>
        <v/>
      </c>
      <c r="F83">
        <f>IFERROR(IF(ISNUMBER(INDEX(SPPR!$E:$Z,MATCH($A83,SPPR!$A:$A,0),3)),$C83*INDEX(SPPR!$E:$Z,MATCH($A83,SPPR!$A:$A,0),3),""),"")</f>
        <v/>
      </c>
      <c r="G83">
        <f>IFERROR(IF(ISNUMBER(INDEX(SPPR!$E:$Z,MATCH($A83,SPPR!$A:$A,0),4)),$C83*INDEX(SPPR!$E:$Z,MATCH($A83,SPPR!$A:$A,0),4),""),"")</f>
        <v/>
      </c>
      <c r="H83">
        <f>IFERROR(IF(ISNUMBER(INDEX(SPPR!$E:$Z,MATCH($A83,SPPR!$A:$A,0),5)),$C83*INDEX(SPPR!$E:$Z,MATCH($A83,SPPR!$A:$A,0),5),""),"")</f>
        <v/>
      </c>
      <c r="I83">
        <f>IFERROR(IF(ISNUMBER(INDEX(SPPR!$E:$Z,MATCH($A83,SPPR!$A:$A,0),6)),$C83*INDEX(SPPR!$E:$Z,MATCH($A83,SPPR!$A:$A,0),6),""),"")</f>
        <v/>
      </c>
      <c r="J83">
        <f>IFERROR(IF(ISNUMBER(INDEX(SPPR!$E:$Z,MATCH($A83,SPPR!$A:$A,0),7)),$C83*INDEX(SPPR!$E:$Z,MATCH($A83,SPPR!$A:$A,0),7),""),"")</f>
        <v/>
      </c>
      <c r="K83">
        <f>IFERROR(IF(ISNUMBER(INDEX(SPPR!$E:$Z,MATCH($A83,SPPR!$A:$A,0),8)),$C83*INDEX(SPPR!$E:$Z,MATCH($A83,SPPR!$A:$A,0),8),""),"")</f>
        <v/>
      </c>
      <c r="L83">
        <f>IFERROR(IF(ISNUMBER(INDEX(SPPR!$E:$Z,MATCH($A83,SPPR!$A:$A,0),9)),$C83*INDEX(SPPR!$E:$Z,MATCH($A83,SPPR!$A:$A,0),9),""),"")</f>
        <v/>
      </c>
      <c r="M83">
        <f>IFERROR(IF(ISNUMBER(INDEX(SPPR!$E:$Z,MATCH($A83,SPPR!$A:$A,0),10)),$C83*INDEX(SPPR!$E:$Z,MATCH($A83,SPPR!$A:$A,0),10),""),"")</f>
        <v/>
      </c>
      <c r="N83">
        <f>IFERROR(IF(ISNUMBER(INDEX(SPPR!$E:$Z,MATCH($A83,SPPR!$A:$A,0),11)),$C83*INDEX(SPPR!$E:$Z,MATCH($A83,SPPR!$A:$A,0),11),""),"")</f>
        <v/>
      </c>
      <c r="O83">
        <f>IFERROR(IF(ISNUMBER(INDEX(SPPR!$E:$Z,MATCH($A83,SPPR!$A:$A,0),12)),$C83*INDEX(SPPR!$E:$Z,MATCH($A83,SPPR!$A:$A,0),12),""),"")</f>
        <v/>
      </c>
      <c r="P83">
        <f>IFERROR(IF(ISNUMBER(INDEX(SPPR!$E:$Z,MATCH($A83,SPPR!$A:$A,0),13)),$C83*INDEX(SPPR!$E:$Z,MATCH($A83,SPPR!$A:$A,0),13),""),"")</f>
        <v/>
      </c>
      <c r="Q83">
        <f>IFERROR(IF(ISNUMBER(INDEX(SPPR!$E:$Z,MATCH($A83,SPPR!$A:$A,0),14)),$C83*INDEX(SPPR!$E:$Z,MATCH($A83,SPPR!$A:$A,0),14),""),"")</f>
        <v/>
      </c>
      <c r="R83">
        <f>IFERROR(IF(ISNUMBER(INDEX(SPPR!$E:$Z,MATCH($A83,SPPR!$A:$A,0),15)),$C83*INDEX(SPPR!$E:$Z,MATCH($A83,SPPR!$A:$A,0),15),""),"")</f>
        <v/>
      </c>
      <c r="S83">
        <f>IFERROR(IF(ISNUMBER(INDEX(SPPR!$E:$Z,MATCH($A83,SPPR!$A:$A,0),16)),$C83*INDEX(SPPR!$E:$Z,MATCH($A83,SPPR!$A:$A,0),16),""),"")</f>
        <v/>
      </c>
      <c r="T83">
        <f>IFERROR(IF(ISNUMBER(INDEX(SPPR!$E:$Z,MATCH($A83,SPPR!$A:$A,0),17)),$C83*INDEX(SPPR!$E:$Z,MATCH($A83,SPPR!$A:$A,0),17),""),"")</f>
        <v/>
      </c>
      <c r="U83">
        <f>IFERROR(IF(ISNUMBER(INDEX(SPPR!$E:$Z,MATCH($A83,SPPR!$A:$A,0),18)),$C83*INDEX(SPPR!$E:$Z,MATCH($A83,SPPR!$A:$A,0),18),""),"")</f>
        <v/>
      </c>
      <c r="V83">
        <f>IFERROR(IF(ISNUMBER(INDEX(SPPR!$E:$Z,MATCH($A83,SPPR!$A:$A,0),19)),$C83*INDEX(SPPR!$E:$Z,MATCH($A83,SPPR!$A:$A,0),19),""),"")</f>
        <v/>
      </c>
      <c r="W83">
        <f>IFERROR(IF(ISNUMBER(INDEX(SPPR!$E:$Z,MATCH($A83,SPPR!$A:$A,0),20)),$C83*INDEX(SPPR!$E:$Z,MATCH($A83,SPPR!$A:$A,0),20),""),"")</f>
        <v/>
      </c>
      <c r="X83">
        <f>IFERROR(IF(ISNUMBER(INDEX(SPPR!$E:$Z,MATCH($A83,SPPR!$A:$A,0),21)),$C83*INDEX(SPPR!$E:$Z,MATCH($A83,SPPR!$A:$A,0),21),""),"")</f>
        <v/>
      </c>
      <c r="Y83">
        <f>IFERROR(IF(ISNUMBER(INDEX(SPPR!$E:$Z,MATCH($A83,SPPR!$A:$A,0),22)),$C83*INDEX(SPPR!$E:$Z,MATCH($A83,SPPR!$A:$A,0),22),""),"")</f>
        <v/>
      </c>
    </row>
    <row r="84">
      <c r="A84" t="inlineStr">
        <is>
          <t>Miscellaneous aquatic invertebrates</t>
        </is>
      </c>
      <c r="B84">
        <f>IFERROR(INDEX(SPPR!$D:$D,MATCH($A84,SPPR!$A:$A,0)),"")</f>
        <v/>
      </c>
      <c r="C84">
        <f>IFERROR(INDEX(Catch!$E:$BV,MATCH($A84,Catch!$A:$A,0),MATCH($B$4,Catch!$E$1:$BV$1,0)),0)</f>
        <v/>
      </c>
      <c r="D84">
        <f>IFERROR(IF(ISNUMBER(INDEX(SPPR!$E:$Z,MATCH($A84,SPPR!$A:$A,0),1)),$C84*INDEX(SPPR!$E:$Z,MATCH($A84,SPPR!$A:$A,0),1),""),"")</f>
        <v/>
      </c>
      <c r="E84">
        <f>IFERROR(IF(ISNUMBER(INDEX(SPPR!$E:$Z,MATCH($A84,SPPR!$A:$A,0),2)),$C84*INDEX(SPPR!$E:$Z,MATCH($A84,SPPR!$A:$A,0),2),""),"")</f>
        <v/>
      </c>
      <c r="F84">
        <f>IFERROR(IF(ISNUMBER(INDEX(SPPR!$E:$Z,MATCH($A84,SPPR!$A:$A,0),3)),$C84*INDEX(SPPR!$E:$Z,MATCH($A84,SPPR!$A:$A,0),3),""),"")</f>
        <v/>
      </c>
      <c r="G84">
        <f>IFERROR(IF(ISNUMBER(INDEX(SPPR!$E:$Z,MATCH($A84,SPPR!$A:$A,0),4)),$C84*INDEX(SPPR!$E:$Z,MATCH($A84,SPPR!$A:$A,0),4),""),"")</f>
        <v/>
      </c>
      <c r="H84">
        <f>IFERROR(IF(ISNUMBER(INDEX(SPPR!$E:$Z,MATCH($A84,SPPR!$A:$A,0),5)),$C84*INDEX(SPPR!$E:$Z,MATCH($A84,SPPR!$A:$A,0),5),""),"")</f>
        <v/>
      </c>
      <c r="I84">
        <f>IFERROR(IF(ISNUMBER(INDEX(SPPR!$E:$Z,MATCH($A84,SPPR!$A:$A,0),6)),$C84*INDEX(SPPR!$E:$Z,MATCH($A84,SPPR!$A:$A,0),6),""),"")</f>
        <v/>
      </c>
      <c r="J84">
        <f>IFERROR(IF(ISNUMBER(INDEX(SPPR!$E:$Z,MATCH($A84,SPPR!$A:$A,0),7)),$C84*INDEX(SPPR!$E:$Z,MATCH($A84,SPPR!$A:$A,0),7),""),"")</f>
        <v/>
      </c>
      <c r="K84">
        <f>IFERROR(IF(ISNUMBER(INDEX(SPPR!$E:$Z,MATCH($A84,SPPR!$A:$A,0),8)),$C84*INDEX(SPPR!$E:$Z,MATCH($A84,SPPR!$A:$A,0),8),""),"")</f>
        <v/>
      </c>
      <c r="L84">
        <f>IFERROR(IF(ISNUMBER(INDEX(SPPR!$E:$Z,MATCH($A84,SPPR!$A:$A,0),9)),$C84*INDEX(SPPR!$E:$Z,MATCH($A84,SPPR!$A:$A,0),9),""),"")</f>
        <v/>
      </c>
      <c r="M84">
        <f>IFERROR(IF(ISNUMBER(INDEX(SPPR!$E:$Z,MATCH($A84,SPPR!$A:$A,0),10)),$C84*INDEX(SPPR!$E:$Z,MATCH($A84,SPPR!$A:$A,0),10),""),"")</f>
        <v/>
      </c>
      <c r="N84">
        <f>IFERROR(IF(ISNUMBER(INDEX(SPPR!$E:$Z,MATCH($A84,SPPR!$A:$A,0),11)),$C84*INDEX(SPPR!$E:$Z,MATCH($A84,SPPR!$A:$A,0),11),""),"")</f>
        <v/>
      </c>
      <c r="O84">
        <f>IFERROR(IF(ISNUMBER(INDEX(SPPR!$E:$Z,MATCH($A84,SPPR!$A:$A,0),12)),$C84*INDEX(SPPR!$E:$Z,MATCH($A84,SPPR!$A:$A,0),12),""),"")</f>
        <v/>
      </c>
      <c r="P84">
        <f>IFERROR(IF(ISNUMBER(INDEX(SPPR!$E:$Z,MATCH($A84,SPPR!$A:$A,0),13)),$C84*INDEX(SPPR!$E:$Z,MATCH($A84,SPPR!$A:$A,0),13),""),"")</f>
        <v/>
      </c>
      <c r="Q84">
        <f>IFERROR(IF(ISNUMBER(INDEX(SPPR!$E:$Z,MATCH($A84,SPPR!$A:$A,0),14)),$C84*INDEX(SPPR!$E:$Z,MATCH($A84,SPPR!$A:$A,0),14),""),"")</f>
        <v/>
      </c>
      <c r="R84">
        <f>IFERROR(IF(ISNUMBER(INDEX(SPPR!$E:$Z,MATCH($A84,SPPR!$A:$A,0),15)),$C84*INDEX(SPPR!$E:$Z,MATCH($A84,SPPR!$A:$A,0),15),""),"")</f>
        <v/>
      </c>
      <c r="S84">
        <f>IFERROR(IF(ISNUMBER(INDEX(SPPR!$E:$Z,MATCH($A84,SPPR!$A:$A,0),16)),$C84*INDEX(SPPR!$E:$Z,MATCH($A84,SPPR!$A:$A,0),16),""),"")</f>
        <v/>
      </c>
      <c r="T84">
        <f>IFERROR(IF(ISNUMBER(INDEX(SPPR!$E:$Z,MATCH($A84,SPPR!$A:$A,0),17)),$C84*INDEX(SPPR!$E:$Z,MATCH($A84,SPPR!$A:$A,0),17),""),"")</f>
        <v/>
      </c>
      <c r="U84">
        <f>IFERROR(IF(ISNUMBER(INDEX(SPPR!$E:$Z,MATCH($A84,SPPR!$A:$A,0),18)),$C84*INDEX(SPPR!$E:$Z,MATCH($A84,SPPR!$A:$A,0),18),""),"")</f>
        <v/>
      </c>
      <c r="V84">
        <f>IFERROR(IF(ISNUMBER(INDEX(SPPR!$E:$Z,MATCH($A84,SPPR!$A:$A,0),19)),$C84*INDEX(SPPR!$E:$Z,MATCH($A84,SPPR!$A:$A,0),19),""),"")</f>
        <v/>
      </c>
      <c r="W84">
        <f>IFERROR(IF(ISNUMBER(INDEX(SPPR!$E:$Z,MATCH($A84,SPPR!$A:$A,0),20)),$C84*INDEX(SPPR!$E:$Z,MATCH($A84,SPPR!$A:$A,0),20),""),"")</f>
        <v/>
      </c>
      <c r="X84">
        <f>IFERROR(IF(ISNUMBER(INDEX(SPPR!$E:$Z,MATCH($A84,SPPR!$A:$A,0),21)),$C84*INDEX(SPPR!$E:$Z,MATCH($A84,SPPR!$A:$A,0),21),""),"")</f>
        <v/>
      </c>
      <c r="Y84">
        <f>IFERROR(IF(ISNUMBER(INDEX(SPPR!$E:$Z,MATCH($A84,SPPR!$A:$A,0),22)),$C84*INDEX(SPPR!$E:$Z,MATCH($A84,SPPR!$A:$A,0),22),""),"")</f>
        <v/>
      </c>
    </row>
    <row r="85">
      <c r="A85" t="inlineStr">
        <is>
          <t>Leiognathus</t>
        </is>
      </c>
      <c r="B85">
        <f>IFERROR(INDEX(SPPR!$D:$D,MATCH($A85,SPPR!$A:$A,0)),"")</f>
        <v/>
      </c>
      <c r="C85">
        <f>IFERROR(INDEX(Catch!$E:$BV,MATCH($A85,Catch!$A:$A,0),MATCH($B$4,Catch!$E$1:$BV$1,0)),0)</f>
        <v/>
      </c>
      <c r="D85">
        <f>IFERROR(IF(ISNUMBER(INDEX(SPPR!$E:$Z,MATCH($A85,SPPR!$A:$A,0),1)),$C85*INDEX(SPPR!$E:$Z,MATCH($A85,SPPR!$A:$A,0),1),""),"")</f>
        <v/>
      </c>
      <c r="E85">
        <f>IFERROR(IF(ISNUMBER(INDEX(SPPR!$E:$Z,MATCH($A85,SPPR!$A:$A,0),2)),$C85*INDEX(SPPR!$E:$Z,MATCH($A85,SPPR!$A:$A,0),2),""),"")</f>
        <v/>
      </c>
      <c r="F85">
        <f>IFERROR(IF(ISNUMBER(INDEX(SPPR!$E:$Z,MATCH($A85,SPPR!$A:$A,0),3)),$C85*INDEX(SPPR!$E:$Z,MATCH($A85,SPPR!$A:$A,0),3),""),"")</f>
        <v/>
      </c>
      <c r="G85">
        <f>IFERROR(IF(ISNUMBER(INDEX(SPPR!$E:$Z,MATCH($A85,SPPR!$A:$A,0),4)),$C85*INDEX(SPPR!$E:$Z,MATCH($A85,SPPR!$A:$A,0),4),""),"")</f>
        <v/>
      </c>
      <c r="H85">
        <f>IFERROR(IF(ISNUMBER(INDEX(SPPR!$E:$Z,MATCH($A85,SPPR!$A:$A,0),5)),$C85*INDEX(SPPR!$E:$Z,MATCH($A85,SPPR!$A:$A,0),5),""),"")</f>
        <v/>
      </c>
      <c r="I85">
        <f>IFERROR(IF(ISNUMBER(INDEX(SPPR!$E:$Z,MATCH($A85,SPPR!$A:$A,0),6)),$C85*INDEX(SPPR!$E:$Z,MATCH($A85,SPPR!$A:$A,0),6),""),"")</f>
        <v/>
      </c>
      <c r="J85">
        <f>IFERROR(IF(ISNUMBER(INDEX(SPPR!$E:$Z,MATCH($A85,SPPR!$A:$A,0),7)),$C85*INDEX(SPPR!$E:$Z,MATCH($A85,SPPR!$A:$A,0),7),""),"")</f>
        <v/>
      </c>
      <c r="K85">
        <f>IFERROR(IF(ISNUMBER(INDEX(SPPR!$E:$Z,MATCH($A85,SPPR!$A:$A,0),8)),$C85*INDEX(SPPR!$E:$Z,MATCH($A85,SPPR!$A:$A,0),8),""),"")</f>
        <v/>
      </c>
      <c r="L85">
        <f>IFERROR(IF(ISNUMBER(INDEX(SPPR!$E:$Z,MATCH($A85,SPPR!$A:$A,0),9)),$C85*INDEX(SPPR!$E:$Z,MATCH($A85,SPPR!$A:$A,0),9),""),"")</f>
        <v/>
      </c>
      <c r="M85">
        <f>IFERROR(IF(ISNUMBER(INDEX(SPPR!$E:$Z,MATCH($A85,SPPR!$A:$A,0),10)),$C85*INDEX(SPPR!$E:$Z,MATCH($A85,SPPR!$A:$A,0),10),""),"")</f>
        <v/>
      </c>
      <c r="N85">
        <f>IFERROR(IF(ISNUMBER(INDEX(SPPR!$E:$Z,MATCH($A85,SPPR!$A:$A,0),11)),$C85*INDEX(SPPR!$E:$Z,MATCH($A85,SPPR!$A:$A,0),11),""),"")</f>
        <v/>
      </c>
      <c r="O85">
        <f>IFERROR(IF(ISNUMBER(INDEX(SPPR!$E:$Z,MATCH($A85,SPPR!$A:$A,0),12)),$C85*INDEX(SPPR!$E:$Z,MATCH($A85,SPPR!$A:$A,0),12),""),"")</f>
        <v/>
      </c>
      <c r="P85">
        <f>IFERROR(IF(ISNUMBER(INDEX(SPPR!$E:$Z,MATCH($A85,SPPR!$A:$A,0),13)),$C85*INDEX(SPPR!$E:$Z,MATCH($A85,SPPR!$A:$A,0),13),""),"")</f>
        <v/>
      </c>
      <c r="Q85">
        <f>IFERROR(IF(ISNUMBER(INDEX(SPPR!$E:$Z,MATCH($A85,SPPR!$A:$A,0),14)),$C85*INDEX(SPPR!$E:$Z,MATCH($A85,SPPR!$A:$A,0),14),""),"")</f>
        <v/>
      </c>
      <c r="R85">
        <f>IFERROR(IF(ISNUMBER(INDEX(SPPR!$E:$Z,MATCH($A85,SPPR!$A:$A,0),15)),$C85*INDEX(SPPR!$E:$Z,MATCH($A85,SPPR!$A:$A,0),15),""),"")</f>
        <v/>
      </c>
      <c r="S85">
        <f>IFERROR(IF(ISNUMBER(INDEX(SPPR!$E:$Z,MATCH($A85,SPPR!$A:$A,0),16)),$C85*INDEX(SPPR!$E:$Z,MATCH($A85,SPPR!$A:$A,0),16),""),"")</f>
        <v/>
      </c>
      <c r="T85">
        <f>IFERROR(IF(ISNUMBER(INDEX(SPPR!$E:$Z,MATCH($A85,SPPR!$A:$A,0),17)),$C85*INDEX(SPPR!$E:$Z,MATCH($A85,SPPR!$A:$A,0),17),""),"")</f>
        <v/>
      </c>
      <c r="U85">
        <f>IFERROR(IF(ISNUMBER(INDEX(SPPR!$E:$Z,MATCH($A85,SPPR!$A:$A,0),18)),$C85*INDEX(SPPR!$E:$Z,MATCH($A85,SPPR!$A:$A,0),18),""),"")</f>
        <v/>
      </c>
      <c r="V85">
        <f>IFERROR(IF(ISNUMBER(INDEX(SPPR!$E:$Z,MATCH($A85,SPPR!$A:$A,0),19)),$C85*INDEX(SPPR!$E:$Z,MATCH($A85,SPPR!$A:$A,0),19),""),"")</f>
        <v/>
      </c>
      <c r="W85">
        <f>IFERROR(IF(ISNUMBER(INDEX(SPPR!$E:$Z,MATCH($A85,SPPR!$A:$A,0),20)),$C85*INDEX(SPPR!$E:$Z,MATCH($A85,SPPR!$A:$A,0),20),""),"")</f>
        <v/>
      </c>
      <c r="X85">
        <f>IFERROR(IF(ISNUMBER(INDEX(SPPR!$E:$Z,MATCH($A85,SPPR!$A:$A,0),21)),$C85*INDEX(SPPR!$E:$Z,MATCH($A85,SPPR!$A:$A,0),21),""),"")</f>
        <v/>
      </c>
      <c r="Y85">
        <f>IFERROR(IF(ISNUMBER(INDEX(SPPR!$E:$Z,MATCH($A85,SPPR!$A:$A,0),22)),$C85*INDEX(SPPR!$E:$Z,MATCH($A85,SPPR!$A:$A,0),22),""),"")</f>
        <v/>
      </c>
    </row>
    <row r="86">
      <c r="A86" t="inlineStr">
        <is>
          <t>Lutjanidae</t>
        </is>
      </c>
      <c r="B86">
        <f>IFERROR(INDEX(SPPR!$D:$D,MATCH($A86,SPPR!$A:$A,0)),"")</f>
        <v/>
      </c>
      <c r="C86">
        <f>IFERROR(INDEX(Catch!$E:$BV,MATCH($A86,Catch!$A:$A,0),MATCH($B$4,Catch!$E$1:$BV$1,0)),0)</f>
        <v/>
      </c>
      <c r="D86">
        <f>IFERROR(IF(ISNUMBER(INDEX(SPPR!$E:$Z,MATCH($A86,SPPR!$A:$A,0),1)),$C86*INDEX(SPPR!$E:$Z,MATCH($A86,SPPR!$A:$A,0),1),""),"")</f>
        <v/>
      </c>
      <c r="E86">
        <f>IFERROR(IF(ISNUMBER(INDEX(SPPR!$E:$Z,MATCH($A86,SPPR!$A:$A,0),2)),$C86*INDEX(SPPR!$E:$Z,MATCH($A86,SPPR!$A:$A,0),2),""),"")</f>
        <v/>
      </c>
      <c r="F86">
        <f>IFERROR(IF(ISNUMBER(INDEX(SPPR!$E:$Z,MATCH($A86,SPPR!$A:$A,0),3)),$C86*INDEX(SPPR!$E:$Z,MATCH($A86,SPPR!$A:$A,0),3),""),"")</f>
        <v/>
      </c>
      <c r="G86">
        <f>IFERROR(IF(ISNUMBER(INDEX(SPPR!$E:$Z,MATCH($A86,SPPR!$A:$A,0),4)),$C86*INDEX(SPPR!$E:$Z,MATCH($A86,SPPR!$A:$A,0),4),""),"")</f>
        <v/>
      </c>
      <c r="H86">
        <f>IFERROR(IF(ISNUMBER(INDEX(SPPR!$E:$Z,MATCH($A86,SPPR!$A:$A,0),5)),$C86*INDEX(SPPR!$E:$Z,MATCH($A86,SPPR!$A:$A,0),5),""),"")</f>
        <v/>
      </c>
      <c r="I86">
        <f>IFERROR(IF(ISNUMBER(INDEX(SPPR!$E:$Z,MATCH($A86,SPPR!$A:$A,0),6)),$C86*INDEX(SPPR!$E:$Z,MATCH($A86,SPPR!$A:$A,0),6),""),"")</f>
        <v/>
      </c>
      <c r="J86">
        <f>IFERROR(IF(ISNUMBER(INDEX(SPPR!$E:$Z,MATCH($A86,SPPR!$A:$A,0),7)),$C86*INDEX(SPPR!$E:$Z,MATCH($A86,SPPR!$A:$A,0),7),""),"")</f>
        <v/>
      </c>
      <c r="K86">
        <f>IFERROR(IF(ISNUMBER(INDEX(SPPR!$E:$Z,MATCH($A86,SPPR!$A:$A,0),8)),$C86*INDEX(SPPR!$E:$Z,MATCH($A86,SPPR!$A:$A,0),8),""),"")</f>
        <v/>
      </c>
      <c r="L86">
        <f>IFERROR(IF(ISNUMBER(INDEX(SPPR!$E:$Z,MATCH($A86,SPPR!$A:$A,0),9)),$C86*INDEX(SPPR!$E:$Z,MATCH($A86,SPPR!$A:$A,0),9),""),"")</f>
        <v/>
      </c>
      <c r="M86">
        <f>IFERROR(IF(ISNUMBER(INDEX(SPPR!$E:$Z,MATCH($A86,SPPR!$A:$A,0),10)),$C86*INDEX(SPPR!$E:$Z,MATCH($A86,SPPR!$A:$A,0),10),""),"")</f>
        <v/>
      </c>
      <c r="N86">
        <f>IFERROR(IF(ISNUMBER(INDEX(SPPR!$E:$Z,MATCH($A86,SPPR!$A:$A,0),11)),$C86*INDEX(SPPR!$E:$Z,MATCH($A86,SPPR!$A:$A,0),11),""),"")</f>
        <v/>
      </c>
      <c r="O86">
        <f>IFERROR(IF(ISNUMBER(INDEX(SPPR!$E:$Z,MATCH($A86,SPPR!$A:$A,0),12)),$C86*INDEX(SPPR!$E:$Z,MATCH($A86,SPPR!$A:$A,0),12),""),"")</f>
        <v/>
      </c>
      <c r="P86">
        <f>IFERROR(IF(ISNUMBER(INDEX(SPPR!$E:$Z,MATCH($A86,SPPR!$A:$A,0),13)),$C86*INDEX(SPPR!$E:$Z,MATCH($A86,SPPR!$A:$A,0),13),""),"")</f>
        <v/>
      </c>
      <c r="Q86">
        <f>IFERROR(IF(ISNUMBER(INDEX(SPPR!$E:$Z,MATCH($A86,SPPR!$A:$A,0),14)),$C86*INDEX(SPPR!$E:$Z,MATCH($A86,SPPR!$A:$A,0),14),""),"")</f>
        <v/>
      </c>
      <c r="R86">
        <f>IFERROR(IF(ISNUMBER(INDEX(SPPR!$E:$Z,MATCH($A86,SPPR!$A:$A,0),15)),$C86*INDEX(SPPR!$E:$Z,MATCH($A86,SPPR!$A:$A,0),15),""),"")</f>
        <v/>
      </c>
      <c r="S86">
        <f>IFERROR(IF(ISNUMBER(INDEX(SPPR!$E:$Z,MATCH($A86,SPPR!$A:$A,0),16)),$C86*INDEX(SPPR!$E:$Z,MATCH($A86,SPPR!$A:$A,0),16),""),"")</f>
        <v/>
      </c>
      <c r="T86">
        <f>IFERROR(IF(ISNUMBER(INDEX(SPPR!$E:$Z,MATCH($A86,SPPR!$A:$A,0),17)),$C86*INDEX(SPPR!$E:$Z,MATCH($A86,SPPR!$A:$A,0),17),""),"")</f>
        <v/>
      </c>
      <c r="U86">
        <f>IFERROR(IF(ISNUMBER(INDEX(SPPR!$E:$Z,MATCH($A86,SPPR!$A:$A,0),18)),$C86*INDEX(SPPR!$E:$Z,MATCH($A86,SPPR!$A:$A,0),18),""),"")</f>
        <v/>
      </c>
      <c r="V86">
        <f>IFERROR(IF(ISNUMBER(INDEX(SPPR!$E:$Z,MATCH($A86,SPPR!$A:$A,0),19)),$C86*INDEX(SPPR!$E:$Z,MATCH($A86,SPPR!$A:$A,0),19),""),"")</f>
        <v/>
      </c>
      <c r="W86">
        <f>IFERROR(IF(ISNUMBER(INDEX(SPPR!$E:$Z,MATCH($A86,SPPR!$A:$A,0),20)),$C86*INDEX(SPPR!$E:$Z,MATCH($A86,SPPR!$A:$A,0),20),""),"")</f>
        <v/>
      </c>
      <c r="X86">
        <f>IFERROR(IF(ISNUMBER(INDEX(SPPR!$E:$Z,MATCH($A86,SPPR!$A:$A,0),21)),$C86*INDEX(SPPR!$E:$Z,MATCH($A86,SPPR!$A:$A,0),21),""),"")</f>
        <v/>
      </c>
      <c r="Y86">
        <f>IFERROR(IF(ISNUMBER(INDEX(SPPR!$E:$Z,MATCH($A86,SPPR!$A:$A,0),22)),$C86*INDEX(SPPR!$E:$Z,MATCH($A86,SPPR!$A:$A,0),22),""),"")</f>
        <v/>
      </c>
    </row>
    <row r="87">
      <c r="A87" t="inlineStr">
        <is>
          <t>Penaeus</t>
        </is>
      </c>
      <c r="B87">
        <f>IFERROR(INDEX(SPPR!$D:$D,MATCH($A87,SPPR!$A:$A,0)),"")</f>
        <v/>
      </c>
      <c r="C87">
        <f>IFERROR(INDEX(Catch!$E:$BV,MATCH($A87,Catch!$A:$A,0),MATCH($B$4,Catch!$E$1:$BV$1,0)),0)</f>
        <v/>
      </c>
      <c r="D87">
        <f>IFERROR(IF(ISNUMBER(INDEX(SPPR!$E:$Z,MATCH($A87,SPPR!$A:$A,0),1)),$C87*INDEX(SPPR!$E:$Z,MATCH($A87,SPPR!$A:$A,0),1),""),"")</f>
        <v/>
      </c>
      <c r="E87">
        <f>IFERROR(IF(ISNUMBER(INDEX(SPPR!$E:$Z,MATCH($A87,SPPR!$A:$A,0),2)),$C87*INDEX(SPPR!$E:$Z,MATCH($A87,SPPR!$A:$A,0),2),""),"")</f>
        <v/>
      </c>
      <c r="F87">
        <f>IFERROR(IF(ISNUMBER(INDEX(SPPR!$E:$Z,MATCH($A87,SPPR!$A:$A,0),3)),$C87*INDEX(SPPR!$E:$Z,MATCH($A87,SPPR!$A:$A,0),3),""),"")</f>
        <v/>
      </c>
      <c r="G87">
        <f>IFERROR(IF(ISNUMBER(INDEX(SPPR!$E:$Z,MATCH($A87,SPPR!$A:$A,0),4)),$C87*INDEX(SPPR!$E:$Z,MATCH($A87,SPPR!$A:$A,0),4),""),"")</f>
        <v/>
      </c>
      <c r="H87">
        <f>IFERROR(IF(ISNUMBER(INDEX(SPPR!$E:$Z,MATCH($A87,SPPR!$A:$A,0),5)),$C87*INDEX(SPPR!$E:$Z,MATCH($A87,SPPR!$A:$A,0),5),""),"")</f>
        <v/>
      </c>
      <c r="I87">
        <f>IFERROR(IF(ISNUMBER(INDEX(SPPR!$E:$Z,MATCH($A87,SPPR!$A:$A,0),6)),$C87*INDEX(SPPR!$E:$Z,MATCH($A87,SPPR!$A:$A,0),6),""),"")</f>
        <v/>
      </c>
      <c r="J87">
        <f>IFERROR(IF(ISNUMBER(INDEX(SPPR!$E:$Z,MATCH($A87,SPPR!$A:$A,0),7)),$C87*INDEX(SPPR!$E:$Z,MATCH($A87,SPPR!$A:$A,0),7),""),"")</f>
        <v/>
      </c>
      <c r="K87">
        <f>IFERROR(IF(ISNUMBER(INDEX(SPPR!$E:$Z,MATCH($A87,SPPR!$A:$A,0),8)),$C87*INDEX(SPPR!$E:$Z,MATCH($A87,SPPR!$A:$A,0),8),""),"")</f>
        <v/>
      </c>
      <c r="L87">
        <f>IFERROR(IF(ISNUMBER(INDEX(SPPR!$E:$Z,MATCH($A87,SPPR!$A:$A,0),9)),$C87*INDEX(SPPR!$E:$Z,MATCH($A87,SPPR!$A:$A,0),9),""),"")</f>
        <v/>
      </c>
      <c r="M87">
        <f>IFERROR(IF(ISNUMBER(INDEX(SPPR!$E:$Z,MATCH($A87,SPPR!$A:$A,0),10)),$C87*INDEX(SPPR!$E:$Z,MATCH($A87,SPPR!$A:$A,0),10),""),"")</f>
        <v/>
      </c>
      <c r="N87">
        <f>IFERROR(IF(ISNUMBER(INDEX(SPPR!$E:$Z,MATCH($A87,SPPR!$A:$A,0),11)),$C87*INDEX(SPPR!$E:$Z,MATCH($A87,SPPR!$A:$A,0),11),""),"")</f>
        <v/>
      </c>
      <c r="O87">
        <f>IFERROR(IF(ISNUMBER(INDEX(SPPR!$E:$Z,MATCH($A87,SPPR!$A:$A,0),12)),$C87*INDEX(SPPR!$E:$Z,MATCH($A87,SPPR!$A:$A,0),12),""),"")</f>
        <v/>
      </c>
      <c r="P87">
        <f>IFERROR(IF(ISNUMBER(INDEX(SPPR!$E:$Z,MATCH($A87,SPPR!$A:$A,0),13)),$C87*INDEX(SPPR!$E:$Z,MATCH($A87,SPPR!$A:$A,0),13),""),"")</f>
        <v/>
      </c>
      <c r="Q87">
        <f>IFERROR(IF(ISNUMBER(INDEX(SPPR!$E:$Z,MATCH($A87,SPPR!$A:$A,0),14)),$C87*INDEX(SPPR!$E:$Z,MATCH($A87,SPPR!$A:$A,0),14),""),"")</f>
        <v/>
      </c>
      <c r="R87">
        <f>IFERROR(IF(ISNUMBER(INDEX(SPPR!$E:$Z,MATCH($A87,SPPR!$A:$A,0),15)),$C87*INDEX(SPPR!$E:$Z,MATCH($A87,SPPR!$A:$A,0),15),""),"")</f>
        <v/>
      </c>
      <c r="S87">
        <f>IFERROR(IF(ISNUMBER(INDEX(SPPR!$E:$Z,MATCH($A87,SPPR!$A:$A,0),16)),$C87*INDEX(SPPR!$E:$Z,MATCH($A87,SPPR!$A:$A,0),16),""),"")</f>
        <v/>
      </c>
      <c r="T87">
        <f>IFERROR(IF(ISNUMBER(INDEX(SPPR!$E:$Z,MATCH($A87,SPPR!$A:$A,0),17)),$C87*INDEX(SPPR!$E:$Z,MATCH($A87,SPPR!$A:$A,0),17),""),"")</f>
        <v/>
      </c>
      <c r="U87">
        <f>IFERROR(IF(ISNUMBER(INDEX(SPPR!$E:$Z,MATCH($A87,SPPR!$A:$A,0),18)),$C87*INDEX(SPPR!$E:$Z,MATCH($A87,SPPR!$A:$A,0),18),""),"")</f>
        <v/>
      </c>
      <c r="V87">
        <f>IFERROR(IF(ISNUMBER(INDEX(SPPR!$E:$Z,MATCH($A87,SPPR!$A:$A,0),19)),$C87*INDEX(SPPR!$E:$Z,MATCH($A87,SPPR!$A:$A,0),19),""),"")</f>
        <v/>
      </c>
      <c r="W87">
        <f>IFERROR(IF(ISNUMBER(INDEX(SPPR!$E:$Z,MATCH($A87,SPPR!$A:$A,0),20)),$C87*INDEX(SPPR!$E:$Z,MATCH($A87,SPPR!$A:$A,0),20),""),"")</f>
        <v/>
      </c>
      <c r="X87">
        <f>IFERROR(IF(ISNUMBER(INDEX(SPPR!$E:$Z,MATCH($A87,SPPR!$A:$A,0),21)),$C87*INDEX(SPPR!$E:$Z,MATCH($A87,SPPR!$A:$A,0),21),""),"")</f>
        <v/>
      </c>
      <c r="Y87">
        <f>IFERROR(IF(ISNUMBER(INDEX(SPPR!$E:$Z,MATCH($A87,SPPR!$A:$A,0),22)),$C87*INDEX(SPPR!$E:$Z,MATCH($A87,SPPR!$A:$A,0),22),""),"")</f>
        <v/>
      </c>
    </row>
    <row r="88">
      <c r="A88" t="inlineStr">
        <is>
          <t>Katsuwonus pelamis</t>
        </is>
      </c>
      <c r="B88">
        <f>IFERROR(INDEX(SPPR!$D:$D,MATCH($A88,SPPR!$A:$A,0)),"")</f>
        <v/>
      </c>
      <c r="C88">
        <f>IFERROR(INDEX(Catch!$E:$BV,MATCH($A88,Catch!$A:$A,0),MATCH($B$4,Catch!$E$1:$BV$1,0)),0)</f>
        <v/>
      </c>
      <c r="D88">
        <f>IFERROR(IF(ISNUMBER(INDEX(SPPR!$E:$Z,MATCH($A88,SPPR!$A:$A,0),1)),$C88*INDEX(SPPR!$E:$Z,MATCH($A88,SPPR!$A:$A,0),1),""),"")</f>
        <v/>
      </c>
      <c r="E88">
        <f>IFERROR(IF(ISNUMBER(INDEX(SPPR!$E:$Z,MATCH($A88,SPPR!$A:$A,0),2)),$C88*INDEX(SPPR!$E:$Z,MATCH($A88,SPPR!$A:$A,0),2),""),"")</f>
        <v/>
      </c>
      <c r="F88">
        <f>IFERROR(IF(ISNUMBER(INDEX(SPPR!$E:$Z,MATCH($A88,SPPR!$A:$A,0),3)),$C88*INDEX(SPPR!$E:$Z,MATCH($A88,SPPR!$A:$A,0),3),""),"")</f>
        <v/>
      </c>
      <c r="G88">
        <f>IFERROR(IF(ISNUMBER(INDEX(SPPR!$E:$Z,MATCH($A88,SPPR!$A:$A,0),4)),$C88*INDEX(SPPR!$E:$Z,MATCH($A88,SPPR!$A:$A,0),4),""),"")</f>
        <v/>
      </c>
      <c r="H88">
        <f>IFERROR(IF(ISNUMBER(INDEX(SPPR!$E:$Z,MATCH($A88,SPPR!$A:$A,0),5)),$C88*INDEX(SPPR!$E:$Z,MATCH($A88,SPPR!$A:$A,0),5),""),"")</f>
        <v/>
      </c>
      <c r="I88">
        <f>IFERROR(IF(ISNUMBER(INDEX(SPPR!$E:$Z,MATCH($A88,SPPR!$A:$A,0),6)),$C88*INDEX(SPPR!$E:$Z,MATCH($A88,SPPR!$A:$A,0),6),""),"")</f>
        <v/>
      </c>
      <c r="J88">
        <f>IFERROR(IF(ISNUMBER(INDEX(SPPR!$E:$Z,MATCH($A88,SPPR!$A:$A,0),7)),$C88*INDEX(SPPR!$E:$Z,MATCH($A88,SPPR!$A:$A,0),7),""),"")</f>
        <v/>
      </c>
      <c r="K88">
        <f>IFERROR(IF(ISNUMBER(INDEX(SPPR!$E:$Z,MATCH($A88,SPPR!$A:$A,0),8)),$C88*INDEX(SPPR!$E:$Z,MATCH($A88,SPPR!$A:$A,0),8),""),"")</f>
        <v/>
      </c>
      <c r="L88">
        <f>IFERROR(IF(ISNUMBER(INDEX(SPPR!$E:$Z,MATCH($A88,SPPR!$A:$A,0),9)),$C88*INDEX(SPPR!$E:$Z,MATCH($A88,SPPR!$A:$A,0),9),""),"")</f>
        <v/>
      </c>
      <c r="M88">
        <f>IFERROR(IF(ISNUMBER(INDEX(SPPR!$E:$Z,MATCH($A88,SPPR!$A:$A,0),10)),$C88*INDEX(SPPR!$E:$Z,MATCH($A88,SPPR!$A:$A,0),10),""),"")</f>
        <v/>
      </c>
      <c r="N88">
        <f>IFERROR(IF(ISNUMBER(INDEX(SPPR!$E:$Z,MATCH($A88,SPPR!$A:$A,0),11)),$C88*INDEX(SPPR!$E:$Z,MATCH($A88,SPPR!$A:$A,0),11),""),"")</f>
        <v/>
      </c>
      <c r="O88">
        <f>IFERROR(IF(ISNUMBER(INDEX(SPPR!$E:$Z,MATCH($A88,SPPR!$A:$A,0),12)),$C88*INDEX(SPPR!$E:$Z,MATCH($A88,SPPR!$A:$A,0),12),""),"")</f>
        <v/>
      </c>
      <c r="P88">
        <f>IFERROR(IF(ISNUMBER(INDEX(SPPR!$E:$Z,MATCH($A88,SPPR!$A:$A,0),13)),$C88*INDEX(SPPR!$E:$Z,MATCH($A88,SPPR!$A:$A,0),13),""),"")</f>
        <v/>
      </c>
      <c r="Q88">
        <f>IFERROR(IF(ISNUMBER(INDEX(SPPR!$E:$Z,MATCH($A88,SPPR!$A:$A,0),14)),$C88*INDEX(SPPR!$E:$Z,MATCH($A88,SPPR!$A:$A,0),14),""),"")</f>
        <v/>
      </c>
      <c r="R88">
        <f>IFERROR(IF(ISNUMBER(INDEX(SPPR!$E:$Z,MATCH($A88,SPPR!$A:$A,0),15)),$C88*INDEX(SPPR!$E:$Z,MATCH($A88,SPPR!$A:$A,0),15),""),"")</f>
        <v/>
      </c>
      <c r="S88">
        <f>IFERROR(IF(ISNUMBER(INDEX(SPPR!$E:$Z,MATCH($A88,SPPR!$A:$A,0),16)),$C88*INDEX(SPPR!$E:$Z,MATCH($A88,SPPR!$A:$A,0),16),""),"")</f>
        <v/>
      </c>
      <c r="T88">
        <f>IFERROR(IF(ISNUMBER(INDEX(SPPR!$E:$Z,MATCH($A88,SPPR!$A:$A,0),17)),$C88*INDEX(SPPR!$E:$Z,MATCH($A88,SPPR!$A:$A,0),17),""),"")</f>
        <v/>
      </c>
      <c r="U88">
        <f>IFERROR(IF(ISNUMBER(INDEX(SPPR!$E:$Z,MATCH($A88,SPPR!$A:$A,0),18)),$C88*INDEX(SPPR!$E:$Z,MATCH($A88,SPPR!$A:$A,0),18),""),"")</f>
        <v/>
      </c>
      <c r="V88">
        <f>IFERROR(IF(ISNUMBER(INDEX(SPPR!$E:$Z,MATCH($A88,SPPR!$A:$A,0),19)),$C88*INDEX(SPPR!$E:$Z,MATCH($A88,SPPR!$A:$A,0),19),""),"")</f>
        <v/>
      </c>
      <c r="W88">
        <f>IFERROR(IF(ISNUMBER(INDEX(SPPR!$E:$Z,MATCH($A88,SPPR!$A:$A,0),20)),$C88*INDEX(SPPR!$E:$Z,MATCH($A88,SPPR!$A:$A,0),20),""),"")</f>
        <v/>
      </c>
      <c r="X88">
        <f>IFERROR(IF(ISNUMBER(INDEX(SPPR!$E:$Z,MATCH($A88,SPPR!$A:$A,0),21)),$C88*INDEX(SPPR!$E:$Z,MATCH($A88,SPPR!$A:$A,0),21),""),"")</f>
        <v/>
      </c>
      <c r="Y88">
        <f>IFERROR(IF(ISNUMBER(INDEX(SPPR!$E:$Z,MATCH($A88,SPPR!$A:$A,0),22)),$C88*INDEX(SPPR!$E:$Z,MATCH($A88,SPPR!$A:$A,0),22),""),"")</f>
        <v/>
      </c>
    </row>
    <row r="89">
      <c r="A89" t="inlineStr">
        <is>
          <t>Mollusca</t>
        </is>
      </c>
      <c r="B89">
        <f>IFERROR(INDEX(SPPR!$D:$D,MATCH($A89,SPPR!$A:$A,0)),"")</f>
        <v/>
      </c>
      <c r="C89">
        <f>IFERROR(INDEX(Catch!$E:$BV,MATCH($A89,Catch!$A:$A,0),MATCH($B$4,Catch!$E$1:$BV$1,0)),0)</f>
        <v/>
      </c>
      <c r="D89">
        <f>IFERROR(IF(ISNUMBER(INDEX(SPPR!$E:$Z,MATCH($A89,SPPR!$A:$A,0),1)),$C89*INDEX(SPPR!$E:$Z,MATCH($A89,SPPR!$A:$A,0),1),""),"")</f>
        <v/>
      </c>
      <c r="E89">
        <f>IFERROR(IF(ISNUMBER(INDEX(SPPR!$E:$Z,MATCH($A89,SPPR!$A:$A,0),2)),$C89*INDEX(SPPR!$E:$Z,MATCH($A89,SPPR!$A:$A,0),2),""),"")</f>
        <v/>
      </c>
      <c r="F89">
        <f>IFERROR(IF(ISNUMBER(INDEX(SPPR!$E:$Z,MATCH($A89,SPPR!$A:$A,0),3)),$C89*INDEX(SPPR!$E:$Z,MATCH($A89,SPPR!$A:$A,0),3),""),"")</f>
        <v/>
      </c>
      <c r="G89">
        <f>IFERROR(IF(ISNUMBER(INDEX(SPPR!$E:$Z,MATCH($A89,SPPR!$A:$A,0),4)),$C89*INDEX(SPPR!$E:$Z,MATCH($A89,SPPR!$A:$A,0),4),""),"")</f>
        <v/>
      </c>
      <c r="H89">
        <f>IFERROR(IF(ISNUMBER(INDEX(SPPR!$E:$Z,MATCH($A89,SPPR!$A:$A,0),5)),$C89*INDEX(SPPR!$E:$Z,MATCH($A89,SPPR!$A:$A,0),5),""),"")</f>
        <v/>
      </c>
      <c r="I89">
        <f>IFERROR(IF(ISNUMBER(INDEX(SPPR!$E:$Z,MATCH($A89,SPPR!$A:$A,0),6)),$C89*INDEX(SPPR!$E:$Z,MATCH($A89,SPPR!$A:$A,0),6),""),"")</f>
        <v/>
      </c>
      <c r="J89">
        <f>IFERROR(IF(ISNUMBER(INDEX(SPPR!$E:$Z,MATCH($A89,SPPR!$A:$A,0),7)),$C89*INDEX(SPPR!$E:$Z,MATCH($A89,SPPR!$A:$A,0),7),""),"")</f>
        <v/>
      </c>
      <c r="K89">
        <f>IFERROR(IF(ISNUMBER(INDEX(SPPR!$E:$Z,MATCH($A89,SPPR!$A:$A,0),8)),$C89*INDEX(SPPR!$E:$Z,MATCH($A89,SPPR!$A:$A,0),8),""),"")</f>
        <v/>
      </c>
      <c r="L89">
        <f>IFERROR(IF(ISNUMBER(INDEX(SPPR!$E:$Z,MATCH($A89,SPPR!$A:$A,0),9)),$C89*INDEX(SPPR!$E:$Z,MATCH($A89,SPPR!$A:$A,0),9),""),"")</f>
        <v/>
      </c>
      <c r="M89">
        <f>IFERROR(IF(ISNUMBER(INDEX(SPPR!$E:$Z,MATCH($A89,SPPR!$A:$A,0),10)),$C89*INDEX(SPPR!$E:$Z,MATCH($A89,SPPR!$A:$A,0),10),""),"")</f>
        <v/>
      </c>
      <c r="N89">
        <f>IFERROR(IF(ISNUMBER(INDEX(SPPR!$E:$Z,MATCH($A89,SPPR!$A:$A,0),11)),$C89*INDEX(SPPR!$E:$Z,MATCH($A89,SPPR!$A:$A,0),11),""),"")</f>
        <v/>
      </c>
      <c r="O89">
        <f>IFERROR(IF(ISNUMBER(INDEX(SPPR!$E:$Z,MATCH($A89,SPPR!$A:$A,0),12)),$C89*INDEX(SPPR!$E:$Z,MATCH($A89,SPPR!$A:$A,0),12),""),"")</f>
        <v/>
      </c>
      <c r="P89">
        <f>IFERROR(IF(ISNUMBER(INDEX(SPPR!$E:$Z,MATCH($A89,SPPR!$A:$A,0),13)),$C89*INDEX(SPPR!$E:$Z,MATCH($A89,SPPR!$A:$A,0),13),""),"")</f>
        <v/>
      </c>
      <c r="Q89">
        <f>IFERROR(IF(ISNUMBER(INDEX(SPPR!$E:$Z,MATCH($A89,SPPR!$A:$A,0),14)),$C89*INDEX(SPPR!$E:$Z,MATCH($A89,SPPR!$A:$A,0),14),""),"")</f>
        <v/>
      </c>
      <c r="R89">
        <f>IFERROR(IF(ISNUMBER(INDEX(SPPR!$E:$Z,MATCH($A89,SPPR!$A:$A,0),15)),$C89*INDEX(SPPR!$E:$Z,MATCH($A89,SPPR!$A:$A,0),15),""),"")</f>
        <v/>
      </c>
      <c r="S89">
        <f>IFERROR(IF(ISNUMBER(INDEX(SPPR!$E:$Z,MATCH($A89,SPPR!$A:$A,0),16)),$C89*INDEX(SPPR!$E:$Z,MATCH($A89,SPPR!$A:$A,0),16),""),"")</f>
        <v/>
      </c>
      <c r="T89">
        <f>IFERROR(IF(ISNUMBER(INDEX(SPPR!$E:$Z,MATCH($A89,SPPR!$A:$A,0),17)),$C89*INDEX(SPPR!$E:$Z,MATCH($A89,SPPR!$A:$A,0),17),""),"")</f>
        <v/>
      </c>
      <c r="U89">
        <f>IFERROR(IF(ISNUMBER(INDEX(SPPR!$E:$Z,MATCH($A89,SPPR!$A:$A,0),18)),$C89*INDEX(SPPR!$E:$Z,MATCH($A89,SPPR!$A:$A,0),18),""),"")</f>
        <v/>
      </c>
      <c r="V89">
        <f>IFERROR(IF(ISNUMBER(INDEX(SPPR!$E:$Z,MATCH($A89,SPPR!$A:$A,0),19)),$C89*INDEX(SPPR!$E:$Z,MATCH($A89,SPPR!$A:$A,0),19),""),"")</f>
        <v/>
      </c>
      <c r="W89">
        <f>IFERROR(IF(ISNUMBER(INDEX(SPPR!$E:$Z,MATCH($A89,SPPR!$A:$A,0),20)),$C89*INDEX(SPPR!$E:$Z,MATCH($A89,SPPR!$A:$A,0),20),""),"")</f>
        <v/>
      </c>
      <c r="X89">
        <f>IFERROR(IF(ISNUMBER(INDEX(SPPR!$E:$Z,MATCH($A89,SPPR!$A:$A,0),21)),$C89*INDEX(SPPR!$E:$Z,MATCH($A89,SPPR!$A:$A,0),21),""),"")</f>
        <v/>
      </c>
      <c r="Y89">
        <f>IFERROR(IF(ISNUMBER(INDEX(SPPR!$E:$Z,MATCH($A89,SPPR!$A:$A,0),22)),$C89*INDEX(SPPR!$E:$Z,MATCH($A89,SPPR!$A:$A,0),22),""),"")</f>
        <v/>
      </c>
    </row>
    <row r="90">
      <c r="A90" t="inlineStr">
        <is>
          <t>Serranidae</t>
        </is>
      </c>
      <c r="B90">
        <f>IFERROR(INDEX(SPPR!$D:$D,MATCH($A90,SPPR!$A:$A,0)),"")</f>
        <v/>
      </c>
      <c r="C90">
        <f>IFERROR(INDEX(Catch!$E:$BV,MATCH($A90,Catch!$A:$A,0),MATCH($B$4,Catch!$E$1:$BV$1,0)),0)</f>
        <v/>
      </c>
      <c r="D90">
        <f>IFERROR(IF(ISNUMBER(INDEX(SPPR!$E:$Z,MATCH($A90,SPPR!$A:$A,0),1)),$C90*INDEX(SPPR!$E:$Z,MATCH($A90,SPPR!$A:$A,0),1),""),"")</f>
        <v/>
      </c>
      <c r="E90">
        <f>IFERROR(IF(ISNUMBER(INDEX(SPPR!$E:$Z,MATCH($A90,SPPR!$A:$A,0),2)),$C90*INDEX(SPPR!$E:$Z,MATCH($A90,SPPR!$A:$A,0),2),""),"")</f>
        <v/>
      </c>
      <c r="F90">
        <f>IFERROR(IF(ISNUMBER(INDEX(SPPR!$E:$Z,MATCH($A90,SPPR!$A:$A,0),3)),$C90*INDEX(SPPR!$E:$Z,MATCH($A90,SPPR!$A:$A,0),3),""),"")</f>
        <v/>
      </c>
      <c r="G90">
        <f>IFERROR(IF(ISNUMBER(INDEX(SPPR!$E:$Z,MATCH($A90,SPPR!$A:$A,0),4)),$C90*INDEX(SPPR!$E:$Z,MATCH($A90,SPPR!$A:$A,0),4),""),"")</f>
        <v/>
      </c>
      <c r="H90">
        <f>IFERROR(IF(ISNUMBER(INDEX(SPPR!$E:$Z,MATCH($A90,SPPR!$A:$A,0),5)),$C90*INDEX(SPPR!$E:$Z,MATCH($A90,SPPR!$A:$A,0),5),""),"")</f>
        <v/>
      </c>
      <c r="I90">
        <f>IFERROR(IF(ISNUMBER(INDEX(SPPR!$E:$Z,MATCH($A90,SPPR!$A:$A,0),6)),$C90*INDEX(SPPR!$E:$Z,MATCH($A90,SPPR!$A:$A,0),6),""),"")</f>
        <v/>
      </c>
      <c r="J90">
        <f>IFERROR(IF(ISNUMBER(INDEX(SPPR!$E:$Z,MATCH($A90,SPPR!$A:$A,0),7)),$C90*INDEX(SPPR!$E:$Z,MATCH($A90,SPPR!$A:$A,0),7),""),"")</f>
        <v/>
      </c>
      <c r="K90">
        <f>IFERROR(IF(ISNUMBER(INDEX(SPPR!$E:$Z,MATCH($A90,SPPR!$A:$A,0),8)),$C90*INDEX(SPPR!$E:$Z,MATCH($A90,SPPR!$A:$A,0),8),""),"")</f>
        <v/>
      </c>
      <c r="L90">
        <f>IFERROR(IF(ISNUMBER(INDEX(SPPR!$E:$Z,MATCH($A90,SPPR!$A:$A,0),9)),$C90*INDEX(SPPR!$E:$Z,MATCH($A90,SPPR!$A:$A,0),9),""),"")</f>
        <v/>
      </c>
      <c r="M90">
        <f>IFERROR(IF(ISNUMBER(INDEX(SPPR!$E:$Z,MATCH($A90,SPPR!$A:$A,0),10)),$C90*INDEX(SPPR!$E:$Z,MATCH($A90,SPPR!$A:$A,0),10),""),"")</f>
        <v/>
      </c>
      <c r="N90">
        <f>IFERROR(IF(ISNUMBER(INDEX(SPPR!$E:$Z,MATCH($A90,SPPR!$A:$A,0),11)),$C90*INDEX(SPPR!$E:$Z,MATCH($A90,SPPR!$A:$A,0),11),""),"")</f>
        <v/>
      </c>
      <c r="O90">
        <f>IFERROR(IF(ISNUMBER(INDEX(SPPR!$E:$Z,MATCH($A90,SPPR!$A:$A,0),12)),$C90*INDEX(SPPR!$E:$Z,MATCH($A90,SPPR!$A:$A,0),12),""),"")</f>
        <v/>
      </c>
      <c r="P90">
        <f>IFERROR(IF(ISNUMBER(INDEX(SPPR!$E:$Z,MATCH($A90,SPPR!$A:$A,0),13)),$C90*INDEX(SPPR!$E:$Z,MATCH($A90,SPPR!$A:$A,0),13),""),"")</f>
        <v/>
      </c>
      <c r="Q90">
        <f>IFERROR(IF(ISNUMBER(INDEX(SPPR!$E:$Z,MATCH($A90,SPPR!$A:$A,0),14)),$C90*INDEX(SPPR!$E:$Z,MATCH($A90,SPPR!$A:$A,0),14),""),"")</f>
        <v/>
      </c>
      <c r="R90">
        <f>IFERROR(IF(ISNUMBER(INDEX(SPPR!$E:$Z,MATCH($A90,SPPR!$A:$A,0),15)),$C90*INDEX(SPPR!$E:$Z,MATCH($A90,SPPR!$A:$A,0),15),""),"")</f>
        <v/>
      </c>
      <c r="S90">
        <f>IFERROR(IF(ISNUMBER(INDEX(SPPR!$E:$Z,MATCH($A90,SPPR!$A:$A,0),16)),$C90*INDEX(SPPR!$E:$Z,MATCH($A90,SPPR!$A:$A,0),16),""),"")</f>
        <v/>
      </c>
      <c r="T90">
        <f>IFERROR(IF(ISNUMBER(INDEX(SPPR!$E:$Z,MATCH($A90,SPPR!$A:$A,0),17)),$C90*INDEX(SPPR!$E:$Z,MATCH($A90,SPPR!$A:$A,0),17),""),"")</f>
        <v/>
      </c>
      <c r="U90">
        <f>IFERROR(IF(ISNUMBER(INDEX(SPPR!$E:$Z,MATCH($A90,SPPR!$A:$A,0),18)),$C90*INDEX(SPPR!$E:$Z,MATCH($A90,SPPR!$A:$A,0),18),""),"")</f>
        <v/>
      </c>
      <c r="V90">
        <f>IFERROR(IF(ISNUMBER(INDEX(SPPR!$E:$Z,MATCH($A90,SPPR!$A:$A,0),19)),$C90*INDEX(SPPR!$E:$Z,MATCH($A90,SPPR!$A:$A,0),19),""),"")</f>
        <v/>
      </c>
      <c r="W90">
        <f>IFERROR(IF(ISNUMBER(INDEX(SPPR!$E:$Z,MATCH($A90,SPPR!$A:$A,0),20)),$C90*INDEX(SPPR!$E:$Z,MATCH($A90,SPPR!$A:$A,0),20),""),"")</f>
        <v/>
      </c>
      <c r="X90">
        <f>IFERROR(IF(ISNUMBER(INDEX(SPPR!$E:$Z,MATCH($A90,SPPR!$A:$A,0),21)),$C90*INDEX(SPPR!$E:$Z,MATCH($A90,SPPR!$A:$A,0),21),""),"")</f>
        <v/>
      </c>
      <c r="Y90">
        <f>IFERROR(IF(ISNUMBER(INDEX(SPPR!$E:$Z,MATCH($A90,SPPR!$A:$A,0),22)),$C90*INDEX(SPPR!$E:$Z,MATCH($A90,SPPR!$A:$A,0),22),""),"")</f>
        <v/>
      </c>
    </row>
    <row r="91">
      <c r="A91" t="inlineStr">
        <is>
          <t>Auxis</t>
        </is>
      </c>
      <c r="B91">
        <f>IFERROR(INDEX(SPPR!$D:$D,MATCH($A91,SPPR!$A:$A,0)),"")</f>
        <v/>
      </c>
      <c r="C91">
        <f>IFERROR(INDEX(Catch!$E:$BV,MATCH($A91,Catch!$A:$A,0),MATCH($B$4,Catch!$E$1:$BV$1,0)),0)</f>
        <v/>
      </c>
      <c r="D91">
        <f>IFERROR(IF(ISNUMBER(INDEX(SPPR!$E:$Z,MATCH($A91,SPPR!$A:$A,0),1)),$C91*INDEX(SPPR!$E:$Z,MATCH($A91,SPPR!$A:$A,0),1),""),"")</f>
        <v/>
      </c>
      <c r="E91">
        <f>IFERROR(IF(ISNUMBER(INDEX(SPPR!$E:$Z,MATCH($A91,SPPR!$A:$A,0),2)),$C91*INDEX(SPPR!$E:$Z,MATCH($A91,SPPR!$A:$A,0),2),""),"")</f>
        <v/>
      </c>
      <c r="F91">
        <f>IFERROR(IF(ISNUMBER(INDEX(SPPR!$E:$Z,MATCH($A91,SPPR!$A:$A,0),3)),$C91*INDEX(SPPR!$E:$Z,MATCH($A91,SPPR!$A:$A,0),3),""),"")</f>
        <v/>
      </c>
      <c r="G91">
        <f>IFERROR(IF(ISNUMBER(INDEX(SPPR!$E:$Z,MATCH($A91,SPPR!$A:$A,0),4)),$C91*INDEX(SPPR!$E:$Z,MATCH($A91,SPPR!$A:$A,0),4),""),"")</f>
        <v/>
      </c>
      <c r="H91">
        <f>IFERROR(IF(ISNUMBER(INDEX(SPPR!$E:$Z,MATCH($A91,SPPR!$A:$A,0),5)),$C91*INDEX(SPPR!$E:$Z,MATCH($A91,SPPR!$A:$A,0),5),""),"")</f>
        <v/>
      </c>
      <c r="I91">
        <f>IFERROR(IF(ISNUMBER(INDEX(SPPR!$E:$Z,MATCH($A91,SPPR!$A:$A,0),6)),$C91*INDEX(SPPR!$E:$Z,MATCH($A91,SPPR!$A:$A,0),6),""),"")</f>
        <v/>
      </c>
      <c r="J91">
        <f>IFERROR(IF(ISNUMBER(INDEX(SPPR!$E:$Z,MATCH($A91,SPPR!$A:$A,0),7)),$C91*INDEX(SPPR!$E:$Z,MATCH($A91,SPPR!$A:$A,0),7),""),"")</f>
        <v/>
      </c>
      <c r="K91">
        <f>IFERROR(IF(ISNUMBER(INDEX(SPPR!$E:$Z,MATCH($A91,SPPR!$A:$A,0),8)),$C91*INDEX(SPPR!$E:$Z,MATCH($A91,SPPR!$A:$A,0),8),""),"")</f>
        <v/>
      </c>
      <c r="L91">
        <f>IFERROR(IF(ISNUMBER(INDEX(SPPR!$E:$Z,MATCH($A91,SPPR!$A:$A,0),9)),$C91*INDEX(SPPR!$E:$Z,MATCH($A91,SPPR!$A:$A,0),9),""),"")</f>
        <v/>
      </c>
      <c r="M91">
        <f>IFERROR(IF(ISNUMBER(INDEX(SPPR!$E:$Z,MATCH($A91,SPPR!$A:$A,0),10)),$C91*INDEX(SPPR!$E:$Z,MATCH($A91,SPPR!$A:$A,0),10),""),"")</f>
        <v/>
      </c>
      <c r="N91">
        <f>IFERROR(IF(ISNUMBER(INDEX(SPPR!$E:$Z,MATCH($A91,SPPR!$A:$A,0),11)),$C91*INDEX(SPPR!$E:$Z,MATCH($A91,SPPR!$A:$A,0),11),""),"")</f>
        <v/>
      </c>
      <c r="O91">
        <f>IFERROR(IF(ISNUMBER(INDEX(SPPR!$E:$Z,MATCH($A91,SPPR!$A:$A,0),12)),$C91*INDEX(SPPR!$E:$Z,MATCH($A91,SPPR!$A:$A,0),12),""),"")</f>
        <v/>
      </c>
      <c r="P91">
        <f>IFERROR(IF(ISNUMBER(INDEX(SPPR!$E:$Z,MATCH($A91,SPPR!$A:$A,0),13)),$C91*INDEX(SPPR!$E:$Z,MATCH($A91,SPPR!$A:$A,0),13),""),"")</f>
        <v/>
      </c>
      <c r="Q91">
        <f>IFERROR(IF(ISNUMBER(INDEX(SPPR!$E:$Z,MATCH($A91,SPPR!$A:$A,0),14)),$C91*INDEX(SPPR!$E:$Z,MATCH($A91,SPPR!$A:$A,0),14),""),"")</f>
        <v/>
      </c>
      <c r="R91">
        <f>IFERROR(IF(ISNUMBER(INDEX(SPPR!$E:$Z,MATCH($A91,SPPR!$A:$A,0),15)),$C91*INDEX(SPPR!$E:$Z,MATCH($A91,SPPR!$A:$A,0),15),""),"")</f>
        <v/>
      </c>
      <c r="S91">
        <f>IFERROR(IF(ISNUMBER(INDEX(SPPR!$E:$Z,MATCH($A91,SPPR!$A:$A,0),16)),$C91*INDEX(SPPR!$E:$Z,MATCH($A91,SPPR!$A:$A,0),16),""),"")</f>
        <v/>
      </c>
      <c r="T91">
        <f>IFERROR(IF(ISNUMBER(INDEX(SPPR!$E:$Z,MATCH($A91,SPPR!$A:$A,0),17)),$C91*INDEX(SPPR!$E:$Z,MATCH($A91,SPPR!$A:$A,0),17),""),"")</f>
        <v/>
      </c>
      <c r="U91">
        <f>IFERROR(IF(ISNUMBER(INDEX(SPPR!$E:$Z,MATCH($A91,SPPR!$A:$A,0),18)),$C91*INDEX(SPPR!$E:$Z,MATCH($A91,SPPR!$A:$A,0),18),""),"")</f>
        <v/>
      </c>
      <c r="V91">
        <f>IFERROR(IF(ISNUMBER(INDEX(SPPR!$E:$Z,MATCH($A91,SPPR!$A:$A,0),19)),$C91*INDEX(SPPR!$E:$Z,MATCH($A91,SPPR!$A:$A,0),19),""),"")</f>
        <v/>
      </c>
      <c r="W91">
        <f>IFERROR(IF(ISNUMBER(INDEX(SPPR!$E:$Z,MATCH($A91,SPPR!$A:$A,0),20)),$C91*INDEX(SPPR!$E:$Z,MATCH($A91,SPPR!$A:$A,0),20),""),"")</f>
        <v/>
      </c>
      <c r="X91">
        <f>IFERROR(IF(ISNUMBER(INDEX(SPPR!$E:$Z,MATCH($A91,SPPR!$A:$A,0),21)),$C91*INDEX(SPPR!$E:$Z,MATCH($A91,SPPR!$A:$A,0),21),""),"")</f>
        <v/>
      </c>
      <c r="Y91">
        <f>IFERROR(IF(ISNUMBER(INDEX(SPPR!$E:$Z,MATCH($A91,SPPR!$A:$A,0),22)),$C91*INDEX(SPPR!$E:$Z,MATCH($A91,SPPR!$A:$A,0),22),""),"")</f>
        <v/>
      </c>
    </row>
    <row r="92">
      <c r="A92" t="inlineStr">
        <is>
          <t>Lactarius lactarius</t>
        </is>
      </c>
      <c r="B92">
        <f>IFERROR(INDEX(SPPR!$D:$D,MATCH($A92,SPPR!$A:$A,0)),"")</f>
        <v/>
      </c>
      <c r="C92">
        <f>IFERROR(INDEX(Catch!$E:$BV,MATCH($A92,Catch!$A:$A,0),MATCH($B$4,Catch!$E$1:$BV$1,0)),0)</f>
        <v/>
      </c>
      <c r="D92">
        <f>IFERROR(IF(ISNUMBER(INDEX(SPPR!$E:$Z,MATCH($A92,SPPR!$A:$A,0),1)),$C92*INDEX(SPPR!$E:$Z,MATCH($A92,SPPR!$A:$A,0),1),""),"")</f>
        <v/>
      </c>
      <c r="E92">
        <f>IFERROR(IF(ISNUMBER(INDEX(SPPR!$E:$Z,MATCH($A92,SPPR!$A:$A,0),2)),$C92*INDEX(SPPR!$E:$Z,MATCH($A92,SPPR!$A:$A,0),2),""),"")</f>
        <v/>
      </c>
      <c r="F92">
        <f>IFERROR(IF(ISNUMBER(INDEX(SPPR!$E:$Z,MATCH($A92,SPPR!$A:$A,0),3)),$C92*INDEX(SPPR!$E:$Z,MATCH($A92,SPPR!$A:$A,0),3),""),"")</f>
        <v/>
      </c>
      <c r="G92">
        <f>IFERROR(IF(ISNUMBER(INDEX(SPPR!$E:$Z,MATCH($A92,SPPR!$A:$A,0),4)),$C92*INDEX(SPPR!$E:$Z,MATCH($A92,SPPR!$A:$A,0),4),""),"")</f>
        <v/>
      </c>
      <c r="H92">
        <f>IFERROR(IF(ISNUMBER(INDEX(SPPR!$E:$Z,MATCH($A92,SPPR!$A:$A,0),5)),$C92*INDEX(SPPR!$E:$Z,MATCH($A92,SPPR!$A:$A,0),5),""),"")</f>
        <v/>
      </c>
      <c r="I92">
        <f>IFERROR(IF(ISNUMBER(INDEX(SPPR!$E:$Z,MATCH($A92,SPPR!$A:$A,0),6)),$C92*INDEX(SPPR!$E:$Z,MATCH($A92,SPPR!$A:$A,0),6),""),"")</f>
        <v/>
      </c>
      <c r="J92">
        <f>IFERROR(IF(ISNUMBER(INDEX(SPPR!$E:$Z,MATCH($A92,SPPR!$A:$A,0),7)),$C92*INDEX(SPPR!$E:$Z,MATCH($A92,SPPR!$A:$A,0),7),""),"")</f>
        <v/>
      </c>
      <c r="K92">
        <f>IFERROR(IF(ISNUMBER(INDEX(SPPR!$E:$Z,MATCH($A92,SPPR!$A:$A,0),8)),$C92*INDEX(SPPR!$E:$Z,MATCH($A92,SPPR!$A:$A,0),8),""),"")</f>
        <v/>
      </c>
      <c r="L92">
        <f>IFERROR(IF(ISNUMBER(INDEX(SPPR!$E:$Z,MATCH($A92,SPPR!$A:$A,0),9)),$C92*INDEX(SPPR!$E:$Z,MATCH($A92,SPPR!$A:$A,0),9),""),"")</f>
        <v/>
      </c>
      <c r="M92">
        <f>IFERROR(IF(ISNUMBER(INDEX(SPPR!$E:$Z,MATCH($A92,SPPR!$A:$A,0),10)),$C92*INDEX(SPPR!$E:$Z,MATCH($A92,SPPR!$A:$A,0),10),""),"")</f>
        <v/>
      </c>
      <c r="N92">
        <f>IFERROR(IF(ISNUMBER(INDEX(SPPR!$E:$Z,MATCH($A92,SPPR!$A:$A,0),11)),$C92*INDEX(SPPR!$E:$Z,MATCH($A92,SPPR!$A:$A,0),11),""),"")</f>
        <v/>
      </c>
      <c r="O92">
        <f>IFERROR(IF(ISNUMBER(INDEX(SPPR!$E:$Z,MATCH($A92,SPPR!$A:$A,0),12)),$C92*INDEX(SPPR!$E:$Z,MATCH($A92,SPPR!$A:$A,0),12),""),"")</f>
        <v/>
      </c>
      <c r="P92">
        <f>IFERROR(IF(ISNUMBER(INDEX(SPPR!$E:$Z,MATCH($A92,SPPR!$A:$A,0),13)),$C92*INDEX(SPPR!$E:$Z,MATCH($A92,SPPR!$A:$A,0),13),""),"")</f>
        <v/>
      </c>
      <c r="Q92">
        <f>IFERROR(IF(ISNUMBER(INDEX(SPPR!$E:$Z,MATCH($A92,SPPR!$A:$A,0),14)),$C92*INDEX(SPPR!$E:$Z,MATCH($A92,SPPR!$A:$A,0),14),""),"")</f>
        <v/>
      </c>
      <c r="R92">
        <f>IFERROR(IF(ISNUMBER(INDEX(SPPR!$E:$Z,MATCH($A92,SPPR!$A:$A,0),15)),$C92*INDEX(SPPR!$E:$Z,MATCH($A92,SPPR!$A:$A,0),15),""),"")</f>
        <v/>
      </c>
      <c r="S92">
        <f>IFERROR(IF(ISNUMBER(INDEX(SPPR!$E:$Z,MATCH($A92,SPPR!$A:$A,0),16)),$C92*INDEX(SPPR!$E:$Z,MATCH($A92,SPPR!$A:$A,0),16),""),"")</f>
        <v/>
      </c>
      <c r="T92">
        <f>IFERROR(IF(ISNUMBER(INDEX(SPPR!$E:$Z,MATCH($A92,SPPR!$A:$A,0),17)),$C92*INDEX(SPPR!$E:$Z,MATCH($A92,SPPR!$A:$A,0),17),""),"")</f>
        <v/>
      </c>
      <c r="U92">
        <f>IFERROR(IF(ISNUMBER(INDEX(SPPR!$E:$Z,MATCH($A92,SPPR!$A:$A,0),18)),$C92*INDEX(SPPR!$E:$Z,MATCH($A92,SPPR!$A:$A,0),18),""),"")</f>
        <v/>
      </c>
      <c r="V92">
        <f>IFERROR(IF(ISNUMBER(INDEX(SPPR!$E:$Z,MATCH($A92,SPPR!$A:$A,0),19)),$C92*INDEX(SPPR!$E:$Z,MATCH($A92,SPPR!$A:$A,0),19),""),"")</f>
        <v/>
      </c>
      <c r="W92">
        <f>IFERROR(IF(ISNUMBER(INDEX(SPPR!$E:$Z,MATCH($A92,SPPR!$A:$A,0),20)),$C92*INDEX(SPPR!$E:$Z,MATCH($A92,SPPR!$A:$A,0),20),""),"")</f>
        <v/>
      </c>
      <c r="X92">
        <f>IFERROR(IF(ISNUMBER(INDEX(SPPR!$E:$Z,MATCH($A92,SPPR!$A:$A,0),21)),$C92*INDEX(SPPR!$E:$Z,MATCH($A92,SPPR!$A:$A,0),21),""),"")</f>
        <v/>
      </c>
      <c r="Y92">
        <f>IFERROR(IF(ISNUMBER(INDEX(SPPR!$E:$Z,MATCH($A92,SPPR!$A:$A,0),22)),$C92*INDEX(SPPR!$E:$Z,MATCH($A92,SPPR!$A:$A,0),22),""),"")</f>
        <v/>
      </c>
    </row>
    <row r="93">
      <c r="A93" t="inlineStr">
        <is>
          <t>Himantura</t>
        </is>
      </c>
      <c r="B93">
        <f>IFERROR(INDEX(SPPR!$D:$D,MATCH($A93,SPPR!$A:$A,0)),"")</f>
        <v/>
      </c>
      <c r="C93">
        <f>IFERROR(INDEX(Catch!$E:$BV,MATCH($A93,Catch!$A:$A,0),MATCH($B$4,Catch!$E$1:$BV$1,0)),0)</f>
        <v/>
      </c>
      <c r="D93">
        <f>IFERROR(IF(ISNUMBER(INDEX(SPPR!$E:$Z,MATCH($A93,SPPR!$A:$A,0),1)),$C93*INDEX(SPPR!$E:$Z,MATCH($A93,SPPR!$A:$A,0),1),""),"")</f>
        <v/>
      </c>
      <c r="E93">
        <f>IFERROR(IF(ISNUMBER(INDEX(SPPR!$E:$Z,MATCH($A93,SPPR!$A:$A,0),2)),$C93*INDEX(SPPR!$E:$Z,MATCH($A93,SPPR!$A:$A,0),2),""),"")</f>
        <v/>
      </c>
      <c r="F93">
        <f>IFERROR(IF(ISNUMBER(INDEX(SPPR!$E:$Z,MATCH($A93,SPPR!$A:$A,0),3)),$C93*INDEX(SPPR!$E:$Z,MATCH($A93,SPPR!$A:$A,0),3),""),"")</f>
        <v/>
      </c>
      <c r="G93">
        <f>IFERROR(IF(ISNUMBER(INDEX(SPPR!$E:$Z,MATCH($A93,SPPR!$A:$A,0),4)),$C93*INDEX(SPPR!$E:$Z,MATCH($A93,SPPR!$A:$A,0),4),""),"")</f>
        <v/>
      </c>
      <c r="H93">
        <f>IFERROR(IF(ISNUMBER(INDEX(SPPR!$E:$Z,MATCH($A93,SPPR!$A:$A,0),5)),$C93*INDEX(SPPR!$E:$Z,MATCH($A93,SPPR!$A:$A,0),5),""),"")</f>
        <v/>
      </c>
      <c r="I93">
        <f>IFERROR(IF(ISNUMBER(INDEX(SPPR!$E:$Z,MATCH($A93,SPPR!$A:$A,0),6)),$C93*INDEX(SPPR!$E:$Z,MATCH($A93,SPPR!$A:$A,0),6),""),"")</f>
        <v/>
      </c>
      <c r="J93">
        <f>IFERROR(IF(ISNUMBER(INDEX(SPPR!$E:$Z,MATCH($A93,SPPR!$A:$A,0),7)),$C93*INDEX(SPPR!$E:$Z,MATCH($A93,SPPR!$A:$A,0),7),""),"")</f>
        <v/>
      </c>
      <c r="K93">
        <f>IFERROR(IF(ISNUMBER(INDEX(SPPR!$E:$Z,MATCH($A93,SPPR!$A:$A,0),8)),$C93*INDEX(SPPR!$E:$Z,MATCH($A93,SPPR!$A:$A,0),8),""),"")</f>
        <v/>
      </c>
      <c r="L93">
        <f>IFERROR(IF(ISNUMBER(INDEX(SPPR!$E:$Z,MATCH($A93,SPPR!$A:$A,0),9)),$C93*INDEX(SPPR!$E:$Z,MATCH($A93,SPPR!$A:$A,0),9),""),"")</f>
        <v/>
      </c>
      <c r="M93">
        <f>IFERROR(IF(ISNUMBER(INDEX(SPPR!$E:$Z,MATCH($A93,SPPR!$A:$A,0),10)),$C93*INDEX(SPPR!$E:$Z,MATCH($A93,SPPR!$A:$A,0),10),""),"")</f>
        <v/>
      </c>
      <c r="N93">
        <f>IFERROR(IF(ISNUMBER(INDEX(SPPR!$E:$Z,MATCH($A93,SPPR!$A:$A,0),11)),$C93*INDEX(SPPR!$E:$Z,MATCH($A93,SPPR!$A:$A,0),11),""),"")</f>
        <v/>
      </c>
      <c r="O93">
        <f>IFERROR(IF(ISNUMBER(INDEX(SPPR!$E:$Z,MATCH($A93,SPPR!$A:$A,0),12)),$C93*INDEX(SPPR!$E:$Z,MATCH($A93,SPPR!$A:$A,0),12),""),"")</f>
        <v/>
      </c>
      <c r="P93">
        <f>IFERROR(IF(ISNUMBER(INDEX(SPPR!$E:$Z,MATCH($A93,SPPR!$A:$A,0),13)),$C93*INDEX(SPPR!$E:$Z,MATCH($A93,SPPR!$A:$A,0),13),""),"")</f>
        <v/>
      </c>
      <c r="Q93">
        <f>IFERROR(IF(ISNUMBER(INDEX(SPPR!$E:$Z,MATCH($A93,SPPR!$A:$A,0),14)),$C93*INDEX(SPPR!$E:$Z,MATCH($A93,SPPR!$A:$A,0),14),""),"")</f>
        <v/>
      </c>
      <c r="R93">
        <f>IFERROR(IF(ISNUMBER(INDEX(SPPR!$E:$Z,MATCH($A93,SPPR!$A:$A,0),15)),$C93*INDEX(SPPR!$E:$Z,MATCH($A93,SPPR!$A:$A,0),15),""),"")</f>
        <v/>
      </c>
      <c r="S93">
        <f>IFERROR(IF(ISNUMBER(INDEX(SPPR!$E:$Z,MATCH($A93,SPPR!$A:$A,0),16)),$C93*INDEX(SPPR!$E:$Z,MATCH($A93,SPPR!$A:$A,0),16),""),"")</f>
        <v/>
      </c>
      <c r="T93">
        <f>IFERROR(IF(ISNUMBER(INDEX(SPPR!$E:$Z,MATCH($A93,SPPR!$A:$A,0),17)),$C93*INDEX(SPPR!$E:$Z,MATCH($A93,SPPR!$A:$A,0),17),""),"")</f>
        <v/>
      </c>
      <c r="U93">
        <f>IFERROR(IF(ISNUMBER(INDEX(SPPR!$E:$Z,MATCH($A93,SPPR!$A:$A,0),18)),$C93*INDEX(SPPR!$E:$Z,MATCH($A93,SPPR!$A:$A,0),18),""),"")</f>
        <v/>
      </c>
      <c r="V93">
        <f>IFERROR(IF(ISNUMBER(INDEX(SPPR!$E:$Z,MATCH($A93,SPPR!$A:$A,0),19)),$C93*INDEX(SPPR!$E:$Z,MATCH($A93,SPPR!$A:$A,0),19),""),"")</f>
        <v/>
      </c>
      <c r="W93">
        <f>IFERROR(IF(ISNUMBER(INDEX(SPPR!$E:$Z,MATCH($A93,SPPR!$A:$A,0),20)),$C93*INDEX(SPPR!$E:$Z,MATCH($A93,SPPR!$A:$A,0),20),""),"")</f>
        <v/>
      </c>
      <c r="X93">
        <f>IFERROR(IF(ISNUMBER(INDEX(SPPR!$E:$Z,MATCH($A93,SPPR!$A:$A,0),21)),$C93*INDEX(SPPR!$E:$Z,MATCH($A93,SPPR!$A:$A,0),21),""),"")</f>
        <v/>
      </c>
      <c r="Y93">
        <f>IFERROR(IF(ISNUMBER(INDEX(SPPR!$E:$Z,MATCH($A93,SPPR!$A:$A,0),22)),$C93*INDEX(SPPR!$E:$Z,MATCH($A93,SPPR!$A:$A,0),22),""),"")</f>
        <v/>
      </c>
    </row>
    <row r="94">
      <c r="A94" t="inlineStr">
        <is>
          <t>Cynoglossus cynoglossus</t>
        </is>
      </c>
      <c r="B94">
        <f>IFERROR(INDEX(SPPR!$D:$D,MATCH($A94,SPPR!$A:$A,0)),"")</f>
        <v/>
      </c>
      <c r="C94">
        <f>IFERROR(INDEX(Catch!$E:$BV,MATCH($A94,Catch!$A:$A,0),MATCH($B$4,Catch!$E$1:$BV$1,0)),0)</f>
        <v/>
      </c>
      <c r="D94">
        <f>IFERROR(IF(ISNUMBER(INDEX(SPPR!$E:$Z,MATCH($A94,SPPR!$A:$A,0),1)),$C94*INDEX(SPPR!$E:$Z,MATCH($A94,SPPR!$A:$A,0),1),""),"")</f>
        <v/>
      </c>
      <c r="E94">
        <f>IFERROR(IF(ISNUMBER(INDEX(SPPR!$E:$Z,MATCH($A94,SPPR!$A:$A,0),2)),$C94*INDEX(SPPR!$E:$Z,MATCH($A94,SPPR!$A:$A,0),2),""),"")</f>
        <v/>
      </c>
      <c r="F94">
        <f>IFERROR(IF(ISNUMBER(INDEX(SPPR!$E:$Z,MATCH($A94,SPPR!$A:$A,0),3)),$C94*INDEX(SPPR!$E:$Z,MATCH($A94,SPPR!$A:$A,0),3),""),"")</f>
        <v/>
      </c>
      <c r="G94">
        <f>IFERROR(IF(ISNUMBER(INDEX(SPPR!$E:$Z,MATCH($A94,SPPR!$A:$A,0),4)),$C94*INDEX(SPPR!$E:$Z,MATCH($A94,SPPR!$A:$A,0),4),""),"")</f>
        <v/>
      </c>
      <c r="H94">
        <f>IFERROR(IF(ISNUMBER(INDEX(SPPR!$E:$Z,MATCH($A94,SPPR!$A:$A,0),5)),$C94*INDEX(SPPR!$E:$Z,MATCH($A94,SPPR!$A:$A,0),5),""),"")</f>
        <v/>
      </c>
      <c r="I94">
        <f>IFERROR(IF(ISNUMBER(INDEX(SPPR!$E:$Z,MATCH($A94,SPPR!$A:$A,0),6)),$C94*INDEX(SPPR!$E:$Z,MATCH($A94,SPPR!$A:$A,0),6),""),"")</f>
        <v/>
      </c>
      <c r="J94">
        <f>IFERROR(IF(ISNUMBER(INDEX(SPPR!$E:$Z,MATCH($A94,SPPR!$A:$A,0),7)),$C94*INDEX(SPPR!$E:$Z,MATCH($A94,SPPR!$A:$A,0),7),""),"")</f>
        <v/>
      </c>
      <c r="K94">
        <f>IFERROR(IF(ISNUMBER(INDEX(SPPR!$E:$Z,MATCH($A94,SPPR!$A:$A,0),8)),$C94*INDEX(SPPR!$E:$Z,MATCH($A94,SPPR!$A:$A,0),8),""),"")</f>
        <v/>
      </c>
      <c r="L94">
        <f>IFERROR(IF(ISNUMBER(INDEX(SPPR!$E:$Z,MATCH($A94,SPPR!$A:$A,0),9)),$C94*INDEX(SPPR!$E:$Z,MATCH($A94,SPPR!$A:$A,0),9),""),"")</f>
        <v/>
      </c>
      <c r="M94">
        <f>IFERROR(IF(ISNUMBER(INDEX(SPPR!$E:$Z,MATCH($A94,SPPR!$A:$A,0),10)),$C94*INDEX(SPPR!$E:$Z,MATCH($A94,SPPR!$A:$A,0),10),""),"")</f>
        <v/>
      </c>
      <c r="N94">
        <f>IFERROR(IF(ISNUMBER(INDEX(SPPR!$E:$Z,MATCH($A94,SPPR!$A:$A,0),11)),$C94*INDEX(SPPR!$E:$Z,MATCH($A94,SPPR!$A:$A,0),11),""),"")</f>
        <v/>
      </c>
      <c r="O94">
        <f>IFERROR(IF(ISNUMBER(INDEX(SPPR!$E:$Z,MATCH($A94,SPPR!$A:$A,0),12)),$C94*INDEX(SPPR!$E:$Z,MATCH($A94,SPPR!$A:$A,0),12),""),"")</f>
        <v/>
      </c>
      <c r="P94">
        <f>IFERROR(IF(ISNUMBER(INDEX(SPPR!$E:$Z,MATCH($A94,SPPR!$A:$A,0),13)),$C94*INDEX(SPPR!$E:$Z,MATCH($A94,SPPR!$A:$A,0),13),""),"")</f>
        <v/>
      </c>
      <c r="Q94">
        <f>IFERROR(IF(ISNUMBER(INDEX(SPPR!$E:$Z,MATCH($A94,SPPR!$A:$A,0),14)),$C94*INDEX(SPPR!$E:$Z,MATCH($A94,SPPR!$A:$A,0),14),""),"")</f>
        <v/>
      </c>
      <c r="R94">
        <f>IFERROR(IF(ISNUMBER(INDEX(SPPR!$E:$Z,MATCH($A94,SPPR!$A:$A,0),15)),$C94*INDEX(SPPR!$E:$Z,MATCH($A94,SPPR!$A:$A,0),15),""),"")</f>
        <v/>
      </c>
      <c r="S94">
        <f>IFERROR(IF(ISNUMBER(INDEX(SPPR!$E:$Z,MATCH($A94,SPPR!$A:$A,0),16)),$C94*INDEX(SPPR!$E:$Z,MATCH($A94,SPPR!$A:$A,0),16),""),"")</f>
        <v/>
      </c>
      <c r="T94">
        <f>IFERROR(IF(ISNUMBER(INDEX(SPPR!$E:$Z,MATCH($A94,SPPR!$A:$A,0),17)),$C94*INDEX(SPPR!$E:$Z,MATCH($A94,SPPR!$A:$A,0),17),""),"")</f>
        <v/>
      </c>
      <c r="U94">
        <f>IFERROR(IF(ISNUMBER(INDEX(SPPR!$E:$Z,MATCH($A94,SPPR!$A:$A,0),18)),$C94*INDEX(SPPR!$E:$Z,MATCH($A94,SPPR!$A:$A,0),18),""),"")</f>
        <v/>
      </c>
      <c r="V94">
        <f>IFERROR(IF(ISNUMBER(INDEX(SPPR!$E:$Z,MATCH($A94,SPPR!$A:$A,0),19)),$C94*INDEX(SPPR!$E:$Z,MATCH($A94,SPPR!$A:$A,0),19),""),"")</f>
        <v/>
      </c>
      <c r="W94">
        <f>IFERROR(IF(ISNUMBER(INDEX(SPPR!$E:$Z,MATCH($A94,SPPR!$A:$A,0),20)),$C94*INDEX(SPPR!$E:$Z,MATCH($A94,SPPR!$A:$A,0),20),""),"")</f>
        <v/>
      </c>
      <c r="X94">
        <f>IFERROR(IF(ISNUMBER(INDEX(SPPR!$E:$Z,MATCH($A94,SPPR!$A:$A,0),21)),$C94*INDEX(SPPR!$E:$Z,MATCH($A94,SPPR!$A:$A,0),21),""),"")</f>
        <v/>
      </c>
      <c r="Y94">
        <f>IFERROR(IF(ISNUMBER(INDEX(SPPR!$E:$Z,MATCH($A94,SPPR!$A:$A,0),22)),$C94*INDEX(SPPR!$E:$Z,MATCH($A94,SPPR!$A:$A,0),22),""),"")</f>
        <v/>
      </c>
    </row>
    <row r="95">
      <c r="A95" t="inlineStr">
        <is>
          <t>Pampus</t>
        </is>
      </c>
      <c r="B95">
        <f>IFERROR(INDEX(SPPR!$D:$D,MATCH($A95,SPPR!$A:$A,0)),"")</f>
        <v/>
      </c>
      <c r="C95">
        <f>IFERROR(INDEX(Catch!$E:$BV,MATCH($A95,Catch!$A:$A,0),MATCH($B$4,Catch!$E$1:$BV$1,0)),0)</f>
        <v/>
      </c>
      <c r="D95">
        <f>IFERROR(IF(ISNUMBER(INDEX(SPPR!$E:$Z,MATCH($A95,SPPR!$A:$A,0),1)),$C95*INDEX(SPPR!$E:$Z,MATCH($A95,SPPR!$A:$A,0),1),""),"")</f>
        <v/>
      </c>
      <c r="E95">
        <f>IFERROR(IF(ISNUMBER(INDEX(SPPR!$E:$Z,MATCH($A95,SPPR!$A:$A,0),2)),$C95*INDEX(SPPR!$E:$Z,MATCH($A95,SPPR!$A:$A,0),2),""),"")</f>
        <v/>
      </c>
      <c r="F95">
        <f>IFERROR(IF(ISNUMBER(INDEX(SPPR!$E:$Z,MATCH($A95,SPPR!$A:$A,0),3)),$C95*INDEX(SPPR!$E:$Z,MATCH($A95,SPPR!$A:$A,0),3),""),"")</f>
        <v/>
      </c>
      <c r="G95">
        <f>IFERROR(IF(ISNUMBER(INDEX(SPPR!$E:$Z,MATCH($A95,SPPR!$A:$A,0),4)),$C95*INDEX(SPPR!$E:$Z,MATCH($A95,SPPR!$A:$A,0),4),""),"")</f>
        <v/>
      </c>
      <c r="H95">
        <f>IFERROR(IF(ISNUMBER(INDEX(SPPR!$E:$Z,MATCH($A95,SPPR!$A:$A,0),5)),$C95*INDEX(SPPR!$E:$Z,MATCH($A95,SPPR!$A:$A,0),5),""),"")</f>
        <v/>
      </c>
      <c r="I95">
        <f>IFERROR(IF(ISNUMBER(INDEX(SPPR!$E:$Z,MATCH($A95,SPPR!$A:$A,0),6)),$C95*INDEX(SPPR!$E:$Z,MATCH($A95,SPPR!$A:$A,0),6),""),"")</f>
        <v/>
      </c>
      <c r="J95">
        <f>IFERROR(IF(ISNUMBER(INDEX(SPPR!$E:$Z,MATCH($A95,SPPR!$A:$A,0),7)),$C95*INDEX(SPPR!$E:$Z,MATCH($A95,SPPR!$A:$A,0),7),""),"")</f>
        <v/>
      </c>
      <c r="K95">
        <f>IFERROR(IF(ISNUMBER(INDEX(SPPR!$E:$Z,MATCH($A95,SPPR!$A:$A,0),8)),$C95*INDEX(SPPR!$E:$Z,MATCH($A95,SPPR!$A:$A,0),8),""),"")</f>
        <v/>
      </c>
      <c r="L95">
        <f>IFERROR(IF(ISNUMBER(INDEX(SPPR!$E:$Z,MATCH($A95,SPPR!$A:$A,0),9)),$C95*INDEX(SPPR!$E:$Z,MATCH($A95,SPPR!$A:$A,0),9),""),"")</f>
        <v/>
      </c>
      <c r="M95">
        <f>IFERROR(IF(ISNUMBER(INDEX(SPPR!$E:$Z,MATCH($A95,SPPR!$A:$A,0),10)),$C95*INDEX(SPPR!$E:$Z,MATCH($A95,SPPR!$A:$A,0),10),""),"")</f>
        <v/>
      </c>
      <c r="N95">
        <f>IFERROR(IF(ISNUMBER(INDEX(SPPR!$E:$Z,MATCH($A95,SPPR!$A:$A,0),11)),$C95*INDEX(SPPR!$E:$Z,MATCH($A95,SPPR!$A:$A,0),11),""),"")</f>
        <v/>
      </c>
      <c r="O95">
        <f>IFERROR(IF(ISNUMBER(INDEX(SPPR!$E:$Z,MATCH($A95,SPPR!$A:$A,0),12)),$C95*INDEX(SPPR!$E:$Z,MATCH($A95,SPPR!$A:$A,0),12),""),"")</f>
        <v/>
      </c>
      <c r="P95">
        <f>IFERROR(IF(ISNUMBER(INDEX(SPPR!$E:$Z,MATCH($A95,SPPR!$A:$A,0),13)),$C95*INDEX(SPPR!$E:$Z,MATCH($A95,SPPR!$A:$A,0),13),""),"")</f>
        <v/>
      </c>
      <c r="Q95">
        <f>IFERROR(IF(ISNUMBER(INDEX(SPPR!$E:$Z,MATCH($A95,SPPR!$A:$A,0),14)),$C95*INDEX(SPPR!$E:$Z,MATCH($A95,SPPR!$A:$A,0),14),""),"")</f>
        <v/>
      </c>
      <c r="R95">
        <f>IFERROR(IF(ISNUMBER(INDEX(SPPR!$E:$Z,MATCH($A95,SPPR!$A:$A,0),15)),$C95*INDEX(SPPR!$E:$Z,MATCH($A95,SPPR!$A:$A,0),15),""),"")</f>
        <v/>
      </c>
      <c r="S95">
        <f>IFERROR(IF(ISNUMBER(INDEX(SPPR!$E:$Z,MATCH($A95,SPPR!$A:$A,0),16)),$C95*INDEX(SPPR!$E:$Z,MATCH($A95,SPPR!$A:$A,0),16),""),"")</f>
        <v/>
      </c>
      <c r="T95">
        <f>IFERROR(IF(ISNUMBER(INDEX(SPPR!$E:$Z,MATCH($A95,SPPR!$A:$A,0),17)),$C95*INDEX(SPPR!$E:$Z,MATCH($A95,SPPR!$A:$A,0),17),""),"")</f>
        <v/>
      </c>
      <c r="U95">
        <f>IFERROR(IF(ISNUMBER(INDEX(SPPR!$E:$Z,MATCH($A95,SPPR!$A:$A,0),18)),$C95*INDEX(SPPR!$E:$Z,MATCH($A95,SPPR!$A:$A,0),18),""),"")</f>
        <v/>
      </c>
      <c r="V95">
        <f>IFERROR(IF(ISNUMBER(INDEX(SPPR!$E:$Z,MATCH($A95,SPPR!$A:$A,0),19)),$C95*INDEX(SPPR!$E:$Z,MATCH($A95,SPPR!$A:$A,0),19),""),"")</f>
        <v/>
      </c>
      <c r="W95">
        <f>IFERROR(IF(ISNUMBER(INDEX(SPPR!$E:$Z,MATCH($A95,SPPR!$A:$A,0),20)),$C95*INDEX(SPPR!$E:$Z,MATCH($A95,SPPR!$A:$A,0),20),""),"")</f>
        <v/>
      </c>
      <c r="X95">
        <f>IFERROR(IF(ISNUMBER(INDEX(SPPR!$E:$Z,MATCH($A95,SPPR!$A:$A,0),21)),$C95*INDEX(SPPR!$E:$Z,MATCH($A95,SPPR!$A:$A,0),21),""),"")</f>
        <v/>
      </c>
      <c r="Y95">
        <f>IFERROR(IF(ISNUMBER(INDEX(SPPR!$E:$Z,MATCH($A95,SPPR!$A:$A,0),22)),$C95*INDEX(SPPR!$E:$Z,MATCH($A95,SPPR!$A:$A,0),22),""),"")</f>
        <v/>
      </c>
    </row>
    <row r="96">
      <c r="A96" t="inlineStr">
        <is>
          <t>Thunnus tonggol</t>
        </is>
      </c>
      <c r="B96">
        <f>IFERROR(INDEX(SPPR!$D:$D,MATCH($A96,SPPR!$A:$A,0)),"")</f>
        <v/>
      </c>
      <c r="C96">
        <f>IFERROR(INDEX(Catch!$E:$BV,MATCH($A96,Catch!$A:$A,0),MATCH($B$4,Catch!$E$1:$BV$1,0)),0)</f>
        <v/>
      </c>
      <c r="D96">
        <f>IFERROR(IF(ISNUMBER(INDEX(SPPR!$E:$Z,MATCH($A96,SPPR!$A:$A,0),1)),$C96*INDEX(SPPR!$E:$Z,MATCH($A96,SPPR!$A:$A,0),1),""),"")</f>
        <v/>
      </c>
      <c r="E96">
        <f>IFERROR(IF(ISNUMBER(INDEX(SPPR!$E:$Z,MATCH($A96,SPPR!$A:$A,0),2)),$C96*INDEX(SPPR!$E:$Z,MATCH($A96,SPPR!$A:$A,0),2),""),"")</f>
        <v/>
      </c>
      <c r="F96">
        <f>IFERROR(IF(ISNUMBER(INDEX(SPPR!$E:$Z,MATCH($A96,SPPR!$A:$A,0),3)),$C96*INDEX(SPPR!$E:$Z,MATCH($A96,SPPR!$A:$A,0),3),""),"")</f>
        <v/>
      </c>
      <c r="G96">
        <f>IFERROR(IF(ISNUMBER(INDEX(SPPR!$E:$Z,MATCH($A96,SPPR!$A:$A,0),4)),$C96*INDEX(SPPR!$E:$Z,MATCH($A96,SPPR!$A:$A,0),4),""),"")</f>
        <v/>
      </c>
      <c r="H96">
        <f>IFERROR(IF(ISNUMBER(INDEX(SPPR!$E:$Z,MATCH($A96,SPPR!$A:$A,0),5)),$C96*INDEX(SPPR!$E:$Z,MATCH($A96,SPPR!$A:$A,0),5),""),"")</f>
        <v/>
      </c>
      <c r="I96">
        <f>IFERROR(IF(ISNUMBER(INDEX(SPPR!$E:$Z,MATCH($A96,SPPR!$A:$A,0),6)),$C96*INDEX(SPPR!$E:$Z,MATCH($A96,SPPR!$A:$A,0),6),""),"")</f>
        <v/>
      </c>
      <c r="J96">
        <f>IFERROR(IF(ISNUMBER(INDEX(SPPR!$E:$Z,MATCH($A96,SPPR!$A:$A,0),7)),$C96*INDEX(SPPR!$E:$Z,MATCH($A96,SPPR!$A:$A,0),7),""),"")</f>
        <v/>
      </c>
      <c r="K96">
        <f>IFERROR(IF(ISNUMBER(INDEX(SPPR!$E:$Z,MATCH($A96,SPPR!$A:$A,0),8)),$C96*INDEX(SPPR!$E:$Z,MATCH($A96,SPPR!$A:$A,0),8),""),"")</f>
        <v/>
      </c>
      <c r="L96">
        <f>IFERROR(IF(ISNUMBER(INDEX(SPPR!$E:$Z,MATCH($A96,SPPR!$A:$A,0),9)),$C96*INDEX(SPPR!$E:$Z,MATCH($A96,SPPR!$A:$A,0),9),""),"")</f>
        <v/>
      </c>
      <c r="M96">
        <f>IFERROR(IF(ISNUMBER(INDEX(SPPR!$E:$Z,MATCH($A96,SPPR!$A:$A,0),10)),$C96*INDEX(SPPR!$E:$Z,MATCH($A96,SPPR!$A:$A,0),10),""),"")</f>
        <v/>
      </c>
      <c r="N96">
        <f>IFERROR(IF(ISNUMBER(INDEX(SPPR!$E:$Z,MATCH($A96,SPPR!$A:$A,0),11)),$C96*INDEX(SPPR!$E:$Z,MATCH($A96,SPPR!$A:$A,0),11),""),"")</f>
        <v/>
      </c>
      <c r="O96">
        <f>IFERROR(IF(ISNUMBER(INDEX(SPPR!$E:$Z,MATCH($A96,SPPR!$A:$A,0),12)),$C96*INDEX(SPPR!$E:$Z,MATCH($A96,SPPR!$A:$A,0),12),""),"")</f>
        <v/>
      </c>
      <c r="P96">
        <f>IFERROR(IF(ISNUMBER(INDEX(SPPR!$E:$Z,MATCH($A96,SPPR!$A:$A,0),13)),$C96*INDEX(SPPR!$E:$Z,MATCH($A96,SPPR!$A:$A,0),13),""),"")</f>
        <v/>
      </c>
      <c r="Q96">
        <f>IFERROR(IF(ISNUMBER(INDEX(SPPR!$E:$Z,MATCH($A96,SPPR!$A:$A,0),14)),$C96*INDEX(SPPR!$E:$Z,MATCH($A96,SPPR!$A:$A,0),14),""),"")</f>
        <v/>
      </c>
      <c r="R96">
        <f>IFERROR(IF(ISNUMBER(INDEX(SPPR!$E:$Z,MATCH($A96,SPPR!$A:$A,0),15)),$C96*INDEX(SPPR!$E:$Z,MATCH($A96,SPPR!$A:$A,0),15),""),"")</f>
        <v/>
      </c>
      <c r="S96">
        <f>IFERROR(IF(ISNUMBER(INDEX(SPPR!$E:$Z,MATCH($A96,SPPR!$A:$A,0),16)),$C96*INDEX(SPPR!$E:$Z,MATCH($A96,SPPR!$A:$A,0),16),""),"")</f>
        <v/>
      </c>
      <c r="T96">
        <f>IFERROR(IF(ISNUMBER(INDEX(SPPR!$E:$Z,MATCH($A96,SPPR!$A:$A,0),17)),$C96*INDEX(SPPR!$E:$Z,MATCH($A96,SPPR!$A:$A,0),17),""),"")</f>
        <v/>
      </c>
      <c r="U96">
        <f>IFERROR(IF(ISNUMBER(INDEX(SPPR!$E:$Z,MATCH($A96,SPPR!$A:$A,0),18)),$C96*INDEX(SPPR!$E:$Z,MATCH($A96,SPPR!$A:$A,0),18),""),"")</f>
        <v/>
      </c>
      <c r="V96">
        <f>IFERROR(IF(ISNUMBER(INDEX(SPPR!$E:$Z,MATCH($A96,SPPR!$A:$A,0),19)),$C96*INDEX(SPPR!$E:$Z,MATCH($A96,SPPR!$A:$A,0),19),""),"")</f>
        <v/>
      </c>
      <c r="W96">
        <f>IFERROR(IF(ISNUMBER(INDEX(SPPR!$E:$Z,MATCH($A96,SPPR!$A:$A,0),20)),$C96*INDEX(SPPR!$E:$Z,MATCH($A96,SPPR!$A:$A,0),20),""),"")</f>
        <v/>
      </c>
      <c r="X96">
        <f>IFERROR(IF(ISNUMBER(INDEX(SPPR!$E:$Z,MATCH($A96,SPPR!$A:$A,0),21)),$C96*INDEX(SPPR!$E:$Z,MATCH($A96,SPPR!$A:$A,0),21),""),"")</f>
        <v/>
      </c>
      <c r="Y96">
        <f>IFERROR(IF(ISNUMBER(INDEX(SPPR!$E:$Z,MATCH($A96,SPPR!$A:$A,0),22)),$C96*INDEX(SPPR!$E:$Z,MATCH($A96,SPPR!$A:$A,0),22),""),"")</f>
        <v/>
      </c>
    </row>
    <row r="97">
      <c r="A97" t="inlineStr">
        <is>
          <t>Pomadasys</t>
        </is>
      </c>
      <c r="B97">
        <f>IFERROR(INDEX(SPPR!$D:$D,MATCH($A97,SPPR!$A:$A,0)),"")</f>
        <v/>
      </c>
      <c r="C97">
        <f>IFERROR(INDEX(Catch!$E:$BV,MATCH($A97,Catch!$A:$A,0),MATCH($B$4,Catch!$E$1:$BV$1,0)),0)</f>
        <v/>
      </c>
      <c r="D97">
        <f>IFERROR(IF(ISNUMBER(INDEX(SPPR!$E:$Z,MATCH($A97,SPPR!$A:$A,0),1)),$C97*INDEX(SPPR!$E:$Z,MATCH($A97,SPPR!$A:$A,0),1),""),"")</f>
        <v/>
      </c>
      <c r="E97">
        <f>IFERROR(IF(ISNUMBER(INDEX(SPPR!$E:$Z,MATCH($A97,SPPR!$A:$A,0),2)),$C97*INDEX(SPPR!$E:$Z,MATCH($A97,SPPR!$A:$A,0),2),""),"")</f>
        <v/>
      </c>
      <c r="F97">
        <f>IFERROR(IF(ISNUMBER(INDEX(SPPR!$E:$Z,MATCH($A97,SPPR!$A:$A,0),3)),$C97*INDEX(SPPR!$E:$Z,MATCH($A97,SPPR!$A:$A,0),3),""),"")</f>
        <v/>
      </c>
      <c r="G97">
        <f>IFERROR(IF(ISNUMBER(INDEX(SPPR!$E:$Z,MATCH($A97,SPPR!$A:$A,0),4)),$C97*INDEX(SPPR!$E:$Z,MATCH($A97,SPPR!$A:$A,0),4),""),"")</f>
        <v/>
      </c>
      <c r="H97">
        <f>IFERROR(IF(ISNUMBER(INDEX(SPPR!$E:$Z,MATCH($A97,SPPR!$A:$A,0),5)),$C97*INDEX(SPPR!$E:$Z,MATCH($A97,SPPR!$A:$A,0),5),""),"")</f>
        <v/>
      </c>
      <c r="I97">
        <f>IFERROR(IF(ISNUMBER(INDEX(SPPR!$E:$Z,MATCH($A97,SPPR!$A:$A,0),6)),$C97*INDEX(SPPR!$E:$Z,MATCH($A97,SPPR!$A:$A,0),6),""),"")</f>
        <v/>
      </c>
      <c r="J97">
        <f>IFERROR(IF(ISNUMBER(INDEX(SPPR!$E:$Z,MATCH($A97,SPPR!$A:$A,0),7)),$C97*INDEX(SPPR!$E:$Z,MATCH($A97,SPPR!$A:$A,0),7),""),"")</f>
        <v/>
      </c>
      <c r="K97">
        <f>IFERROR(IF(ISNUMBER(INDEX(SPPR!$E:$Z,MATCH($A97,SPPR!$A:$A,0),8)),$C97*INDEX(SPPR!$E:$Z,MATCH($A97,SPPR!$A:$A,0),8),""),"")</f>
        <v/>
      </c>
      <c r="L97">
        <f>IFERROR(IF(ISNUMBER(INDEX(SPPR!$E:$Z,MATCH($A97,SPPR!$A:$A,0),9)),$C97*INDEX(SPPR!$E:$Z,MATCH($A97,SPPR!$A:$A,0),9),""),"")</f>
        <v/>
      </c>
      <c r="M97">
        <f>IFERROR(IF(ISNUMBER(INDEX(SPPR!$E:$Z,MATCH($A97,SPPR!$A:$A,0),10)),$C97*INDEX(SPPR!$E:$Z,MATCH($A97,SPPR!$A:$A,0),10),""),"")</f>
        <v/>
      </c>
      <c r="N97">
        <f>IFERROR(IF(ISNUMBER(INDEX(SPPR!$E:$Z,MATCH($A97,SPPR!$A:$A,0),11)),$C97*INDEX(SPPR!$E:$Z,MATCH($A97,SPPR!$A:$A,0),11),""),"")</f>
        <v/>
      </c>
      <c r="O97">
        <f>IFERROR(IF(ISNUMBER(INDEX(SPPR!$E:$Z,MATCH($A97,SPPR!$A:$A,0),12)),$C97*INDEX(SPPR!$E:$Z,MATCH($A97,SPPR!$A:$A,0),12),""),"")</f>
        <v/>
      </c>
      <c r="P97">
        <f>IFERROR(IF(ISNUMBER(INDEX(SPPR!$E:$Z,MATCH($A97,SPPR!$A:$A,0),13)),$C97*INDEX(SPPR!$E:$Z,MATCH($A97,SPPR!$A:$A,0),13),""),"")</f>
        <v/>
      </c>
      <c r="Q97">
        <f>IFERROR(IF(ISNUMBER(INDEX(SPPR!$E:$Z,MATCH($A97,SPPR!$A:$A,0),14)),$C97*INDEX(SPPR!$E:$Z,MATCH($A97,SPPR!$A:$A,0),14),""),"")</f>
        <v/>
      </c>
      <c r="R97">
        <f>IFERROR(IF(ISNUMBER(INDEX(SPPR!$E:$Z,MATCH($A97,SPPR!$A:$A,0),15)),$C97*INDEX(SPPR!$E:$Z,MATCH($A97,SPPR!$A:$A,0),15),""),"")</f>
        <v/>
      </c>
      <c r="S97">
        <f>IFERROR(IF(ISNUMBER(INDEX(SPPR!$E:$Z,MATCH($A97,SPPR!$A:$A,0),16)),$C97*INDEX(SPPR!$E:$Z,MATCH($A97,SPPR!$A:$A,0),16),""),"")</f>
        <v/>
      </c>
      <c r="T97">
        <f>IFERROR(IF(ISNUMBER(INDEX(SPPR!$E:$Z,MATCH($A97,SPPR!$A:$A,0),17)),$C97*INDEX(SPPR!$E:$Z,MATCH($A97,SPPR!$A:$A,0),17),""),"")</f>
        <v/>
      </c>
      <c r="U97">
        <f>IFERROR(IF(ISNUMBER(INDEX(SPPR!$E:$Z,MATCH($A97,SPPR!$A:$A,0),18)),$C97*INDEX(SPPR!$E:$Z,MATCH($A97,SPPR!$A:$A,0),18),""),"")</f>
        <v/>
      </c>
      <c r="V97">
        <f>IFERROR(IF(ISNUMBER(INDEX(SPPR!$E:$Z,MATCH($A97,SPPR!$A:$A,0),19)),$C97*INDEX(SPPR!$E:$Z,MATCH($A97,SPPR!$A:$A,0),19),""),"")</f>
        <v/>
      </c>
      <c r="W97">
        <f>IFERROR(IF(ISNUMBER(INDEX(SPPR!$E:$Z,MATCH($A97,SPPR!$A:$A,0),20)),$C97*INDEX(SPPR!$E:$Z,MATCH($A97,SPPR!$A:$A,0),20),""),"")</f>
        <v/>
      </c>
      <c r="X97">
        <f>IFERROR(IF(ISNUMBER(INDEX(SPPR!$E:$Z,MATCH($A97,SPPR!$A:$A,0),21)),$C97*INDEX(SPPR!$E:$Z,MATCH($A97,SPPR!$A:$A,0),21),""),"")</f>
        <v/>
      </c>
      <c r="Y97">
        <f>IFERROR(IF(ISNUMBER(INDEX(SPPR!$E:$Z,MATCH($A97,SPPR!$A:$A,0),22)),$C97*INDEX(SPPR!$E:$Z,MATCH($A97,SPPR!$A:$A,0),22),""),"")</f>
        <v/>
      </c>
    </row>
    <row r="98">
      <c r="A98" t="inlineStr">
        <is>
          <t>Lepturacanthus savala</t>
        </is>
      </c>
      <c r="B98">
        <f>IFERROR(INDEX(SPPR!$D:$D,MATCH($A98,SPPR!$A:$A,0)),"")</f>
        <v/>
      </c>
      <c r="C98">
        <f>IFERROR(INDEX(Catch!$E:$BV,MATCH($A98,Catch!$A:$A,0),MATCH($B$4,Catch!$E$1:$BV$1,0)),0)</f>
        <v/>
      </c>
      <c r="D98">
        <f>IFERROR(IF(ISNUMBER(INDEX(SPPR!$E:$Z,MATCH($A98,SPPR!$A:$A,0),1)),$C98*INDEX(SPPR!$E:$Z,MATCH($A98,SPPR!$A:$A,0),1),""),"")</f>
        <v/>
      </c>
      <c r="E98">
        <f>IFERROR(IF(ISNUMBER(INDEX(SPPR!$E:$Z,MATCH($A98,SPPR!$A:$A,0),2)),$C98*INDEX(SPPR!$E:$Z,MATCH($A98,SPPR!$A:$A,0),2),""),"")</f>
        <v/>
      </c>
      <c r="F98">
        <f>IFERROR(IF(ISNUMBER(INDEX(SPPR!$E:$Z,MATCH($A98,SPPR!$A:$A,0),3)),$C98*INDEX(SPPR!$E:$Z,MATCH($A98,SPPR!$A:$A,0),3),""),"")</f>
        <v/>
      </c>
      <c r="G98">
        <f>IFERROR(IF(ISNUMBER(INDEX(SPPR!$E:$Z,MATCH($A98,SPPR!$A:$A,0),4)),$C98*INDEX(SPPR!$E:$Z,MATCH($A98,SPPR!$A:$A,0),4),""),"")</f>
        <v/>
      </c>
      <c r="H98">
        <f>IFERROR(IF(ISNUMBER(INDEX(SPPR!$E:$Z,MATCH($A98,SPPR!$A:$A,0),5)),$C98*INDEX(SPPR!$E:$Z,MATCH($A98,SPPR!$A:$A,0),5),""),"")</f>
        <v/>
      </c>
      <c r="I98">
        <f>IFERROR(IF(ISNUMBER(INDEX(SPPR!$E:$Z,MATCH($A98,SPPR!$A:$A,0),6)),$C98*INDEX(SPPR!$E:$Z,MATCH($A98,SPPR!$A:$A,0),6),""),"")</f>
        <v/>
      </c>
      <c r="J98">
        <f>IFERROR(IF(ISNUMBER(INDEX(SPPR!$E:$Z,MATCH($A98,SPPR!$A:$A,0),7)),$C98*INDEX(SPPR!$E:$Z,MATCH($A98,SPPR!$A:$A,0),7),""),"")</f>
        <v/>
      </c>
      <c r="K98">
        <f>IFERROR(IF(ISNUMBER(INDEX(SPPR!$E:$Z,MATCH($A98,SPPR!$A:$A,0),8)),$C98*INDEX(SPPR!$E:$Z,MATCH($A98,SPPR!$A:$A,0),8),""),"")</f>
        <v/>
      </c>
      <c r="L98">
        <f>IFERROR(IF(ISNUMBER(INDEX(SPPR!$E:$Z,MATCH($A98,SPPR!$A:$A,0),9)),$C98*INDEX(SPPR!$E:$Z,MATCH($A98,SPPR!$A:$A,0),9),""),"")</f>
        <v/>
      </c>
      <c r="M98">
        <f>IFERROR(IF(ISNUMBER(INDEX(SPPR!$E:$Z,MATCH($A98,SPPR!$A:$A,0),10)),$C98*INDEX(SPPR!$E:$Z,MATCH($A98,SPPR!$A:$A,0),10),""),"")</f>
        <v/>
      </c>
      <c r="N98">
        <f>IFERROR(IF(ISNUMBER(INDEX(SPPR!$E:$Z,MATCH($A98,SPPR!$A:$A,0),11)),$C98*INDEX(SPPR!$E:$Z,MATCH($A98,SPPR!$A:$A,0),11),""),"")</f>
        <v/>
      </c>
      <c r="O98">
        <f>IFERROR(IF(ISNUMBER(INDEX(SPPR!$E:$Z,MATCH($A98,SPPR!$A:$A,0),12)),$C98*INDEX(SPPR!$E:$Z,MATCH($A98,SPPR!$A:$A,0),12),""),"")</f>
        <v/>
      </c>
      <c r="P98">
        <f>IFERROR(IF(ISNUMBER(INDEX(SPPR!$E:$Z,MATCH($A98,SPPR!$A:$A,0),13)),$C98*INDEX(SPPR!$E:$Z,MATCH($A98,SPPR!$A:$A,0),13),""),"")</f>
        <v/>
      </c>
      <c r="Q98">
        <f>IFERROR(IF(ISNUMBER(INDEX(SPPR!$E:$Z,MATCH($A98,SPPR!$A:$A,0),14)),$C98*INDEX(SPPR!$E:$Z,MATCH($A98,SPPR!$A:$A,0),14),""),"")</f>
        <v/>
      </c>
      <c r="R98">
        <f>IFERROR(IF(ISNUMBER(INDEX(SPPR!$E:$Z,MATCH($A98,SPPR!$A:$A,0),15)),$C98*INDEX(SPPR!$E:$Z,MATCH($A98,SPPR!$A:$A,0),15),""),"")</f>
        <v/>
      </c>
      <c r="S98">
        <f>IFERROR(IF(ISNUMBER(INDEX(SPPR!$E:$Z,MATCH($A98,SPPR!$A:$A,0),16)),$C98*INDEX(SPPR!$E:$Z,MATCH($A98,SPPR!$A:$A,0),16),""),"")</f>
        <v/>
      </c>
      <c r="T98">
        <f>IFERROR(IF(ISNUMBER(INDEX(SPPR!$E:$Z,MATCH($A98,SPPR!$A:$A,0),17)),$C98*INDEX(SPPR!$E:$Z,MATCH($A98,SPPR!$A:$A,0),17),""),"")</f>
        <v/>
      </c>
      <c r="U98">
        <f>IFERROR(IF(ISNUMBER(INDEX(SPPR!$E:$Z,MATCH($A98,SPPR!$A:$A,0),18)),$C98*INDEX(SPPR!$E:$Z,MATCH($A98,SPPR!$A:$A,0),18),""),"")</f>
        <v/>
      </c>
      <c r="V98">
        <f>IFERROR(IF(ISNUMBER(INDEX(SPPR!$E:$Z,MATCH($A98,SPPR!$A:$A,0),19)),$C98*INDEX(SPPR!$E:$Z,MATCH($A98,SPPR!$A:$A,0),19),""),"")</f>
        <v/>
      </c>
      <c r="W98">
        <f>IFERROR(IF(ISNUMBER(INDEX(SPPR!$E:$Z,MATCH($A98,SPPR!$A:$A,0),20)),$C98*INDEX(SPPR!$E:$Z,MATCH($A98,SPPR!$A:$A,0),20),""),"")</f>
        <v/>
      </c>
      <c r="X98">
        <f>IFERROR(IF(ISNUMBER(INDEX(SPPR!$E:$Z,MATCH($A98,SPPR!$A:$A,0),21)),$C98*INDEX(SPPR!$E:$Z,MATCH($A98,SPPR!$A:$A,0),21),""),"")</f>
        <v/>
      </c>
      <c r="Y98">
        <f>IFERROR(IF(ISNUMBER(INDEX(SPPR!$E:$Z,MATCH($A98,SPPR!$A:$A,0),22)),$C98*INDEX(SPPR!$E:$Z,MATCH($A98,SPPR!$A:$A,0),22),""),"")</f>
        <v/>
      </c>
    </row>
    <row r="99">
      <c r="A99" t="inlineStr">
        <is>
          <t>Upeneus</t>
        </is>
      </c>
      <c r="B99">
        <f>IFERROR(INDEX(SPPR!$D:$D,MATCH($A99,SPPR!$A:$A,0)),"")</f>
        <v/>
      </c>
      <c r="C99">
        <f>IFERROR(INDEX(Catch!$E:$BV,MATCH($A99,Catch!$A:$A,0),MATCH($B$4,Catch!$E$1:$BV$1,0)),0)</f>
        <v/>
      </c>
      <c r="D99">
        <f>IFERROR(IF(ISNUMBER(INDEX(SPPR!$E:$Z,MATCH($A99,SPPR!$A:$A,0),1)),$C99*INDEX(SPPR!$E:$Z,MATCH($A99,SPPR!$A:$A,0),1),""),"")</f>
        <v/>
      </c>
      <c r="E99">
        <f>IFERROR(IF(ISNUMBER(INDEX(SPPR!$E:$Z,MATCH($A99,SPPR!$A:$A,0),2)),$C99*INDEX(SPPR!$E:$Z,MATCH($A99,SPPR!$A:$A,0),2),""),"")</f>
        <v/>
      </c>
      <c r="F99">
        <f>IFERROR(IF(ISNUMBER(INDEX(SPPR!$E:$Z,MATCH($A99,SPPR!$A:$A,0),3)),$C99*INDEX(SPPR!$E:$Z,MATCH($A99,SPPR!$A:$A,0),3),""),"")</f>
        <v/>
      </c>
      <c r="G99">
        <f>IFERROR(IF(ISNUMBER(INDEX(SPPR!$E:$Z,MATCH($A99,SPPR!$A:$A,0),4)),$C99*INDEX(SPPR!$E:$Z,MATCH($A99,SPPR!$A:$A,0),4),""),"")</f>
        <v/>
      </c>
      <c r="H99">
        <f>IFERROR(IF(ISNUMBER(INDEX(SPPR!$E:$Z,MATCH($A99,SPPR!$A:$A,0),5)),$C99*INDEX(SPPR!$E:$Z,MATCH($A99,SPPR!$A:$A,0),5),""),"")</f>
        <v/>
      </c>
      <c r="I99">
        <f>IFERROR(IF(ISNUMBER(INDEX(SPPR!$E:$Z,MATCH($A99,SPPR!$A:$A,0),6)),$C99*INDEX(SPPR!$E:$Z,MATCH($A99,SPPR!$A:$A,0),6),""),"")</f>
        <v/>
      </c>
      <c r="J99">
        <f>IFERROR(IF(ISNUMBER(INDEX(SPPR!$E:$Z,MATCH($A99,SPPR!$A:$A,0),7)),$C99*INDEX(SPPR!$E:$Z,MATCH($A99,SPPR!$A:$A,0),7),""),"")</f>
        <v/>
      </c>
      <c r="K99">
        <f>IFERROR(IF(ISNUMBER(INDEX(SPPR!$E:$Z,MATCH($A99,SPPR!$A:$A,0),8)),$C99*INDEX(SPPR!$E:$Z,MATCH($A99,SPPR!$A:$A,0),8),""),"")</f>
        <v/>
      </c>
      <c r="L99">
        <f>IFERROR(IF(ISNUMBER(INDEX(SPPR!$E:$Z,MATCH($A99,SPPR!$A:$A,0),9)),$C99*INDEX(SPPR!$E:$Z,MATCH($A99,SPPR!$A:$A,0),9),""),"")</f>
        <v/>
      </c>
      <c r="M99">
        <f>IFERROR(IF(ISNUMBER(INDEX(SPPR!$E:$Z,MATCH($A99,SPPR!$A:$A,0),10)),$C99*INDEX(SPPR!$E:$Z,MATCH($A99,SPPR!$A:$A,0),10),""),"")</f>
        <v/>
      </c>
      <c r="N99">
        <f>IFERROR(IF(ISNUMBER(INDEX(SPPR!$E:$Z,MATCH($A99,SPPR!$A:$A,0),11)),$C99*INDEX(SPPR!$E:$Z,MATCH($A99,SPPR!$A:$A,0),11),""),"")</f>
        <v/>
      </c>
      <c r="O99">
        <f>IFERROR(IF(ISNUMBER(INDEX(SPPR!$E:$Z,MATCH($A99,SPPR!$A:$A,0),12)),$C99*INDEX(SPPR!$E:$Z,MATCH($A99,SPPR!$A:$A,0),12),""),"")</f>
        <v/>
      </c>
      <c r="P99">
        <f>IFERROR(IF(ISNUMBER(INDEX(SPPR!$E:$Z,MATCH($A99,SPPR!$A:$A,0),13)),$C99*INDEX(SPPR!$E:$Z,MATCH($A99,SPPR!$A:$A,0),13),""),"")</f>
        <v/>
      </c>
      <c r="Q99">
        <f>IFERROR(IF(ISNUMBER(INDEX(SPPR!$E:$Z,MATCH($A99,SPPR!$A:$A,0),14)),$C99*INDEX(SPPR!$E:$Z,MATCH($A99,SPPR!$A:$A,0),14),""),"")</f>
        <v/>
      </c>
      <c r="R99">
        <f>IFERROR(IF(ISNUMBER(INDEX(SPPR!$E:$Z,MATCH($A99,SPPR!$A:$A,0),15)),$C99*INDEX(SPPR!$E:$Z,MATCH($A99,SPPR!$A:$A,0),15),""),"")</f>
        <v/>
      </c>
      <c r="S99">
        <f>IFERROR(IF(ISNUMBER(INDEX(SPPR!$E:$Z,MATCH($A99,SPPR!$A:$A,0),16)),$C99*INDEX(SPPR!$E:$Z,MATCH($A99,SPPR!$A:$A,0),16),""),"")</f>
        <v/>
      </c>
      <c r="T99">
        <f>IFERROR(IF(ISNUMBER(INDEX(SPPR!$E:$Z,MATCH($A99,SPPR!$A:$A,0),17)),$C99*INDEX(SPPR!$E:$Z,MATCH($A99,SPPR!$A:$A,0),17),""),"")</f>
        <v/>
      </c>
      <c r="U99">
        <f>IFERROR(IF(ISNUMBER(INDEX(SPPR!$E:$Z,MATCH($A99,SPPR!$A:$A,0),18)),$C99*INDEX(SPPR!$E:$Z,MATCH($A99,SPPR!$A:$A,0),18),""),"")</f>
        <v/>
      </c>
      <c r="V99">
        <f>IFERROR(IF(ISNUMBER(INDEX(SPPR!$E:$Z,MATCH($A99,SPPR!$A:$A,0),19)),$C99*INDEX(SPPR!$E:$Z,MATCH($A99,SPPR!$A:$A,0),19),""),"")</f>
        <v/>
      </c>
      <c r="W99">
        <f>IFERROR(IF(ISNUMBER(INDEX(SPPR!$E:$Z,MATCH($A99,SPPR!$A:$A,0),20)),$C99*INDEX(SPPR!$E:$Z,MATCH($A99,SPPR!$A:$A,0),20),""),"")</f>
        <v/>
      </c>
      <c r="X99">
        <f>IFERROR(IF(ISNUMBER(INDEX(SPPR!$E:$Z,MATCH($A99,SPPR!$A:$A,0),21)),$C99*INDEX(SPPR!$E:$Z,MATCH($A99,SPPR!$A:$A,0),21),""),"")</f>
        <v/>
      </c>
      <c r="Y99">
        <f>IFERROR(IF(ISNUMBER(INDEX(SPPR!$E:$Z,MATCH($A99,SPPR!$A:$A,0),22)),$C99*INDEX(SPPR!$E:$Z,MATCH($A99,SPPR!$A:$A,0),22),""),"")</f>
        <v/>
      </c>
    </row>
    <row r="100">
      <c r="A100" t="inlineStr">
        <is>
          <t>Sardinella lemuru</t>
        </is>
      </c>
      <c r="B100">
        <f>IFERROR(INDEX(SPPR!$D:$D,MATCH($A100,SPPR!$A:$A,0)),"")</f>
        <v/>
      </c>
      <c r="C100">
        <f>IFERROR(INDEX(Catch!$E:$BV,MATCH($A100,Catch!$A:$A,0),MATCH($B$4,Catch!$E$1:$BV$1,0)),0)</f>
        <v/>
      </c>
      <c r="D100">
        <f>IFERROR(IF(ISNUMBER(INDEX(SPPR!$E:$Z,MATCH($A100,SPPR!$A:$A,0),1)),$C100*INDEX(SPPR!$E:$Z,MATCH($A100,SPPR!$A:$A,0),1),""),"")</f>
        <v/>
      </c>
      <c r="E100">
        <f>IFERROR(IF(ISNUMBER(INDEX(SPPR!$E:$Z,MATCH($A100,SPPR!$A:$A,0),2)),$C100*INDEX(SPPR!$E:$Z,MATCH($A100,SPPR!$A:$A,0),2),""),"")</f>
        <v/>
      </c>
      <c r="F100">
        <f>IFERROR(IF(ISNUMBER(INDEX(SPPR!$E:$Z,MATCH($A100,SPPR!$A:$A,0),3)),$C100*INDEX(SPPR!$E:$Z,MATCH($A100,SPPR!$A:$A,0),3),""),"")</f>
        <v/>
      </c>
      <c r="G100">
        <f>IFERROR(IF(ISNUMBER(INDEX(SPPR!$E:$Z,MATCH($A100,SPPR!$A:$A,0),4)),$C100*INDEX(SPPR!$E:$Z,MATCH($A100,SPPR!$A:$A,0),4),""),"")</f>
        <v/>
      </c>
      <c r="H100">
        <f>IFERROR(IF(ISNUMBER(INDEX(SPPR!$E:$Z,MATCH($A100,SPPR!$A:$A,0),5)),$C100*INDEX(SPPR!$E:$Z,MATCH($A100,SPPR!$A:$A,0),5),""),"")</f>
        <v/>
      </c>
      <c r="I100">
        <f>IFERROR(IF(ISNUMBER(INDEX(SPPR!$E:$Z,MATCH($A100,SPPR!$A:$A,0),6)),$C100*INDEX(SPPR!$E:$Z,MATCH($A100,SPPR!$A:$A,0),6),""),"")</f>
        <v/>
      </c>
      <c r="J100">
        <f>IFERROR(IF(ISNUMBER(INDEX(SPPR!$E:$Z,MATCH($A100,SPPR!$A:$A,0),7)),$C100*INDEX(SPPR!$E:$Z,MATCH($A100,SPPR!$A:$A,0),7),""),"")</f>
        <v/>
      </c>
      <c r="K100">
        <f>IFERROR(IF(ISNUMBER(INDEX(SPPR!$E:$Z,MATCH($A100,SPPR!$A:$A,0),8)),$C100*INDEX(SPPR!$E:$Z,MATCH($A100,SPPR!$A:$A,0),8),""),"")</f>
        <v/>
      </c>
      <c r="L100">
        <f>IFERROR(IF(ISNUMBER(INDEX(SPPR!$E:$Z,MATCH($A100,SPPR!$A:$A,0),9)),$C100*INDEX(SPPR!$E:$Z,MATCH($A100,SPPR!$A:$A,0),9),""),"")</f>
        <v/>
      </c>
      <c r="M100">
        <f>IFERROR(IF(ISNUMBER(INDEX(SPPR!$E:$Z,MATCH($A100,SPPR!$A:$A,0),10)),$C100*INDEX(SPPR!$E:$Z,MATCH($A100,SPPR!$A:$A,0),10),""),"")</f>
        <v/>
      </c>
      <c r="N100">
        <f>IFERROR(IF(ISNUMBER(INDEX(SPPR!$E:$Z,MATCH($A100,SPPR!$A:$A,0),11)),$C100*INDEX(SPPR!$E:$Z,MATCH($A100,SPPR!$A:$A,0),11),""),"")</f>
        <v/>
      </c>
      <c r="O100">
        <f>IFERROR(IF(ISNUMBER(INDEX(SPPR!$E:$Z,MATCH($A100,SPPR!$A:$A,0),12)),$C100*INDEX(SPPR!$E:$Z,MATCH($A100,SPPR!$A:$A,0),12),""),"")</f>
        <v/>
      </c>
      <c r="P100">
        <f>IFERROR(IF(ISNUMBER(INDEX(SPPR!$E:$Z,MATCH($A100,SPPR!$A:$A,0),13)),$C100*INDEX(SPPR!$E:$Z,MATCH($A100,SPPR!$A:$A,0),13),""),"")</f>
        <v/>
      </c>
      <c r="Q100">
        <f>IFERROR(IF(ISNUMBER(INDEX(SPPR!$E:$Z,MATCH($A100,SPPR!$A:$A,0),14)),$C100*INDEX(SPPR!$E:$Z,MATCH($A100,SPPR!$A:$A,0),14),""),"")</f>
        <v/>
      </c>
      <c r="R100">
        <f>IFERROR(IF(ISNUMBER(INDEX(SPPR!$E:$Z,MATCH($A100,SPPR!$A:$A,0),15)),$C100*INDEX(SPPR!$E:$Z,MATCH($A100,SPPR!$A:$A,0),15),""),"")</f>
        <v/>
      </c>
      <c r="S100">
        <f>IFERROR(IF(ISNUMBER(INDEX(SPPR!$E:$Z,MATCH($A100,SPPR!$A:$A,0),16)),$C100*INDEX(SPPR!$E:$Z,MATCH($A100,SPPR!$A:$A,0),16),""),"")</f>
        <v/>
      </c>
      <c r="T100">
        <f>IFERROR(IF(ISNUMBER(INDEX(SPPR!$E:$Z,MATCH($A100,SPPR!$A:$A,0),17)),$C100*INDEX(SPPR!$E:$Z,MATCH($A100,SPPR!$A:$A,0),17),""),"")</f>
        <v/>
      </c>
      <c r="U100">
        <f>IFERROR(IF(ISNUMBER(INDEX(SPPR!$E:$Z,MATCH($A100,SPPR!$A:$A,0),18)),$C100*INDEX(SPPR!$E:$Z,MATCH($A100,SPPR!$A:$A,0),18),""),"")</f>
        <v/>
      </c>
      <c r="V100">
        <f>IFERROR(IF(ISNUMBER(INDEX(SPPR!$E:$Z,MATCH($A100,SPPR!$A:$A,0),19)),$C100*INDEX(SPPR!$E:$Z,MATCH($A100,SPPR!$A:$A,0),19),""),"")</f>
        <v/>
      </c>
      <c r="W100">
        <f>IFERROR(IF(ISNUMBER(INDEX(SPPR!$E:$Z,MATCH($A100,SPPR!$A:$A,0),20)),$C100*INDEX(SPPR!$E:$Z,MATCH($A100,SPPR!$A:$A,0),20),""),"")</f>
        <v/>
      </c>
      <c r="X100">
        <f>IFERROR(IF(ISNUMBER(INDEX(SPPR!$E:$Z,MATCH($A100,SPPR!$A:$A,0),21)),$C100*INDEX(SPPR!$E:$Z,MATCH($A100,SPPR!$A:$A,0),21),""),"")</f>
        <v/>
      </c>
      <c r="Y100">
        <f>IFERROR(IF(ISNUMBER(INDEX(SPPR!$E:$Z,MATCH($A100,SPPR!$A:$A,0),22)),$C100*INDEX(SPPR!$E:$Z,MATCH($A100,SPPR!$A:$A,0),22),""),"")</f>
        <v/>
      </c>
    </row>
    <row r="101">
      <c r="A101" t="inlineStr">
        <is>
          <t>Epinephelus</t>
        </is>
      </c>
      <c r="B101">
        <f>IFERROR(INDEX(SPPR!$D:$D,MATCH($A101,SPPR!$A:$A,0)),"")</f>
        <v/>
      </c>
      <c r="C101">
        <f>IFERROR(INDEX(Catch!$E:$BV,MATCH($A101,Catch!$A:$A,0),MATCH($B$4,Catch!$E$1:$BV$1,0)),0)</f>
        <v/>
      </c>
      <c r="D101">
        <f>IFERROR(IF(ISNUMBER(INDEX(SPPR!$E:$Z,MATCH($A101,SPPR!$A:$A,0),1)),$C101*INDEX(SPPR!$E:$Z,MATCH($A101,SPPR!$A:$A,0),1),""),"")</f>
        <v/>
      </c>
      <c r="E101">
        <f>IFERROR(IF(ISNUMBER(INDEX(SPPR!$E:$Z,MATCH($A101,SPPR!$A:$A,0),2)),$C101*INDEX(SPPR!$E:$Z,MATCH($A101,SPPR!$A:$A,0),2),""),"")</f>
        <v/>
      </c>
      <c r="F101">
        <f>IFERROR(IF(ISNUMBER(INDEX(SPPR!$E:$Z,MATCH($A101,SPPR!$A:$A,0),3)),$C101*INDEX(SPPR!$E:$Z,MATCH($A101,SPPR!$A:$A,0),3),""),"")</f>
        <v/>
      </c>
      <c r="G101">
        <f>IFERROR(IF(ISNUMBER(INDEX(SPPR!$E:$Z,MATCH($A101,SPPR!$A:$A,0),4)),$C101*INDEX(SPPR!$E:$Z,MATCH($A101,SPPR!$A:$A,0),4),""),"")</f>
        <v/>
      </c>
      <c r="H101">
        <f>IFERROR(IF(ISNUMBER(INDEX(SPPR!$E:$Z,MATCH($A101,SPPR!$A:$A,0),5)),$C101*INDEX(SPPR!$E:$Z,MATCH($A101,SPPR!$A:$A,0),5),""),"")</f>
        <v/>
      </c>
      <c r="I101">
        <f>IFERROR(IF(ISNUMBER(INDEX(SPPR!$E:$Z,MATCH($A101,SPPR!$A:$A,0),6)),$C101*INDEX(SPPR!$E:$Z,MATCH($A101,SPPR!$A:$A,0),6),""),"")</f>
        <v/>
      </c>
      <c r="J101">
        <f>IFERROR(IF(ISNUMBER(INDEX(SPPR!$E:$Z,MATCH($A101,SPPR!$A:$A,0),7)),$C101*INDEX(SPPR!$E:$Z,MATCH($A101,SPPR!$A:$A,0),7),""),"")</f>
        <v/>
      </c>
      <c r="K101">
        <f>IFERROR(IF(ISNUMBER(INDEX(SPPR!$E:$Z,MATCH($A101,SPPR!$A:$A,0),8)),$C101*INDEX(SPPR!$E:$Z,MATCH($A101,SPPR!$A:$A,0),8),""),"")</f>
        <v/>
      </c>
      <c r="L101">
        <f>IFERROR(IF(ISNUMBER(INDEX(SPPR!$E:$Z,MATCH($A101,SPPR!$A:$A,0),9)),$C101*INDEX(SPPR!$E:$Z,MATCH($A101,SPPR!$A:$A,0),9),""),"")</f>
        <v/>
      </c>
      <c r="M101">
        <f>IFERROR(IF(ISNUMBER(INDEX(SPPR!$E:$Z,MATCH($A101,SPPR!$A:$A,0),10)),$C101*INDEX(SPPR!$E:$Z,MATCH($A101,SPPR!$A:$A,0),10),""),"")</f>
        <v/>
      </c>
      <c r="N101">
        <f>IFERROR(IF(ISNUMBER(INDEX(SPPR!$E:$Z,MATCH($A101,SPPR!$A:$A,0),11)),$C101*INDEX(SPPR!$E:$Z,MATCH($A101,SPPR!$A:$A,0),11),""),"")</f>
        <v/>
      </c>
      <c r="O101">
        <f>IFERROR(IF(ISNUMBER(INDEX(SPPR!$E:$Z,MATCH($A101,SPPR!$A:$A,0),12)),$C101*INDEX(SPPR!$E:$Z,MATCH($A101,SPPR!$A:$A,0),12),""),"")</f>
        <v/>
      </c>
      <c r="P101">
        <f>IFERROR(IF(ISNUMBER(INDEX(SPPR!$E:$Z,MATCH($A101,SPPR!$A:$A,0),13)),$C101*INDEX(SPPR!$E:$Z,MATCH($A101,SPPR!$A:$A,0),13),""),"")</f>
        <v/>
      </c>
      <c r="Q101">
        <f>IFERROR(IF(ISNUMBER(INDEX(SPPR!$E:$Z,MATCH($A101,SPPR!$A:$A,0),14)),$C101*INDEX(SPPR!$E:$Z,MATCH($A101,SPPR!$A:$A,0),14),""),"")</f>
        <v/>
      </c>
      <c r="R101">
        <f>IFERROR(IF(ISNUMBER(INDEX(SPPR!$E:$Z,MATCH($A101,SPPR!$A:$A,0),15)),$C101*INDEX(SPPR!$E:$Z,MATCH($A101,SPPR!$A:$A,0),15),""),"")</f>
        <v/>
      </c>
      <c r="S101">
        <f>IFERROR(IF(ISNUMBER(INDEX(SPPR!$E:$Z,MATCH($A101,SPPR!$A:$A,0),16)),$C101*INDEX(SPPR!$E:$Z,MATCH($A101,SPPR!$A:$A,0),16),""),"")</f>
        <v/>
      </c>
      <c r="T101">
        <f>IFERROR(IF(ISNUMBER(INDEX(SPPR!$E:$Z,MATCH($A101,SPPR!$A:$A,0),17)),$C101*INDEX(SPPR!$E:$Z,MATCH($A101,SPPR!$A:$A,0),17),""),"")</f>
        <v/>
      </c>
      <c r="U101">
        <f>IFERROR(IF(ISNUMBER(INDEX(SPPR!$E:$Z,MATCH($A101,SPPR!$A:$A,0),18)),$C101*INDEX(SPPR!$E:$Z,MATCH($A101,SPPR!$A:$A,0),18),""),"")</f>
        <v/>
      </c>
      <c r="V101">
        <f>IFERROR(IF(ISNUMBER(INDEX(SPPR!$E:$Z,MATCH($A101,SPPR!$A:$A,0),19)),$C101*INDEX(SPPR!$E:$Z,MATCH($A101,SPPR!$A:$A,0),19),""),"")</f>
        <v/>
      </c>
      <c r="W101">
        <f>IFERROR(IF(ISNUMBER(INDEX(SPPR!$E:$Z,MATCH($A101,SPPR!$A:$A,0),20)),$C101*INDEX(SPPR!$E:$Z,MATCH($A101,SPPR!$A:$A,0),20),""),"")</f>
        <v/>
      </c>
      <c r="X101">
        <f>IFERROR(IF(ISNUMBER(INDEX(SPPR!$E:$Z,MATCH($A101,SPPR!$A:$A,0),21)),$C101*INDEX(SPPR!$E:$Z,MATCH($A101,SPPR!$A:$A,0),21),""),"")</f>
        <v/>
      </c>
      <c r="Y101">
        <f>IFERROR(IF(ISNUMBER(INDEX(SPPR!$E:$Z,MATCH($A101,SPPR!$A:$A,0),22)),$C101*INDEX(SPPR!$E:$Z,MATCH($A101,SPPR!$A:$A,0),22),""),"")</f>
        <v/>
      </c>
    </row>
    <row r="102">
      <c r="A102" t="inlineStr">
        <is>
          <t>Sphyraenidae</t>
        </is>
      </c>
      <c r="B102">
        <f>IFERROR(INDEX(SPPR!$D:$D,MATCH($A102,SPPR!$A:$A,0)),"")</f>
        <v/>
      </c>
      <c r="C102">
        <f>IFERROR(INDEX(Catch!$E:$BV,MATCH($A102,Catch!$A:$A,0),MATCH($B$4,Catch!$E$1:$BV$1,0)),0)</f>
        <v/>
      </c>
      <c r="D102">
        <f>IFERROR(IF(ISNUMBER(INDEX(SPPR!$E:$Z,MATCH($A102,SPPR!$A:$A,0),1)),$C102*INDEX(SPPR!$E:$Z,MATCH($A102,SPPR!$A:$A,0),1),""),"")</f>
        <v/>
      </c>
      <c r="E102">
        <f>IFERROR(IF(ISNUMBER(INDEX(SPPR!$E:$Z,MATCH($A102,SPPR!$A:$A,0),2)),$C102*INDEX(SPPR!$E:$Z,MATCH($A102,SPPR!$A:$A,0),2),""),"")</f>
        <v/>
      </c>
      <c r="F102">
        <f>IFERROR(IF(ISNUMBER(INDEX(SPPR!$E:$Z,MATCH($A102,SPPR!$A:$A,0),3)),$C102*INDEX(SPPR!$E:$Z,MATCH($A102,SPPR!$A:$A,0),3),""),"")</f>
        <v/>
      </c>
      <c r="G102">
        <f>IFERROR(IF(ISNUMBER(INDEX(SPPR!$E:$Z,MATCH($A102,SPPR!$A:$A,0),4)),$C102*INDEX(SPPR!$E:$Z,MATCH($A102,SPPR!$A:$A,0),4),""),"")</f>
        <v/>
      </c>
      <c r="H102">
        <f>IFERROR(IF(ISNUMBER(INDEX(SPPR!$E:$Z,MATCH($A102,SPPR!$A:$A,0),5)),$C102*INDEX(SPPR!$E:$Z,MATCH($A102,SPPR!$A:$A,0),5),""),"")</f>
        <v/>
      </c>
      <c r="I102">
        <f>IFERROR(IF(ISNUMBER(INDEX(SPPR!$E:$Z,MATCH($A102,SPPR!$A:$A,0),6)),$C102*INDEX(SPPR!$E:$Z,MATCH($A102,SPPR!$A:$A,0),6),""),"")</f>
        <v/>
      </c>
      <c r="J102">
        <f>IFERROR(IF(ISNUMBER(INDEX(SPPR!$E:$Z,MATCH($A102,SPPR!$A:$A,0),7)),$C102*INDEX(SPPR!$E:$Z,MATCH($A102,SPPR!$A:$A,0),7),""),"")</f>
        <v/>
      </c>
      <c r="K102">
        <f>IFERROR(IF(ISNUMBER(INDEX(SPPR!$E:$Z,MATCH($A102,SPPR!$A:$A,0),8)),$C102*INDEX(SPPR!$E:$Z,MATCH($A102,SPPR!$A:$A,0),8),""),"")</f>
        <v/>
      </c>
      <c r="L102">
        <f>IFERROR(IF(ISNUMBER(INDEX(SPPR!$E:$Z,MATCH($A102,SPPR!$A:$A,0),9)),$C102*INDEX(SPPR!$E:$Z,MATCH($A102,SPPR!$A:$A,0),9),""),"")</f>
        <v/>
      </c>
      <c r="M102">
        <f>IFERROR(IF(ISNUMBER(INDEX(SPPR!$E:$Z,MATCH($A102,SPPR!$A:$A,0),10)),$C102*INDEX(SPPR!$E:$Z,MATCH($A102,SPPR!$A:$A,0),10),""),"")</f>
        <v/>
      </c>
      <c r="N102">
        <f>IFERROR(IF(ISNUMBER(INDEX(SPPR!$E:$Z,MATCH($A102,SPPR!$A:$A,0),11)),$C102*INDEX(SPPR!$E:$Z,MATCH($A102,SPPR!$A:$A,0),11),""),"")</f>
        <v/>
      </c>
      <c r="O102">
        <f>IFERROR(IF(ISNUMBER(INDEX(SPPR!$E:$Z,MATCH($A102,SPPR!$A:$A,0),12)),$C102*INDEX(SPPR!$E:$Z,MATCH($A102,SPPR!$A:$A,0),12),""),"")</f>
        <v/>
      </c>
      <c r="P102">
        <f>IFERROR(IF(ISNUMBER(INDEX(SPPR!$E:$Z,MATCH($A102,SPPR!$A:$A,0),13)),$C102*INDEX(SPPR!$E:$Z,MATCH($A102,SPPR!$A:$A,0),13),""),"")</f>
        <v/>
      </c>
      <c r="Q102">
        <f>IFERROR(IF(ISNUMBER(INDEX(SPPR!$E:$Z,MATCH($A102,SPPR!$A:$A,0),14)),$C102*INDEX(SPPR!$E:$Z,MATCH($A102,SPPR!$A:$A,0),14),""),"")</f>
        <v/>
      </c>
      <c r="R102">
        <f>IFERROR(IF(ISNUMBER(INDEX(SPPR!$E:$Z,MATCH($A102,SPPR!$A:$A,0),15)),$C102*INDEX(SPPR!$E:$Z,MATCH($A102,SPPR!$A:$A,0),15),""),"")</f>
        <v/>
      </c>
      <c r="S102">
        <f>IFERROR(IF(ISNUMBER(INDEX(SPPR!$E:$Z,MATCH($A102,SPPR!$A:$A,0),16)),$C102*INDEX(SPPR!$E:$Z,MATCH($A102,SPPR!$A:$A,0),16),""),"")</f>
        <v/>
      </c>
      <c r="T102">
        <f>IFERROR(IF(ISNUMBER(INDEX(SPPR!$E:$Z,MATCH($A102,SPPR!$A:$A,0),17)),$C102*INDEX(SPPR!$E:$Z,MATCH($A102,SPPR!$A:$A,0),17),""),"")</f>
        <v/>
      </c>
      <c r="U102">
        <f>IFERROR(IF(ISNUMBER(INDEX(SPPR!$E:$Z,MATCH($A102,SPPR!$A:$A,0),18)),$C102*INDEX(SPPR!$E:$Z,MATCH($A102,SPPR!$A:$A,0),18),""),"")</f>
        <v/>
      </c>
      <c r="V102">
        <f>IFERROR(IF(ISNUMBER(INDEX(SPPR!$E:$Z,MATCH($A102,SPPR!$A:$A,0),19)),$C102*INDEX(SPPR!$E:$Z,MATCH($A102,SPPR!$A:$A,0),19),""),"")</f>
        <v/>
      </c>
      <c r="W102">
        <f>IFERROR(IF(ISNUMBER(INDEX(SPPR!$E:$Z,MATCH($A102,SPPR!$A:$A,0),20)),$C102*INDEX(SPPR!$E:$Z,MATCH($A102,SPPR!$A:$A,0),20),""),"")</f>
        <v/>
      </c>
      <c r="X102">
        <f>IFERROR(IF(ISNUMBER(INDEX(SPPR!$E:$Z,MATCH($A102,SPPR!$A:$A,0),21)),$C102*INDEX(SPPR!$E:$Z,MATCH($A102,SPPR!$A:$A,0),21),""),"")</f>
        <v/>
      </c>
      <c r="Y102">
        <f>IFERROR(IF(ISNUMBER(INDEX(SPPR!$E:$Z,MATCH($A102,SPPR!$A:$A,0),22)),$C102*INDEX(SPPR!$E:$Z,MATCH($A102,SPPR!$A:$A,0),22),""),"")</f>
        <v/>
      </c>
    </row>
    <row r="103">
      <c r="A103" t="inlineStr">
        <is>
          <t>Coilia dussumieri</t>
        </is>
      </c>
      <c r="B103">
        <f>IFERROR(INDEX(SPPR!$D:$D,MATCH($A103,SPPR!$A:$A,0)),"")</f>
        <v/>
      </c>
      <c r="C103">
        <f>IFERROR(INDEX(Catch!$E:$BV,MATCH($A103,Catch!$A:$A,0),MATCH($B$4,Catch!$E$1:$BV$1,0)),0)</f>
        <v/>
      </c>
      <c r="D103">
        <f>IFERROR(IF(ISNUMBER(INDEX(SPPR!$E:$Z,MATCH($A103,SPPR!$A:$A,0),1)),$C103*INDEX(SPPR!$E:$Z,MATCH($A103,SPPR!$A:$A,0),1),""),"")</f>
        <v/>
      </c>
      <c r="E103">
        <f>IFERROR(IF(ISNUMBER(INDEX(SPPR!$E:$Z,MATCH($A103,SPPR!$A:$A,0),2)),$C103*INDEX(SPPR!$E:$Z,MATCH($A103,SPPR!$A:$A,0),2),""),"")</f>
        <v/>
      </c>
      <c r="F103">
        <f>IFERROR(IF(ISNUMBER(INDEX(SPPR!$E:$Z,MATCH($A103,SPPR!$A:$A,0),3)),$C103*INDEX(SPPR!$E:$Z,MATCH($A103,SPPR!$A:$A,0),3),""),"")</f>
        <v/>
      </c>
      <c r="G103">
        <f>IFERROR(IF(ISNUMBER(INDEX(SPPR!$E:$Z,MATCH($A103,SPPR!$A:$A,0),4)),$C103*INDEX(SPPR!$E:$Z,MATCH($A103,SPPR!$A:$A,0),4),""),"")</f>
        <v/>
      </c>
      <c r="H103">
        <f>IFERROR(IF(ISNUMBER(INDEX(SPPR!$E:$Z,MATCH($A103,SPPR!$A:$A,0),5)),$C103*INDEX(SPPR!$E:$Z,MATCH($A103,SPPR!$A:$A,0),5),""),"")</f>
        <v/>
      </c>
      <c r="I103">
        <f>IFERROR(IF(ISNUMBER(INDEX(SPPR!$E:$Z,MATCH($A103,SPPR!$A:$A,0),6)),$C103*INDEX(SPPR!$E:$Z,MATCH($A103,SPPR!$A:$A,0),6),""),"")</f>
        <v/>
      </c>
      <c r="J103">
        <f>IFERROR(IF(ISNUMBER(INDEX(SPPR!$E:$Z,MATCH($A103,SPPR!$A:$A,0),7)),$C103*INDEX(SPPR!$E:$Z,MATCH($A103,SPPR!$A:$A,0),7),""),"")</f>
        <v/>
      </c>
      <c r="K103">
        <f>IFERROR(IF(ISNUMBER(INDEX(SPPR!$E:$Z,MATCH($A103,SPPR!$A:$A,0),8)),$C103*INDEX(SPPR!$E:$Z,MATCH($A103,SPPR!$A:$A,0),8),""),"")</f>
        <v/>
      </c>
      <c r="L103">
        <f>IFERROR(IF(ISNUMBER(INDEX(SPPR!$E:$Z,MATCH($A103,SPPR!$A:$A,0),9)),$C103*INDEX(SPPR!$E:$Z,MATCH($A103,SPPR!$A:$A,0),9),""),"")</f>
        <v/>
      </c>
      <c r="M103">
        <f>IFERROR(IF(ISNUMBER(INDEX(SPPR!$E:$Z,MATCH($A103,SPPR!$A:$A,0),10)),$C103*INDEX(SPPR!$E:$Z,MATCH($A103,SPPR!$A:$A,0),10),""),"")</f>
        <v/>
      </c>
      <c r="N103">
        <f>IFERROR(IF(ISNUMBER(INDEX(SPPR!$E:$Z,MATCH($A103,SPPR!$A:$A,0),11)),$C103*INDEX(SPPR!$E:$Z,MATCH($A103,SPPR!$A:$A,0),11),""),"")</f>
        <v/>
      </c>
      <c r="O103">
        <f>IFERROR(IF(ISNUMBER(INDEX(SPPR!$E:$Z,MATCH($A103,SPPR!$A:$A,0),12)),$C103*INDEX(SPPR!$E:$Z,MATCH($A103,SPPR!$A:$A,0),12),""),"")</f>
        <v/>
      </c>
      <c r="P103">
        <f>IFERROR(IF(ISNUMBER(INDEX(SPPR!$E:$Z,MATCH($A103,SPPR!$A:$A,0),13)),$C103*INDEX(SPPR!$E:$Z,MATCH($A103,SPPR!$A:$A,0),13),""),"")</f>
        <v/>
      </c>
      <c r="Q103">
        <f>IFERROR(IF(ISNUMBER(INDEX(SPPR!$E:$Z,MATCH($A103,SPPR!$A:$A,0),14)),$C103*INDEX(SPPR!$E:$Z,MATCH($A103,SPPR!$A:$A,0),14),""),"")</f>
        <v/>
      </c>
      <c r="R103">
        <f>IFERROR(IF(ISNUMBER(INDEX(SPPR!$E:$Z,MATCH($A103,SPPR!$A:$A,0),15)),$C103*INDEX(SPPR!$E:$Z,MATCH($A103,SPPR!$A:$A,0),15),""),"")</f>
        <v/>
      </c>
      <c r="S103">
        <f>IFERROR(IF(ISNUMBER(INDEX(SPPR!$E:$Z,MATCH($A103,SPPR!$A:$A,0),16)),$C103*INDEX(SPPR!$E:$Z,MATCH($A103,SPPR!$A:$A,0),16),""),"")</f>
        <v/>
      </c>
      <c r="T103">
        <f>IFERROR(IF(ISNUMBER(INDEX(SPPR!$E:$Z,MATCH($A103,SPPR!$A:$A,0),17)),$C103*INDEX(SPPR!$E:$Z,MATCH($A103,SPPR!$A:$A,0),17),""),"")</f>
        <v/>
      </c>
      <c r="U103">
        <f>IFERROR(IF(ISNUMBER(INDEX(SPPR!$E:$Z,MATCH($A103,SPPR!$A:$A,0),18)),$C103*INDEX(SPPR!$E:$Z,MATCH($A103,SPPR!$A:$A,0),18),""),"")</f>
        <v/>
      </c>
      <c r="V103">
        <f>IFERROR(IF(ISNUMBER(INDEX(SPPR!$E:$Z,MATCH($A103,SPPR!$A:$A,0),19)),$C103*INDEX(SPPR!$E:$Z,MATCH($A103,SPPR!$A:$A,0),19),""),"")</f>
        <v/>
      </c>
      <c r="W103">
        <f>IFERROR(IF(ISNUMBER(INDEX(SPPR!$E:$Z,MATCH($A103,SPPR!$A:$A,0),20)),$C103*INDEX(SPPR!$E:$Z,MATCH($A103,SPPR!$A:$A,0),20),""),"")</f>
        <v/>
      </c>
      <c r="X103">
        <f>IFERROR(IF(ISNUMBER(INDEX(SPPR!$E:$Z,MATCH($A103,SPPR!$A:$A,0),21)),$C103*INDEX(SPPR!$E:$Z,MATCH($A103,SPPR!$A:$A,0),21),""),"")</f>
        <v/>
      </c>
      <c r="Y103">
        <f>IFERROR(IF(ISNUMBER(INDEX(SPPR!$E:$Z,MATCH($A103,SPPR!$A:$A,0),22)),$C103*INDEX(SPPR!$E:$Z,MATCH($A103,SPPR!$A:$A,0),22),""),"")</f>
        <v/>
      </c>
    </row>
    <row r="104">
      <c r="A104" t="inlineStr">
        <is>
          <t>Cynoglossus</t>
        </is>
      </c>
      <c r="B104">
        <f>IFERROR(INDEX(SPPR!$D:$D,MATCH($A104,SPPR!$A:$A,0)),"")</f>
        <v/>
      </c>
      <c r="C104">
        <f>IFERROR(INDEX(Catch!$E:$BV,MATCH($A104,Catch!$A:$A,0),MATCH($B$4,Catch!$E$1:$BV$1,0)),0)</f>
        <v/>
      </c>
      <c r="D104">
        <f>IFERROR(IF(ISNUMBER(INDEX(SPPR!$E:$Z,MATCH($A104,SPPR!$A:$A,0),1)),$C104*INDEX(SPPR!$E:$Z,MATCH($A104,SPPR!$A:$A,0),1),""),"")</f>
        <v/>
      </c>
      <c r="E104">
        <f>IFERROR(IF(ISNUMBER(INDEX(SPPR!$E:$Z,MATCH($A104,SPPR!$A:$A,0),2)),$C104*INDEX(SPPR!$E:$Z,MATCH($A104,SPPR!$A:$A,0),2),""),"")</f>
        <v/>
      </c>
      <c r="F104">
        <f>IFERROR(IF(ISNUMBER(INDEX(SPPR!$E:$Z,MATCH($A104,SPPR!$A:$A,0),3)),$C104*INDEX(SPPR!$E:$Z,MATCH($A104,SPPR!$A:$A,0),3),""),"")</f>
        <v/>
      </c>
      <c r="G104">
        <f>IFERROR(IF(ISNUMBER(INDEX(SPPR!$E:$Z,MATCH($A104,SPPR!$A:$A,0),4)),$C104*INDEX(SPPR!$E:$Z,MATCH($A104,SPPR!$A:$A,0),4),""),"")</f>
        <v/>
      </c>
      <c r="H104">
        <f>IFERROR(IF(ISNUMBER(INDEX(SPPR!$E:$Z,MATCH($A104,SPPR!$A:$A,0),5)),$C104*INDEX(SPPR!$E:$Z,MATCH($A104,SPPR!$A:$A,0),5),""),"")</f>
        <v/>
      </c>
      <c r="I104">
        <f>IFERROR(IF(ISNUMBER(INDEX(SPPR!$E:$Z,MATCH($A104,SPPR!$A:$A,0),6)),$C104*INDEX(SPPR!$E:$Z,MATCH($A104,SPPR!$A:$A,0),6),""),"")</f>
        <v/>
      </c>
      <c r="J104">
        <f>IFERROR(IF(ISNUMBER(INDEX(SPPR!$E:$Z,MATCH($A104,SPPR!$A:$A,0),7)),$C104*INDEX(SPPR!$E:$Z,MATCH($A104,SPPR!$A:$A,0),7),""),"")</f>
        <v/>
      </c>
      <c r="K104">
        <f>IFERROR(IF(ISNUMBER(INDEX(SPPR!$E:$Z,MATCH($A104,SPPR!$A:$A,0),8)),$C104*INDEX(SPPR!$E:$Z,MATCH($A104,SPPR!$A:$A,0),8),""),"")</f>
        <v/>
      </c>
      <c r="L104">
        <f>IFERROR(IF(ISNUMBER(INDEX(SPPR!$E:$Z,MATCH($A104,SPPR!$A:$A,0),9)),$C104*INDEX(SPPR!$E:$Z,MATCH($A104,SPPR!$A:$A,0),9),""),"")</f>
        <v/>
      </c>
      <c r="M104">
        <f>IFERROR(IF(ISNUMBER(INDEX(SPPR!$E:$Z,MATCH($A104,SPPR!$A:$A,0),10)),$C104*INDEX(SPPR!$E:$Z,MATCH($A104,SPPR!$A:$A,0),10),""),"")</f>
        <v/>
      </c>
      <c r="N104">
        <f>IFERROR(IF(ISNUMBER(INDEX(SPPR!$E:$Z,MATCH($A104,SPPR!$A:$A,0),11)),$C104*INDEX(SPPR!$E:$Z,MATCH($A104,SPPR!$A:$A,0),11),""),"")</f>
        <v/>
      </c>
      <c r="O104">
        <f>IFERROR(IF(ISNUMBER(INDEX(SPPR!$E:$Z,MATCH($A104,SPPR!$A:$A,0),12)),$C104*INDEX(SPPR!$E:$Z,MATCH($A104,SPPR!$A:$A,0),12),""),"")</f>
        <v/>
      </c>
      <c r="P104">
        <f>IFERROR(IF(ISNUMBER(INDEX(SPPR!$E:$Z,MATCH($A104,SPPR!$A:$A,0),13)),$C104*INDEX(SPPR!$E:$Z,MATCH($A104,SPPR!$A:$A,0),13),""),"")</f>
        <v/>
      </c>
      <c r="Q104">
        <f>IFERROR(IF(ISNUMBER(INDEX(SPPR!$E:$Z,MATCH($A104,SPPR!$A:$A,0),14)),$C104*INDEX(SPPR!$E:$Z,MATCH($A104,SPPR!$A:$A,0),14),""),"")</f>
        <v/>
      </c>
      <c r="R104">
        <f>IFERROR(IF(ISNUMBER(INDEX(SPPR!$E:$Z,MATCH($A104,SPPR!$A:$A,0),15)),$C104*INDEX(SPPR!$E:$Z,MATCH($A104,SPPR!$A:$A,0),15),""),"")</f>
        <v/>
      </c>
      <c r="S104">
        <f>IFERROR(IF(ISNUMBER(INDEX(SPPR!$E:$Z,MATCH($A104,SPPR!$A:$A,0),16)),$C104*INDEX(SPPR!$E:$Z,MATCH($A104,SPPR!$A:$A,0),16),""),"")</f>
        <v/>
      </c>
      <c r="T104">
        <f>IFERROR(IF(ISNUMBER(INDEX(SPPR!$E:$Z,MATCH($A104,SPPR!$A:$A,0),17)),$C104*INDEX(SPPR!$E:$Z,MATCH($A104,SPPR!$A:$A,0),17),""),"")</f>
        <v/>
      </c>
      <c r="U104">
        <f>IFERROR(IF(ISNUMBER(INDEX(SPPR!$E:$Z,MATCH($A104,SPPR!$A:$A,0),18)),$C104*INDEX(SPPR!$E:$Z,MATCH($A104,SPPR!$A:$A,0),18),""),"")</f>
        <v/>
      </c>
      <c r="V104">
        <f>IFERROR(IF(ISNUMBER(INDEX(SPPR!$E:$Z,MATCH($A104,SPPR!$A:$A,0),19)),$C104*INDEX(SPPR!$E:$Z,MATCH($A104,SPPR!$A:$A,0),19),""),"")</f>
        <v/>
      </c>
      <c r="W104">
        <f>IFERROR(IF(ISNUMBER(INDEX(SPPR!$E:$Z,MATCH($A104,SPPR!$A:$A,0),20)),$C104*INDEX(SPPR!$E:$Z,MATCH($A104,SPPR!$A:$A,0),20),""),"")</f>
        <v/>
      </c>
      <c r="X104">
        <f>IFERROR(IF(ISNUMBER(INDEX(SPPR!$E:$Z,MATCH($A104,SPPR!$A:$A,0),21)),$C104*INDEX(SPPR!$E:$Z,MATCH($A104,SPPR!$A:$A,0),21),""),"")</f>
        <v/>
      </c>
      <c r="Y104">
        <f>IFERROR(IF(ISNUMBER(INDEX(SPPR!$E:$Z,MATCH($A104,SPPR!$A:$A,0),22)),$C104*INDEX(SPPR!$E:$Z,MATCH($A104,SPPR!$A:$A,0),22),""),"")</f>
        <v/>
      </c>
    </row>
    <row r="105">
      <c r="A105" t="inlineStr">
        <is>
          <t>Chirocentrus dorab</t>
        </is>
      </c>
      <c r="B105">
        <f>IFERROR(INDEX(SPPR!$D:$D,MATCH($A105,SPPR!$A:$A,0)),"")</f>
        <v/>
      </c>
      <c r="C105">
        <f>IFERROR(INDEX(Catch!$E:$BV,MATCH($A105,Catch!$A:$A,0),MATCH($B$4,Catch!$E$1:$BV$1,0)),0)</f>
        <v/>
      </c>
      <c r="D105">
        <f>IFERROR(IF(ISNUMBER(INDEX(SPPR!$E:$Z,MATCH($A105,SPPR!$A:$A,0),1)),$C105*INDEX(SPPR!$E:$Z,MATCH($A105,SPPR!$A:$A,0),1),""),"")</f>
        <v/>
      </c>
      <c r="E105">
        <f>IFERROR(IF(ISNUMBER(INDEX(SPPR!$E:$Z,MATCH($A105,SPPR!$A:$A,0),2)),$C105*INDEX(SPPR!$E:$Z,MATCH($A105,SPPR!$A:$A,0),2),""),"")</f>
        <v/>
      </c>
      <c r="F105">
        <f>IFERROR(IF(ISNUMBER(INDEX(SPPR!$E:$Z,MATCH($A105,SPPR!$A:$A,0),3)),$C105*INDEX(SPPR!$E:$Z,MATCH($A105,SPPR!$A:$A,0),3),""),"")</f>
        <v/>
      </c>
      <c r="G105">
        <f>IFERROR(IF(ISNUMBER(INDEX(SPPR!$E:$Z,MATCH($A105,SPPR!$A:$A,0),4)),$C105*INDEX(SPPR!$E:$Z,MATCH($A105,SPPR!$A:$A,0),4),""),"")</f>
        <v/>
      </c>
      <c r="H105">
        <f>IFERROR(IF(ISNUMBER(INDEX(SPPR!$E:$Z,MATCH($A105,SPPR!$A:$A,0),5)),$C105*INDEX(SPPR!$E:$Z,MATCH($A105,SPPR!$A:$A,0),5),""),"")</f>
        <v/>
      </c>
      <c r="I105">
        <f>IFERROR(IF(ISNUMBER(INDEX(SPPR!$E:$Z,MATCH($A105,SPPR!$A:$A,0),6)),$C105*INDEX(SPPR!$E:$Z,MATCH($A105,SPPR!$A:$A,0),6),""),"")</f>
        <v/>
      </c>
      <c r="J105">
        <f>IFERROR(IF(ISNUMBER(INDEX(SPPR!$E:$Z,MATCH($A105,SPPR!$A:$A,0),7)),$C105*INDEX(SPPR!$E:$Z,MATCH($A105,SPPR!$A:$A,0),7),""),"")</f>
        <v/>
      </c>
      <c r="K105">
        <f>IFERROR(IF(ISNUMBER(INDEX(SPPR!$E:$Z,MATCH($A105,SPPR!$A:$A,0),8)),$C105*INDEX(SPPR!$E:$Z,MATCH($A105,SPPR!$A:$A,0),8),""),"")</f>
        <v/>
      </c>
      <c r="L105">
        <f>IFERROR(IF(ISNUMBER(INDEX(SPPR!$E:$Z,MATCH($A105,SPPR!$A:$A,0),9)),$C105*INDEX(SPPR!$E:$Z,MATCH($A105,SPPR!$A:$A,0),9),""),"")</f>
        <v/>
      </c>
      <c r="M105">
        <f>IFERROR(IF(ISNUMBER(INDEX(SPPR!$E:$Z,MATCH($A105,SPPR!$A:$A,0),10)),$C105*INDEX(SPPR!$E:$Z,MATCH($A105,SPPR!$A:$A,0),10),""),"")</f>
        <v/>
      </c>
      <c r="N105">
        <f>IFERROR(IF(ISNUMBER(INDEX(SPPR!$E:$Z,MATCH($A105,SPPR!$A:$A,0),11)),$C105*INDEX(SPPR!$E:$Z,MATCH($A105,SPPR!$A:$A,0),11),""),"")</f>
        <v/>
      </c>
      <c r="O105">
        <f>IFERROR(IF(ISNUMBER(INDEX(SPPR!$E:$Z,MATCH($A105,SPPR!$A:$A,0),12)),$C105*INDEX(SPPR!$E:$Z,MATCH($A105,SPPR!$A:$A,0),12),""),"")</f>
        <v/>
      </c>
      <c r="P105">
        <f>IFERROR(IF(ISNUMBER(INDEX(SPPR!$E:$Z,MATCH($A105,SPPR!$A:$A,0),13)),$C105*INDEX(SPPR!$E:$Z,MATCH($A105,SPPR!$A:$A,0),13),""),"")</f>
        <v/>
      </c>
      <c r="Q105">
        <f>IFERROR(IF(ISNUMBER(INDEX(SPPR!$E:$Z,MATCH($A105,SPPR!$A:$A,0),14)),$C105*INDEX(SPPR!$E:$Z,MATCH($A105,SPPR!$A:$A,0),14),""),"")</f>
        <v/>
      </c>
      <c r="R105">
        <f>IFERROR(IF(ISNUMBER(INDEX(SPPR!$E:$Z,MATCH($A105,SPPR!$A:$A,0),15)),$C105*INDEX(SPPR!$E:$Z,MATCH($A105,SPPR!$A:$A,0),15),""),"")</f>
        <v/>
      </c>
      <c r="S105">
        <f>IFERROR(IF(ISNUMBER(INDEX(SPPR!$E:$Z,MATCH($A105,SPPR!$A:$A,0),16)),$C105*INDEX(SPPR!$E:$Z,MATCH($A105,SPPR!$A:$A,0),16),""),"")</f>
        <v/>
      </c>
      <c r="T105">
        <f>IFERROR(IF(ISNUMBER(INDEX(SPPR!$E:$Z,MATCH($A105,SPPR!$A:$A,0),17)),$C105*INDEX(SPPR!$E:$Z,MATCH($A105,SPPR!$A:$A,0),17),""),"")</f>
        <v/>
      </c>
      <c r="U105">
        <f>IFERROR(IF(ISNUMBER(INDEX(SPPR!$E:$Z,MATCH($A105,SPPR!$A:$A,0),18)),$C105*INDEX(SPPR!$E:$Z,MATCH($A105,SPPR!$A:$A,0),18),""),"")</f>
        <v/>
      </c>
      <c r="V105">
        <f>IFERROR(IF(ISNUMBER(INDEX(SPPR!$E:$Z,MATCH($A105,SPPR!$A:$A,0),19)),$C105*INDEX(SPPR!$E:$Z,MATCH($A105,SPPR!$A:$A,0),19),""),"")</f>
        <v/>
      </c>
      <c r="W105">
        <f>IFERROR(IF(ISNUMBER(INDEX(SPPR!$E:$Z,MATCH($A105,SPPR!$A:$A,0),20)),$C105*INDEX(SPPR!$E:$Z,MATCH($A105,SPPR!$A:$A,0),20),""),"")</f>
        <v/>
      </c>
      <c r="X105">
        <f>IFERROR(IF(ISNUMBER(INDEX(SPPR!$E:$Z,MATCH($A105,SPPR!$A:$A,0),21)),$C105*INDEX(SPPR!$E:$Z,MATCH($A105,SPPR!$A:$A,0),21),""),"")</f>
        <v/>
      </c>
      <c r="Y105">
        <f>IFERROR(IF(ISNUMBER(INDEX(SPPR!$E:$Z,MATCH($A105,SPPR!$A:$A,0),22)),$C105*INDEX(SPPR!$E:$Z,MATCH($A105,SPPR!$A:$A,0),22),""),"")</f>
        <v/>
      </c>
    </row>
    <row r="106">
      <c r="A106" t="inlineStr">
        <is>
          <t>Amblygaster sirm</t>
        </is>
      </c>
      <c r="B106">
        <f>IFERROR(INDEX(SPPR!$D:$D,MATCH($A106,SPPR!$A:$A,0)),"")</f>
        <v/>
      </c>
      <c r="C106">
        <f>IFERROR(INDEX(Catch!$E:$BV,MATCH($A106,Catch!$A:$A,0),MATCH($B$4,Catch!$E$1:$BV$1,0)),0)</f>
        <v/>
      </c>
      <c r="D106">
        <f>IFERROR(IF(ISNUMBER(INDEX(SPPR!$E:$Z,MATCH($A106,SPPR!$A:$A,0),1)),$C106*INDEX(SPPR!$E:$Z,MATCH($A106,SPPR!$A:$A,0),1),""),"")</f>
        <v/>
      </c>
      <c r="E106">
        <f>IFERROR(IF(ISNUMBER(INDEX(SPPR!$E:$Z,MATCH($A106,SPPR!$A:$A,0),2)),$C106*INDEX(SPPR!$E:$Z,MATCH($A106,SPPR!$A:$A,0),2),""),"")</f>
        <v/>
      </c>
      <c r="F106">
        <f>IFERROR(IF(ISNUMBER(INDEX(SPPR!$E:$Z,MATCH($A106,SPPR!$A:$A,0),3)),$C106*INDEX(SPPR!$E:$Z,MATCH($A106,SPPR!$A:$A,0),3),""),"")</f>
        <v/>
      </c>
      <c r="G106">
        <f>IFERROR(IF(ISNUMBER(INDEX(SPPR!$E:$Z,MATCH($A106,SPPR!$A:$A,0),4)),$C106*INDEX(SPPR!$E:$Z,MATCH($A106,SPPR!$A:$A,0),4),""),"")</f>
        <v/>
      </c>
      <c r="H106">
        <f>IFERROR(IF(ISNUMBER(INDEX(SPPR!$E:$Z,MATCH($A106,SPPR!$A:$A,0),5)),$C106*INDEX(SPPR!$E:$Z,MATCH($A106,SPPR!$A:$A,0),5),""),"")</f>
        <v/>
      </c>
      <c r="I106">
        <f>IFERROR(IF(ISNUMBER(INDEX(SPPR!$E:$Z,MATCH($A106,SPPR!$A:$A,0),6)),$C106*INDEX(SPPR!$E:$Z,MATCH($A106,SPPR!$A:$A,0),6),""),"")</f>
        <v/>
      </c>
      <c r="J106">
        <f>IFERROR(IF(ISNUMBER(INDEX(SPPR!$E:$Z,MATCH($A106,SPPR!$A:$A,0),7)),$C106*INDEX(SPPR!$E:$Z,MATCH($A106,SPPR!$A:$A,0),7),""),"")</f>
        <v/>
      </c>
      <c r="K106">
        <f>IFERROR(IF(ISNUMBER(INDEX(SPPR!$E:$Z,MATCH($A106,SPPR!$A:$A,0),8)),$C106*INDEX(SPPR!$E:$Z,MATCH($A106,SPPR!$A:$A,0),8),""),"")</f>
        <v/>
      </c>
      <c r="L106">
        <f>IFERROR(IF(ISNUMBER(INDEX(SPPR!$E:$Z,MATCH($A106,SPPR!$A:$A,0),9)),$C106*INDEX(SPPR!$E:$Z,MATCH($A106,SPPR!$A:$A,0),9),""),"")</f>
        <v/>
      </c>
      <c r="M106">
        <f>IFERROR(IF(ISNUMBER(INDEX(SPPR!$E:$Z,MATCH($A106,SPPR!$A:$A,0),10)),$C106*INDEX(SPPR!$E:$Z,MATCH($A106,SPPR!$A:$A,0),10),""),"")</f>
        <v/>
      </c>
      <c r="N106">
        <f>IFERROR(IF(ISNUMBER(INDEX(SPPR!$E:$Z,MATCH($A106,SPPR!$A:$A,0),11)),$C106*INDEX(SPPR!$E:$Z,MATCH($A106,SPPR!$A:$A,0),11),""),"")</f>
        <v/>
      </c>
      <c r="O106">
        <f>IFERROR(IF(ISNUMBER(INDEX(SPPR!$E:$Z,MATCH($A106,SPPR!$A:$A,0),12)),$C106*INDEX(SPPR!$E:$Z,MATCH($A106,SPPR!$A:$A,0),12),""),"")</f>
        <v/>
      </c>
      <c r="P106">
        <f>IFERROR(IF(ISNUMBER(INDEX(SPPR!$E:$Z,MATCH($A106,SPPR!$A:$A,0),13)),$C106*INDEX(SPPR!$E:$Z,MATCH($A106,SPPR!$A:$A,0),13),""),"")</f>
        <v/>
      </c>
      <c r="Q106">
        <f>IFERROR(IF(ISNUMBER(INDEX(SPPR!$E:$Z,MATCH($A106,SPPR!$A:$A,0),14)),$C106*INDEX(SPPR!$E:$Z,MATCH($A106,SPPR!$A:$A,0),14),""),"")</f>
        <v/>
      </c>
      <c r="R106">
        <f>IFERROR(IF(ISNUMBER(INDEX(SPPR!$E:$Z,MATCH($A106,SPPR!$A:$A,0),15)),$C106*INDEX(SPPR!$E:$Z,MATCH($A106,SPPR!$A:$A,0),15),""),"")</f>
        <v/>
      </c>
      <c r="S106">
        <f>IFERROR(IF(ISNUMBER(INDEX(SPPR!$E:$Z,MATCH($A106,SPPR!$A:$A,0),16)),$C106*INDEX(SPPR!$E:$Z,MATCH($A106,SPPR!$A:$A,0),16),""),"")</f>
        <v/>
      </c>
      <c r="T106">
        <f>IFERROR(IF(ISNUMBER(INDEX(SPPR!$E:$Z,MATCH($A106,SPPR!$A:$A,0),17)),$C106*INDEX(SPPR!$E:$Z,MATCH($A106,SPPR!$A:$A,0),17),""),"")</f>
        <v/>
      </c>
      <c r="U106">
        <f>IFERROR(IF(ISNUMBER(INDEX(SPPR!$E:$Z,MATCH($A106,SPPR!$A:$A,0),18)),$C106*INDEX(SPPR!$E:$Z,MATCH($A106,SPPR!$A:$A,0),18),""),"")</f>
        <v/>
      </c>
      <c r="V106">
        <f>IFERROR(IF(ISNUMBER(INDEX(SPPR!$E:$Z,MATCH($A106,SPPR!$A:$A,0),19)),$C106*INDEX(SPPR!$E:$Z,MATCH($A106,SPPR!$A:$A,0),19),""),"")</f>
        <v/>
      </c>
      <c r="W106">
        <f>IFERROR(IF(ISNUMBER(INDEX(SPPR!$E:$Z,MATCH($A106,SPPR!$A:$A,0),20)),$C106*INDEX(SPPR!$E:$Z,MATCH($A106,SPPR!$A:$A,0),20),""),"")</f>
        <v/>
      </c>
      <c r="X106">
        <f>IFERROR(IF(ISNUMBER(INDEX(SPPR!$E:$Z,MATCH($A106,SPPR!$A:$A,0),21)),$C106*INDEX(SPPR!$E:$Z,MATCH($A106,SPPR!$A:$A,0),21),""),"")</f>
        <v/>
      </c>
      <c r="Y106">
        <f>IFERROR(IF(ISNUMBER(INDEX(SPPR!$E:$Z,MATCH($A106,SPPR!$A:$A,0),22)),$C106*INDEX(SPPR!$E:$Z,MATCH($A106,SPPR!$A:$A,0),22),""),"")</f>
        <v/>
      </c>
    </row>
    <row r="107">
      <c r="A107" t="inlineStr">
        <is>
          <t>Sardinella gibbosa</t>
        </is>
      </c>
      <c r="B107">
        <f>IFERROR(INDEX(SPPR!$D:$D,MATCH($A107,SPPR!$A:$A,0)),"")</f>
        <v/>
      </c>
      <c r="C107">
        <f>IFERROR(INDEX(Catch!$E:$BV,MATCH($A107,Catch!$A:$A,0),MATCH($B$4,Catch!$E$1:$BV$1,0)),0)</f>
        <v/>
      </c>
      <c r="D107">
        <f>IFERROR(IF(ISNUMBER(INDEX(SPPR!$E:$Z,MATCH($A107,SPPR!$A:$A,0),1)),$C107*INDEX(SPPR!$E:$Z,MATCH($A107,SPPR!$A:$A,0),1),""),"")</f>
        <v/>
      </c>
      <c r="E107">
        <f>IFERROR(IF(ISNUMBER(INDEX(SPPR!$E:$Z,MATCH($A107,SPPR!$A:$A,0),2)),$C107*INDEX(SPPR!$E:$Z,MATCH($A107,SPPR!$A:$A,0),2),""),"")</f>
        <v/>
      </c>
      <c r="F107">
        <f>IFERROR(IF(ISNUMBER(INDEX(SPPR!$E:$Z,MATCH($A107,SPPR!$A:$A,0),3)),$C107*INDEX(SPPR!$E:$Z,MATCH($A107,SPPR!$A:$A,0),3),""),"")</f>
        <v/>
      </c>
      <c r="G107">
        <f>IFERROR(IF(ISNUMBER(INDEX(SPPR!$E:$Z,MATCH($A107,SPPR!$A:$A,0),4)),$C107*INDEX(SPPR!$E:$Z,MATCH($A107,SPPR!$A:$A,0),4),""),"")</f>
        <v/>
      </c>
      <c r="H107">
        <f>IFERROR(IF(ISNUMBER(INDEX(SPPR!$E:$Z,MATCH($A107,SPPR!$A:$A,0),5)),$C107*INDEX(SPPR!$E:$Z,MATCH($A107,SPPR!$A:$A,0),5),""),"")</f>
        <v/>
      </c>
      <c r="I107">
        <f>IFERROR(IF(ISNUMBER(INDEX(SPPR!$E:$Z,MATCH($A107,SPPR!$A:$A,0),6)),$C107*INDEX(SPPR!$E:$Z,MATCH($A107,SPPR!$A:$A,0),6),""),"")</f>
        <v/>
      </c>
      <c r="J107">
        <f>IFERROR(IF(ISNUMBER(INDEX(SPPR!$E:$Z,MATCH($A107,SPPR!$A:$A,0),7)),$C107*INDEX(SPPR!$E:$Z,MATCH($A107,SPPR!$A:$A,0),7),""),"")</f>
        <v/>
      </c>
      <c r="K107">
        <f>IFERROR(IF(ISNUMBER(INDEX(SPPR!$E:$Z,MATCH($A107,SPPR!$A:$A,0),8)),$C107*INDEX(SPPR!$E:$Z,MATCH($A107,SPPR!$A:$A,0),8),""),"")</f>
        <v/>
      </c>
      <c r="L107">
        <f>IFERROR(IF(ISNUMBER(INDEX(SPPR!$E:$Z,MATCH($A107,SPPR!$A:$A,0),9)),$C107*INDEX(SPPR!$E:$Z,MATCH($A107,SPPR!$A:$A,0),9),""),"")</f>
        <v/>
      </c>
      <c r="M107">
        <f>IFERROR(IF(ISNUMBER(INDEX(SPPR!$E:$Z,MATCH($A107,SPPR!$A:$A,0),10)),$C107*INDEX(SPPR!$E:$Z,MATCH($A107,SPPR!$A:$A,0),10),""),"")</f>
        <v/>
      </c>
      <c r="N107">
        <f>IFERROR(IF(ISNUMBER(INDEX(SPPR!$E:$Z,MATCH($A107,SPPR!$A:$A,0),11)),$C107*INDEX(SPPR!$E:$Z,MATCH($A107,SPPR!$A:$A,0),11),""),"")</f>
        <v/>
      </c>
      <c r="O107">
        <f>IFERROR(IF(ISNUMBER(INDEX(SPPR!$E:$Z,MATCH($A107,SPPR!$A:$A,0),12)),$C107*INDEX(SPPR!$E:$Z,MATCH($A107,SPPR!$A:$A,0),12),""),"")</f>
        <v/>
      </c>
      <c r="P107">
        <f>IFERROR(IF(ISNUMBER(INDEX(SPPR!$E:$Z,MATCH($A107,SPPR!$A:$A,0),13)),$C107*INDEX(SPPR!$E:$Z,MATCH($A107,SPPR!$A:$A,0),13),""),"")</f>
        <v/>
      </c>
      <c r="Q107">
        <f>IFERROR(IF(ISNUMBER(INDEX(SPPR!$E:$Z,MATCH($A107,SPPR!$A:$A,0),14)),$C107*INDEX(SPPR!$E:$Z,MATCH($A107,SPPR!$A:$A,0),14),""),"")</f>
        <v/>
      </c>
      <c r="R107">
        <f>IFERROR(IF(ISNUMBER(INDEX(SPPR!$E:$Z,MATCH($A107,SPPR!$A:$A,0),15)),$C107*INDEX(SPPR!$E:$Z,MATCH($A107,SPPR!$A:$A,0),15),""),"")</f>
        <v/>
      </c>
      <c r="S107">
        <f>IFERROR(IF(ISNUMBER(INDEX(SPPR!$E:$Z,MATCH($A107,SPPR!$A:$A,0),16)),$C107*INDEX(SPPR!$E:$Z,MATCH($A107,SPPR!$A:$A,0),16),""),"")</f>
        <v/>
      </c>
      <c r="T107">
        <f>IFERROR(IF(ISNUMBER(INDEX(SPPR!$E:$Z,MATCH($A107,SPPR!$A:$A,0),17)),$C107*INDEX(SPPR!$E:$Z,MATCH($A107,SPPR!$A:$A,0),17),""),"")</f>
        <v/>
      </c>
      <c r="U107">
        <f>IFERROR(IF(ISNUMBER(INDEX(SPPR!$E:$Z,MATCH($A107,SPPR!$A:$A,0),18)),$C107*INDEX(SPPR!$E:$Z,MATCH($A107,SPPR!$A:$A,0),18),""),"")</f>
        <v/>
      </c>
      <c r="V107">
        <f>IFERROR(IF(ISNUMBER(INDEX(SPPR!$E:$Z,MATCH($A107,SPPR!$A:$A,0),19)),$C107*INDEX(SPPR!$E:$Z,MATCH($A107,SPPR!$A:$A,0),19),""),"")</f>
        <v/>
      </c>
      <c r="W107">
        <f>IFERROR(IF(ISNUMBER(INDEX(SPPR!$E:$Z,MATCH($A107,SPPR!$A:$A,0),20)),$C107*INDEX(SPPR!$E:$Z,MATCH($A107,SPPR!$A:$A,0),20),""),"")</f>
        <v/>
      </c>
      <c r="X107">
        <f>IFERROR(IF(ISNUMBER(INDEX(SPPR!$E:$Z,MATCH($A107,SPPR!$A:$A,0),21)),$C107*INDEX(SPPR!$E:$Z,MATCH($A107,SPPR!$A:$A,0),21),""),"")</f>
        <v/>
      </c>
      <c r="Y107">
        <f>IFERROR(IF(ISNUMBER(INDEX(SPPR!$E:$Z,MATCH($A107,SPPR!$A:$A,0),22)),$C107*INDEX(SPPR!$E:$Z,MATCH($A107,SPPR!$A:$A,0),22),""),"")</f>
        <v/>
      </c>
    </row>
    <row r="108">
      <c r="A108" t="inlineStr">
        <is>
          <t>Netuma thalassina</t>
        </is>
      </c>
      <c r="B108">
        <f>IFERROR(INDEX(SPPR!$D:$D,MATCH($A108,SPPR!$A:$A,0)),"")</f>
        <v/>
      </c>
      <c r="C108">
        <f>IFERROR(INDEX(Catch!$E:$BV,MATCH($A108,Catch!$A:$A,0),MATCH($B$4,Catch!$E$1:$BV$1,0)),0)</f>
        <v/>
      </c>
      <c r="D108">
        <f>IFERROR(IF(ISNUMBER(INDEX(SPPR!$E:$Z,MATCH($A108,SPPR!$A:$A,0),1)),$C108*INDEX(SPPR!$E:$Z,MATCH($A108,SPPR!$A:$A,0),1),""),"")</f>
        <v/>
      </c>
      <c r="E108">
        <f>IFERROR(IF(ISNUMBER(INDEX(SPPR!$E:$Z,MATCH($A108,SPPR!$A:$A,0),2)),$C108*INDEX(SPPR!$E:$Z,MATCH($A108,SPPR!$A:$A,0),2),""),"")</f>
        <v/>
      </c>
      <c r="F108">
        <f>IFERROR(IF(ISNUMBER(INDEX(SPPR!$E:$Z,MATCH($A108,SPPR!$A:$A,0),3)),$C108*INDEX(SPPR!$E:$Z,MATCH($A108,SPPR!$A:$A,0),3),""),"")</f>
        <v/>
      </c>
      <c r="G108">
        <f>IFERROR(IF(ISNUMBER(INDEX(SPPR!$E:$Z,MATCH($A108,SPPR!$A:$A,0),4)),$C108*INDEX(SPPR!$E:$Z,MATCH($A108,SPPR!$A:$A,0),4),""),"")</f>
        <v/>
      </c>
      <c r="H108">
        <f>IFERROR(IF(ISNUMBER(INDEX(SPPR!$E:$Z,MATCH($A108,SPPR!$A:$A,0),5)),$C108*INDEX(SPPR!$E:$Z,MATCH($A108,SPPR!$A:$A,0),5),""),"")</f>
        <v/>
      </c>
      <c r="I108">
        <f>IFERROR(IF(ISNUMBER(INDEX(SPPR!$E:$Z,MATCH($A108,SPPR!$A:$A,0),6)),$C108*INDEX(SPPR!$E:$Z,MATCH($A108,SPPR!$A:$A,0),6),""),"")</f>
        <v/>
      </c>
      <c r="J108">
        <f>IFERROR(IF(ISNUMBER(INDEX(SPPR!$E:$Z,MATCH($A108,SPPR!$A:$A,0),7)),$C108*INDEX(SPPR!$E:$Z,MATCH($A108,SPPR!$A:$A,0),7),""),"")</f>
        <v/>
      </c>
      <c r="K108">
        <f>IFERROR(IF(ISNUMBER(INDEX(SPPR!$E:$Z,MATCH($A108,SPPR!$A:$A,0),8)),$C108*INDEX(SPPR!$E:$Z,MATCH($A108,SPPR!$A:$A,0),8),""),"")</f>
        <v/>
      </c>
      <c r="L108">
        <f>IFERROR(IF(ISNUMBER(INDEX(SPPR!$E:$Z,MATCH($A108,SPPR!$A:$A,0),9)),$C108*INDEX(SPPR!$E:$Z,MATCH($A108,SPPR!$A:$A,0),9),""),"")</f>
        <v/>
      </c>
      <c r="M108">
        <f>IFERROR(IF(ISNUMBER(INDEX(SPPR!$E:$Z,MATCH($A108,SPPR!$A:$A,0),10)),$C108*INDEX(SPPR!$E:$Z,MATCH($A108,SPPR!$A:$A,0),10),""),"")</f>
        <v/>
      </c>
      <c r="N108">
        <f>IFERROR(IF(ISNUMBER(INDEX(SPPR!$E:$Z,MATCH($A108,SPPR!$A:$A,0),11)),$C108*INDEX(SPPR!$E:$Z,MATCH($A108,SPPR!$A:$A,0),11),""),"")</f>
        <v/>
      </c>
      <c r="O108">
        <f>IFERROR(IF(ISNUMBER(INDEX(SPPR!$E:$Z,MATCH($A108,SPPR!$A:$A,0),12)),$C108*INDEX(SPPR!$E:$Z,MATCH($A108,SPPR!$A:$A,0),12),""),"")</f>
        <v/>
      </c>
      <c r="P108">
        <f>IFERROR(IF(ISNUMBER(INDEX(SPPR!$E:$Z,MATCH($A108,SPPR!$A:$A,0),13)),$C108*INDEX(SPPR!$E:$Z,MATCH($A108,SPPR!$A:$A,0),13),""),"")</f>
        <v/>
      </c>
      <c r="Q108">
        <f>IFERROR(IF(ISNUMBER(INDEX(SPPR!$E:$Z,MATCH($A108,SPPR!$A:$A,0),14)),$C108*INDEX(SPPR!$E:$Z,MATCH($A108,SPPR!$A:$A,0),14),""),"")</f>
        <v/>
      </c>
      <c r="R108">
        <f>IFERROR(IF(ISNUMBER(INDEX(SPPR!$E:$Z,MATCH($A108,SPPR!$A:$A,0),15)),$C108*INDEX(SPPR!$E:$Z,MATCH($A108,SPPR!$A:$A,0),15),""),"")</f>
        <v/>
      </c>
      <c r="S108">
        <f>IFERROR(IF(ISNUMBER(INDEX(SPPR!$E:$Z,MATCH($A108,SPPR!$A:$A,0),16)),$C108*INDEX(SPPR!$E:$Z,MATCH($A108,SPPR!$A:$A,0),16),""),"")</f>
        <v/>
      </c>
      <c r="T108">
        <f>IFERROR(IF(ISNUMBER(INDEX(SPPR!$E:$Z,MATCH($A108,SPPR!$A:$A,0),17)),$C108*INDEX(SPPR!$E:$Z,MATCH($A108,SPPR!$A:$A,0),17),""),"")</f>
        <v/>
      </c>
      <c r="U108">
        <f>IFERROR(IF(ISNUMBER(INDEX(SPPR!$E:$Z,MATCH($A108,SPPR!$A:$A,0),18)),$C108*INDEX(SPPR!$E:$Z,MATCH($A108,SPPR!$A:$A,0),18),""),"")</f>
        <v/>
      </c>
      <c r="V108">
        <f>IFERROR(IF(ISNUMBER(INDEX(SPPR!$E:$Z,MATCH($A108,SPPR!$A:$A,0),19)),$C108*INDEX(SPPR!$E:$Z,MATCH($A108,SPPR!$A:$A,0),19),""),"")</f>
        <v/>
      </c>
      <c r="W108">
        <f>IFERROR(IF(ISNUMBER(INDEX(SPPR!$E:$Z,MATCH($A108,SPPR!$A:$A,0),20)),$C108*INDEX(SPPR!$E:$Z,MATCH($A108,SPPR!$A:$A,0),20),""),"")</f>
        <v/>
      </c>
      <c r="X108">
        <f>IFERROR(IF(ISNUMBER(INDEX(SPPR!$E:$Z,MATCH($A108,SPPR!$A:$A,0),21)),$C108*INDEX(SPPR!$E:$Z,MATCH($A108,SPPR!$A:$A,0),21),""),"")</f>
        <v/>
      </c>
      <c r="Y108">
        <f>IFERROR(IF(ISNUMBER(INDEX(SPPR!$E:$Z,MATCH($A108,SPPR!$A:$A,0),22)),$C108*INDEX(SPPR!$E:$Z,MATCH($A108,SPPR!$A:$A,0),22),""),"")</f>
        <v/>
      </c>
    </row>
    <row r="109">
      <c r="A109" t="inlineStr">
        <is>
          <t>Lates calcarifer</t>
        </is>
      </c>
      <c r="B109">
        <f>IFERROR(INDEX(SPPR!$D:$D,MATCH($A109,SPPR!$A:$A,0)),"")</f>
        <v/>
      </c>
      <c r="C109">
        <f>IFERROR(INDEX(Catch!$E:$BV,MATCH($A109,Catch!$A:$A,0),MATCH($B$4,Catch!$E$1:$BV$1,0)),0)</f>
        <v/>
      </c>
      <c r="D109">
        <f>IFERROR(IF(ISNUMBER(INDEX(SPPR!$E:$Z,MATCH($A109,SPPR!$A:$A,0),1)),$C109*INDEX(SPPR!$E:$Z,MATCH($A109,SPPR!$A:$A,0),1),""),"")</f>
        <v/>
      </c>
      <c r="E109">
        <f>IFERROR(IF(ISNUMBER(INDEX(SPPR!$E:$Z,MATCH($A109,SPPR!$A:$A,0),2)),$C109*INDEX(SPPR!$E:$Z,MATCH($A109,SPPR!$A:$A,0),2),""),"")</f>
        <v/>
      </c>
      <c r="F109">
        <f>IFERROR(IF(ISNUMBER(INDEX(SPPR!$E:$Z,MATCH($A109,SPPR!$A:$A,0),3)),$C109*INDEX(SPPR!$E:$Z,MATCH($A109,SPPR!$A:$A,0),3),""),"")</f>
        <v/>
      </c>
      <c r="G109">
        <f>IFERROR(IF(ISNUMBER(INDEX(SPPR!$E:$Z,MATCH($A109,SPPR!$A:$A,0),4)),$C109*INDEX(SPPR!$E:$Z,MATCH($A109,SPPR!$A:$A,0),4),""),"")</f>
        <v/>
      </c>
      <c r="H109">
        <f>IFERROR(IF(ISNUMBER(INDEX(SPPR!$E:$Z,MATCH($A109,SPPR!$A:$A,0),5)),$C109*INDEX(SPPR!$E:$Z,MATCH($A109,SPPR!$A:$A,0),5),""),"")</f>
        <v/>
      </c>
      <c r="I109">
        <f>IFERROR(IF(ISNUMBER(INDEX(SPPR!$E:$Z,MATCH($A109,SPPR!$A:$A,0),6)),$C109*INDEX(SPPR!$E:$Z,MATCH($A109,SPPR!$A:$A,0),6),""),"")</f>
        <v/>
      </c>
      <c r="J109">
        <f>IFERROR(IF(ISNUMBER(INDEX(SPPR!$E:$Z,MATCH($A109,SPPR!$A:$A,0),7)),$C109*INDEX(SPPR!$E:$Z,MATCH($A109,SPPR!$A:$A,0),7),""),"")</f>
        <v/>
      </c>
      <c r="K109">
        <f>IFERROR(IF(ISNUMBER(INDEX(SPPR!$E:$Z,MATCH($A109,SPPR!$A:$A,0),8)),$C109*INDEX(SPPR!$E:$Z,MATCH($A109,SPPR!$A:$A,0),8),""),"")</f>
        <v/>
      </c>
      <c r="L109">
        <f>IFERROR(IF(ISNUMBER(INDEX(SPPR!$E:$Z,MATCH($A109,SPPR!$A:$A,0),9)),$C109*INDEX(SPPR!$E:$Z,MATCH($A109,SPPR!$A:$A,0),9),""),"")</f>
        <v/>
      </c>
      <c r="M109">
        <f>IFERROR(IF(ISNUMBER(INDEX(SPPR!$E:$Z,MATCH($A109,SPPR!$A:$A,0),10)),$C109*INDEX(SPPR!$E:$Z,MATCH($A109,SPPR!$A:$A,0),10),""),"")</f>
        <v/>
      </c>
      <c r="N109">
        <f>IFERROR(IF(ISNUMBER(INDEX(SPPR!$E:$Z,MATCH($A109,SPPR!$A:$A,0),11)),$C109*INDEX(SPPR!$E:$Z,MATCH($A109,SPPR!$A:$A,0),11),""),"")</f>
        <v/>
      </c>
      <c r="O109">
        <f>IFERROR(IF(ISNUMBER(INDEX(SPPR!$E:$Z,MATCH($A109,SPPR!$A:$A,0),12)),$C109*INDEX(SPPR!$E:$Z,MATCH($A109,SPPR!$A:$A,0),12),""),"")</f>
        <v/>
      </c>
      <c r="P109">
        <f>IFERROR(IF(ISNUMBER(INDEX(SPPR!$E:$Z,MATCH($A109,SPPR!$A:$A,0),13)),$C109*INDEX(SPPR!$E:$Z,MATCH($A109,SPPR!$A:$A,0),13),""),"")</f>
        <v/>
      </c>
      <c r="Q109">
        <f>IFERROR(IF(ISNUMBER(INDEX(SPPR!$E:$Z,MATCH($A109,SPPR!$A:$A,0),14)),$C109*INDEX(SPPR!$E:$Z,MATCH($A109,SPPR!$A:$A,0),14),""),"")</f>
        <v/>
      </c>
      <c r="R109">
        <f>IFERROR(IF(ISNUMBER(INDEX(SPPR!$E:$Z,MATCH($A109,SPPR!$A:$A,0),15)),$C109*INDEX(SPPR!$E:$Z,MATCH($A109,SPPR!$A:$A,0),15),""),"")</f>
        <v/>
      </c>
      <c r="S109">
        <f>IFERROR(IF(ISNUMBER(INDEX(SPPR!$E:$Z,MATCH($A109,SPPR!$A:$A,0),16)),$C109*INDEX(SPPR!$E:$Z,MATCH($A109,SPPR!$A:$A,0),16),""),"")</f>
        <v/>
      </c>
      <c r="T109">
        <f>IFERROR(IF(ISNUMBER(INDEX(SPPR!$E:$Z,MATCH($A109,SPPR!$A:$A,0),17)),$C109*INDEX(SPPR!$E:$Z,MATCH($A109,SPPR!$A:$A,0),17),""),"")</f>
        <v/>
      </c>
      <c r="U109">
        <f>IFERROR(IF(ISNUMBER(INDEX(SPPR!$E:$Z,MATCH($A109,SPPR!$A:$A,0),18)),$C109*INDEX(SPPR!$E:$Z,MATCH($A109,SPPR!$A:$A,0),18),""),"")</f>
        <v/>
      </c>
      <c r="V109">
        <f>IFERROR(IF(ISNUMBER(INDEX(SPPR!$E:$Z,MATCH($A109,SPPR!$A:$A,0),19)),$C109*INDEX(SPPR!$E:$Z,MATCH($A109,SPPR!$A:$A,0),19),""),"")</f>
        <v/>
      </c>
      <c r="W109">
        <f>IFERROR(IF(ISNUMBER(INDEX(SPPR!$E:$Z,MATCH($A109,SPPR!$A:$A,0),20)),$C109*INDEX(SPPR!$E:$Z,MATCH($A109,SPPR!$A:$A,0),20),""),"")</f>
        <v/>
      </c>
      <c r="X109">
        <f>IFERROR(IF(ISNUMBER(INDEX(SPPR!$E:$Z,MATCH($A109,SPPR!$A:$A,0),21)),$C109*INDEX(SPPR!$E:$Z,MATCH($A109,SPPR!$A:$A,0),21),""),"")</f>
        <v/>
      </c>
      <c r="Y109">
        <f>IFERROR(IF(ISNUMBER(INDEX(SPPR!$E:$Z,MATCH($A109,SPPR!$A:$A,0),22)),$C109*INDEX(SPPR!$E:$Z,MATCH($A109,SPPR!$A:$A,0),22),""),"")</f>
        <v/>
      </c>
    </row>
    <row r="110">
      <c r="A110" t="inlineStr">
        <is>
          <t>Carcharhinus</t>
        </is>
      </c>
      <c r="B110">
        <f>IFERROR(INDEX(SPPR!$D:$D,MATCH($A110,SPPR!$A:$A,0)),"")</f>
        <v/>
      </c>
      <c r="C110">
        <f>IFERROR(INDEX(Catch!$E:$BV,MATCH($A110,Catch!$A:$A,0),MATCH($B$4,Catch!$E$1:$BV$1,0)),0)</f>
        <v/>
      </c>
      <c r="D110">
        <f>IFERROR(IF(ISNUMBER(INDEX(SPPR!$E:$Z,MATCH($A110,SPPR!$A:$A,0),1)),$C110*INDEX(SPPR!$E:$Z,MATCH($A110,SPPR!$A:$A,0),1),""),"")</f>
        <v/>
      </c>
      <c r="E110">
        <f>IFERROR(IF(ISNUMBER(INDEX(SPPR!$E:$Z,MATCH($A110,SPPR!$A:$A,0),2)),$C110*INDEX(SPPR!$E:$Z,MATCH($A110,SPPR!$A:$A,0),2),""),"")</f>
        <v/>
      </c>
      <c r="F110">
        <f>IFERROR(IF(ISNUMBER(INDEX(SPPR!$E:$Z,MATCH($A110,SPPR!$A:$A,0),3)),$C110*INDEX(SPPR!$E:$Z,MATCH($A110,SPPR!$A:$A,0),3),""),"")</f>
        <v/>
      </c>
      <c r="G110">
        <f>IFERROR(IF(ISNUMBER(INDEX(SPPR!$E:$Z,MATCH($A110,SPPR!$A:$A,0),4)),$C110*INDEX(SPPR!$E:$Z,MATCH($A110,SPPR!$A:$A,0),4),""),"")</f>
        <v/>
      </c>
      <c r="H110">
        <f>IFERROR(IF(ISNUMBER(INDEX(SPPR!$E:$Z,MATCH($A110,SPPR!$A:$A,0),5)),$C110*INDEX(SPPR!$E:$Z,MATCH($A110,SPPR!$A:$A,0),5),""),"")</f>
        <v/>
      </c>
      <c r="I110">
        <f>IFERROR(IF(ISNUMBER(INDEX(SPPR!$E:$Z,MATCH($A110,SPPR!$A:$A,0),6)),$C110*INDEX(SPPR!$E:$Z,MATCH($A110,SPPR!$A:$A,0),6),""),"")</f>
        <v/>
      </c>
      <c r="J110">
        <f>IFERROR(IF(ISNUMBER(INDEX(SPPR!$E:$Z,MATCH($A110,SPPR!$A:$A,0),7)),$C110*INDEX(SPPR!$E:$Z,MATCH($A110,SPPR!$A:$A,0),7),""),"")</f>
        <v/>
      </c>
      <c r="K110">
        <f>IFERROR(IF(ISNUMBER(INDEX(SPPR!$E:$Z,MATCH($A110,SPPR!$A:$A,0),8)),$C110*INDEX(SPPR!$E:$Z,MATCH($A110,SPPR!$A:$A,0),8),""),"")</f>
        <v/>
      </c>
      <c r="L110">
        <f>IFERROR(IF(ISNUMBER(INDEX(SPPR!$E:$Z,MATCH($A110,SPPR!$A:$A,0),9)),$C110*INDEX(SPPR!$E:$Z,MATCH($A110,SPPR!$A:$A,0),9),""),"")</f>
        <v/>
      </c>
      <c r="M110">
        <f>IFERROR(IF(ISNUMBER(INDEX(SPPR!$E:$Z,MATCH($A110,SPPR!$A:$A,0),10)),$C110*INDEX(SPPR!$E:$Z,MATCH($A110,SPPR!$A:$A,0),10),""),"")</f>
        <v/>
      </c>
      <c r="N110">
        <f>IFERROR(IF(ISNUMBER(INDEX(SPPR!$E:$Z,MATCH($A110,SPPR!$A:$A,0),11)),$C110*INDEX(SPPR!$E:$Z,MATCH($A110,SPPR!$A:$A,0),11),""),"")</f>
        <v/>
      </c>
      <c r="O110">
        <f>IFERROR(IF(ISNUMBER(INDEX(SPPR!$E:$Z,MATCH($A110,SPPR!$A:$A,0),12)),$C110*INDEX(SPPR!$E:$Z,MATCH($A110,SPPR!$A:$A,0),12),""),"")</f>
        <v/>
      </c>
      <c r="P110">
        <f>IFERROR(IF(ISNUMBER(INDEX(SPPR!$E:$Z,MATCH($A110,SPPR!$A:$A,0),13)),$C110*INDEX(SPPR!$E:$Z,MATCH($A110,SPPR!$A:$A,0),13),""),"")</f>
        <v/>
      </c>
      <c r="Q110">
        <f>IFERROR(IF(ISNUMBER(INDEX(SPPR!$E:$Z,MATCH($A110,SPPR!$A:$A,0),14)),$C110*INDEX(SPPR!$E:$Z,MATCH($A110,SPPR!$A:$A,0),14),""),"")</f>
        <v/>
      </c>
      <c r="R110">
        <f>IFERROR(IF(ISNUMBER(INDEX(SPPR!$E:$Z,MATCH($A110,SPPR!$A:$A,0),15)),$C110*INDEX(SPPR!$E:$Z,MATCH($A110,SPPR!$A:$A,0),15),""),"")</f>
        <v/>
      </c>
      <c r="S110">
        <f>IFERROR(IF(ISNUMBER(INDEX(SPPR!$E:$Z,MATCH($A110,SPPR!$A:$A,0),16)),$C110*INDEX(SPPR!$E:$Z,MATCH($A110,SPPR!$A:$A,0),16),""),"")</f>
        <v/>
      </c>
      <c r="T110">
        <f>IFERROR(IF(ISNUMBER(INDEX(SPPR!$E:$Z,MATCH($A110,SPPR!$A:$A,0),17)),$C110*INDEX(SPPR!$E:$Z,MATCH($A110,SPPR!$A:$A,0),17),""),"")</f>
        <v/>
      </c>
      <c r="U110">
        <f>IFERROR(IF(ISNUMBER(INDEX(SPPR!$E:$Z,MATCH($A110,SPPR!$A:$A,0),18)),$C110*INDEX(SPPR!$E:$Z,MATCH($A110,SPPR!$A:$A,0),18),""),"")</f>
        <v/>
      </c>
      <c r="V110">
        <f>IFERROR(IF(ISNUMBER(INDEX(SPPR!$E:$Z,MATCH($A110,SPPR!$A:$A,0),19)),$C110*INDEX(SPPR!$E:$Z,MATCH($A110,SPPR!$A:$A,0),19),""),"")</f>
        <v/>
      </c>
      <c r="W110">
        <f>IFERROR(IF(ISNUMBER(INDEX(SPPR!$E:$Z,MATCH($A110,SPPR!$A:$A,0),20)),$C110*INDEX(SPPR!$E:$Z,MATCH($A110,SPPR!$A:$A,0),20),""),"")</f>
        <v/>
      </c>
      <c r="X110">
        <f>IFERROR(IF(ISNUMBER(INDEX(SPPR!$E:$Z,MATCH($A110,SPPR!$A:$A,0),21)),$C110*INDEX(SPPR!$E:$Z,MATCH($A110,SPPR!$A:$A,0),21),""),"")</f>
        <v/>
      </c>
      <c r="Y110">
        <f>IFERROR(IF(ISNUMBER(INDEX(SPPR!$E:$Z,MATCH($A110,SPPR!$A:$A,0),22)),$C110*INDEX(SPPR!$E:$Z,MATCH($A110,SPPR!$A:$A,0),22),""),"")</f>
        <v/>
      </c>
    </row>
    <row r="111">
      <c r="A111" t="inlineStr">
        <is>
          <t>Haemulidae</t>
        </is>
      </c>
      <c r="B111">
        <f>IFERROR(INDEX(SPPR!$D:$D,MATCH($A111,SPPR!$A:$A,0)),"")</f>
        <v/>
      </c>
      <c r="C111">
        <f>IFERROR(INDEX(Catch!$E:$BV,MATCH($A111,Catch!$A:$A,0),MATCH($B$4,Catch!$E$1:$BV$1,0)),0)</f>
        <v/>
      </c>
      <c r="D111">
        <f>IFERROR(IF(ISNUMBER(INDEX(SPPR!$E:$Z,MATCH($A111,SPPR!$A:$A,0),1)),$C111*INDEX(SPPR!$E:$Z,MATCH($A111,SPPR!$A:$A,0),1),""),"")</f>
        <v/>
      </c>
      <c r="E111">
        <f>IFERROR(IF(ISNUMBER(INDEX(SPPR!$E:$Z,MATCH($A111,SPPR!$A:$A,0),2)),$C111*INDEX(SPPR!$E:$Z,MATCH($A111,SPPR!$A:$A,0),2),""),"")</f>
        <v/>
      </c>
      <c r="F111">
        <f>IFERROR(IF(ISNUMBER(INDEX(SPPR!$E:$Z,MATCH($A111,SPPR!$A:$A,0),3)),$C111*INDEX(SPPR!$E:$Z,MATCH($A111,SPPR!$A:$A,0),3),""),"")</f>
        <v/>
      </c>
      <c r="G111">
        <f>IFERROR(IF(ISNUMBER(INDEX(SPPR!$E:$Z,MATCH($A111,SPPR!$A:$A,0),4)),$C111*INDEX(SPPR!$E:$Z,MATCH($A111,SPPR!$A:$A,0),4),""),"")</f>
        <v/>
      </c>
      <c r="H111">
        <f>IFERROR(IF(ISNUMBER(INDEX(SPPR!$E:$Z,MATCH($A111,SPPR!$A:$A,0),5)),$C111*INDEX(SPPR!$E:$Z,MATCH($A111,SPPR!$A:$A,0),5),""),"")</f>
        <v/>
      </c>
      <c r="I111">
        <f>IFERROR(IF(ISNUMBER(INDEX(SPPR!$E:$Z,MATCH($A111,SPPR!$A:$A,0),6)),$C111*INDEX(SPPR!$E:$Z,MATCH($A111,SPPR!$A:$A,0),6),""),"")</f>
        <v/>
      </c>
      <c r="J111">
        <f>IFERROR(IF(ISNUMBER(INDEX(SPPR!$E:$Z,MATCH($A111,SPPR!$A:$A,0),7)),$C111*INDEX(SPPR!$E:$Z,MATCH($A111,SPPR!$A:$A,0),7),""),"")</f>
        <v/>
      </c>
      <c r="K111">
        <f>IFERROR(IF(ISNUMBER(INDEX(SPPR!$E:$Z,MATCH($A111,SPPR!$A:$A,0),8)),$C111*INDEX(SPPR!$E:$Z,MATCH($A111,SPPR!$A:$A,0),8),""),"")</f>
        <v/>
      </c>
      <c r="L111">
        <f>IFERROR(IF(ISNUMBER(INDEX(SPPR!$E:$Z,MATCH($A111,SPPR!$A:$A,0),9)),$C111*INDEX(SPPR!$E:$Z,MATCH($A111,SPPR!$A:$A,0),9),""),"")</f>
        <v/>
      </c>
      <c r="M111">
        <f>IFERROR(IF(ISNUMBER(INDEX(SPPR!$E:$Z,MATCH($A111,SPPR!$A:$A,0),10)),$C111*INDEX(SPPR!$E:$Z,MATCH($A111,SPPR!$A:$A,0),10),""),"")</f>
        <v/>
      </c>
      <c r="N111">
        <f>IFERROR(IF(ISNUMBER(INDEX(SPPR!$E:$Z,MATCH($A111,SPPR!$A:$A,0),11)),$C111*INDEX(SPPR!$E:$Z,MATCH($A111,SPPR!$A:$A,0),11),""),"")</f>
        <v/>
      </c>
      <c r="O111">
        <f>IFERROR(IF(ISNUMBER(INDEX(SPPR!$E:$Z,MATCH($A111,SPPR!$A:$A,0),12)),$C111*INDEX(SPPR!$E:$Z,MATCH($A111,SPPR!$A:$A,0),12),""),"")</f>
        <v/>
      </c>
      <c r="P111">
        <f>IFERROR(IF(ISNUMBER(INDEX(SPPR!$E:$Z,MATCH($A111,SPPR!$A:$A,0),13)),$C111*INDEX(SPPR!$E:$Z,MATCH($A111,SPPR!$A:$A,0),13),""),"")</f>
        <v/>
      </c>
      <c r="Q111">
        <f>IFERROR(IF(ISNUMBER(INDEX(SPPR!$E:$Z,MATCH($A111,SPPR!$A:$A,0),14)),$C111*INDEX(SPPR!$E:$Z,MATCH($A111,SPPR!$A:$A,0),14),""),"")</f>
        <v/>
      </c>
      <c r="R111">
        <f>IFERROR(IF(ISNUMBER(INDEX(SPPR!$E:$Z,MATCH($A111,SPPR!$A:$A,0),15)),$C111*INDEX(SPPR!$E:$Z,MATCH($A111,SPPR!$A:$A,0),15),""),"")</f>
        <v/>
      </c>
      <c r="S111">
        <f>IFERROR(IF(ISNUMBER(INDEX(SPPR!$E:$Z,MATCH($A111,SPPR!$A:$A,0),16)),$C111*INDEX(SPPR!$E:$Z,MATCH($A111,SPPR!$A:$A,0),16),""),"")</f>
        <v/>
      </c>
      <c r="T111">
        <f>IFERROR(IF(ISNUMBER(INDEX(SPPR!$E:$Z,MATCH($A111,SPPR!$A:$A,0),17)),$C111*INDEX(SPPR!$E:$Z,MATCH($A111,SPPR!$A:$A,0),17),""),"")</f>
        <v/>
      </c>
      <c r="U111">
        <f>IFERROR(IF(ISNUMBER(INDEX(SPPR!$E:$Z,MATCH($A111,SPPR!$A:$A,0),18)),$C111*INDEX(SPPR!$E:$Z,MATCH($A111,SPPR!$A:$A,0),18),""),"")</f>
        <v/>
      </c>
      <c r="V111">
        <f>IFERROR(IF(ISNUMBER(INDEX(SPPR!$E:$Z,MATCH($A111,SPPR!$A:$A,0),19)),$C111*INDEX(SPPR!$E:$Z,MATCH($A111,SPPR!$A:$A,0),19),""),"")</f>
        <v/>
      </c>
      <c r="W111">
        <f>IFERROR(IF(ISNUMBER(INDEX(SPPR!$E:$Z,MATCH($A111,SPPR!$A:$A,0),20)),$C111*INDEX(SPPR!$E:$Z,MATCH($A111,SPPR!$A:$A,0),20),""),"")</f>
        <v/>
      </c>
      <c r="X111">
        <f>IFERROR(IF(ISNUMBER(INDEX(SPPR!$E:$Z,MATCH($A111,SPPR!$A:$A,0),21)),$C111*INDEX(SPPR!$E:$Z,MATCH($A111,SPPR!$A:$A,0),21),""),"")</f>
        <v/>
      </c>
      <c r="Y111">
        <f>IFERROR(IF(ISNUMBER(INDEX(SPPR!$E:$Z,MATCH($A111,SPPR!$A:$A,0),22)),$C111*INDEX(SPPR!$E:$Z,MATCH($A111,SPPR!$A:$A,0),22),""),"")</f>
        <v/>
      </c>
    </row>
    <row r="112">
      <c r="A112" t="inlineStr">
        <is>
          <t>Leptomelanosoma indicum</t>
        </is>
      </c>
      <c r="B112">
        <f>IFERROR(INDEX(SPPR!$D:$D,MATCH($A112,SPPR!$A:$A,0)),"")</f>
        <v/>
      </c>
      <c r="C112">
        <f>IFERROR(INDEX(Catch!$E:$BV,MATCH($A112,Catch!$A:$A,0),MATCH($B$4,Catch!$E$1:$BV$1,0)),0)</f>
        <v/>
      </c>
      <c r="D112">
        <f>IFERROR(IF(ISNUMBER(INDEX(SPPR!$E:$Z,MATCH($A112,SPPR!$A:$A,0),1)),$C112*INDEX(SPPR!$E:$Z,MATCH($A112,SPPR!$A:$A,0),1),""),"")</f>
        <v/>
      </c>
      <c r="E112">
        <f>IFERROR(IF(ISNUMBER(INDEX(SPPR!$E:$Z,MATCH($A112,SPPR!$A:$A,0),2)),$C112*INDEX(SPPR!$E:$Z,MATCH($A112,SPPR!$A:$A,0),2),""),"")</f>
        <v/>
      </c>
      <c r="F112">
        <f>IFERROR(IF(ISNUMBER(INDEX(SPPR!$E:$Z,MATCH($A112,SPPR!$A:$A,0),3)),$C112*INDEX(SPPR!$E:$Z,MATCH($A112,SPPR!$A:$A,0),3),""),"")</f>
        <v/>
      </c>
      <c r="G112">
        <f>IFERROR(IF(ISNUMBER(INDEX(SPPR!$E:$Z,MATCH($A112,SPPR!$A:$A,0),4)),$C112*INDEX(SPPR!$E:$Z,MATCH($A112,SPPR!$A:$A,0),4),""),"")</f>
        <v/>
      </c>
      <c r="H112">
        <f>IFERROR(IF(ISNUMBER(INDEX(SPPR!$E:$Z,MATCH($A112,SPPR!$A:$A,0),5)),$C112*INDEX(SPPR!$E:$Z,MATCH($A112,SPPR!$A:$A,0),5),""),"")</f>
        <v/>
      </c>
      <c r="I112">
        <f>IFERROR(IF(ISNUMBER(INDEX(SPPR!$E:$Z,MATCH($A112,SPPR!$A:$A,0),6)),$C112*INDEX(SPPR!$E:$Z,MATCH($A112,SPPR!$A:$A,0),6),""),"")</f>
        <v/>
      </c>
      <c r="J112">
        <f>IFERROR(IF(ISNUMBER(INDEX(SPPR!$E:$Z,MATCH($A112,SPPR!$A:$A,0),7)),$C112*INDEX(SPPR!$E:$Z,MATCH($A112,SPPR!$A:$A,0),7),""),"")</f>
        <v/>
      </c>
      <c r="K112">
        <f>IFERROR(IF(ISNUMBER(INDEX(SPPR!$E:$Z,MATCH($A112,SPPR!$A:$A,0),8)),$C112*INDEX(SPPR!$E:$Z,MATCH($A112,SPPR!$A:$A,0),8),""),"")</f>
        <v/>
      </c>
      <c r="L112">
        <f>IFERROR(IF(ISNUMBER(INDEX(SPPR!$E:$Z,MATCH($A112,SPPR!$A:$A,0),9)),$C112*INDEX(SPPR!$E:$Z,MATCH($A112,SPPR!$A:$A,0),9),""),"")</f>
        <v/>
      </c>
      <c r="M112">
        <f>IFERROR(IF(ISNUMBER(INDEX(SPPR!$E:$Z,MATCH($A112,SPPR!$A:$A,0),10)),$C112*INDEX(SPPR!$E:$Z,MATCH($A112,SPPR!$A:$A,0),10),""),"")</f>
        <v/>
      </c>
      <c r="N112">
        <f>IFERROR(IF(ISNUMBER(INDEX(SPPR!$E:$Z,MATCH($A112,SPPR!$A:$A,0),11)),$C112*INDEX(SPPR!$E:$Z,MATCH($A112,SPPR!$A:$A,0),11),""),"")</f>
        <v/>
      </c>
      <c r="O112">
        <f>IFERROR(IF(ISNUMBER(INDEX(SPPR!$E:$Z,MATCH($A112,SPPR!$A:$A,0),12)),$C112*INDEX(SPPR!$E:$Z,MATCH($A112,SPPR!$A:$A,0),12),""),"")</f>
        <v/>
      </c>
      <c r="P112">
        <f>IFERROR(IF(ISNUMBER(INDEX(SPPR!$E:$Z,MATCH($A112,SPPR!$A:$A,0),13)),$C112*INDEX(SPPR!$E:$Z,MATCH($A112,SPPR!$A:$A,0),13),""),"")</f>
        <v/>
      </c>
      <c r="Q112">
        <f>IFERROR(IF(ISNUMBER(INDEX(SPPR!$E:$Z,MATCH($A112,SPPR!$A:$A,0),14)),$C112*INDEX(SPPR!$E:$Z,MATCH($A112,SPPR!$A:$A,0),14),""),"")</f>
        <v/>
      </c>
      <c r="R112">
        <f>IFERROR(IF(ISNUMBER(INDEX(SPPR!$E:$Z,MATCH($A112,SPPR!$A:$A,0),15)),$C112*INDEX(SPPR!$E:$Z,MATCH($A112,SPPR!$A:$A,0),15),""),"")</f>
        <v/>
      </c>
      <c r="S112">
        <f>IFERROR(IF(ISNUMBER(INDEX(SPPR!$E:$Z,MATCH($A112,SPPR!$A:$A,0),16)),$C112*INDEX(SPPR!$E:$Z,MATCH($A112,SPPR!$A:$A,0),16),""),"")</f>
        <v/>
      </c>
      <c r="T112">
        <f>IFERROR(IF(ISNUMBER(INDEX(SPPR!$E:$Z,MATCH($A112,SPPR!$A:$A,0),17)),$C112*INDEX(SPPR!$E:$Z,MATCH($A112,SPPR!$A:$A,0),17),""),"")</f>
        <v/>
      </c>
      <c r="U112">
        <f>IFERROR(IF(ISNUMBER(INDEX(SPPR!$E:$Z,MATCH($A112,SPPR!$A:$A,0),18)),$C112*INDEX(SPPR!$E:$Z,MATCH($A112,SPPR!$A:$A,0),18),""),"")</f>
        <v/>
      </c>
      <c r="V112">
        <f>IFERROR(IF(ISNUMBER(INDEX(SPPR!$E:$Z,MATCH($A112,SPPR!$A:$A,0),19)),$C112*INDEX(SPPR!$E:$Z,MATCH($A112,SPPR!$A:$A,0),19),""),"")</f>
        <v/>
      </c>
      <c r="W112">
        <f>IFERROR(IF(ISNUMBER(INDEX(SPPR!$E:$Z,MATCH($A112,SPPR!$A:$A,0),20)),$C112*INDEX(SPPR!$E:$Z,MATCH($A112,SPPR!$A:$A,0),20),""),"")</f>
        <v/>
      </c>
      <c r="X112">
        <f>IFERROR(IF(ISNUMBER(INDEX(SPPR!$E:$Z,MATCH($A112,SPPR!$A:$A,0),21)),$C112*INDEX(SPPR!$E:$Z,MATCH($A112,SPPR!$A:$A,0),21),""),"")</f>
        <v/>
      </c>
      <c r="Y112">
        <f>IFERROR(IF(ISNUMBER(INDEX(SPPR!$E:$Z,MATCH($A112,SPPR!$A:$A,0),22)),$C112*INDEX(SPPR!$E:$Z,MATCH($A112,SPPR!$A:$A,0),22),""),"")</f>
        <v/>
      </c>
    </row>
    <row r="113">
      <c r="A113" t="inlineStr">
        <is>
          <t>Scylla serrata</t>
        </is>
      </c>
      <c r="B113">
        <f>IFERROR(INDEX(SPPR!$D:$D,MATCH($A113,SPPR!$A:$A,0)),"")</f>
        <v/>
      </c>
      <c r="C113">
        <f>IFERROR(INDEX(Catch!$E:$BV,MATCH($A113,Catch!$A:$A,0),MATCH($B$4,Catch!$E$1:$BV$1,0)),0)</f>
        <v/>
      </c>
      <c r="D113">
        <f>IFERROR(IF(ISNUMBER(INDEX(SPPR!$E:$Z,MATCH($A113,SPPR!$A:$A,0),1)),$C113*INDEX(SPPR!$E:$Z,MATCH($A113,SPPR!$A:$A,0),1),""),"")</f>
        <v/>
      </c>
      <c r="E113">
        <f>IFERROR(IF(ISNUMBER(INDEX(SPPR!$E:$Z,MATCH($A113,SPPR!$A:$A,0),2)),$C113*INDEX(SPPR!$E:$Z,MATCH($A113,SPPR!$A:$A,0),2),""),"")</f>
        <v/>
      </c>
      <c r="F113">
        <f>IFERROR(IF(ISNUMBER(INDEX(SPPR!$E:$Z,MATCH($A113,SPPR!$A:$A,0),3)),$C113*INDEX(SPPR!$E:$Z,MATCH($A113,SPPR!$A:$A,0),3),""),"")</f>
        <v/>
      </c>
      <c r="G113">
        <f>IFERROR(IF(ISNUMBER(INDEX(SPPR!$E:$Z,MATCH($A113,SPPR!$A:$A,0),4)),$C113*INDEX(SPPR!$E:$Z,MATCH($A113,SPPR!$A:$A,0),4),""),"")</f>
        <v/>
      </c>
      <c r="H113">
        <f>IFERROR(IF(ISNUMBER(INDEX(SPPR!$E:$Z,MATCH($A113,SPPR!$A:$A,0),5)),$C113*INDEX(SPPR!$E:$Z,MATCH($A113,SPPR!$A:$A,0),5),""),"")</f>
        <v/>
      </c>
      <c r="I113">
        <f>IFERROR(IF(ISNUMBER(INDEX(SPPR!$E:$Z,MATCH($A113,SPPR!$A:$A,0),6)),$C113*INDEX(SPPR!$E:$Z,MATCH($A113,SPPR!$A:$A,0),6),""),"")</f>
        <v/>
      </c>
      <c r="J113">
        <f>IFERROR(IF(ISNUMBER(INDEX(SPPR!$E:$Z,MATCH($A113,SPPR!$A:$A,0),7)),$C113*INDEX(SPPR!$E:$Z,MATCH($A113,SPPR!$A:$A,0),7),""),"")</f>
        <v/>
      </c>
      <c r="K113">
        <f>IFERROR(IF(ISNUMBER(INDEX(SPPR!$E:$Z,MATCH($A113,SPPR!$A:$A,0),8)),$C113*INDEX(SPPR!$E:$Z,MATCH($A113,SPPR!$A:$A,0),8),""),"")</f>
        <v/>
      </c>
      <c r="L113">
        <f>IFERROR(IF(ISNUMBER(INDEX(SPPR!$E:$Z,MATCH($A113,SPPR!$A:$A,0),9)),$C113*INDEX(SPPR!$E:$Z,MATCH($A113,SPPR!$A:$A,0),9),""),"")</f>
        <v/>
      </c>
      <c r="M113">
        <f>IFERROR(IF(ISNUMBER(INDEX(SPPR!$E:$Z,MATCH($A113,SPPR!$A:$A,0),10)),$C113*INDEX(SPPR!$E:$Z,MATCH($A113,SPPR!$A:$A,0),10),""),"")</f>
        <v/>
      </c>
      <c r="N113">
        <f>IFERROR(IF(ISNUMBER(INDEX(SPPR!$E:$Z,MATCH($A113,SPPR!$A:$A,0),11)),$C113*INDEX(SPPR!$E:$Z,MATCH($A113,SPPR!$A:$A,0),11),""),"")</f>
        <v/>
      </c>
      <c r="O113">
        <f>IFERROR(IF(ISNUMBER(INDEX(SPPR!$E:$Z,MATCH($A113,SPPR!$A:$A,0),12)),$C113*INDEX(SPPR!$E:$Z,MATCH($A113,SPPR!$A:$A,0),12),""),"")</f>
        <v/>
      </c>
      <c r="P113">
        <f>IFERROR(IF(ISNUMBER(INDEX(SPPR!$E:$Z,MATCH($A113,SPPR!$A:$A,0),13)),$C113*INDEX(SPPR!$E:$Z,MATCH($A113,SPPR!$A:$A,0),13),""),"")</f>
        <v/>
      </c>
      <c r="Q113">
        <f>IFERROR(IF(ISNUMBER(INDEX(SPPR!$E:$Z,MATCH($A113,SPPR!$A:$A,0),14)),$C113*INDEX(SPPR!$E:$Z,MATCH($A113,SPPR!$A:$A,0),14),""),"")</f>
        <v/>
      </c>
      <c r="R113">
        <f>IFERROR(IF(ISNUMBER(INDEX(SPPR!$E:$Z,MATCH($A113,SPPR!$A:$A,0),15)),$C113*INDEX(SPPR!$E:$Z,MATCH($A113,SPPR!$A:$A,0),15),""),"")</f>
        <v/>
      </c>
      <c r="S113">
        <f>IFERROR(IF(ISNUMBER(INDEX(SPPR!$E:$Z,MATCH($A113,SPPR!$A:$A,0),16)),$C113*INDEX(SPPR!$E:$Z,MATCH($A113,SPPR!$A:$A,0),16),""),"")</f>
        <v/>
      </c>
      <c r="T113">
        <f>IFERROR(IF(ISNUMBER(INDEX(SPPR!$E:$Z,MATCH($A113,SPPR!$A:$A,0),17)),$C113*INDEX(SPPR!$E:$Z,MATCH($A113,SPPR!$A:$A,0),17),""),"")</f>
        <v/>
      </c>
      <c r="U113">
        <f>IFERROR(IF(ISNUMBER(INDEX(SPPR!$E:$Z,MATCH($A113,SPPR!$A:$A,0),18)),$C113*INDEX(SPPR!$E:$Z,MATCH($A113,SPPR!$A:$A,0),18),""),"")</f>
        <v/>
      </c>
      <c r="V113">
        <f>IFERROR(IF(ISNUMBER(INDEX(SPPR!$E:$Z,MATCH($A113,SPPR!$A:$A,0),19)),$C113*INDEX(SPPR!$E:$Z,MATCH($A113,SPPR!$A:$A,0),19),""),"")</f>
        <v/>
      </c>
      <c r="W113">
        <f>IFERROR(IF(ISNUMBER(INDEX(SPPR!$E:$Z,MATCH($A113,SPPR!$A:$A,0),20)),$C113*INDEX(SPPR!$E:$Z,MATCH($A113,SPPR!$A:$A,0),20),""),"")</f>
        <v/>
      </c>
      <c r="X113">
        <f>IFERROR(IF(ISNUMBER(INDEX(SPPR!$E:$Z,MATCH($A113,SPPR!$A:$A,0),21)),$C113*INDEX(SPPR!$E:$Z,MATCH($A113,SPPR!$A:$A,0),21),""),"")</f>
        <v/>
      </c>
      <c r="Y113">
        <f>IFERROR(IF(ISNUMBER(INDEX(SPPR!$E:$Z,MATCH($A113,SPPR!$A:$A,0),22)),$C113*INDEX(SPPR!$E:$Z,MATCH($A113,SPPR!$A:$A,0),22),""),"")</f>
        <v/>
      </c>
    </row>
    <row r="114">
      <c r="A114" t="inlineStr">
        <is>
          <t>Thunnus obesus</t>
        </is>
      </c>
      <c r="B114">
        <f>IFERROR(INDEX(SPPR!$D:$D,MATCH($A114,SPPR!$A:$A,0)),"")</f>
        <v/>
      </c>
      <c r="C114">
        <f>IFERROR(INDEX(Catch!$E:$BV,MATCH($A114,Catch!$A:$A,0),MATCH($B$4,Catch!$E$1:$BV$1,0)),0)</f>
        <v/>
      </c>
      <c r="D114">
        <f>IFERROR(IF(ISNUMBER(INDEX(SPPR!$E:$Z,MATCH($A114,SPPR!$A:$A,0),1)),$C114*INDEX(SPPR!$E:$Z,MATCH($A114,SPPR!$A:$A,0),1),""),"")</f>
        <v/>
      </c>
      <c r="E114">
        <f>IFERROR(IF(ISNUMBER(INDEX(SPPR!$E:$Z,MATCH($A114,SPPR!$A:$A,0),2)),$C114*INDEX(SPPR!$E:$Z,MATCH($A114,SPPR!$A:$A,0),2),""),"")</f>
        <v/>
      </c>
      <c r="F114">
        <f>IFERROR(IF(ISNUMBER(INDEX(SPPR!$E:$Z,MATCH($A114,SPPR!$A:$A,0),3)),$C114*INDEX(SPPR!$E:$Z,MATCH($A114,SPPR!$A:$A,0),3),""),"")</f>
        <v/>
      </c>
      <c r="G114">
        <f>IFERROR(IF(ISNUMBER(INDEX(SPPR!$E:$Z,MATCH($A114,SPPR!$A:$A,0),4)),$C114*INDEX(SPPR!$E:$Z,MATCH($A114,SPPR!$A:$A,0),4),""),"")</f>
        <v/>
      </c>
      <c r="H114">
        <f>IFERROR(IF(ISNUMBER(INDEX(SPPR!$E:$Z,MATCH($A114,SPPR!$A:$A,0),5)),$C114*INDEX(SPPR!$E:$Z,MATCH($A114,SPPR!$A:$A,0),5),""),"")</f>
        <v/>
      </c>
      <c r="I114">
        <f>IFERROR(IF(ISNUMBER(INDEX(SPPR!$E:$Z,MATCH($A114,SPPR!$A:$A,0),6)),$C114*INDEX(SPPR!$E:$Z,MATCH($A114,SPPR!$A:$A,0),6),""),"")</f>
        <v/>
      </c>
      <c r="J114">
        <f>IFERROR(IF(ISNUMBER(INDEX(SPPR!$E:$Z,MATCH($A114,SPPR!$A:$A,0),7)),$C114*INDEX(SPPR!$E:$Z,MATCH($A114,SPPR!$A:$A,0),7),""),"")</f>
        <v/>
      </c>
      <c r="K114">
        <f>IFERROR(IF(ISNUMBER(INDEX(SPPR!$E:$Z,MATCH($A114,SPPR!$A:$A,0),8)),$C114*INDEX(SPPR!$E:$Z,MATCH($A114,SPPR!$A:$A,0),8),""),"")</f>
        <v/>
      </c>
      <c r="L114">
        <f>IFERROR(IF(ISNUMBER(INDEX(SPPR!$E:$Z,MATCH($A114,SPPR!$A:$A,0),9)),$C114*INDEX(SPPR!$E:$Z,MATCH($A114,SPPR!$A:$A,0),9),""),"")</f>
        <v/>
      </c>
      <c r="M114">
        <f>IFERROR(IF(ISNUMBER(INDEX(SPPR!$E:$Z,MATCH($A114,SPPR!$A:$A,0),10)),$C114*INDEX(SPPR!$E:$Z,MATCH($A114,SPPR!$A:$A,0),10),""),"")</f>
        <v/>
      </c>
      <c r="N114">
        <f>IFERROR(IF(ISNUMBER(INDEX(SPPR!$E:$Z,MATCH($A114,SPPR!$A:$A,0),11)),$C114*INDEX(SPPR!$E:$Z,MATCH($A114,SPPR!$A:$A,0),11),""),"")</f>
        <v/>
      </c>
      <c r="O114">
        <f>IFERROR(IF(ISNUMBER(INDEX(SPPR!$E:$Z,MATCH($A114,SPPR!$A:$A,0),12)),$C114*INDEX(SPPR!$E:$Z,MATCH($A114,SPPR!$A:$A,0),12),""),"")</f>
        <v/>
      </c>
      <c r="P114">
        <f>IFERROR(IF(ISNUMBER(INDEX(SPPR!$E:$Z,MATCH($A114,SPPR!$A:$A,0),13)),$C114*INDEX(SPPR!$E:$Z,MATCH($A114,SPPR!$A:$A,0),13),""),"")</f>
        <v/>
      </c>
      <c r="Q114">
        <f>IFERROR(IF(ISNUMBER(INDEX(SPPR!$E:$Z,MATCH($A114,SPPR!$A:$A,0),14)),$C114*INDEX(SPPR!$E:$Z,MATCH($A114,SPPR!$A:$A,0),14),""),"")</f>
        <v/>
      </c>
      <c r="R114">
        <f>IFERROR(IF(ISNUMBER(INDEX(SPPR!$E:$Z,MATCH($A114,SPPR!$A:$A,0),15)),$C114*INDEX(SPPR!$E:$Z,MATCH($A114,SPPR!$A:$A,0),15),""),"")</f>
        <v/>
      </c>
      <c r="S114">
        <f>IFERROR(IF(ISNUMBER(INDEX(SPPR!$E:$Z,MATCH($A114,SPPR!$A:$A,0),16)),$C114*INDEX(SPPR!$E:$Z,MATCH($A114,SPPR!$A:$A,0),16),""),"")</f>
        <v/>
      </c>
      <c r="T114">
        <f>IFERROR(IF(ISNUMBER(INDEX(SPPR!$E:$Z,MATCH($A114,SPPR!$A:$A,0),17)),$C114*INDEX(SPPR!$E:$Z,MATCH($A114,SPPR!$A:$A,0),17),""),"")</f>
        <v/>
      </c>
      <c r="U114">
        <f>IFERROR(IF(ISNUMBER(INDEX(SPPR!$E:$Z,MATCH($A114,SPPR!$A:$A,0),18)),$C114*INDEX(SPPR!$E:$Z,MATCH($A114,SPPR!$A:$A,0),18),""),"")</f>
        <v/>
      </c>
      <c r="V114">
        <f>IFERROR(IF(ISNUMBER(INDEX(SPPR!$E:$Z,MATCH($A114,SPPR!$A:$A,0),19)),$C114*INDEX(SPPR!$E:$Z,MATCH($A114,SPPR!$A:$A,0),19),""),"")</f>
        <v/>
      </c>
      <c r="W114">
        <f>IFERROR(IF(ISNUMBER(INDEX(SPPR!$E:$Z,MATCH($A114,SPPR!$A:$A,0),20)),$C114*INDEX(SPPR!$E:$Z,MATCH($A114,SPPR!$A:$A,0),20),""),"")</f>
        <v/>
      </c>
      <c r="X114">
        <f>IFERROR(IF(ISNUMBER(INDEX(SPPR!$E:$Z,MATCH($A114,SPPR!$A:$A,0),21)),$C114*INDEX(SPPR!$E:$Z,MATCH($A114,SPPR!$A:$A,0),21),""),"")</f>
        <v/>
      </c>
      <c r="Y114">
        <f>IFERROR(IF(ISNUMBER(INDEX(SPPR!$E:$Z,MATCH($A114,SPPR!$A:$A,0),22)),$C114*INDEX(SPPR!$E:$Z,MATCH($A114,SPPR!$A:$A,0),22),""),"")</f>
        <v/>
      </c>
    </row>
    <row r="115">
      <c r="A115" t="inlineStr">
        <is>
          <t>Octopodidae</t>
        </is>
      </c>
      <c r="B115">
        <f>IFERROR(INDEX(SPPR!$D:$D,MATCH($A115,SPPR!$A:$A,0)),"")</f>
        <v/>
      </c>
      <c r="C115">
        <f>IFERROR(INDEX(Catch!$E:$BV,MATCH($A115,Catch!$A:$A,0),MATCH($B$4,Catch!$E$1:$BV$1,0)),0)</f>
        <v/>
      </c>
      <c r="D115">
        <f>IFERROR(IF(ISNUMBER(INDEX(SPPR!$E:$Z,MATCH($A115,SPPR!$A:$A,0),1)),$C115*INDEX(SPPR!$E:$Z,MATCH($A115,SPPR!$A:$A,0),1),""),"")</f>
        <v/>
      </c>
      <c r="E115">
        <f>IFERROR(IF(ISNUMBER(INDEX(SPPR!$E:$Z,MATCH($A115,SPPR!$A:$A,0),2)),$C115*INDEX(SPPR!$E:$Z,MATCH($A115,SPPR!$A:$A,0),2),""),"")</f>
        <v/>
      </c>
      <c r="F115">
        <f>IFERROR(IF(ISNUMBER(INDEX(SPPR!$E:$Z,MATCH($A115,SPPR!$A:$A,0),3)),$C115*INDEX(SPPR!$E:$Z,MATCH($A115,SPPR!$A:$A,0),3),""),"")</f>
        <v/>
      </c>
      <c r="G115">
        <f>IFERROR(IF(ISNUMBER(INDEX(SPPR!$E:$Z,MATCH($A115,SPPR!$A:$A,0),4)),$C115*INDEX(SPPR!$E:$Z,MATCH($A115,SPPR!$A:$A,0),4),""),"")</f>
        <v/>
      </c>
      <c r="H115">
        <f>IFERROR(IF(ISNUMBER(INDEX(SPPR!$E:$Z,MATCH($A115,SPPR!$A:$A,0),5)),$C115*INDEX(SPPR!$E:$Z,MATCH($A115,SPPR!$A:$A,0),5),""),"")</f>
        <v/>
      </c>
      <c r="I115">
        <f>IFERROR(IF(ISNUMBER(INDEX(SPPR!$E:$Z,MATCH($A115,SPPR!$A:$A,0),6)),$C115*INDEX(SPPR!$E:$Z,MATCH($A115,SPPR!$A:$A,0),6),""),"")</f>
        <v/>
      </c>
      <c r="J115">
        <f>IFERROR(IF(ISNUMBER(INDEX(SPPR!$E:$Z,MATCH($A115,SPPR!$A:$A,0),7)),$C115*INDEX(SPPR!$E:$Z,MATCH($A115,SPPR!$A:$A,0),7),""),"")</f>
        <v/>
      </c>
      <c r="K115">
        <f>IFERROR(IF(ISNUMBER(INDEX(SPPR!$E:$Z,MATCH($A115,SPPR!$A:$A,0),8)),$C115*INDEX(SPPR!$E:$Z,MATCH($A115,SPPR!$A:$A,0),8),""),"")</f>
        <v/>
      </c>
      <c r="L115">
        <f>IFERROR(IF(ISNUMBER(INDEX(SPPR!$E:$Z,MATCH($A115,SPPR!$A:$A,0),9)),$C115*INDEX(SPPR!$E:$Z,MATCH($A115,SPPR!$A:$A,0),9),""),"")</f>
        <v/>
      </c>
      <c r="M115">
        <f>IFERROR(IF(ISNUMBER(INDEX(SPPR!$E:$Z,MATCH($A115,SPPR!$A:$A,0),10)),$C115*INDEX(SPPR!$E:$Z,MATCH($A115,SPPR!$A:$A,0),10),""),"")</f>
        <v/>
      </c>
      <c r="N115">
        <f>IFERROR(IF(ISNUMBER(INDEX(SPPR!$E:$Z,MATCH($A115,SPPR!$A:$A,0),11)),$C115*INDEX(SPPR!$E:$Z,MATCH($A115,SPPR!$A:$A,0),11),""),"")</f>
        <v/>
      </c>
      <c r="O115">
        <f>IFERROR(IF(ISNUMBER(INDEX(SPPR!$E:$Z,MATCH($A115,SPPR!$A:$A,0),12)),$C115*INDEX(SPPR!$E:$Z,MATCH($A115,SPPR!$A:$A,0),12),""),"")</f>
        <v/>
      </c>
      <c r="P115">
        <f>IFERROR(IF(ISNUMBER(INDEX(SPPR!$E:$Z,MATCH($A115,SPPR!$A:$A,0),13)),$C115*INDEX(SPPR!$E:$Z,MATCH($A115,SPPR!$A:$A,0),13),""),"")</f>
        <v/>
      </c>
      <c r="Q115">
        <f>IFERROR(IF(ISNUMBER(INDEX(SPPR!$E:$Z,MATCH($A115,SPPR!$A:$A,0),14)),$C115*INDEX(SPPR!$E:$Z,MATCH($A115,SPPR!$A:$A,0),14),""),"")</f>
        <v/>
      </c>
      <c r="R115">
        <f>IFERROR(IF(ISNUMBER(INDEX(SPPR!$E:$Z,MATCH($A115,SPPR!$A:$A,0),15)),$C115*INDEX(SPPR!$E:$Z,MATCH($A115,SPPR!$A:$A,0),15),""),"")</f>
        <v/>
      </c>
      <c r="S115">
        <f>IFERROR(IF(ISNUMBER(INDEX(SPPR!$E:$Z,MATCH($A115,SPPR!$A:$A,0),16)),$C115*INDEX(SPPR!$E:$Z,MATCH($A115,SPPR!$A:$A,0),16),""),"")</f>
        <v/>
      </c>
      <c r="T115">
        <f>IFERROR(IF(ISNUMBER(INDEX(SPPR!$E:$Z,MATCH($A115,SPPR!$A:$A,0),17)),$C115*INDEX(SPPR!$E:$Z,MATCH($A115,SPPR!$A:$A,0),17),""),"")</f>
        <v/>
      </c>
      <c r="U115">
        <f>IFERROR(IF(ISNUMBER(INDEX(SPPR!$E:$Z,MATCH($A115,SPPR!$A:$A,0),18)),$C115*INDEX(SPPR!$E:$Z,MATCH($A115,SPPR!$A:$A,0),18),""),"")</f>
        <v/>
      </c>
      <c r="V115">
        <f>IFERROR(IF(ISNUMBER(INDEX(SPPR!$E:$Z,MATCH($A115,SPPR!$A:$A,0),19)),$C115*INDEX(SPPR!$E:$Z,MATCH($A115,SPPR!$A:$A,0),19),""),"")</f>
        <v/>
      </c>
      <c r="W115">
        <f>IFERROR(IF(ISNUMBER(INDEX(SPPR!$E:$Z,MATCH($A115,SPPR!$A:$A,0),20)),$C115*INDEX(SPPR!$E:$Z,MATCH($A115,SPPR!$A:$A,0),20),""),"")</f>
        <v/>
      </c>
      <c r="X115">
        <f>IFERROR(IF(ISNUMBER(INDEX(SPPR!$E:$Z,MATCH($A115,SPPR!$A:$A,0),21)),$C115*INDEX(SPPR!$E:$Z,MATCH($A115,SPPR!$A:$A,0),21),""),"")</f>
        <v/>
      </c>
      <c r="Y115">
        <f>IFERROR(IF(ISNUMBER(INDEX(SPPR!$E:$Z,MATCH($A115,SPPR!$A:$A,0),22)),$C115*INDEX(SPPR!$E:$Z,MATCH($A115,SPPR!$A:$A,0),22),""),"")</f>
        <v/>
      </c>
    </row>
    <row r="116">
      <c r="A116" t="inlineStr">
        <is>
          <t>Lutjanus</t>
        </is>
      </c>
      <c r="B116">
        <f>IFERROR(INDEX(SPPR!$D:$D,MATCH($A116,SPPR!$A:$A,0)),"")</f>
        <v/>
      </c>
      <c r="C116">
        <f>IFERROR(INDEX(Catch!$E:$BV,MATCH($A116,Catch!$A:$A,0),MATCH($B$4,Catch!$E$1:$BV$1,0)),0)</f>
        <v/>
      </c>
      <c r="D116">
        <f>IFERROR(IF(ISNUMBER(INDEX(SPPR!$E:$Z,MATCH($A116,SPPR!$A:$A,0),1)),$C116*INDEX(SPPR!$E:$Z,MATCH($A116,SPPR!$A:$A,0),1),""),"")</f>
        <v/>
      </c>
      <c r="E116">
        <f>IFERROR(IF(ISNUMBER(INDEX(SPPR!$E:$Z,MATCH($A116,SPPR!$A:$A,0),2)),$C116*INDEX(SPPR!$E:$Z,MATCH($A116,SPPR!$A:$A,0),2),""),"")</f>
        <v/>
      </c>
      <c r="F116">
        <f>IFERROR(IF(ISNUMBER(INDEX(SPPR!$E:$Z,MATCH($A116,SPPR!$A:$A,0),3)),$C116*INDEX(SPPR!$E:$Z,MATCH($A116,SPPR!$A:$A,0),3),""),"")</f>
        <v/>
      </c>
      <c r="G116">
        <f>IFERROR(IF(ISNUMBER(INDEX(SPPR!$E:$Z,MATCH($A116,SPPR!$A:$A,0),4)),$C116*INDEX(SPPR!$E:$Z,MATCH($A116,SPPR!$A:$A,0),4),""),"")</f>
        <v/>
      </c>
      <c r="H116">
        <f>IFERROR(IF(ISNUMBER(INDEX(SPPR!$E:$Z,MATCH($A116,SPPR!$A:$A,0),5)),$C116*INDEX(SPPR!$E:$Z,MATCH($A116,SPPR!$A:$A,0),5),""),"")</f>
        <v/>
      </c>
      <c r="I116">
        <f>IFERROR(IF(ISNUMBER(INDEX(SPPR!$E:$Z,MATCH($A116,SPPR!$A:$A,0),6)),$C116*INDEX(SPPR!$E:$Z,MATCH($A116,SPPR!$A:$A,0),6),""),"")</f>
        <v/>
      </c>
      <c r="J116">
        <f>IFERROR(IF(ISNUMBER(INDEX(SPPR!$E:$Z,MATCH($A116,SPPR!$A:$A,0),7)),$C116*INDEX(SPPR!$E:$Z,MATCH($A116,SPPR!$A:$A,0),7),""),"")</f>
        <v/>
      </c>
      <c r="K116">
        <f>IFERROR(IF(ISNUMBER(INDEX(SPPR!$E:$Z,MATCH($A116,SPPR!$A:$A,0),8)),$C116*INDEX(SPPR!$E:$Z,MATCH($A116,SPPR!$A:$A,0),8),""),"")</f>
        <v/>
      </c>
      <c r="L116">
        <f>IFERROR(IF(ISNUMBER(INDEX(SPPR!$E:$Z,MATCH($A116,SPPR!$A:$A,0),9)),$C116*INDEX(SPPR!$E:$Z,MATCH($A116,SPPR!$A:$A,0),9),""),"")</f>
        <v/>
      </c>
      <c r="M116">
        <f>IFERROR(IF(ISNUMBER(INDEX(SPPR!$E:$Z,MATCH($A116,SPPR!$A:$A,0),10)),$C116*INDEX(SPPR!$E:$Z,MATCH($A116,SPPR!$A:$A,0),10),""),"")</f>
        <v/>
      </c>
      <c r="N116">
        <f>IFERROR(IF(ISNUMBER(INDEX(SPPR!$E:$Z,MATCH($A116,SPPR!$A:$A,0),11)),$C116*INDEX(SPPR!$E:$Z,MATCH($A116,SPPR!$A:$A,0),11),""),"")</f>
        <v/>
      </c>
      <c r="O116">
        <f>IFERROR(IF(ISNUMBER(INDEX(SPPR!$E:$Z,MATCH($A116,SPPR!$A:$A,0),12)),$C116*INDEX(SPPR!$E:$Z,MATCH($A116,SPPR!$A:$A,0),12),""),"")</f>
        <v/>
      </c>
      <c r="P116">
        <f>IFERROR(IF(ISNUMBER(INDEX(SPPR!$E:$Z,MATCH($A116,SPPR!$A:$A,0),13)),$C116*INDEX(SPPR!$E:$Z,MATCH($A116,SPPR!$A:$A,0),13),""),"")</f>
        <v/>
      </c>
      <c r="Q116">
        <f>IFERROR(IF(ISNUMBER(INDEX(SPPR!$E:$Z,MATCH($A116,SPPR!$A:$A,0),14)),$C116*INDEX(SPPR!$E:$Z,MATCH($A116,SPPR!$A:$A,0),14),""),"")</f>
        <v/>
      </c>
      <c r="R116">
        <f>IFERROR(IF(ISNUMBER(INDEX(SPPR!$E:$Z,MATCH($A116,SPPR!$A:$A,0),15)),$C116*INDEX(SPPR!$E:$Z,MATCH($A116,SPPR!$A:$A,0),15),""),"")</f>
        <v/>
      </c>
      <c r="S116">
        <f>IFERROR(IF(ISNUMBER(INDEX(SPPR!$E:$Z,MATCH($A116,SPPR!$A:$A,0),16)),$C116*INDEX(SPPR!$E:$Z,MATCH($A116,SPPR!$A:$A,0),16),""),"")</f>
        <v/>
      </c>
      <c r="T116">
        <f>IFERROR(IF(ISNUMBER(INDEX(SPPR!$E:$Z,MATCH($A116,SPPR!$A:$A,0),17)),$C116*INDEX(SPPR!$E:$Z,MATCH($A116,SPPR!$A:$A,0),17),""),"")</f>
        <v/>
      </c>
      <c r="U116">
        <f>IFERROR(IF(ISNUMBER(INDEX(SPPR!$E:$Z,MATCH($A116,SPPR!$A:$A,0),18)),$C116*INDEX(SPPR!$E:$Z,MATCH($A116,SPPR!$A:$A,0),18),""),"")</f>
        <v/>
      </c>
      <c r="V116">
        <f>IFERROR(IF(ISNUMBER(INDEX(SPPR!$E:$Z,MATCH($A116,SPPR!$A:$A,0),19)),$C116*INDEX(SPPR!$E:$Z,MATCH($A116,SPPR!$A:$A,0),19),""),"")</f>
        <v/>
      </c>
      <c r="W116">
        <f>IFERROR(IF(ISNUMBER(INDEX(SPPR!$E:$Z,MATCH($A116,SPPR!$A:$A,0),20)),$C116*INDEX(SPPR!$E:$Z,MATCH($A116,SPPR!$A:$A,0),20),""),"")</f>
        <v/>
      </c>
      <c r="X116">
        <f>IFERROR(IF(ISNUMBER(INDEX(SPPR!$E:$Z,MATCH($A116,SPPR!$A:$A,0),21)),$C116*INDEX(SPPR!$E:$Z,MATCH($A116,SPPR!$A:$A,0),21),""),"")</f>
        <v/>
      </c>
      <c r="Y116">
        <f>IFERROR(IF(ISNUMBER(INDEX(SPPR!$E:$Z,MATCH($A116,SPPR!$A:$A,0),22)),$C116*INDEX(SPPR!$E:$Z,MATCH($A116,SPPR!$A:$A,0),22),""),"")</f>
        <v/>
      </c>
    </row>
    <row r="117">
      <c r="A117" t="inlineStr">
        <is>
          <t>Monacanthidae</t>
        </is>
      </c>
      <c r="B117">
        <f>IFERROR(INDEX(SPPR!$D:$D,MATCH($A117,SPPR!$A:$A,0)),"")</f>
        <v/>
      </c>
      <c r="C117">
        <f>IFERROR(INDEX(Catch!$E:$BV,MATCH($A117,Catch!$A:$A,0),MATCH($B$4,Catch!$E$1:$BV$1,0)),0)</f>
        <v/>
      </c>
      <c r="D117">
        <f>IFERROR(IF(ISNUMBER(INDEX(SPPR!$E:$Z,MATCH($A117,SPPR!$A:$A,0),1)),$C117*INDEX(SPPR!$E:$Z,MATCH($A117,SPPR!$A:$A,0),1),""),"")</f>
        <v/>
      </c>
      <c r="E117">
        <f>IFERROR(IF(ISNUMBER(INDEX(SPPR!$E:$Z,MATCH($A117,SPPR!$A:$A,0),2)),$C117*INDEX(SPPR!$E:$Z,MATCH($A117,SPPR!$A:$A,0),2),""),"")</f>
        <v/>
      </c>
      <c r="F117">
        <f>IFERROR(IF(ISNUMBER(INDEX(SPPR!$E:$Z,MATCH($A117,SPPR!$A:$A,0),3)),$C117*INDEX(SPPR!$E:$Z,MATCH($A117,SPPR!$A:$A,0),3),""),"")</f>
        <v/>
      </c>
      <c r="G117">
        <f>IFERROR(IF(ISNUMBER(INDEX(SPPR!$E:$Z,MATCH($A117,SPPR!$A:$A,0),4)),$C117*INDEX(SPPR!$E:$Z,MATCH($A117,SPPR!$A:$A,0),4),""),"")</f>
        <v/>
      </c>
      <c r="H117">
        <f>IFERROR(IF(ISNUMBER(INDEX(SPPR!$E:$Z,MATCH($A117,SPPR!$A:$A,0),5)),$C117*INDEX(SPPR!$E:$Z,MATCH($A117,SPPR!$A:$A,0),5),""),"")</f>
        <v/>
      </c>
      <c r="I117">
        <f>IFERROR(IF(ISNUMBER(INDEX(SPPR!$E:$Z,MATCH($A117,SPPR!$A:$A,0),6)),$C117*INDEX(SPPR!$E:$Z,MATCH($A117,SPPR!$A:$A,0),6),""),"")</f>
        <v/>
      </c>
      <c r="J117">
        <f>IFERROR(IF(ISNUMBER(INDEX(SPPR!$E:$Z,MATCH($A117,SPPR!$A:$A,0),7)),$C117*INDEX(SPPR!$E:$Z,MATCH($A117,SPPR!$A:$A,0),7),""),"")</f>
        <v/>
      </c>
      <c r="K117">
        <f>IFERROR(IF(ISNUMBER(INDEX(SPPR!$E:$Z,MATCH($A117,SPPR!$A:$A,0),8)),$C117*INDEX(SPPR!$E:$Z,MATCH($A117,SPPR!$A:$A,0),8),""),"")</f>
        <v/>
      </c>
      <c r="L117">
        <f>IFERROR(IF(ISNUMBER(INDEX(SPPR!$E:$Z,MATCH($A117,SPPR!$A:$A,0),9)),$C117*INDEX(SPPR!$E:$Z,MATCH($A117,SPPR!$A:$A,0),9),""),"")</f>
        <v/>
      </c>
      <c r="M117">
        <f>IFERROR(IF(ISNUMBER(INDEX(SPPR!$E:$Z,MATCH($A117,SPPR!$A:$A,0),10)),$C117*INDEX(SPPR!$E:$Z,MATCH($A117,SPPR!$A:$A,0),10),""),"")</f>
        <v/>
      </c>
      <c r="N117">
        <f>IFERROR(IF(ISNUMBER(INDEX(SPPR!$E:$Z,MATCH($A117,SPPR!$A:$A,0),11)),$C117*INDEX(SPPR!$E:$Z,MATCH($A117,SPPR!$A:$A,0),11),""),"")</f>
        <v/>
      </c>
      <c r="O117">
        <f>IFERROR(IF(ISNUMBER(INDEX(SPPR!$E:$Z,MATCH($A117,SPPR!$A:$A,0),12)),$C117*INDEX(SPPR!$E:$Z,MATCH($A117,SPPR!$A:$A,0),12),""),"")</f>
        <v/>
      </c>
      <c r="P117">
        <f>IFERROR(IF(ISNUMBER(INDEX(SPPR!$E:$Z,MATCH($A117,SPPR!$A:$A,0),13)),$C117*INDEX(SPPR!$E:$Z,MATCH($A117,SPPR!$A:$A,0),13),""),"")</f>
        <v/>
      </c>
      <c r="Q117">
        <f>IFERROR(IF(ISNUMBER(INDEX(SPPR!$E:$Z,MATCH($A117,SPPR!$A:$A,0),14)),$C117*INDEX(SPPR!$E:$Z,MATCH($A117,SPPR!$A:$A,0),14),""),"")</f>
        <v/>
      </c>
      <c r="R117">
        <f>IFERROR(IF(ISNUMBER(INDEX(SPPR!$E:$Z,MATCH($A117,SPPR!$A:$A,0),15)),$C117*INDEX(SPPR!$E:$Z,MATCH($A117,SPPR!$A:$A,0),15),""),"")</f>
        <v/>
      </c>
      <c r="S117">
        <f>IFERROR(IF(ISNUMBER(INDEX(SPPR!$E:$Z,MATCH($A117,SPPR!$A:$A,0),16)),$C117*INDEX(SPPR!$E:$Z,MATCH($A117,SPPR!$A:$A,0),16),""),"")</f>
        <v/>
      </c>
      <c r="T117">
        <f>IFERROR(IF(ISNUMBER(INDEX(SPPR!$E:$Z,MATCH($A117,SPPR!$A:$A,0),17)),$C117*INDEX(SPPR!$E:$Z,MATCH($A117,SPPR!$A:$A,0),17),""),"")</f>
        <v/>
      </c>
      <c r="U117">
        <f>IFERROR(IF(ISNUMBER(INDEX(SPPR!$E:$Z,MATCH($A117,SPPR!$A:$A,0),18)),$C117*INDEX(SPPR!$E:$Z,MATCH($A117,SPPR!$A:$A,0),18),""),"")</f>
        <v/>
      </c>
      <c r="V117">
        <f>IFERROR(IF(ISNUMBER(INDEX(SPPR!$E:$Z,MATCH($A117,SPPR!$A:$A,0),19)),$C117*INDEX(SPPR!$E:$Z,MATCH($A117,SPPR!$A:$A,0),19),""),"")</f>
        <v/>
      </c>
      <c r="W117">
        <f>IFERROR(IF(ISNUMBER(INDEX(SPPR!$E:$Z,MATCH($A117,SPPR!$A:$A,0),20)),$C117*INDEX(SPPR!$E:$Z,MATCH($A117,SPPR!$A:$A,0),20),""),"")</f>
        <v/>
      </c>
      <c r="X117">
        <f>IFERROR(IF(ISNUMBER(INDEX(SPPR!$E:$Z,MATCH($A117,SPPR!$A:$A,0),21)),$C117*INDEX(SPPR!$E:$Z,MATCH($A117,SPPR!$A:$A,0),21),""),"")</f>
        <v/>
      </c>
      <c r="Y117">
        <f>IFERROR(IF(ISNUMBER(INDEX(SPPR!$E:$Z,MATCH($A117,SPPR!$A:$A,0),22)),$C117*INDEX(SPPR!$E:$Z,MATCH($A117,SPPR!$A:$A,0),22),""),"")</f>
        <v/>
      </c>
    </row>
    <row r="118">
      <c r="A118" t="inlineStr">
        <is>
          <t>Mugil</t>
        </is>
      </c>
      <c r="B118">
        <f>IFERROR(INDEX(SPPR!$D:$D,MATCH($A118,SPPR!$A:$A,0)),"")</f>
        <v/>
      </c>
      <c r="C118">
        <f>IFERROR(INDEX(Catch!$E:$BV,MATCH($A118,Catch!$A:$A,0),MATCH($B$4,Catch!$E$1:$BV$1,0)),0)</f>
        <v/>
      </c>
      <c r="D118">
        <f>IFERROR(IF(ISNUMBER(INDEX(SPPR!$E:$Z,MATCH($A118,SPPR!$A:$A,0),1)),$C118*INDEX(SPPR!$E:$Z,MATCH($A118,SPPR!$A:$A,0),1),""),"")</f>
        <v/>
      </c>
      <c r="E118">
        <f>IFERROR(IF(ISNUMBER(INDEX(SPPR!$E:$Z,MATCH($A118,SPPR!$A:$A,0),2)),$C118*INDEX(SPPR!$E:$Z,MATCH($A118,SPPR!$A:$A,0),2),""),"")</f>
        <v/>
      </c>
      <c r="F118">
        <f>IFERROR(IF(ISNUMBER(INDEX(SPPR!$E:$Z,MATCH($A118,SPPR!$A:$A,0),3)),$C118*INDEX(SPPR!$E:$Z,MATCH($A118,SPPR!$A:$A,0),3),""),"")</f>
        <v/>
      </c>
      <c r="G118">
        <f>IFERROR(IF(ISNUMBER(INDEX(SPPR!$E:$Z,MATCH($A118,SPPR!$A:$A,0),4)),$C118*INDEX(SPPR!$E:$Z,MATCH($A118,SPPR!$A:$A,0),4),""),"")</f>
        <v/>
      </c>
      <c r="H118">
        <f>IFERROR(IF(ISNUMBER(INDEX(SPPR!$E:$Z,MATCH($A118,SPPR!$A:$A,0),5)),$C118*INDEX(SPPR!$E:$Z,MATCH($A118,SPPR!$A:$A,0),5),""),"")</f>
        <v/>
      </c>
      <c r="I118">
        <f>IFERROR(IF(ISNUMBER(INDEX(SPPR!$E:$Z,MATCH($A118,SPPR!$A:$A,0),6)),$C118*INDEX(SPPR!$E:$Z,MATCH($A118,SPPR!$A:$A,0),6),""),"")</f>
        <v/>
      </c>
      <c r="J118">
        <f>IFERROR(IF(ISNUMBER(INDEX(SPPR!$E:$Z,MATCH($A118,SPPR!$A:$A,0),7)),$C118*INDEX(SPPR!$E:$Z,MATCH($A118,SPPR!$A:$A,0),7),""),"")</f>
        <v/>
      </c>
      <c r="K118">
        <f>IFERROR(IF(ISNUMBER(INDEX(SPPR!$E:$Z,MATCH($A118,SPPR!$A:$A,0),8)),$C118*INDEX(SPPR!$E:$Z,MATCH($A118,SPPR!$A:$A,0),8),""),"")</f>
        <v/>
      </c>
      <c r="L118">
        <f>IFERROR(IF(ISNUMBER(INDEX(SPPR!$E:$Z,MATCH($A118,SPPR!$A:$A,0),9)),$C118*INDEX(SPPR!$E:$Z,MATCH($A118,SPPR!$A:$A,0),9),""),"")</f>
        <v/>
      </c>
      <c r="M118">
        <f>IFERROR(IF(ISNUMBER(INDEX(SPPR!$E:$Z,MATCH($A118,SPPR!$A:$A,0),10)),$C118*INDEX(SPPR!$E:$Z,MATCH($A118,SPPR!$A:$A,0),10),""),"")</f>
        <v/>
      </c>
      <c r="N118">
        <f>IFERROR(IF(ISNUMBER(INDEX(SPPR!$E:$Z,MATCH($A118,SPPR!$A:$A,0),11)),$C118*INDEX(SPPR!$E:$Z,MATCH($A118,SPPR!$A:$A,0),11),""),"")</f>
        <v/>
      </c>
      <c r="O118">
        <f>IFERROR(IF(ISNUMBER(INDEX(SPPR!$E:$Z,MATCH($A118,SPPR!$A:$A,0),12)),$C118*INDEX(SPPR!$E:$Z,MATCH($A118,SPPR!$A:$A,0),12),""),"")</f>
        <v/>
      </c>
      <c r="P118">
        <f>IFERROR(IF(ISNUMBER(INDEX(SPPR!$E:$Z,MATCH($A118,SPPR!$A:$A,0),13)),$C118*INDEX(SPPR!$E:$Z,MATCH($A118,SPPR!$A:$A,0),13),""),"")</f>
        <v/>
      </c>
      <c r="Q118">
        <f>IFERROR(IF(ISNUMBER(INDEX(SPPR!$E:$Z,MATCH($A118,SPPR!$A:$A,0),14)),$C118*INDEX(SPPR!$E:$Z,MATCH($A118,SPPR!$A:$A,0),14),""),"")</f>
        <v/>
      </c>
      <c r="R118">
        <f>IFERROR(IF(ISNUMBER(INDEX(SPPR!$E:$Z,MATCH($A118,SPPR!$A:$A,0),15)),$C118*INDEX(SPPR!$E:$Z,MATCH($A118,SPPR!$A:$A,0),15),""),"")</f>
        <v/>
      </c>
      <c r="S118">
        <f>IFERROR(IF(ISNUMBER(INDEX(SPPR!$E:$Z,MATCH($A118,SPPR!$A:$A,0),16)),$C118*INDEX(SPPR!$E:$Z,MATCH($A118,SPPR!$A:$A,0),16),""),"")</f>
        <v/>
      </c>
      <c r="T118">
        <f>IFERROR(IF(ISNUMBER(INDEX(SPPR!$E:$Z,MATCH($A118,SPPR!$A:$A,0),17)),$C118*INDEX(SPPR!$E:$Z,MATCH($A118,SPPR!$A:$A,0),17),""),"")</f>
        <v/>
      </c>
      <c r="U118">
        <f>IFERROR(IF(ISNUMBER(INDEX(SPPR!$E:$Z,MATCH($A118,SPPR!$A:$A,0),18)),$C118*INDEX(SPPR!$E:$Z,MATCH($A118,SPPR!$A:$A,0),18),""),"")</f>
        <v/>
      </c>
      <c r="V118">
        <f>IFERROR(IF(ISNUMBER(INDEX(SPPR!$E:$Z,MATCH($A118,SPPR!$A:$A,0),19)),$C118*INDEX(SPPR!$E:$Z,MATCH($A118,SPPR!$A:$A,0),19),""),"")</f>
        <v/>
      </c>
      <c r="W118">
        <f>IFERROR(IF(ISNUMBER(INDEX(SPPR!$E:$Z,MATCH($A118,SPPR!$A:$A,0),20)),$C118*INDEX(SPPR!$E:$Z,MATCH($A118,SPPR!$A:$A,0),20),""),"")</f>
        <v/>
      </c>
      <c r="X118">
        <f>IFERROR(IF(ISNUMBER(INDEX(SPPR!$E:$Z,MATCH($A118,SPPR!$A:$A,0),21)),$C118*INDEX(SPPR!$E:$Z,MATCH($A118,SPPR!$A:$A,0),21),""),"")</f>
        <v/>
      </c>
      <c r="Y118">
        <f>IFERROR(IF(ISNUMBER(INDEX(SPPR!$E:$Z,MATCH($A118,SPPR!$A:$A,0),22)),$C118*INDEX(SPPR!$E:$Z,MATCH($A118,SPPR!$A:$A,0),22),""),"")</f>
        <v/>
      </c>
    </row>
    <row r="119">
      <c r="A119" t="inlineStr">
        <is>
          <t>Escualosa thoracata</t>
        </is>
      </c>
      <c r="B119">
        <f>IFERROR(INDEX(SPPR!$D:$D,MATCH($A119,SPPR!$A:$A,0)),"")</f>
        <v/>
      </c>
      <c r="C119">
        <f>IFERROR(INDEX(Catch!$E:$BV,MATCH($A119,Catch!$A:$A,0),MATCH($B$4,Catch!$E$1:$BV$1,0)),0)</f>
        <v/>
      </c>
      <c r="D119">
        <f>IFERROR(IF(ISNUMBER(INDEX(SPPR!$E:$Z,MATCH($A119,SPPR!$A:$A,0),1)),$C119*INDEX(SPPR!$E:$Z,MATCH($A119,SPPR!$A:$A,0),1),""),"")</f>
        <v/>
      </c>
      <c r="E119">
        <f>IFERROR(IF(ISNUMBER(INDEX(SPPR!$E:$Z,MATCH($A119,SPPR!$A:$A,0),2)),$C119*INDEX(SPPR!$E:$Z,MATCH($A119,SPPR!$A:$A,0),2),""),"")</f>
        <v/>
      </c>
      <c r="F119">
        <f>IFERROR(IF(ISNUMBER(INDEX(SPPR!$E:$Z,MATCH($A119,SPPR!$A:$A,0),3)),$C119*INDEX(SPPR!$E:$Z,MATCH($A119,SPPR!$A:$A,0),3),""),"")</f>
        <v/>
      </c>
      <c r="G119">
        <f>IFERROR(IF(ISNUMBER(INDEX(SPPR!$E:$Z,MATCH($A119,SPPR!$A:$A,0),4)),$C119*INDEX(SPPR!$E:$Z,MATCH($A119,SPPR!$A:$A,0),4),""),"")</f>
        <v/>
      </c>
      <c r="H119">
        <f>IFERROR(IF(ISNUMBER(INDEX(SPPR!$E:$Z,MATCH($A119,SPPR!$A:$A,0),5)),$C119*INDEX(SPPR!$E:$Z,MATCH($A119,SPPR!$A:$A,0),5),""),"")</f>
        <v/>
      </c>
      <c r="I119">
        <f>IFERROR(IF(ISNUMBER(INDEX(SPPR!$E:$Z,MATCH($A119,SPPR!$A:$A,0),6)),$C119*INDEX(SPPR!$E:$Z,MATCH($A119,SPPR!$A:$A,0),6),""),"")</f>
        <v/>
      </c>
      <c r="J119">
        <f>IFERROR(IF(ISNUMBER(INDEX(SPPR!$E:$Z,MATCH($A119,SPPR!$A:$A,0),7)),$C119*INDEX(SPPR!$E:$Z,MATCH($A119,SPPR!$A:$A,0),7),""),"")</f>
        <v/>
      </c>
      <c r="K119">
        <f>IFERROR(IF(ISNUMBER(INDEX(SPPR!$E:$Z,MATCH($A119,SPPR!$A:$A,0),8)),$C119*INDEX(SPPR!$E:$Z,MATCH($A119,SPPR!$A:$A,0),8),""),"")</f>
        <v/>
      </c>
      <c r="L119">
        <f>IFERROR(IF(ISNUMBER(INDEX(SPPR!$E:$Z,MATCH($A119,SPPR!$A:$A,0),9)),$C119*INDEX(SPPR!$E:$Z,MATCH($A119,SPPR!$A:$A,0),9),""),"")</f>
        <v/>
      </c>
      <c r="M119">
        <f>IFERROR(IF(ISNUMBER(INDEX(SPPR!$E:$Z,MATCH($A119,SPPR!$A:$A,0),10)),$C119*INDEX(SPPR!$E:$Z,MATCH($A119,SPPR!$A:$A,0),10),""),"")</f>
        <v/>
      </c>
      <c r="N119">
        <f>IFERROR(IF(ISNUMBER(INDEX(SPPR!$E:$Z,MATCH($A119,SPPR!$A:$A,0),11)),$C119*INDEX(SPPR!$E:$Z,MATCH($A119,SPPR!$A:$A,0),11),""),"")</f>
        <v/>
      </c>
      <c r="O119">
        <f>IFERROR(IF(ISNUMBER(INDEX(SPPR!$E:$Z,MATCH($A119,SPPR!$A:$A,0),12)),$C119*INDEX(SPPR!$E:$Z,MATCH($A119,SPPR!$A:$A,0),12),""),"")</f>
        <v/>
      </c>
      <c r="P119">
        <f>IFERROR(IF(ISNUMBER(INDEX(SPPR!$E:$Z,MATCH($A119,SPPR!$A:$A,0),13)),$C119*INDEX(SPPR!$E:$Z,MATCH($A119,SPPR!$A:$A,0),13),""),"")</f>
        <v/>
      </c>
      <c r="Q119">
        <f>IFERROR(IF(ISNUMBER(INDEX(SPPR!$E:$Z,MATCH($A119,SPPR!$A:$A,0),14)),$C119*INDEX(SPPR!$E:$Z,MATCH($A119,SPPR!$A:$A,0),14),""),"")</f>
        <v/>
      </c>
      <c r="R119">
        <f>IFERROR(IF(ISNUMBER(INDEX(SPPR!$E:$Z,MATCH($A119,SPPR!$A:$A,0),15)),$C119*INDEX(SPPR!$E:$Z,MATCH($A119,SPPR!$A:$A,0),15),""),"")</f>
        <v/>
      </c>
      <c r="S119">
        <f>IFERROR(IF(ISNUMBER(INDEX(SPPR!$E:$Z,MATCH($A119,SPPR!$A:$A,0),16)),$C119*INDEX(SPPR!$E:$Z,MATCH($A119,SPPR!$A:$A,0),16),""),"")</f>
        <v/>
      </c>
      <c r="T119">
        <f>IFERROR(IF(ISNUMBER(INDEX(SPPR!$E:$Z,MATCH($A119,SPPR!$A:$A,0),17)),$C119*INDEX(SPPR!$E:$Z,MATCH($A119,SPPR!$A:$A,0),17),""),"")</f>
        <v/>
      </c>
      <c r="U119">
        <f>IFERROR(IF(ISNUMBER(INDEX(SPPR!$E:$Z,MATCH($A119,SPPR!$A:$A,0),18)),$C119*INDEX(SPPR!$E:$Z,MATCH($A119,SPPR!$A:$A,0),18),""),"")</f>
        <v/>
      </c>
      <c r="V119">
        <f>IFERROR(IF(ISNUMBER(INDEX(SPPR!$E:$Z,MATCH($A119,SPPR!$A:$A,0),19)),$C119*INDEX(SPPR!$E:$Z,MATCH($A119,SPPR!$A:$A,0),19),""),"")</f>
        <v/>
      </c>
      <c r="W119">
        <f>IFERROR(IF(ISNUMBER(INDEX(SPPR!$E:$Z,MATCH($A119,SPPR!$A:$A,0),20)),$C119*INDEX(SPPR!$E:$Z,MATCH($A119,SPPR!$A:$A,0),20),""),"")</f>
        <v/>
      </c>
      <c r="X119">
        <f>IFERROR(IF(ISNUMBER(INDEX(SPPR!$E:$Z,MATCH($A119,SPPR!$A:$A,0),21)),$C119*INDEX(SPPR!$E:$Z,MATCH($A119,SPPR!$A:$A,0),21),""),"")</f>
        <v/>
      </c>
      <c r="Y119">
        <f>IFERROR(IF(ISNUMBER(INDEX(SPPR!$E:$Z,MATCH($A119,SPPR!$A:$A,0),22)),$C119*INDEX(SPPR!$E:$Z,MATCH($A119,SPPR!$A:$A,0),22),""),"")</f>
        <v/>
      </c>
    </row>
    <row r="120">
      <c r="A120" t="inlineStr">
        <is>
          <t>Terapon</t>
        </is>
      </c>
      <c r="B120">
        <f>IFERROR(INDEX(SPPR!$D:$D,MATCH($A120,SPPR!$A:$A,0)),"")</f>
        <v/>
      </c>
      <c r="C120">
        <f>IFERROR(INDEX(Catch!$E:$BV,MATCH($A120,Catch!$A:$A,0),MATCH($B$4,Catch!$E$1:$BV$1,0)),0)</f>
        <v/>
      </c>
      <c r="D120">
        <f>IFERROR(IF(ISNUMBER(INDEX(SPPR!$E:$Z,MATCH($A120,SPPR!$A:$A,0),1)),$C120*INDEX(SPPR!$E:$Z,MATCH($A120,SPPR!$A:$A,0),1),""),"")</f>
        <v/>
      </c>
      <c r="E120">
        <f>IFERROR(IF(ISNUMBER(INDEX(SPPR!$E:$Z,MATCH($A120,SPPR!$A:$A,0),2)),$C120*INDEX(SPPR!$E:$Z,MATCH($A120,SPPR!$A:$A,0),2),""),"")</f>
        <v/>
      </c>
      <c r="F120">
        <f>IFERROR(IF(ISNUMBER(INDEX(SPPR!$E:$Z,MATCH($A120,SPPR!$A:$A,0),3)),$C120*INDEX(SPPR!$E:$Z,MATCH($A120,SPPR!$A:$A,0),3),""),"")</f>
        <v/>
      </c>
      <c r="G120">
        <f>IFERROR(IF(ISNUMBER(INDEX(SPPR!$E:$Z,MATCH($A120,SPPR!$A:$A,0),4)),$C120*INDEX(SPPR!$E:$Z,MATCH($A120,SPPR!$A:$A,0),4),""),"")</f>
        <v/>
      </c>
      <c r="H120">
        <f>IFERROR(IF(ISNUMBER(INDEX(SPPR!$E:$Z,MATCH($A120,SPPR!$A:$A,0),5)),$C120*INDEX(SPPR!$E:$Z,MATCH($A120,SPPR!$A:$A,0),5),""),"")</f>
        <v/>
      </c>
      <c r="I120">
        <f>IFERROR(IF(ISNUMBER(INDEX(SPPR!$E:$Z,MATCH($A120,SPPR!$A:$A,0),6)),$C120*INDEX(SPPR!$E:$Z,MATCH($A120,SPPR!$A:$A,0),6),""),"")</f>
        <v/>
      </c>
      <c r="J120">
        <f>IFERROR(IF(ISNUMBER(INDEX(SPPR!$E:$Z,MATCH($A120,SPPR!$A:$A,0),7)),$C120*INDEX(SPPR!$E:$Z,MATCH($A120,SPPR!$A:$A,0),7),""),"")</f>
        <v/>
      </c>
      <c r="K120">
        <f>IFERROR(IF(ISNUMBER(INDEX(SPPR!$E:$Z,MATCH($A120,SPPR!$A:$A,0),8)),$C120*INDEX(SPPR!$E:$Z,MATCH($A120,SPPR!$A:$A,0),8),""),"")</f>
        <v/>
      </c>
      <c r="L120">
        <f>IFERROR(IF(ISNUMBER(INDEX(SPPR!$E:$Z,MATCH($A120,SPPR!$A:$A,0),9)),$C120*INDEX(SPPR!$E:$Z,MATCH($A120,SPPR!$A:$A,0),9),""),"")</f>
        <v/>
      </c>
      <c r="M120">
        <f>IFERROR(IF(ISNUMBER(INDEX(SPPR!$E:$Z,MATCH($A120,SPPR!$A:$A,0),10)),$C120*INDEX(SPPR!$E:$Z,MATCH($A120,SPPR!$A:$A,0),10),""),"")</f>
        <v/>
      </c>
      <c r="N120">
        <f>IFERROR(IF(ISNUMBER(INDEX(SPPR!$E:$Z,MATCH($A120,SPPR!$A:$A,0),11)),$C120*INDEX(SPPR!$E:$Z,MATCH($A120,SPPR!$A:$A,0),11),""),"")</f>
        <v/>
      </c>
      <c r="O120">
        <f>IFERROR(IF(ISNUMBER(INDEX(SPPR!$E:$Z,MATCH($A120,SPPR!$A:$A,0),12)),$C120*INDEX(SPPR!$E:$Z,MATCH($A120,SPPR!$A:$A,0),12),""),"")</f>
        <v/>
      </c>
      <c r="P120">
        <f>IFERROR(IF(ISNUMBER(INDEX(SPPR!$E:$Z,MATCH($A120,SPPR!$A:$A,0),13)),$C120*INDEX(SPPR!$E:$Z,MATCH($A120,SPPR!$A:$A,0),13),""),"")</f>
        <v/>
      </c>
      <c r="Q120">
        <f>IFERROR(IF(ISNUMBER(INDEX(SPPR!$E:$Z,MATCH($A120,SPPR!$A:$A,0),14)),$C120*INDEX(SPPR!$E:$Z,MATCH($A120,SPPR!$A:$A,0),14),""),"")</f>
        <v/>
      </c>
      <c r="R120">
        <f>IFERROR(IF(ISNUMBER(INDEX(SPPR!$E:$Z,MATCH($A120,SPPR!$A:$A,0),15)),$C120*INDEX(SPPR!$E:$Z,MATCH($A120,SPPR!$A:$A,0),15),""),"")</f>
        <v/>
      </c>
      <c r="S120">
        <f>IFERROR(IF(ISNUMBER(INDEX(SPPR!$E:$Z,MATCH($A120,SPPR!$A:$A,0),16)),$C120*INDEX(SPPR!$E:$Z,MATCH($A120,SPPR!$A:$A,0),16),""),"")</f>
        <v/>
      </c>
      <c r="T120">
        <f>IFERROR(IF(ISNUMBER(INDEX(SPPR!$E:$Z,MATCH($A120,SPPR!$A:$A,0),17)),$C120*INDEX(SPPR!$E:$Z,MATCH($A120,SPPR!$A:$A,0),17),""),"")</f>
        <v/>
      </c>
      <c r="U120">
        <f>IFERROR(IF(ISNUMBER(INDEX(SPPR!$E:$Z,MATCH($A120,SPPR!$A:$A,0),18)),$C120*INDEX(SPPR!$E:$Z,MATCH($A120,SPPR!$A:$A,0),18),""),"")</f>
        <v/>
      </c>
      <c r="V120">
        <f>IFERROR(IF(ISNUMBER(INDEX(SPPR!$E:$Z,MATCH($A120,SPPR!$A:$A,0),19)),$C120*INDEX(SPPR!$E:$Z,MATCH($A120,SPPR!$A:$A,0),19),""),"")</f>
        <v/>
      </c>
      <c r="W120">
        <f>IFERROR(IF(ISNUMBER(INDEX(SPPR!$E:$Z,MATCH($A120,SPPR!$A:$A,0),20)),$C120*INDEX(SPPR!$E:$Z,MATCH($A120,SPPR!$A:$A,0),20),""),"")</f>
        <v/>
      </c>
      <c r="X120">
        <f>IFERROR(IF(ISNUMBER(INDEX(SPPR!$E:$Z,MATCH($A120,SPPR!$A:$A,0),21)),$C120*INDEX(SPPR!$E:$Z,MATCH($A120,SPPR!$A:$A,0),21),""),"")</f>
        <v/>
      </c>
      <c r="Y120">
        <f>IFERROR(IF(ISNUMBER(INDEX(SPPR!$E:$Z,MATCH($A120,SPPR!$A:$A,0),22)),$C120*INDEX(SPPR!$E:$Z,MATCH($A120,SPPR!$A:$A,0),22),""),"")</f>
        <v/>
      </c>
    </row>
    <row r="121">
      <c r="A121" t="inlineStr">
        <is>
          <t>Parapenaeopsis stylifera</t>
        </is>
      </c>
      <c r="B121">
        <f>IFERROR(INDEX(SPPR!$D:$D,MATCH($A121,SPPR!$A:$A,0)),"")</f>
        <v/>
      </c>
      <c r="C121">
        <f>IFERROR(INDEX(Catch!$E:$BV,MATCH($A121,Catch!$A:$A,0),MATCH($B$4,Catch!$E$1:$BV$1,0)),0)</f>
        <v/>
      </c>
      <c r="D121">
        <f>IFERROR(IF(ISNUMBER(INDEX(SPPR!$E:$Z,MATCH($A121,SPPR!$A:$A,0),1)),$C121*INDEX(SPPR!$E:$Z,MATCH($A121,SPPR!$A:$A,0),1),""),"")</f>
        <v/>
      </c>
      <c r="E121">
        <f>IFERROR(IF(ISNUMBER(INDEX(SPPR!$E:$Z,MATCH($A121,SPPR!$A:$A,0),2)),$C121*INDEX(SPPR!$E:$Z,MATCH($A121,SPPR!$A:$A,0),2),""),"")</f>
        <v/>
      </c>
      <c r="F121">
        <f>IFERROR(IF(ISNUMBER(INDEX(SPPR!$E:$Z,MATCH($A121,SPPR!$A:$A,0),3)),$C121*INDEX(SPPR!$E:$Z,MATCH($A121,SPPR!$A:$A,0),3),""),"")</f>
        <v/>
      </c>
      <c r="G121">
        <f>IFERROR(IF(ISNUMBER(INDEX(SPPR!$E:$Z,MATCH($A121,SPPR!$A:$A,0),4)),$C121*INDEX(SPPR!$E:$Z,MATCH($A121,SPPR!$A:$A,0),4),""),"")</f>
        <v/>
      </c>
      <c r="H121">
        <f>IFERROR(IF(ISNUMBER(INDEX(SPPR!$E:$Z,MATCH($A121,SPPR!$A:$A,0),5)),$C121*INDEX(SPPR!$E:$Z,MATCH($A121,SPPR!$A:$A,0),5),""),"")</f>
        <v/>
      </c>
      <c r="I121">
        <f>IFERROR(IF(ISNUMBER(INDEX(SPPR!$E:$Z,MATCH($A121,SPPR!$A:$A,0),6)),$C121*INDEX(SPPR!$E:$Z,MATCH($A121,SPPR!$A:$A,0),6),""),"")</f>
        <v/>
      </c>
      <c r="J121">
        <f>IFERROR(IF(ISNUMBER(INDEX(SPPR!$E:$Z,MATCH($A121,SPPR!$A:$A,0),7)),$C121*INDEX(SPPR!$E:$Z,MATCH($A121,SPPR!$A:$A,0),7),""),"")</f>
        <v/>
      </c>
      <c r="K121">
        <f>IFERROR(IF(ISNUMBER(INDEX(SPPR!$E:$Z,MATCH($A121,SPPR!$A:$A,0),8)),$C121*INDEX(SPPR!$E:$Z,MATCH($A121,SPPR!$A:$A,0),8),""),"")</f>
        <v/>
      </c>
      <c r="L121">
        <f>IFERROR(IF(ISNUMBER(INDEX(SPPR!$E:$Z,MATCH($A121,SPPR!$A:$A,0),9)),$C121*INDEX(SPPR!$E:$Z,MATCH($A121,SPPR!$A:$A,0),9),""),"")</f>
        <v/>
      </c>
      <c r="M121">
        <f>IFERROR(IF(ISNUMBER(INDEX(SPPR!$E:$Z,MATCH($A121,SPPR!$A:$A,0),10)),$C121*INDEX(SPPR!$E:$Z,MATCH($A121,SPPR!$A:$A,0),10),""),"")</f>
        <v/>
      </c>
      <c r="N121">
        <f>IFERROR(IF(ISNUMBER(INDEX(SPPR!$E:$Z,MATCH($A121,SPPR!$A:$A,0),11)),$C121*INDEX(SPPR!$E:$Z,MATCH($A121,SPPR!$A:$A,0),11),""),"")</f>
        <v/>
      </c>
      <c r="O121">
        <f>IFERROR(IF(ISNUMBER(INDEX(SPPR!$E:$Z,MATCH($A121,SPPR!$A:$A,0),12)),$C121*INDEX(SPPR!$E:$Z,MATCH($A121,SPPR!$A:$A,0),12),""),"")</f>
        <v/>
      </c>
      <c r="P121">
        <f>IFERROR(IF(ISNUMBER(INDEX(SPPR!$E:$Z,MATCH($A121,SPPR!$A:$A,0),13)),$C121*INDEX(SPPR!$E:$Z,MATCH($A121,SPPR!$A:$A,0),13),""),"")</f>
        <v/>
      </c>
      <c r="Q121">
        <f>IFERROR(IF(ISNUMBER(INDEX(SPPR!$E:$Z,MATCH($A121,SPPR!$A:$A,0),14)),$C121*INDEX(SPPR!$E:$Z,MATCH($A121,SPPR!$A:$A,0),14),""),"")</f>
        <v/>
      </c>
      <c r="R121">
        <f>IFERROR(IF(ISNUMBER(INDEX(SPPR!$E:$Z,MATCH($A121,SPPR!$A:$A,0),15)),$C121*INDEX(SPPR!$E:$Z,MATCH($A121,SPPR!$A:$A,0),15),""),"")</f>
        <v/>
      </c>
      <c r="S121">
        <f>IFERROR(IF(ISNUMBER(INDEX(SPPR!$E:$Z,MATCH($A121,SPPR!$A:$A,0),16)),$C121*INDEX(SPPR!$E:$Z,MATCH($A121,SPPR!$A:$A,0),16),""),"")</f>
        <v/>
      </c>
      <c r="T121">
        <f>IFERROR(IF(ISNUMBER(INDEX(SPPR!$E:$Z,MATCH($A121,SPPR!$A:$A,0),17)),$C121*INDEX(SPPR!$E:$Z,MATCH($A121,SPPR!$A:$A,0),17),""),"")</f>
        <v/>
      </c>
      <c r="U121">
        <f>IFERROR(IF(ISNUMBER(INDEX(SPPR!$E:$Z,MATCH($A121,SPPR!$A:$A,0),18)),$C121*INDEX(SPPR!$E:$Z,MATCH($A121,SPPR!$A:$A,0),18),""),"")</f>
        <v/>
      </c>
      <c r="V121">
        <f>IFERROR(IF(ISNUMBER(INDEX(SPPR!$E:$Z,MATCH($A121,SPPR!$A:$A,0),19)),$C121*INDEX(SPPR!$E:$Z,MATCH($A121,SPPR!$A:$A,0),19),""),"")</f>
        <v/>
      </c>
      <c r="W121">
        <f>IFERROR(IF(ISNUMBER(INDEX(SPPR!$E:$Z,MATCH($A121,SPPR!$A:$A,0),20)),$C121*INDEX(SPPR!$E:$Z,MATCH($A121,SPPR!$A:$A,0),20),""),"")</f>
        <v/>
      </c>
      <c r="X121">
        <f>IFERROR(IF(ISNUMBER(INDEX(SPPR!$E:$Z,MATCH($A121,SPPR!$A:$A,0),21)),$C121*INDEX(SPPR!$E:$Z,MATCH($A121,SPPR!$A:$A,0),21),""),"")</f>
        <v/>
      </c>
      <c r="Y121">
        <f>IFERROR(IF(ISNUMBER(INDEX(SPPR!$E:$Z,MATCH($A121,SPPR!$A:$A,0),22)),$C121*INDEX(SPPR!$E:$Z,MATCH($A121,SPPR!$A:$A,0),22),""),"")</f>
        <v/>
      </c>
    </row>
    <row r="122">
      <c r="A122" t="inlineStr">
        <is>
          <t>Metapenaeus tenuipes</t>
        </is>
      </c>
      <c r="B122">
        <f>IFERROR(INDEX(SPPR!$D:$D,MATCH($A122,SPPR!$A:$A,0)),"")</f>
        <v/>
      </c>
      <c r="C122">
        <f>IFERROR(INDEX(Catch!$E:$BV,MATCH($A122,Catch!$A:$A,0),MATCH($B$4,Catch!$E$1:$BV$1,0)),0)</f>
        <v/>
      </c>
      <c r="D122">
        <f>IFERROR(IF(ISNUMBER(INDEX(SPPR!$E:$Z,MATCH($A122,SPPR!$A:$A,0),1)),$C122*INDEX(SPPR!$E:$Z,MATCH($A122,SPPR!$A:$A,0),1),""),"")</f>
        <v/>
      </c>
      <c r="E122">
        <f>IFERROR(IF(ISNUMBER(INDEX(SPPR!$E:$Z,MATCH($A122,SPPR!$A:$A,0),2)),$C122*INDEX(SPPR!$E:$Z,MATCH($A122,SPPR!$A:$A,0),2),""),"")</f>
        <v/>
      </c>
      <c r="F122">
        <f>IFERROR(IF(ISNUMBER(INDEX(SPPR!$E:$Z,MATCH($A122,SPPR!$A:$A,0),3)),$C122*INDEX(SPPR!$E:$Z,MATCH($A122,SPPR!$A:$A,0),3),""),"")</f>
        <v/>
      </c>
      <c r="G122">
        <f>IFERROR(IF(ISNUMBER(INDEX(SPPR!$E:$Z,MATCH($A122,SPPR!$A:$A,0),4)),$C122*INDEX(SPPR!$E:$Z,MATCH($A122,SPPR!$A:$A,0),4),""),"")</f>
        <v/>
      </c>
      <c r="H122">
        <f>IFERROR(IF(ISNUMBER(INDEX(SPPR!$E:$Z,MATCH($A122,SPPR!$A:$A,0),5)),$C122*INDEX(SPPR!$E:$Z,MATCH($A122,SPPR!$A:$A,0),5),""),"")</f>
        <v/>
      </c>
      <c r="I122">
        <f>IFERROR(IF(ISNUMBER(INDEX(SPPR!$E:$Z,MATCH($A122,SPPR!$A:$A,0),6)),$C122*INDEX(SPPR!$E:$Z,MATCH($A122,SPPR!$A:$A,0),6),""),"")</f>
        <v/>
      </c>
      <c r="J122">
        <f>IFERROR(IF(ISNUMBER(INDEX(SPPR!$E:$Z,MATCH($A122,SPPR!$A:$A,0),7)),$C122*INDEX(SPPR!$E:$Z,MATCH($A122,SPPR!$A:$A,0),7),""),"")</f>
        <v/>
      </c>
      <c r="K122">
        <f>IFERROR(IF(ISNUMBER(INDEX(SPPR!$E:$Z,MATCH($A122,SPPR!$A:$A,0),8)),$C122*INDEX(SPPR!$E:$Z,MATCH($A122,SPPR!$A:$A,0),8),""),"")</f>
        <v/>
      </c>
      <c r="L122">
        <f>IFERROR(IF(ISNUMBER(INDEX(SPPR!$E:$Z,MATCH($A122,SPPR!$A:$A,0),9)),$C122*INDEX(SPPR!$E:$Z,MATCH($A122,SPPR!$A:$A,0),9),""),"")</f>
        <v/>
      </c>
      <c r="M122">
        <f>IFERROR(IF(ISNUMBER(INDEX(SPPR!$E:$Z,MATCH($A122,SPPR!$A:$A,0),10)),$C122*INDEX(SPPR!$E:$Z,MATCH($A122,SPPR!$A:$A,0),10),""),"")</f>
        <v/>
      </c>
      <c r="N122">
        <f>IFERROR(IF(ISNUMBER(INDEX(SPPR!$E:$Z,MATCH($A122,SPPR!$A:$A,0),11)),$C122*INDEX(SPPR!$E:$Z,MATCH($A122,SPPR!$A:$A,0),11),""),"")</f>
        <v/>
      </c>
      <c r="O122">
        <f>IFERROR(IF(ISNUMBER(INDEX(SPPR!$E:$Z,MATCH($A122,SPPR!$A:$A,0),12)),$C122*INDEX(SPPR!$E:$Z,MATCH($A122,SPPR!$A:$A,0),12),""),"")</f>
        <v/>
      </c>
      <c r="P122">
        <f>IFERROR(IF(ISNUMBER(INDEX(SPPR!$E:$Z,MATCH($A122,SPPR!$A:$A,0),13)),$C122*INDEX(SPPR!$E:$Z,MATCH($A122,SPPR!$A:$A,0),13),""),"")</f>
        <v/>
      </c>
      <c r="Q122">
        <f>IFERROR(IF(ISNUMBER(INDEX(SPPR!$E:$Z,MATCH($A122,SPPR!$A:$A,0),14)),$C122*INDEX(SPPR!$E:$Z,MATCH($A122,SPPR!$A:$A,0),14),""),"")</f>
        <v/>
      </c>
      <c r="R122">
        <f>IFERROR(IF(ISNUMBER(INDEX(SPPR!$E:$Z,MATCH($A122,SPPR!$A:$A,0),15)),$C122*INDEX(SPPR!$E:$Z,MATCH($A122,SPPR!$A:$A,0),15),""),"")</f>
        <v/>
      </c>
      <c r="S122">
        <f>IFERROR(IF(ISNUMBER(INDEX(SPPR!$E:$Z,MATCH($A122,SPPR!$A:$A,0),16)),$C122*INDEX(SPPR!$E:$Z,MATCH($A122,SPPR!$A:$A,0),16),""),"")</f>
        <v/>
      </c>
      <c r="T122">
        <f>IFERROR(IF(ISNUMBER(INDEX(SPPR!$E:$Z,MATCH($A122,SPPR!$A:$A,0),17)),$C122*INDEX(SPPR!$E:$Z,MATCH($A122,SPPR!$A:$A,0),17),""),"")</f>
        <v/>
      </c>
      <c r="U122">
        <f>IFERROR(IF(ISNUMBER(INDEX(SPPR!$E:$Z,MATCH($A122,SPPR!$A:$A,0),18)),$C122*INDEX(SPPR!$E:$Z,MATCH($A122,SPPR!$A:$A,0),18),""),"")</f>
        <v/>
      </c>
      <c r="V122">
        <f>IFERROR(IF(ISNUMBER(INDEX(SPPR!$E:$Z,MATCH($A122,SPPR!$A:$A,0),19)),$C122*INDEX(SPPR!$E:$Z,MATCH($A122,SPPR!$A:$A,0),19),""),"")</f>
        <v/>
      </c>
      <c r="W122">
        <f>IFERROR(IF(ISNUMBER(INDEX(SPPR!$E:$Z,MATCH($A122,SPPR!$A:$A,0),20)),$C122*INDEX(SPPR!$E:$Z,MATCH($A122,SPPR!$A:$A,0),20),""),"")</f>
        <v/>
      </c>
      <c r="X122">
        <f>IFERROR(IF(ISNUMBER(INDEX(SPPR!$E:$Z,MATCH($A122,SPPR!$A:$A,0),21)),$C122*INDEX(SPPR!$E:$Z,MATCH($A122,SPPR!$A:$A,0),21),""),"")</f>
        <v/>
      </c>
      <c r="Y122">
        <f>IFERROR(IF(ISNUMBER(INDEX(SPPR!$E:$Z,MATCH($A122,SPPR!$A:$A,0),22)),$C122*INDEX(SPPR!$E:$Z,MATCH($A122,SPPR!$A:$A,0),22),""),"")</f>
        <v/>
      </c>
    </row>
    <row r="123">
      <c r="A123" t="inlineStr">
        <is>
          <t>Penaeus monodon</t>
        </is>
      </c>
      <c r="B123">
        <f>IFERROR(INDEX(SPPR!$D:$D,MATCH($A123,SPPR!$A:$A,0)),"")</f>
        <v/>
      </c>
      <c r="C123">
        <f>IFERROR(INDEX(Catch!$E:$BV,MATCH($A123,Catch!$A:$A,0),MATCH($B$4,Catch!$E$1:$BV$1,0)),0)</f>
        <v/>
      </c>
      <c r="D123">
        <f>IFERROR(IF(ISNUMBER(INDEX(SPPR!$E:$Z,MATCH($A123,SPPR!$A:$A,0),1)),$C123*INDEX(SPPR!$E:$Z,MATCH($A123,SPPR!$A:$A,0),1),""),"")</f>
        <v/>
      </c>
      <c r="E123">
        <f>IFERROR(IF(ISNUMBER(INDEX(SPPR!$E:$Z,MATCH($A123,SPPR!$A:$A,0),2)),$C123*INDEX(SPPR!$E:$Z,MATCH($A123,SPPR!$A:$A,0),2),""),"")</f>
        <v/>
      </c>
      <c r="F123">
        <f>IFERROR(IF(ISNUMBER(INDEX(SPPR!$E:$Z,MATCH($A123,SPPR!$A:$A,0),3)),$C123*INDEX(SPPR!$E:$Z,MATCH($A123,SPPR!$A:$A,0),3),""),"")</f>
        <v/>
      </c>
      <c r="G123">
        <f>IFERROR(IF(ISNUMBER(INDEX(SPPR!$E:$Z,MATCH($A123,SPPR!$A:$A,0),4)),$C123*INDEX(SPPR!$E:$Z,MATCH($A123,SPPR!$A:$A,0),4),""),"")</f>
        <v/>
      </c>
      <c r="H123">
        <f>IFERROR(IF(ISNUMBER(INDEX(SPPR!$E:$Z,MATCH($A123,SPPR!$A:$A,0),5)),$C123*INDEX(SPPR!$E:$Z,MATCH($A123,SPPR!$A:$A,0),5),""),"")</f>
        <v/>
      </c>
      <c r="I123">
        <f>IFERROR(IF(ISNUMBER(INDEX(SPPR!$E:$Z,MATCH($A123,SPPR!$A:$A,0),6)),$C123*INDEX(SPPR!$E:$Z,MATCH($A123,SPPR!$A:$A,0),6),""),"")</f>
        <v/>
      </c>
      <c r="J123">
        <f>IFERROR(IF(ISNUMBER(INDEX(SPPR!$E:$Z,MATCH($A123,SPPR!$A:$A,0),7)),$C123*INDEX(SPPR!$E:$Z,MATCH($A123,SPPR!$A:$A,0),7),""),"")</f>
        <v/>
      </c>
      <c r="K123">
        <f>IFERROR(IF(ISNUMBER(INDEX(SPPR!$E:$Z,MATCH($A123,SPPR!$A:$A,0),8)),$C123*INDEX(SPPR!$E:$Z,MATCH($A123,SPPR!$A:$A,0),8),""),"")</f>
        <v/>
      </c>
      <c r="L123">
        <f>IFERROR(IF(ISNUMBER(INDEX(SPPR!$E:$Z,MATCH($A123,SPPR!$A:$A,0),9)),$C123*INDEX(SPPR!$E:$Z,MATCH($A123,SPPR!$A:$A,0),9),""),"")</f>
        <v/>
      </c>
      <c r="M123">
        <f>IFERROR(IF(ISNUMBER(INDEX(SPPR!$E:$Z,MATCH($A123,SPPR!$A:$A,0),10)),$C123*INDEX(SPPR!$E:$Z,MATCH($A123,SPPR!$A:$A,0),10),""),"")</f>
        <v/>
      </c>
      <c r="N123">
        <f>IFERROR(IF(ISNUMBER(INDEX(SPPR!$E:$Z,MATCH($A123,SPPR!$A:$A,0),11)),$C123*INDEX(SPPR!$E:$Z,MATCH($A123,SPPR!$A:$A,0),11),""),"")</f>
        <v/>
      </c>
      <c r="O123">
        <f>IFERROR(IF(ISNUMBER(INDEX(SPPR!$E:$Z,MATCH($A123,SPPR!$A:$A,0),12)),$C123*INDEX(SPPR!$E:$Z,MATCH($A123,SPPR!$A:$A,0),12),""),"")</f>
        <v/>
      </c>
      <c r="P123">
        <f>IFERROR(IF(ISNUMBER(INDEX(SPPR!$E:$Z,MATCH($A123,SPPR!$A:$A,0),13)),$C123*INDEX(SPPR!$E:$Z,MATCH($A123,SPPR!$A:$A,0),13),""),"")</f>
        <v/>
      </c>
      <c r="Q123">
        <f>IFERROR(IF(ISNUMBER(INDEX(SPPR!$E:$Z,MATCH($A123,SPPR!$A:$A,0),14)),$C123*INDEX(SPPR!$E:$Z,MATCH($A123,SPPR!$A:$A,0),14),""),"")</f>
        <v/>
      </c>
      <c r="R123">
        <f>IFERROR(IF(ISNUMBER(INDEX(SPPR!$E:$Z,MATCH($A123,SPPR!$A:$A,0),15)),$C123*INDEX(SPPR!$E:$Z,MATCH($A123,SPPR!$A:$A,0),15),""),"")</f>
        <v/>
      </c>
      <c r="S123">
        <f>IFERROR(IF(ISNUMBER(INDEX(SPPR!$E:$Z,MATCH($A123,SPPR!$A:$A,0),16)),$C123*INDEX(SPPR!$E:$Z,MATCH($A123,SPPR!$A:$A,0),16),""),"")</f>
        <v/>
      </c>
      <c r="T123">
        <f>IFERROR(IF(ISNUMBER(INDEX(SPPR!$E:$Z,MATCH($A123,SPPR!$A:$A,0),17)),$C123*INDEX(SPPR!$E:$Z,MATCH($A123,SPPR!$A:$A,0),17),""),"")</f>
        <v/>
      </c>
      <c r="U123">
        <f>IFERROR(IF(ISNUMBER(INDEX(SPPR!$E:$Z,MATCH($A123,SPPR!$A:$A,0),18)),$C123*INDEX(SPPR!$E:$Z,MATCH($A123,SPPR!$A:$A,0),18),""),"")</f>
        <v/>
      </c>
      <c r="V123">
        <f>IFERROR(IF(ISNUMBER(INDEX(SPPR!$E:$Z,MATCH($A123,SPPR!$A:$A,0),19)),$C123*INDEX(SPPR!$E:$Z,MATCH($A123,SPPR!$A:$A,0),19),""),"")</f>
        <v/>
      </c>
      <c r="W123">
        <f>IFERROR(IF(ISNUMBER(INDEX(SPPR!$E:$Z,MATCH($A123,SPPR!$A:$A,0),20)),$C123*INDEX(SPPR!$E:$Z,MATCH($A123,SPPR!$A:$A,0),20),""),"")</f>
        <v/>
      </c>
      <c r="X123">
        <f>IFERROR(IF(ISNUMBER(INDEX(SPPR!$E:$Z,MATCH($A123,SPPR!$A:$A,0),21)),$C123*INDEX(SPPR!$E:$Z,MATCH($A123,SPPR!$A:$A,0),21),""),"")</f>
        <v/>
      </c>
      <c r="Y123">
        <f>IFERROR(IF(ISNUMBER(INDEX(SPPR!$E:$Z,MATCH($A123,SPPR!$A:$A,0),22)),$C123*INDEX(SPPR!$E:$Z,MATCH($A123,SPPR!$A:$A,0),22),""),"")</f>
        <v/>
      </c>
    </row>
    <row r="124">
      <c r="A124" t="inlineStr">
        <is>
          <t>Lutjanus malabaricus</t>
        </is>
      </c>
      <c r="B124">
        <f>IFERROR(INDEX(SPPR!$D:$D,MATCH($A124,SPPR!$A:$A,0)),"")</f>
        <v/>
      </c>
      <c r="C124">
        <f>IFERROR(INDEX(Catch!$E:$BV,MATCH($A124,Catch!$A:$A,0),MATCH($B$4,Catch!$E$1:$BV$1,0)),0)</f>
        <v/>
      </c>
      <c r="D124">
        <f>IFERROR(IF(ISNUMBER(INDEX(SPPR!$E:$Z,MATCH($A124,SPPR!$A:$A,0),1)),$C124*INDEX(SPPR!$E:$Z,MATCH($A124,SPPR!$A:$A,0),1),""),"")</f>
        <v/>
      </c>
      <c r="E124">
        <f>IFERROR(IF(ISNUMBER(INDEX(SPPR!$E:$Z,MATCH($A124,SPPR!$A:$A,0),2)),$C124*INDEX(SPPR!$E:$Z,MATCH($A124,SPPR!$A:$A,0),2),""),"")</f>
        <v/>
      </c>
      <c r="F124">
        <f>IFERROR(IF(ISNUMBER(INDEX(SPPR!$E:$Z,MATCH($A124,SPPR!$A:$A,0),3)),$C124*INDEX(SPPR!$E:$Z,MATCH($A124,SPPR!$A:$A,0),3),""),"")</f>
        <v/>
      </c>
      <c r="G124">
        <f>IFERROR(IF(ISNUMBER(INDEX(SPPR!$E:$Z,MATCH($A124,SPPR!$A:$A,0),4)),$C124*INDEX(SPPR!$E:$Z,MATCH($A124,SPPR!$A:$A,0),4),""),"")</f>
        <v/>
      </c>
      <c r="H124">
        <f>IFERROR(IF(ISNUMBER(INDEX(SPPR!$E:$Z,MATCH($A124,SPPR!$A:$A,0),5)),$C124*INDEX(SPPR!$E:$Z,MATCH($A124,SPPR!$A:$A,0),5),""),"")</f>
        <v/>
      </c>
      <c r="I124">
        <f>IFERROR(IF(ISNUMBER(INDEX(SPPR!$E:$Z,MATCH($A124,SPPR!$A:$A,0),6)),$C124*INDEX(SPPR!$E:$Z,MATCH($A124,SPPR!$A:$A,0),6),""),"")</f>
        <v/>
      </c>
      <c r="J124">
        <f>IFERROR(IF(ISNUMBER(INDEX(SPPR!$E:$Z,MATCH($A124,SPPR!$A:$A,0),7)),$C124*INDEX(SPPR!$E:$Z,MATCH($A124,SPPR!$A:$A,0),7),""),"")</f>
        <v/>
      </c>
      <c r="K124">
        <f>IFERROR(IF(ISNUMBER(INDEX(SPPR!$E:$Z,MATCH($A124,SPPR!$A:$A,0),8)),$C124*INDEX(SPPR!$E:$Z,MATCH($A124,SPPR!$A:$A,0),8),""),"")</f>
        <v/>
      </c>
      <c r="L124">
        <f>IFERROR(IF(ISNUMBER(INDEX(SPPR!$E:$Z,MATCH($A124,SPPR!$A:$A,0),9)),$C124*INDEX(SPPR!$E:$Z,MATCH($A124,SPPR!$A:$A,0),9),""),"")</f>
        <v/>
      </c>
      <c r="M124">
        <f>IFERROR(IF(ISNUMBER(INDEX(SPPR!$E:$Z,MATCH($A124,SPPR!$A:$A,0),10)),$C124*INDEX(SPPR!$E:$Z,MATCH($A124,SPPR!$A:$A,0),10),""),"")</f>
        <v/>
      </c>
      <c r="N124">
        <f>IFERROR(IF(ISNUMBER(INDEX(SPPR!$E:$Z,MATCH($A124,SPPR!$A:$A,0),11)),$C124*INDEX(SPPR!$E:$Z,MATCH($A124,SPPR!$A:$A,0),11),""),"")</f>
        <v/>
      </c>
      <c r="O124">
        <f>IFERROR(IF(ISNUMBER(INDEX(SPPR!$E:$Z,MATCH($A124,SPPR!$A:$A,0),12)),$C124*INDEX(SPPR!$E:$Z,MATCH($A124,SPPR!$A:$A,0),12),""),"")</f>
        <v/>
      </c>
      <c r="P124">
        <f>IFERROR(IF(ISNUMBER(INDEX(SPPR!$E:$Z,MATCH($A124,SPPR!$A:$A,0),13)),$C124*INDEX(SPPR!$E:$Z,MATCH($A124,SPPR!$A:$A,0),13),""),"")</f>
        <v/>
      </c>
      <c r="Q124">
        <f>IFERROR(IF(ISNUMBER(INDEX(SPPR!$E:$Z,MATCH($A124,SPPR!$A:$A,0),14)),$C124*INDEX(SPPR!$E:$Z,MATCH($A124,SPPR!$A:$A,0),14),""),"")</f>
        <v/>
      </c>
      <c r="R124">
        <f>IFERROR(IF(ISNUMBER(INDEX(SPPR!$E:$Z,MATCH($A124,SPPR!$A:$A,0),15)),$C124*INDEX(SPPR!$E:$Z,MATCH($A124,SPPR!$A:$A,0),15),""),"")</f>
        <v/>
      </c>
      <c r="S124">
        <f>IFERROR(IF(ISNUMBER(INDEX(SPPR!$E:$Z,MATCH($A124,SPPR!$A:$A,0),16)),$C124*INDEX(SPPR!$E:$Z,MATCH($A124,SPPR!$A:$A,0),16),""),"")</f>
        <v/>
      </c>
      <c r="T124">
        <f>IFERROR(IF(ISNUMBER(INDEX(SPPR!$E:$Z,MATCH($A124,SPPR!$A:$A,0),17)),$C124*INDEX(SPPR!$E:$Z,MATCH($A124,SPPR!$A:$A,0),17),""),"")</f>
        <v/>
      </c>
      <c r="U124">
        <f>IFERROR(IF(ISNUMBER(INDEX(SPPR!$E:$Z,MATCH($A124,SPPR!$A:$A,0),18)),$C124*INDEX(SPPR!$E:$Z,MATCH($A124,SPPR!$A:$A,0),18),""),"")</f>
        <v/>
      </c>
      <c r="V124">
        <f>IFERROR(IF(ISNUMBER(INDEX(SPPR!$E:$Z,MATCH($A124,SPPR!$A:$A,0),19)),$C124*INDEX(SPPR!$E:$Z,MATCH($A124,SPPR!$A:$A,0),19),""),"")</f>
        <v/>
      </c>
      <c r="W124">
        <f>IFERROR(IF(ISNUMBER(INDEX(SPPR!$E:$Z,MATCH($A124,SPPR!$A:$A,0),20)),$C124*INDEX(SPPR!$E:$Z,MATCH($A124,SPPR!$A:$A,0),20),""),"")</f>
        <v/>
      </c>
      <c r="X124">
        <f>IFERROR(IF(ISNUMBER(INDEX(SPPR!$E:$Z,MATCH($A124,SPPR!$A:$A,0),21)),$C124*INDEX(SPPR!$E:$Z,MATCH($A124,SPPR!$A:$A,0),21),""),"")</f>
        <v/>
      </c>
      <c r="Y124">
        <f>IFERROR(IF(ISNUMBER(INDEX(SPPR!$E:$Z,MATCH($A124,SPPR!$A:$A,0),22)),$C124*INDEX(SPPR!$E:$Z,MATCH($A124,SPPR!$A:$A,0),22),""),"")</f>
        <v/>
      </c>
    </row>
    <row r="125">
      <c r="A125" t="inlineStr">
        <is>
          <t>Anodontostoma chacunda</t>
        </is>
      </c>
      <c r="B125">
        <f>IFERROR(INDEX(SPPR!$D:$D,MATCH($A125,SPPR!$A:$A,0)),"")</f>
        <v/>
      </c>
      <c r="C125">
        <f>IFERROR(INDEX(Catch!$E:$BV,MATCH($A125,Catch!$A:$A,0),MATCH($B$4,Catch!$E$1:$BV$1,0)),0)</f>
        <v/>
      </c>
      <c r="D125">
        <f>IFERROR(IF(ISNUMBER(INDEX(SPPR!$E:$Z,MATCH($A125,SPPR!$A:$A,0),1)),$C125*INDEX(SPPR!$E:$Z,MATCH($A125,SPPR!$A:$A,0),1),""),"")</f>
        <v/>
      </c>
      <c r="E125">
        <f>IFERROR(IF(ISNUMBER(INDEX(SPPR!$E:$Z,MATCH($A125,SPPR!$A:$A,0),2)),$C125*INDEX(SPPR!$E:$Z,MATCH($A125,SPPR!$A:$A,0),2),""),"")</f>
        <v/>
      </c>
      <c r="F125">
        <f>IFERROR(IF(ISNUMBER(INDEX(SPPR!$E:$Z,MATCH($A125,SPPR!$A:$A,0),3)),$C125*INDEX(SPPR!$E:$Z,MATCH($A125,SPPR!$A:$A,0),3),""),"")</f>
        <v/>
      </c>
      <c r="G125">
        <f>IFERROR(IF(ISNUMBER(INDEX(SPPR!$E:$Z,MATCH($A125,SPPR!$A:$A,0),4)),$C125*INDEX(SPPR!$E:$Z,MATCH($A125,SPPR!$A:$A,0),4),""),"")</f>
        <v/>
      </c>
      <c r="H125">
        <f>IFERROR(IF(ISNUMBER(INDEX(SPPR!$E:$Z,MATCH($A125,SPPR!$A:$A,0),5)),$C125*INDEX(SPPR!$E:$Z,MATCH($A125,SPPR!$A:$A,0),5),""),"")</f>
        <v/>
      </c>
      <c r="I125">
        <f>IFERROR(IF(ISNUMBER(INDEX(SPPR!$E:$Z,MATCH($A125,SPPR!$A:$A,0),6)),$C125*INDEX(SPPR!$E:$Z,MATCH($A125,SPPR!$A:$A,0),6),""),"")</f>
        <v/>
      </c>
      <c r="J125">
        <f>IFERROR(IF(ISNUMBER(INDEX(SPPR!$E:$Z,MATCH($A125,SPPR!$A:$A,0),7)),$C125*INDEX(SPPR!$E:$Z,MATCH($A125,SPPR!$A:$A,0),7),""),"")</f>
        <v/>
      </c>
      <c r="K125">
        <f>IFERROR(IF(ISNUMBER(INDEX(SPPR!$E:$Z,MATCH($A125,SPPR!$A:$A,0),8)),$C125*INDEX(SPPR!$E:$Z,MATCH($A125,SPPR!$A:$A,0),8),""),"")</f>
        <v/>
      </c>
      <c r="L125">
        <f>IFERROR(IF(ISNUMBER(INDEX(SPPR!$E:$Z,MATCH($A125,SPPR!$A:$A,0),9)),$C125*INDEX(SPPR!$E:$Z,MATCH($A125,SPPR!$A:$A,0),9),""),"")</f>
        <v/>
      </c>
      <c r="M125">
        <f>IFERROR(IF(ISNUMBER(INDEX(SPPR!$E:$Z,MATCH($A125,SPPR!$A:$A,0),10)),$C125*INDEX(SPPR!$E:$Z,MATCH($A125,SPPR!$A:$A,0),10),""),"")</f>
        <v/>
      </c>
      <c r="N125">
        <f>IFERROR(IF(ISNUMBER(INDEX(SPPR!$E:$Z,MATCH($A125,SPPR!$A:$A,0),11)),$C125*INDEX(SPPR!$E:$Z,MATCH($A125,SPPR!$A:$A,0),11),""),"")</f>
        <v/>
      </c>
      <c r="O125">
        <f>IFERROR(IF(ISNUMBER(INDEX(SPPR!$E:$Z,MATCH($A125,SPPR!$A:$A,0),12)),$C125*INDEX(SPPR!$E:$Z,MATCH($A125,SPPR!$A:$A,0),12),""),"")</f>
        <v/>
      </c>
      <c r="P125">
        <f>IFERROR(IF(ISNUMBER(INDEX(SPPR!$E:$Z,MATCH($A125,SPPR!$A:$A,0),13)),$C125*INDEX(SPPR!$E:$Z,MATCH($A125,SPPR!$A:$A,0),13),""),"")</f>
        <v/>
      </c>
      <c r="Q125">
        <f>IFERROR(IF(ISNUMBER(INDEX(SPPR!$E:$Z,MATCH($A125,SPPR!$A:$A,0),14)),$C125*INDEX(SPPR!$E:$Z,MATCH($A125,SPPR!$A:$A,0),14),""),"")</f>
        <v/>
      </c>
      <c r="R125">
        <f>IFERROR(IF(ISNUMBER(INDEX(SPPR!$E:$Z,MATCH($A125,SPPR!$A:$A,0),15)),$C125*INDEX(SPPR!$E:$Z,MATCH($A125,SPPR!$A:$A,0),15),""),"")</f>
        <v/>
      </c>
      <c r="S125">
        <f>IFERROR(IF(ISNUMBER(INDEX(SPPR!$E:$Z,MATCH($A125,SPPR!$A:$A,0),16)),$C125*INDEX(SPPR!$E:$Z,MATCH($A125,SPPR!$A:$A,0),16),""),"")</f>
        <v/>
      </c>
      <c r="T125">
        <f>IFERROR(IF(ISNUMBER(INDEX(SPPR!$E:$Z,MATCH($A125,SPPR!$A:$A,0),17)),$C125*INDEX(SPPR!$E:$Z,MATCH($A125,SPPR!$A:$A,0),17),""),"")</f>
        <v/>
      </c>
      <c r="U125">
        <f>IFERROR(IF(ISNUMBER(INDEX(SPPR!$E:$Z,MATCH($A125,SPPR!$A:$A,0),18)),$C125*INDEX(SPPR!$E:$Z,MATCH($A125,SPPR!$A:$A,0),18),""),"")</f>
        <v/>
      </c>
      <c r="V125">
        <f>IFERROR(IF(ISNUMBER(INDEX(SPPR!$E:$Z,MATCH($A125,SPPR!$A:$A,0),19)),$C125*INDEX(SPPR!$E:$Z,MATCH($A125,SPPR!$A:$A,0),19),""),"")</f>
        <v/>
      </c>
      <c r="W125">
        <f>IFERROR(IF(ISNUMBER(INDEX(SPPR!$E:$Z,MATCH($A125,SPPR!$A:$A,0),20)),$C125*INDEX(SPPR!$E:$Z,MATCH($A125,SPPR!$A:$A,0),20),""),"")</f>
        <v/>
      </c>
      <c r="X125">
        <f>IFERROR(IF(ISNUMBER(INDEX(SPPR!$E:$Z,MATCH($A125,SPPR!$A:$A,0),21)),$C125*INDEX(SPPR!$E:$Z,MATCH($A125,SPPR!$A:$A,0),21),""),"")</f>
        <v/>
      </c>
      <c r="Y125">
        <f>IFERROR(IF(ISNUMBER(INDEX(SPPR!$E:$Z,MATCH($A125,SPPR!$A:$A,0),22)),$C125*INDEX(SPPR!$E:$Z,MATCH($A125,SPPR!$A:$A,0),22),""),"")</f>
        <v/>
      </c>
    </row>
    <row r="126">
      <c r="A126" t="inlineStr">
        <is>
          <t>Prionace glauca</t>
        </is>
      </c>
      <c r="B126">
        <f>IFERROR(INDEX(SPPR!$D:$D,MATCH($A126,SPPR!$A:$A,0)),"")</f>
        <v/>
      </c>
      <c r="C126">
        <f>IFERROR(INDEX(Catch!$E:$BV,MATCH($A126,Catch!$A:$A,0),MATCH($B$4,Catch!$E$1:$BV$1,0)),0)</f>
        <v/>
      </c>
      <c r="D126">
        <f>IFERROR(IF(ISNUMBER(INDEX(SPPR!$E:$Z,MATCH($A126,SPPR!$A:$A,0),1)),$C126*INDEX(SPPR!$E:$Z,MATCH($A126,SPPR!$A:$A,0),1),""),"")</f>
        <v/>
      </c>
      <c r="E126">
        <f>IFERROR(IF(ISNUMBER(INDEX(SPPR!$E:$Z,MATCH($A126,SPPR!$A:$A,0),2)),$C126*INDEX(SPPR!$E:$Z,MATCH($A126,SPPR!$A:$A,0),2),""),"")</f>
        <v/>
      </c>
      <c r="F126">
        <f>IFERROR(IF(ISNUMBER(INDEX(SPPR!$E:$Z,MATCH($A126,SPPR!$A:$A,0),3)),$C126*INDEX(SPPR!$E:$Z,MATCH($A126,SPPR!$A:$A,0),3),""),"")</f>
        <v/>
      </c>
      <c r="G126">
        <f>IFERROR(IF(ISNUMBER(INDEX(SPPR!$E:$Z,MATCH($A126,SPPR!$A:$A,0),4)),$C126*INDEX(SPPR!$E:$Z,MATCH($A126,SPPR!$A:$A,0),4),""),"")</f>
        <v/>
      </c>
      <c r="H126">
        <f>IFERROR(IF(ISNUMBER(INDEX(SPPR!$E:$Z,MATCH($A126,SPPR!$A:$A,0),5)),$C126*INDEX(SPPR!$E:$Z,MATCH($A126,SPPR!$A:$A,0),5),""),"")</f>
        <v/>
      </c>
      <c r="I126">
        <f>IFERROR(IF(ISNUMBER(INDEX(SPPR!$E:$Z,MATCH($A126,SPPR!$A:$A,0),6)),$C126*INDEX(SPPR!$E:$Z,MATCH($A126,SPPR!$A:$A,0),6),""),"")</f>
        <v/>
      </c>
      <c r="J126">
        <f>IFERROR(IF(ISNUMBER(INDEX(SPPR!$E:$Z,MATCH($A126,SPPR!$A:$A,0),7)),$C126*INDEX(SPPR!$E:$Z,MATCH($A126,SPPR!$A:$A,0),7),""),"")</f>
        <v/>
      </c>
      <c r="K126">
        <f>IFERROR(IF(ISNUMBER(INDEX(SPPR!$E:$Z,MATCH($A126,SPPR!$A:$A,0),8)),$C126*INDEX(SPPR!$E:$Z,MATCH($A126,SPPR!$A:$A,0),8),""),"")</f>
        <v/>
      </c>
      <c r="L126">
        <f>IFERROR(IF(ISNUMBER(INDEX(SPPR!$E:$Z,MATCH($A126,SPPR!$A:$A,0),9)),$C126*INDEX(SPPR!$E:$Z,MATCH($A126,SPPR!$A:$A,0),9),""),"")</f>
        <v/>
      </c>
      <c r="M126">
        <f>IFERROR(IF(ISNUMBER(INDEX(SPPR!$E:$Z,MATCH($A126,SPPR!$A:$A,0),10)),$C126*INDEX(SPPR!$E:$Z,MATCH($A126,SPPR!$A:$A,0),10),""),"")</f>
        <v/>
      </c>
      <c r="N126">
        <f>IFERROR(IF(ISNUMBER(INDEX(SPPR!$E:$Z,MATCH($A126,SPPR!$A:$A,0),11)),$C126*INDEX(SPPR!$E:$Z,MATCH($A126,SPPR!$A:$A,0),11),""),"")</f>
        <v/>
      </c>
      <c r="O126">
        <f>IFERROR(IF(ISNUMBER(INDEX(SPPR!$E:$Z,MATCH($A126,SPPR!$A:$A,0),12)),$C126*INDEX(SPPR!$E:$Z,MATCH($A126,SPPR!$A:$A,0),12),""),"")</f>
        <v/>
      </c>
      <c r="P126">
        <f>IFERROR(IF(ISNUMBER(INDEX(SPPR!$E:$Z,MATCH($A126,SPPR!$A:$A,0),13)),$C126*INDEX(SPPR!$E:$Z,MATCH($A126,SPPR!$A:$A,0),13),""),"")</f>
        <v/>
      </c>
      <c r="Q126">
        <f>IFERROR(IF(ISNUMBER(INDEX(SPPR!$E:$Z,MATCH($A126,SPPR!$A:$A,0),14)),$C126*INDEX(SPPR!$E:$Z,MATCH($A126,SPPR!$A:$A,0),14),""),"")</f>
        <v/>
      </c>
      <c r="R126">
        <f>IFERROR(IF(ISNUMBER(INDEX(SPPR!$E:$Z,MATCH($A126,SPPR!$A:$A,0),15)),$C126*INDEX(SPPR!$E:$Z,MATCH($A126,SPPR!$A:$A,0),15),""),"")</f>
        <v/>
      </c>
      <c r="S126">
        <f>IFERROR(IF(ISNUMBER(INDEX(SPPR!$E:$Z,MATCH($A126,SPPR!$A:$A,0),16)),$C126*INDEX(SPPR!$E:$Z,MATCH($A126,SPPR!$A:$A,0),16),""),"")</f>
        <v/>
      </c>
      <c r="T126">
        <f>IFERROR(IF(ISNUMBER(INDEX(SPPR!$E:$Z,MATCH($A126,SPPR!$A:$A,0),17)),$C126*INDEX(SPPR!$E:$Z,MATCH($A126,SPPR!$A:$A,0),17),""),"")</f>
        <v/>
      </c>
      <c r="U126">
        <f>IFERROR(IF(ISNUMBER(INDEX(SPPR!$E:$Z,MATCH($A126,SPPR!$A:$A,0),18)),$C126*INDEX(SPPR!$E:$Z,MATCH($A126,SPPR!$A:$A,0),18),""),"")</f>
        <v/>
      </c>
      <c r="V126">
        <f>IFERROR(IF(ISNUMBER(INDEX(SPPR!$E:$Z,MATCH($A126,SPPR!$A:$A,0),19)),$C126*INDEX(SPPR!$E:$Z,MATCH($A126,SPPR!$A:$A,0),19),""),"")</f>
        <v/>
      </c>
      <c r="W126">
        <f>IFERROR(IF(ISNUMBER(INDEX(SPPR!$E:$Z,MATCH($A126,SPPR!$A:$A,0),20)),$C126*INDEX(SPPR!$E:$Z,MATCH($A126,SPPR!$A:$A,0),20),""),"")</f>
        <v/>
      </c>
      <c r="X126">
        <f>IFERROR(IF(ISNUMBER(INDEX(SPPR!$E:$Z,MATCH($A126,SPPR!$A:$A,0),21)),$C126*INDEX(SPPR!$E:$Z,MATCH($A126,SPPR!$A:$A,0),21),""),"")</f>
        <v/>
      </c>
      <c r="Y126">
        <f>IFERROR(IF(ISNUMBER(INDEX(SPPR!$E:$Z,MATCH($A126,SPPR!$A:$A,0),22)),$C126*INDEX(SPPR!$E:$Z,MATCH($A126,SPPR!$A:$A,0),22),""),"")</f>
        <v/>
      </c>
    </row>
    <row r="127">
      <c r="A127" t="inlineStr">
        <is>
          <t>Nemipterus hexodon</t>
        </is>
      </c>
      <c r="B127">
        <f>IFERROR(INDEX(SPPR!$D:$D,MATCH($A127,SPPR!$A:$A,0)),"")</f>
        <v/>
      </c>
      <c r="C127">
        <f>IFERROR(INDEX(Catch!$E:$BV,MATCH($A127,Catch!$A:$A,0),MATCH($B$4,Catch!$E$1:$BV$1,0)),0)</f>
        <v/>
      </c>
      <c r="D127">
        <f>IFERROR(IF(ISNUMBER(INDEX(SPPR!$E:$Z,MATCH($A127,SPPR!$A:$A,0),1)),$C127*INDEX(SPPR!$E:$Z,MATCH($A127,SPPR!$A:$A,0),1),""),"")</f>
        <v/>
      </c>
      <c r="E127">
        <f>IFERROR(IF(ISNUMBER(INDEX(SPPR!$E:$Z,MATCH($A127,SPPR!$A:$A,0),2)),$C127*INDEX(SPPR!$E:$Z,MATCH($A127,SPPR!$A:$A,0),2),""),"")</f>
        <v/>
      </c>
      <c r="F127">
        <f>IFERROR(IF(ISNUMBER(INDEX(SPPR!$E:$Z,MATCH($A127,SPPR!$A:$A,0),3)),$C127*INDEX(SPPR!$E:$Z,MATCH($A127,SPPR!$A:$A,0),3),""),"")</f>
        <v/>
      </c>
      <c r="G127">
        <f>IFERROR(IF(ISNUMBER(INDEX(SPPR!$E:$Z,MATCH($A127,SPPR!$A:$A,0),4)),$C127*INDEX(SPPR!$E:$Z,MATCH($A127,SPPR!$A:$A,0),4),""),"")</f>
        <v/>
      </c>
      <c r="H127">
        <f>IFERROR(IF(ISNUMBER(INDEX(SPPR!$E:$Z,MATCH($A127,SPPR!$A:$A,0),5)),$C127*INDEX(SPPR!$E:$Z,MATCH($A127,SPPR!$A:$A,0),5),""),"")</f>
        <v/>
      </c>
      <c r="I127">
        <f>IFERROR(IF(ISNUMBER(INDEX(SPPR!$E:$Z,MATCH($A127,SPPR!$A:$A,0),6)),$C127*INDEX(SPPR!$E:$Z,MATCH($A127,SPPR!$A:$A,0),6),""),"")</f>
        <v/>
      </c>
      <c r="J127">
        <f>IFERROR(IF(ISNUMBER(INDEX(SPPR!$E:$Z,MATCH($A127,SPPR!$A:$A,0),7)),$C127*INDEX(SPPR!$E:$Z,MATCH($A127,SPPR!$A:$A,0),7),""),"")</f>
        <v/>
      </c>
      <c r="K127">
        <f>IFERROR(IF(ISNUMBER(INDEX(SPPR!$E:$Z,MATCH($A127,SPPR!$A:$A,0),8)),$C127*INDEX(SPPR!$E:$Z,MATCH($A127,SPPR!$A:$A,0),8),""),"")</f>
        <v/>
      </c>
      <c r="L127">
        <f>IFERROR(IF(ISNUMBER(INDEX(SPPR!$E:$Z,MATCH($A127,SPPR!$A:$A,0),9)),$C127*INDEX(SPPR!$E:$Z,MATCH($A127,SPPR!$A:$A,0),9),""),"")</f>
        <v/>
      </c>
      <c r="M127">
        <f>IFERROR(IF(ISNUMBER(INDEX(SPPR!$E:$Z,MATCH($A127,SPPR!$A:$A,0),10)),$C127*INDEX(SPPR!$E:$Z,MATCH($A127,SPPR!$A:$A,0),10),""),"")</f>
        <v/>
      </c>
      <c r="N127">
        <f>IFERROR(IF(ISNUMBER(INDEX(SPPR!$E:$Z,MATCH($A127,SPPR!$A:$A,0),11)),$C127*INDEX(SPPR!$E:$Z,MATCH($A127,SPPR!$A:$A,0),11),""),"")</f>
        <v/>
      </c>
      <c r="O127">
        <f>IFERROR(IF(ISNUMBER(INDEX(SPPR!$E:$Z,MATCH($A127,SPPR!$A:$A,0),12)),$C127*INDEX(SPPR!$E:$Z,MATCH($A127,SPPR!$A:$A,0),12),""),"")</f>
        <v/>
      </c>
      <c r="P127">
        <f>IFERROR(IF(ISNUMBER(INDEX(SPPR!$E:$Z,MATCH($A127,SPPR!$A:$A,0),13)),$C127*INDEX(SPPR!$E:$Z,MATCH($A127,SPPR!$A:$A,0),13),""),"")</f>
        <v/>
      </c>
      <c r="Q127">
        <f>IFERROR(IF(ISNUMBER(INDEX(SPPR!$E:$Z,MATCH($A127,SPPR!$A:$A,0),14)),$C127*INDEX(SPPR!$E:$Z,MATCH($A127,SPPR!$A:$A,0),14),""),"")</f>
        <v/>
      </c>
      <c r="R127">
        <f>IFERROR(IF(ISNUMBER(INDEX(SPPR!$E:$Z,MATCH($A127,SPPR!$A:$A,0),15)),$C127*INDEX(SPPR!$E:$Z,MATCH($A127,SPPR!$A:$A,0),15),""),"")</f>
        <v/>
      </c>
      <c r="S127">
        <f>IFERROR(IF(ISNUMBER(INDEX(SPPR!$E:$Z,MATCH($A127,SPPR!$A:$A,0),16)),$C127*INDEX(SPPR!$E:$Z,MATCH($A127,SPPR!$A:$A,0),16),""),"")</f>
        <v/>
      </c>
      <c r="T127">
        <f>IFERROR(IF(ISNUMBER(INDEX(SPPR!$E:$Z,MATCH($A127,SPPR!$A:$A,0),17)),$C127*INDEX(SPPR!$E:$Z,MATCH($A127,SPPR!$A:$A,0),17),""),"")</f>
        <v/>
      </c>
      <c r="U127">
        <f>IFERROR(IF(ISNUMBER(INDEX(SPPR!$E:$Z,MATCH($A127,SPPR!$A:$A,0),18)),$C127*INDEX(SPPR!$E:$Z,MATCH($A127,SPPR!$A:$A,0),18),""),"")</f>
        <v/>
      </c>
      <c r="V127">
        <f>IFERROR(IF(ISNUMBER(INDEX(SPPR!$E:$Z,MATCH($A127,SPPR!$A:$A,0),19)),$C127*INDEX(SPPR!$E:$Z,MATCH($A127,SPPR!$A:$A,0),19),""),"")</f>
        <v/>
      </c>
      <c r="W127">
        <f>IFERROR(IF(ISNUMBER(INDEX(SPPR!$E:$Z,MATCH($A127,SPPR!$A:$A,0),20)),$C127*INDEX(SPPR!$E:$Z,MATCH($A127,SPPR!$A:$A,0),20),""),"")</f>
        <v/>
      </c>
      <c r="X127">
        <f>IFERROR(IF(ISNUMBER(INDEX(SPPR!$E:$Z,MATCH($A127,SPPR!$A:$A,0),21)),$C127*INDEX(SPPR!$E:$Z,MATCH($A127,SPPR!$A:$A,0),21),""),"")</f>
        <v/>
      </c>
      <c r="Y127">
        <f>IFERROR(IF(ISNUMBER(INDEX(SPPR!$E:$Z,MATCH($A127,SPPR!$A:$A,0),22)),$C127*INDEX(SPPR!$E:$Z,MATCH($A127,SPPR!$A:$A,0),22),""),"")</f>
        <v/>
      </c>
    </row>
    <row r="128">
      <c r="A128" t="inlineStr">
        <is>
          <t>Sillaginidae</t>
        </is>
      </c>
      <c r="B128">
        <f>IFERROR(INDEX(SPPR!$D:$D,MATCH($A128,SPPR!$A:$A,0)),"")</f>
        <v/>
      </c>
      <c r="C128">
        <f>IFERROR(INDEX(Catch!$E:$BV,MATCH($A128,Catch!$A:$A,0),MATCH($B$4,Catch!$E$1:$BV$1,0)),0)</f>
        <v/>
      </c>
      <c r="D128">
        <f>IFERROR(IF(ISNUMBER(INDEX(SPPR!$E:$Z,MATCH($A128,SPPR!$A:$A,0),1)),$C128*INDEX(SPPR!$E:$Z,MATCH($A128,SPPR!$A:$A,0),1),""),"")</f>
        <v/>
      </c>
      <c r="E128">
        <f>IFERROR(IF(ISNUMBER(INDEX(SPPR!$E:$Z,MATCH($A128,SPPR!$A:$A,0),2)),$C128*INDEX(SPPR!$E:$Z,MATCH($A128,SPPR!$A:$A,0),2),""),"")</f>
        <v/>
      </c>
      <c r="F128">
        <f>IFERROR(IF(ISNUMBER(INDEX(SPPR!$E:$Z,MATCH($A128,SPPR!$A:$A,0),3)),$C128*INDEX(SPPR!$E:$Z,MATCH($A128,SPPR!$A:$A,0),3),""),"")</f>
        <v/>
      </c>
      <c r="G128">
        <f>IFERROR(IF(ISNUMBER(INDEX(SPPR!$E:$Z,MATCH($A128,SPPR!$A:$A,0),4)),$C128*INDEX(SPPR!$E:$Z,MATCH($A128,SPPR!$A:$A,0),4),""),"")</f>
        <v/>
      </c>
      <c r="H128">
        <f>IFERROR(IF(ISNUMBER(INDEX(SPPR!$E:$Z,MATCH($A128,SPPR!$A:$A,0),5)),$C128*INDEX(SPPR!$E:$Z,MATCH($A128,SPPR!$A:$A,0),5),""),"")</f>
        <v/>
      </c>
      <c r="I128">
        <f>IFERROR(IF(ISNUMBER(INDEX(SPPR!$E:$Z,MATCH($A128,SPPR!$A:$A,0),6)),$C128*INDEX(SPPR!$E:$Z,MATCH($A128,SPPR!$A:$A,0),6),""),"")</f>
        <v/>
      </c>
      <c r="J128">
        <f>IFERROR(IF(ISNUMBER(INDEX(SPPR!$E:$Z,MATCH($A128,SPPR!$A:$A,0),7)),$C128*INDEX(SPPR!$E:$Z,MATCH($A128,SPPR!$A:$A,0),7),""),"")</f>
        <v/>
      </c>
      <c r="K128">
        <f>IFERROR(IF(ISNUMBER(INDEX(SPPR!$E:$Z,MATCH($A128,SPPR!$A:$A,0),8)),$C128*INDEX(SPPR!$E:$Z,MATCH($A128,SPPR!$A:$A,0),8),""),"")</f>
        <v/>
      </c>
      <c r="L128">
        <f>IFERROR(IF(ISNUMBER(INDEX(SPPR!$E:$Z,MATCH($A128,SPPR!$A:$A,0),9)),$C128*INDEX(SPPR!$E:$Z,MATCH($A128,SPPR!$A:$A,0),9),""),"")</f>
        <v/>
      </c>
      <c r="M128">
        <f>IFERROR(IF(ISNUMBER(INDEX(SPPR!$E:$Z,MATCH($A128,SPPR!$A:$A,0),10)),$C128*INDEX(SPPR!$E:$Z,MATCH($A128,SPPR!$A:$A,0),10),""),"")</f>
        <v/>
      </c>
      <c r="N128">
        <f>IFERROR(IF(ISNUMBER(INDEX(SPPR!$E:$Z,MATCH($A128,SPPR!$A:$A,0),11)),$C128*INDEX(SPPR!$E:$Z,MATCH($A128,SPPR!$A:$A,0),11),""),"")</f>
        <v/>
      </c>
      <c r="O128">
        <f>IFERROR(IF(ISNUMBER(INDEX(SPPR!$E:$Z,MATCH($A128,SPPR!$A:$A,0),12)),$C128*INDEX(SPPR!$E:$Z,MATCH($A128,SPPR!$A:$A,0),12),""),"")</f>
        <v/>
      </c>
      <c r="P128">
        <f>IFERROR(IF(ISNUMBER(INDEX(SPPR!$E:$Z,MATCH($A128,SPPR!$A:$A,0),13)),$C128*INDEX(SPPR!$E:$Z,MATCH($A128,SPPR!$A:$A,0),13),""),"")</f>
        <v/>
      </c>
      <c r="Q128">
        <f>IFERROR(IF(ISNUMBER(INDEX(SPPR!$E:$Z,MATCH($A128,SPPR!$A:$A,0),14)),$C128*INDEX(SPPR!$E:$Z,MATCH($A128,SPPR!$A:$A,0),14),""),"")</f>
        <v/>
      </c>
      <c r="R128">
        <f>IFERROR(IF(ISNUMBER(INDEX(SPPR!$E:$Z,MATCH($A128,SPPR!$A:$A,0),15)),$C128*INDEX(SPPR!$E:$Z,MATCH($A128,SPPR!$A:$A,0),15),""),"")</f>
        <v/>
      </c>
      <c r="S128">
        <f>IFERROR(IF(ISNUMBER(INDEX(SPPR!$E:$Z,MATCH($A128,SPPR!$A:$A,0),16)),$C128*INDEX(SPPR!$E:$Z,MATCH($A128,SPPR!$A:$A,0),16),""),"")</f>
        <v/>
      </c>
      <c r="T128">
        <f>IFERROR(IF(ISNUMBER(INDEX(SPPR!$E:$Z,MATCH($A128,SPPR!$A:$A,0),17)),$C128*INDEX(SPPR!$E:$Z,MATCH($A128,SPPR!$A:$A,0),17),""),"")</f>
        <v/>
      </c>
      <c r="U128">
        <f>IFERROR(IF(ISNUMBER(INDEX(SPPR!$E:$Z,MATCH($A128,SPPR!$A:$A,0),18)),$C128*INDEX(SPPR!$E:$Z,MATCH($A128,SPPR!$A:$A,0),18),""),"")</f>
        <v/>
      </c>
      <c r="V128">
        <f>IFERROR(IF(ISNUMBER(INDEX(SPPR!$E:$Z,MATCH($A128,SPPR!$A:$A,0),19)),$C128*INDEX(SPPR!$E:$Z,MATCH($A128,SPPR!$A:$A,0),19),""),"")</f>
        <v/>
      </c>
      <c r="W128">
        <f>IFERROR(IF(ISNUMBER(INDEX(SPPR!$E:$Z,MATCH($A128,SPPR!$A:$A,0),20)),$C128*INDEX(SPPR!$E:$Z,MATCH($A128,SPPR!$A:$A,0),20),""),"")</f>
        <v/>
      </c>
      <c r="X128">
        <f>IFERROR(IF(ISNUMBER(INDEX(SPPR!$E:$Z,MATCH($A128,SPPR!$A:$A,0),21)),$C128*INDEX(SPPR!$E:$Z,MATCH($A128,SPPR!$A:$A,0),21),""),"")</f>
        <v/>
      </c>
      <c r="Y128">
        <f>IFERROR(IF(ISNUMBER(INDEX(SPPR!$E:$Z,MATCH($A128,SPPR!$A:$A,0),22)),$C128*INDEX(SPPR!$E:$Z,MATCH($A128,SPPR!$A:$A,0),22),""),"")</f>
        <v/>
      </c>
    </row>
    <row r="129">
      <c r="A129" t="inlineStr">
        <is>
          <t>Placuna placenta</t>
        </is>
      </c>
      <c r="B129">
        <f>IFERROR(INDEX(SPPR!$D:$D,MATCH($A129,SPPR!$A:$A,0)),"")</f>
        <v/>
      </c>
      <c r="C129">
        <f>IFERROR(INDEX(Catch!$E:$BV,MATCH($A129,Catch!$A:$A,0),MATCH($B$4,Catch!$E$1:$BV$1,0)),0)</f>
        <v/>
      </c>
      <c r="D129">
        <f>IFERROR(IF(ISNUMBER(INDEX(SPPR!$E:$Z,MATCH($A129,SPPR!$A:$A,0),1)),$C129*INDEX(SPPR!$E:$Z,MATCH($A129,SPPR!$A:$A,0),1),""),"")</f>
        <v/>
      </c>
      <c r="E129">
        <f>IFERROR(IF(ISNUMBER(INDEX(SPPR!$E:$Z,MATCH($A129,SPPR!$A:$A,0),2)),$C129*INDEX(SPPR!$E:$Z,MATCH($A129,SPPR!$A:$A,0),2),""),"")</f>
        <v/>
      </c>
      <c r="F129">
        <f>IFERROR(IF(ISNUMBER(INDEX(SPPR!$E:$Z,MATCH($A129,SPPR!$A:$A,0),3)),$C129*INDEX(SPPR!$E:$Z,MATCH($A129,SPPR!$A:$A,0),3),""),"")</f>
        <v/>
      </c>
      <c r="G129">
        <f>IFERROR(IF(ISNUMBER(INDEX(SPPR!$E:$Z,MATCH($A129,SPPR!$A:$A,0),4)),$C129*INDEX(SPPR!$E:$Z,MATCH($A129,SPPR!$A:$A,0),4),""),"")</f>
        <v/>
      </c>
      <c r="H129">
        <f>IFERROR(IF(ISNUMBER(INDEX(SPPR!$E:$Z,MATCH($A129,SPPR!$A:$A,0),5)),$C129*INDEX(SPPR!$E:$Z,MATCH($A129,SPPR!$A:$A,0),5),""),"")</f>
        <v/>
      </c>
      <c r="I129">
        <f>IFERROR(IF(ISNUMBER(INDEX(SPPR!$E:$Z,MATCH($A129,SPPR!$A:$A,0),6)),$C129*INDEX(SPPR!$E:$Z,MATCH($A129,SPPR!$A:$A,0),6),""),"")</f>
        <v/>
      </c>
      <c r="J129">
        <f>IFERROR(IF(ISNUMBER(INDEX(SPPR!$E:$Z,MATCH($A129,SPPR!$A:$A,0),7)),$C129*INDEX(SPPR!$E:$Z,MATCH($A129,SPPR!$A:$A,0),7),""),"")</f>
        <v/>
      </c>
      <c r="K129">
        <f>IFERROR(IF(ISNUMBER(INDEX(SPPR!$E:$Z,MATCH($A129,SPPR!$A:$A,0),8)),$C129*INDEX(SPPR!$E:$Z,MATCH($A129,SPPR!$A:$A,0),8),""),"")</f>
        <v/>
      </c>
      <c r="L129">
        <f>IFERROR(IF(ISNUMBER(INDEX(SPPR!$E:$Z,MATCH($A129,SPPR!$A:$A,0),9)),$C129*INDEX(SPPR!$E:$Z,MATCH($A129,SPPR!$A:$A,0),9),""),"")</f>
        <v/>
      </c>
      <c r="M129">
        <f>IFERROR(IF(ISNUMBER(INDEX(SPPR!$E:$Z,MATCH($A129,SPPR!$A:$A,0),10)),$C129*INDEX(SPPR!$E:$Z,MATCH($A129,SPPR!$A:$A,0),10),""),"")</f>
        <v/>
      </c>
      <c r="N129">
        <f>IFERROR(IF(ISNUMBER(INDEX(SPPR!$E:$Z,MATCH($A129,SPPR!$A:$A,0),11)),$C129*INDEX(SPPR!$E:$Z,MATCH($A129,SPPR!$A:$A,0),11),""),"")</f>
        <v/>
      </c>
      <c r="O129">
        <f>IFERROR(IF(ISNUMBER(INDEX(SPPR!$E:$Z,MATCH($A129,SPPR!$A:$A,0),12)),$C129*INDEX(SPPR!$E:$Z,MATCH($A129,SPPR!$A:$A,0),12),""),"")</f>
        <v/>
      </c>
      <c r="P129">
        <f>IFERROR(IF(ISNUMBER(INDEX(SPPR!$E:$Z,MATCH($A129,SPPR!$A:$A,0),13)),$C129*INDEX(SPPR!$E:$Z,MATCH($A129,SPPR!$A:$A,0),13),""),"")</f>
        <v/>
      </c>
      <c r="Q129">
        <f>IFERROR(IF(ISNUMBER(INDEX(SPPR!$E:$Z,MATCH($A129,SPPR!$A:$A,0),14)),$C129*INDEX(SPPR!$E:$Z,MATCH($A129,SPPR!$A:$A,0),14),""),"")</f>
        <v/>
      </c>
      <c r="R129">
        <f>IFERROR(IF(ISNUMBER(INDEX(SPPR!$E:$Z,MATCH($A129,SPPR!$A:$A,0),15)),$C129*INDEX(SPPR!$E:$Z,MATCH($A129,SPPR!$A:$A,0),15),""),"")</f>
        <v/>
      </c>
      <c r="S129">
        <f>IFERROR(IF(ISNUMBER(INDEX(SPPR!$E:$Z,MATCH($A129,SPPR!$A:$A,0),16)),$C129*INDEX(SPPR!$E:$Z,MATCH($A129,SPPR!$A:$A,0),16),""),"")</f>
        <v/>
      </c>
      <c r="T129">
        <f>IFERROR(IF(ISNUMBER(INDEX(SPPR!$E:$Z,MATCH($A129,SPPR!$A:$A,0),17)),$C129*INDEX(SPPR!$E:$Z,MATCH($A129,SPPR!$A:$A,0),17),""),"")</f>
        <v/>
      </c>
      <c r="U129">
        <f>IFERROR(IF(ISNUMBER(INDEX(SPPR!$E:$Z,MATCH($A129,SPPR!$A:$A,0),18)),$C129*INDEX(SPPR!$E:$Z,MATCH($A129,SPPR!$A:$A,0),18),""),"")</f>
        <v/>
      </c>
      <c r="V129">
        <f>IFERROR(IF(ISNUMBER(INDEX(SPPR!$E:$Z,MATCH($A129,SPPR!$A:$A,0),19)),$C129*INDEX(SPPR!$E:$Z,MATCH($A129,SPPR!$A:$A,0),19),""),"")</f>
        <v/>
      </c>
      <c r="W129">
        <f>IFERROR(IF(ISNUMBER(INDEX(SPPR!$E:$Z,MATCH($A129,SPPR!$A:$A,0),20)),$C129*INDEX(SPPR!$E:$Z,MATCH($A129,SPPR!$A:$A,0),20),""),"")</f>
        <v/>
      </c>
      <c r="X129">
        <f>IFERROR(IF(ISNUMBER(INDEX(SPPR!$E:$Z,MATCH($A129,SPPR!$A:$A,0),21)),$C129*INDEX(SPPR!$E:$Z,MATCH($A129,SPPR!$A:$A,0),21),""),"")</f>
        <v/>
      </c>
      <c r="Y129">
        <f>IFERROR(IF(ISNUMBER(INDEX(SPPR!$E:$Z,MATCH($A129,SPPR!$A:$A,0),22)),$C129*INDEX(SPPR!$E:$Z,MATCH($A129,SPPR!$A:$A,0),22),""),"")</f>
        <v/>
      </c>
    </row>
    <row r="130">
      <c r="A130" t="inlineStr">
        <is>
          <t>Chondrichthyes</t>
        </is>
      </c>
      <c r="B130">
        <f>IFERROR(INDEX(SPPR!$D:$D,MATCH($A130,SPPR!$A:$A,0)),"")</f>
        <v/>
      </c>
      <c r="C130">
        <f>IFERROR(INDEX(Catch!$E:$BV,MATCH($A130,Catch!$A:$A,0),MATCH($B$4,Catch!$E$1:$BV$1,0)),0)</f>
        <v/>
      </c>
      <c r="D130">
        <f>IFERROR(IF(ISNUMBER(INDEX(SPPR!$E:$Z,MATCH($A130,SPPR!$A:$A,0),1)),$C130*INDEX(SPPR!$E:$Z,MATCH($A130,SPPR!$A:$A,0),1),""),"")</f>
        <v/>
      </c>
      <c r="E130">
        <f>IFERROR(IF(ISNUMBER(INDEX(SPPR!$E:$Z,MATCH($A130,SPPR!$A:$A,0),2)),$C130*INDEX(SPPR!$E:$Z,MATCH($A130,SPPR!$A:$A,0),2),""),"")</f>
        <v/>
      </c>
      <c r="F130">
        <f>IFERROR(IF(ISNUMBER(INDEX(SPPR!$E:$Z,MATCH($A130,SPPR!$A:$A,0),3)),$C130*INDEX(SPPR!$E:$Z,MATCH($A130,SPPR!$A:$A,0),3),""),"")</f>
        <v/>
      </c>
      <c r="G130">
        <f>IFERROR(IF(ISNUMBER(INDEX(SPPR!$E:$Z,MATCH($A130,SPPR!$A:$A,0),4)),$C130*INDEX(SPPR!$E:$Z,MATCH($A130,SPPR!$A:$A,0),4),""),"")</f>
        <v/>
      </c>
      <c r="H130">
        <f>IFERROR(IF(ISNUMBER(INDEX(SPPR!$E:$Z,MATCH($A130,SPPR!$A:$A,0),5)),$C130*INDEX(SPPR!$E:$Z,MATCH($A130,SPPR!$A:$A,0),5),""),"")</f>
        <v/>
      </c>
      <c r="I130">
        <f>IFERROR(IF(ISNUMBER(INDEX(SPPR!$E:$Z,MATCH($A130,SPPR!$A:$A,0),6)),$C130*INDEX(SPPR!$E:$Z,MATCH($A130,SPPR!$A:$A,0),6),""),"")</f>
        <v/>
      </c>
      <c r="J130">
        <f>IFERROR(IF(ISNUMBER(INDEX(SPPR!$E:$Z,MATCH($A130,SPPR!$A:$A,0),7)),$C130*INDEX(SPPR!$E:$Z,MATCH($A130,SPPR!$A:$A,0),7),""),"")</f>
        <v/>
      </c>
      <c r="K130">
        <f>IFERROR(IF(ISNUMBER(INDEX(SPPR!$E:$Z,MATCH($A130,SPPR!$A:$A,0),8)),$C130*INDEX(SPPR!$E:$Z,MATCH($A130,SPPR!$A:$A,0),8),""),"")</f>
        <v/>
      </c>
      <c r="L130">
        <f>IFERROR(IF(ISNUMBER(INDEX(SPPR!$E:$Z,MATCH($A130,SPPR!$A:$A,0),9)),$C130*INDEX(SPPR!$E:$Z,MATCH($A130,SPPR!$A:$A,0),9),""),"")</f>
        <v/>
      </c>
      <c r="M130">
        <f>IFERROR(IF(ISNUMBER(INDEX(SPPR!$E:$Z,MATCH($A130,SPPR!$A:$A,0),10)),$C130*INDEX(SPPR!$E:$Z,MATCH($A130,SPPR!$A:$A,0),10),""),"")</f>
        <v/>
      </c>
      <c r="N130">
        <f>IFERROR(IF(ISNUMBER(INDEX(SPPR!$E:$Z,MATCH($A130,SPPR!$A:$A,0),11)),$C130*INDEX(SPPR!$E:$Z,MATCH($A130,SPPR!$A:$A,0),11),""),"")</f>
        <v/>
      </c>
      <c r="O130">
        <f>IFERROR(IF(ISNUMBER(INDEX(SPPR!$E:$Z,MATCH($A130,SPPR!$A:$A,0),12)),$C130*INDEX(SPPR!$E:$Z,MATCH($A130,SPPR!$A:$A,0),12),""),"")</f>
        <v/>
      </c>
      <c r="P130">
        <f>IFERROR(IF(ISNUMBER(INDEX(SPPR!$E:$Z,MATCH($A130,SPPR!$A:$A,0),13)),$C130*INDEX(SPPR!$E:$Z,MATCH($A130,SPPR!$A:$A,0),13),""),"")</f>
        <v/>
      </c>
      <c r="Q130">
        <f>IFERROR(IF(ISNUMBER(INDEX(SPPR!$E:$Z,MATCH($A130,SPPR!$A:$A,0),14)),$C130*INDEX(SPPR!$E:$Z,MATCH($A130,SPPR!$A:$A,0),14),""),"")</f>
        <v/>
      </c>
      <c r="R130">
        <f>IFERROR(IF(ISNUMBER(INDEX(SPPR!$E:$Z,MATCH($A130,SPPR!$A:$A,0),15)),$C130*INDEX(SPPR!$E:$Z,MATCH($A130,SPPR!$A:$A,0),15),""),"")</f>
        <v/>
      </c>
      <c r="S130">
        <f>IFERROR(IF(ISNUMBER(INDEX(SPPR!$E:$Z,MATCH($A130,SPPR!$A:$A,0),16)),$C130*INDEX(SPPR!$E:$Z,MATCH($A130,SPPR!$A:$A,0),16),""),"")</f>
        <v/>
      </c>
      <c r="T130">
        <f>IFERROR(IF(ISNUMBER(INDEX(SPPR!$E:$Z,MATCH($A130,SPPR!$A:$A,0),17)),$C130*INDEX(SPPR!$E:$Z,MATCH($A130,SPPR!$A:$A,0),17),""),"")</f>
        <v/>
      </c>
      <c r="U130">
        <f>IFERROR(IF(ISNUMBER(INDEX(SPPR!$E:$Z,MATCH($A130,SPPR!$A:$A,0),18)),$C130*INDEX(SPPR!$E:$Z,MATCH($A130,SPPR!$A:$A,0),18),""),"")</f>
        <v/>
      </c>
      <c r="V130">
        <f>IFERROR(IF(ISNUMBER(INDEX(SPPR!$E:$Z,MATCH($A130,SPPR!$A:$A,0),19)),$C130*INDEX(SPPR!$E:$Z,MATCH($A130,SPPR!$A:$A,0),19),""),"")</f>
        <v/>
      </c>
      <c r="W130">
        <f>IFERROR(IF(ISNUMBER(INDEX(SPPR!$E:$Z,MATCH($A130,SPPR!$A:$A,0),20)),$C130*INDEX(SPPR!$E:$Z,MATCH($A130,SPPR!$A:$A,0),20),""),"")</f>
        <v/>
      </c>
      <c r="X130">
        <f>IFERROR(IF(ISNUMBER(INDEX(SPPR!$E:$Z,MATCH($A130,SPPR!$A:$A,0),21)),$C130*INDEX(SPPR!$E:$Z,MATCH($A130,SPPR!$A:$A,0),21),""),"")</f>
        <v/>
      </c>
      <c r="Y130">
        <f>IFERROR(IF(ISNUMBER(INDEX(SPPR!$E:$Z,MATCH($A130,SPPR!$A:$A,0),22)),$C130*INDEX(SPPR!$E:$Z,MATCH($A130,SPPR!$A:$A,0),22),""),"")</f>
        <v/>
      </c>
    </row>
    <row r="131">
      <c r="A131" t="inlineStr">
        <is>
          <t>Terapon jarbua</t>
        </is>
      </c>
      <c r="B131">
        <f>IFERROR(INDEX(SPPR!$D:$D,MATCH($A131,SPPR!$A:$A,0)),"")</f>
        <v/>
      </c>
      <c r="C131">
        <f>IFERROR(INDEX(Catch!$E:$BV,MATCH($A131,Catch!$A:$A,0),MATCH($B$4,Catch!$E$1:$BV$1,0)),0)</f>
        <v/>
      </c>
      <c r="D131">
        <f>IFERROR(IF(ISNUMBER(INDEX(SPPR!$E:$Z,MATCH($A131,SPPR!$A:$A,0),1)),$C131*INDEX(SPPR!$E:$Z,MATCH($A131,SPPR!$A:$A,0),1),""),"")</f>
        <v/>
      </c>
      <c r="E131">
        <f>IFERROR(IF(ISNUMBER(INDEX(SPPR!$E:$Z,MATCH($A131,SPPR!$A:$A,0),2)),$C131*INDEX(SPPR!$E:$Z,MATCH($A131,SPPR!$A:$A,0),2),""),"")</f>
        <v/>
      </c>
      <c r="F131">
        <f>IFERROR(IF(ISNUMBER(INDEX(SPPR!$E:$Z,MATCH($A131,SPPR!$A:$A,0),3)),$C131*INDEX(SPPR!$E:$Z,MATCH($A131,SPPR!$A:$A,0),3),""),"")</f>
        <v/>
      </c>
      <c r="G131">
        <f>IFERROR(IF(ISNUMBER(INDEX(SPPR!$E:$Z,MATCH($A131,SPPR!$A:$A,0),4)),$C131*INDEX(SPPR!$E:$Z,MATCH($A131,SPPR!$A:$A,0),4),""),"")</f>
        <v/>
      </c>
      <c r="H131">
        <f>IFERROR(IF(ISNUMBER(INDEX(SPPR!$E:$Z,MATCH($A131,SPPR!$A:$A,0),5)),$C131*INDEX(SPPR!$E:$Z,MATCH($A131,SPPR!$A:$A,0),5),""),"")</f>
        <v/>
      </c>
      <c r="I131">
        <f>IFERROR(IF(ISNUMBER(INDEX(SPPR!$E:$Z,MATCH($A131,SPPR!$A:$A,0),6)),$C131*INDEX(SPPR!$E:$Z,MATCH($A131,SPPR!$A:$A,0),6),""),"")</f>
        <v/>
      </c>
      <c r="J131">
        <f>IFERROR(IF(ISNUMBER(INDEX(SPPR!$E:$Z,MATCH($A131,SPPR!$A:$A,0),7)),$C131*INDEX(SPPR!$E:$Z,MATCH($A131,SPPR!$A:$A,0),7),""),"")</f>
        <v/>
      </c>
      <c r="K131">
        <f>IFERROR(IF(ISNUMBER(INDEX(SPPR!$E:$Z,MATCH($A131,SPPR!$A:$A,0),8)),$C131*INDEX(SPPR!$E:$Z,MATCH($A131,SPPR!$A:$A,0),8),""),"")</f>
        <v/>
      </c>
      <c r="L131">
        <f>IFERROR(IF(ISNUMBER(INDEX(SPPR!$E:$Z,MATCH($A131,SPPR!$A:$A,0),9)),$C131*INDEX(SPPR!$E:$Z,MATCH($A131,SPPR!$A:$A,0),9),""),"")</f>
        <v/>
      </c>
      <c r="M131">
        <f>IFERROR(IF(ISNUMBER(INDEX(SPPR!$E:$Z,MATCH($A131,SPPR!$A:$A,0),10)),$C131*INDEX(SPPR!$E:$Z,MATCH($A131,SPPR!$A:$A,0),10),""),"")</f>
        <v/>
      </c>
      <c r="N131">
        <f>IFERROR(IF(ISNUMBER(INDEX(SPPR!$E:$Z,MATCH($A131,SPPR!$A:$A,0),11)),$C131*INDEX(SPPR!$E:$Z,MATCH($A131,SPPR!$A:$A,0),11),""),"")</f>
        <v/>
      </c>
      <c r="O131">
        <f>IFERROR(IF(ISNUMBER(INDEX(SPPR!$E:$Z,MATCH($A131,SPPR!$A:$A,0),12)),$C131*INDEX(SPPR!$E:$Z,MATCH($A131,SPPR!$A:$A,0),12),""),"")</f>
        <v/>
      </c>
      <c r="P131">
        <f>IFERROR(IF(ISNUMBER(INDEX(SPPR!$E:$Z,MATCH($A131,SPPR!$A:$A,0),13)),$C131*INDEX(SPPR!$E:$Z,MATCH($A131,SPPR!$A:$A,0),13),""),"")</f>
        <v/>
      </c>
      <c r="Q131">
        <f>IFERROR(IF(ISNUMBER(INDEX(SPPR!$E:$Z,MATCH($A131,SPPR!$A:$A,0),14)),$C131*INDEX(SPPR!$E:$Z,MATCH($A131,SPPR!$A:$A,0),14),""),"")</f>
        <v/>
      </c>
      <c r="R131">
        <f>IFERROR(IF(ISNUMBER(INDEX(SPPR!$E:$Z,MATCH($A131,SPPR!$A:$A,0),15)),$C131*INDEX(SPPR!$E:$Z,MATCH($A131,SPPR!$A:$A,0),15),""),"")</f>
        <v/>
      </c>
      <c r="S131">
        <f>IFERROR(IF(ISNUMBER(INDEX(SPPR!$E:$Z,MATCH($A131,SPPR!$A:$A,0),16)),$C131*INDEX(SPPR!$E:$Z,MATCH($A131,SPPR!$A:$A,0),16),""),"")</f>
        <v/>
      </c>
      <c r="T131">
        <f>IFERROR(IF(ISNUMBER(INDEX(SPPR!$E:$Z,MATCH($A131,SPPR!$A:$A,0),17)),$C131*INDEX(SPPR!$E:$Z,MATCH($A131,SPPR!$A:$A,0),17),""),"")</f>
        <v/>
      </c>
      <c r="U131">
        <f>IFERROR(IF(ISNUMBER(INDEX(SPPR!$E:$Z,MATCH($A131,SPPR!$A:$A,0),18)),$C131*INDEX(SPPR!$E:$Z,MATCH($A131,SPPR!$A:$A,0),18),""),"")</f>
        <v/>
      </c>
      <c r="V131">
        <f>IFERROR(IF(ISNUMBER(INDEX(SPPR!$E:$Z,MATCH($A131,SPPR!$A:$A,0),19)),$C131*INDEX(SPPR!$E:$Z,MATCH($A131,SPPR!$A:$A,0),19),""),"")</f>
        <v/>
      </c>
      <c r="W131">
        <f>IFERROR(IF(ISNUMBER(INDEX(SPPR!$E:$Z,MATCH($A131,SPPR!$A:$A,0),20)),$C131*INDEX(SPPR!$E:$Z,MATCH($A131,SPPR!$A:$A,0),20),""),"")</f>
        <v/>
      </c>
      <c r="X131">
        <f>IFERROR(IF(ISNUMBER(INDEX(SPPR!$E:$Z,MATCH($A131,SPPR!$A:$A,0),21)),$C131*INDEX(SPPR!$E:$Z,MATCH($A131,SPPR!$A:$A,0),21),""),"")</f>
        <v/>
      </c>
      <c r="Y131">
        <f>IFERROR(IF(ISNUMBER(INDEX(SPPR!$E:$Z,MATCH($A131,SPPR!$A:$A,0),22)),$C131*INDEX(SPPR!$E:$Z,MATCH($A131,SPPR!$A:$A,0),22),""),"")</f>
        <v/>
      </c>
    </row>
    <row r="132">
      <c r="A132" t="inlineStr">
        <is>
          <t>Upeneus vittatus</t>
        </is>
      </c>
      <c r="B132">
        <f>IFERROR(INDEX(SPPR!$D:$D,MATCH($A132,SPPR!$A:$A,0)),"")</f>
        <v/>
      </c>
      <c r="C132">
        <f>IFERROR(INDEX(Catch!$E:$BV,MATCH($A132,Catch!$A:$A,0),MATCH($B$4,Catch!$E$1:$BV$1,0)),0)</f>
        <v/>
      </c>
      <c r="D132">
        <f>IFERROR(IF(ISNUMBER(INDEX(SPPR!$E:$Z,MATCH($A132,SPPR!$A:$A,0),1)),$C132*INDEX(SPPR!$E:$Z,MATCH($A132,SPPR!$A:$A,0),1),""),"")</f>
        <v/>
      </c>
      <c r="E132">
        <f>IFERROR(IF(ISNUMBER(INDEX(SPPR!$E:$Z,MATCH($A132,SPPR!$A:$A,0),2)),$C132*INDEX(SPPR!$E:$Z,MATCH($A132,SPPR!$A:$A,0),2),""),"")</f>
        <v/>
      </c>
      <c r="F132">
        <f>IFERROR(IF(ISNUMBER(INDEX(SPPR!$E:$Z,MATCH($A132,SPPR!$A:$A,0),3)),$C132*INDEX(SPPR!$E:$Z,MATCH($A132,SPPR!$A:$A,0),3),""),"")</f>
        <v/>
      </c>
      <c r="G132">
        <f>IFERROR(IF(ISNUMBER(INDEX(SPPR!$E:$Z,MATCH($A132,SPPR!$A:$A,0),4)),$C132*INDEX(SPPR!$E:$Z,MATCH($A132,SPPR!$A:$A,0),4),""),"")</f>
        <v/>
      </c>
      <c r="H132">
        <f>IFERROR(IF(ISNUMBER(INDEX(SPPR!$E:$Z,MATCH($A132,SPPR!$A:$A,0),5)),$C132*INDEX(SPPR!$E:$Z,MATCH($A132,SPPR!$A:$A,0),5),""),"")</f>
        <v/>
      </c>
      <c r="I132">
        <f>IFERROR(IF(ISNUMBER(INDEX(SPPR!$E:$Z,MATCH($A132,SPPR!$A:$A,0),6)),$C132*INDEX(SPPR!$E:$Z,MATCH($A132,SPPR!$A:$A,0),6),""),"")</f>
        <v/>
      </c>
      <c r="J132">
        <f>IFERROR(IF(ISNUMBER(INDEX(SPPR!$E:$Z,MATCH($A132,SPPR!$A:$A,0),7)),$C132*INDEX(SPPR!$E:$Z,MATCH($A132,SPPR!$A:$A,0),7),""),"")</f>
        <v/>
      </c>
      <c r="K132">
        <f>IFERROR(IF(ISNUMBER(INDEX(SPPR!$E:$Z,MATCH($A132,SPPR!$A:$A,0),8)),$C132*INDEX(SPPR!$E:$Z,MATCH($A132,SPPR!$A:$A,0),8),""),"")</f>
        <v/>
      </c>
      <c r="L132">
        <f>IFERROR(IF(ISNUMBER(INDEX(SPPR!$E:$Z,MATCH($A132,SPPR!$A:$A,0),9)),$C132*INDEX(SPPR!$E:$Z,MATCH($A132,SPPR!$A:$A,0),9),""),"")</f>
        <v/>
      </c>
      <c r="M132">
        <f>IFERROR(IF(ISNUMBER(INDEX(SPPR!$E:$Z,MATCH($A132,SPPR!$A:$A,0),10)),$C132*INDEX(SPPR!$E:$Z,MATCH($A132,SPPR!$A:$A,0),10),""),"")</f>
        <v/>
      </c>
      <c r="N132">
        <f>IFERROR(IF(ISNUMBER(INDEX(SPPR!$E:$Z,MATCH($A132,SPPR!$A:$A,0),11)),$C132*INDEX(SPPR!$E:$Z,MATCH($A132,SPPR!$A:$A,0),11),""),"")</f>
        <v/>
      </c>
      <c r="O132">
        <f>IFERROR(IF(ISNUMBER(INDEX(SPPR!$E:$Z,MATCH($A132,SPPR!$A:$A,0),12)),$C132*INDEX(SPPR!$E:$Z,MATCH($A132,SPPR!$A:$A,0),12),""),"")</f>
        <v/>
      </c>
      <c r="P132">
        <f>IFERROR(IF(ISNUMBER(INDEX(SPPR!$E:$Z,MATCH($A132,SPPR!$A:$A,0),13)),$C132*INDEX(SPPR!$E:$Z,MATCH($A132,SPPR!$A:$A,0),13),""),"")</f>
        <v/>
      </c>
      <c r="Q132">
        <f>IFERROR(IF(ISNUMBER(INDEX(SPPR!$E:$Z,MATCH($A132,SPPR!$A:$A,0),14)),$C132*INDEX(SPPR!$E:$Z,MATCH($A132,SPPR!$A:$A,0),14),""),"")</f>
        <v/>
      </c>
      <c r="R132">
        <f>IFERROR(IF(ISNUMBER(INDEX(SPPR!$E:$Z,MATCH($A132,SPPR!$A:$A,0),15)),$C132*INDEX(SPPR!$E:$Z,MATCH($A132,SPPR!$A:$A,0),15),""),"")</f>
        <v/>
      </c>
      <c r="S132">
        <f>IFERROR(IF(ISNUMBER(INDEX(SPPR!$E:$Z,MATCH($A132,SPPR!$A:$A,0),16)),$C132*INDEX(SPPR!$E:$Z,MATCH($A132,SPPR!$A:$A,0),16),""),"")</f>
        <v/>
      </c>
      <c r="T132">
        <f>IFERROR(IF(ISNUMBER(INDEX(SPPR!$E:$Z,MATCH($A132,SPPR!$A:$A,0),17)),$C132*INDEX(SPPR!$E:$Z,MATCH($A132,SPPR!$A:$A,0),17),""),"")</f>
        <v/>
      </c>
      <c r="U132">
        <f>IFERROR(IF(ISNUMBER(INDEX(SPPR!$E:$Z,MATCH($A132,SPPR!$A:$A,0),18)),$C132*INDEX(SPPR!$E:$Z,MATCH($A132,SPPR!$A:$A,0),18),""),"")</f>
        <v/>
      </c>
      <c r="V132">
        <f>IFERROR(IF(ISNUMBER(INDEX(SPPR!$E:$Z,MATCH($A132,SPPR!$A:$A,0),19)),$C132*INDEX(SPPR!$E:$Z,MATCH($A132,SPPR!$A:$A,0),19),""),"")</f>
        <v/>
      </c>
      <c r="W132">
        <f>IFERROR(IF(ISNUMBER(INDEX(SPPR!$E:$Z,MATCH($A132,SPPR!$A:$A,0),20)),$C132*INDEX(SPPR!$E:$Z,MATCH($A132,SPPR!$A:$A,0),20),""),"")</f>
        <v/>
      </c>
      <c r="X132">
        <f>IFERROR(IF(ISNUMBER(INDEX(SPPR!$E:$Z,MATCH($A132,SPPR!$A:$A,0),21)),$C132*INDEX(SPPR!$E:$Z,MATCH($A132,SPPR!$A:$A,0),21),""),"")</f>
        <v/>
      </c>
      <c r="Y132">
        <f>IFERROR(IF(ISNUMBER(INDEX(SPPR!$E:$Z,MATCH($A132,SPPR!$A:$A,0),22)),$C132*INDEX(SPPR!$E:$Z,MATCH($A132,SPPR!$A:$A,0),22),""),"")</f>
        <v/>
      </c>
    </row>
    <row r="133">
      <c r="A133" t="inlineStr">
        <is>
          <t>Teuthida</t>
        </is>
      </c>
      <c r="B133">
        <f>IFERROR(INDEX(SPPR!$D:$D,MATCH($A133,SPPR!$A:$A,0)),"")</f>
        <v/>
      </c>
      <c r="C133">
        <f>IFERROR(INDEX(Catch!$E:$BV,MATCH($A133,Catch!$A:$A,0),MATCH($B$4,Catch!$E$1:$BV$1,0)),0)</f>
        <v/>
      </c>
      <c r="D133">
        <f>IFERROR(IF(ISNUMBER(INDEX(SPPR!$E:$Z,MATCH($A133,SPPR!$A:$A,0),1)),$C133*INDEX(SPPR!$E:$Z,MATCH($A133,SPPR!$A:$A,0),1),""),"")</f>
        <v/>
      </c>
      <c r="E133">
        <f>IFERROR(IF(ISNUMBER(INDEX(SPPR!$E:$Z,MATCH($A133,SPPR!$A:$A,0),2)),$C133*INDEX(SPPR!$E:$Z,MATCH($A133,SPPR!$A:$A,0),2),""),"")</f>
        <v/>
      </c>
      <c r="F133">
        <f>IFERROR(IF(ISNUMBER(INDEX(SPPR!$E:$Z,MATCH($A133,SPPR!$A:$A,0),3)),$C133*INDEX(SPPR!$E:$Z,MATCH($A133,SPPR!$A:$A,0),3),""),"")</f>
        <v/>
      </c>
      <c r="G133">
        <f>IFERROR(IF(ISNUMBER(INDEX(SPPR!$E:$Z,MATCH($A133,SPPR!$A:$A,0),4)),$C133*INDEX(SPPR!$E:$Z,MATCH($A133,SPPR!$A:$A,0),4),""),"")</f>
        <v/>
      </c>
      <c r="H133">
        <f>IFERROR(IF(ISNUMBER(INDEX(SPPR!$E:$Z,MATCH($A133,SPPR!$A:$A,0),5)),$C133*INDEX(SPPR!$E:$Z,MATCH($A133,SPPR!$A:$A,0),5),""),"")</f>
        <v/>
      </c>
      <c r="I133">
        <f>IFERROR(IF(ISNUMBER(INDEX(SPPR!$E:$Z,MATCH($A133,SPPR!$A:$A,0),6)),$C133*INDEX(SPPR!$E:$Z,MATCH($A133,SPPR!$A:$A,0),6),""),"")</f>
        <v/>
      </c>
      <c r="J133">
        <f>IFERROR(IF(ISNUMBER(INDEX(SPPR!$E:$Z,MATCH($A133,SPPR!$A:$A,0),7)),$C133*INDEX(SPPR!$E:$Z,MATCH($A133,SPPR!$A:$A,0),7),""),"")</f>
        <v/>
      </c>
      <c r="K133">
        <f>IFERROR(IF(ISNUMBER(INDEX(SPPR!$E:$Z,MATCH($A133,SPPR!$A:$A,0),8)),$C133*INDEX(SPPR!$E:$Z,MATCH($A133,SPPR!$A:$A,0),8),""),"")</f>
        <v/>
      </c>
      <c r="L133">
        <f>IFERROR(IF(ISNUMBER(INDEX(SPPR!$E:$Z,MATCH($A133,SPPR!$A:$A,0),9)),$C133*INDEX(SPPR!$E:$Z,MATCH($A133,SPPR!$A:$A,0),9),""),"")</f>
        <v/>
      </c>
      <c r="M133">
        <f>IFERROR(IF(ISNUMBER(INDEX(SPPR!$E:$Z,MATCH($A133,SPPR!$A:$A,0),10)),$C133*INDEX(SPPR!$E:$Z,MATCH($A133,SPPR!$A:$A,0),10),""),"")</f>
        <v/>
      </c>
      <c r="N133">
        <f>IFERROR(IF(ISNUMBER(INDEX(SPPR!$E:$Z,MATCH($A133,SPPR!$A:$A,0),11)),$C133*INDEX(SPPR!$E:$Z,MATCH($A133,SPPR!$A:$A,0),11),""),"")</f>
        <v/>
      </c>
      <c r="O133">
        <f>IFERROR(IF(ISNUMBER(INDEX(SPPR!$E:$Z,MATCH($A133,SPPR!$A:$A,0),12)),$C133*INDEX(SPPR!$E:$Z,MATCH($A133,SPPR!$A:$A,0),12),""),"")</f>
        <v/>
      </c>
      <c r="P133">
        <f>IFERROR(IF(ISNUMBER(INDEX(SPPR!$E:$Z,MATCH($A133,SPPR!$A:$A,0),13)),$C133*INDEX(SPPR!$E:$Z,MATCH($A133,SPPR!$A:$A,0),13),""),"")</f>
        <v/>
      </c>
      <c r="Q133">
        <f>IFERROR(IF(ISNUMBER(INDEX(SPPR!$E:$Z,MATCH($A133,SPPR!$A:$A,0),14)),$C133*INDEX(SPPR!$E:$Z,MATCH($A133,SPPR!$A:$A,0),14),""),"")</f>
        <v/>
      </c>
      <c r="R133">
        <f>IFERROR(IF(ISNUMBER(INDEX(SPPR!$E:$Z,MATCH($A133,SPPR!$A:$A,0),15)),$C133*INDEX(SPPR!$E:$Z,MATCH($A133,SPPR!$A:$A,0),15),""),"")</f>
        <v/>
      </c>
      <c r="S133">
        <f>IFERROR(IF(ISNUMBER(INDEX(SPPR!$E:$Z,MATCH($A133,SPPR!$A:$A,0),16)),$C133*INDEX(SPPR!$E:$Z,MATCH($A133,SPPR!$A:$A,0),16),""),"")</f>
        <v/>
      </c>
      <c r="T133">
        <f>IFERROR(IF(ISNUMBER(INDEX(SPPR!$E:$Z,MATCH($A133,SPPR!$A:$A,0),17)),$C133*INDEX(SPPR!$E:$Z,MATCH($A133,SPPR!$A:$A,0),17),""),"")</f>
        <v/>
      </c>
      <c r="U133">
        <f>IFERROR(IF(ISNUMBER(INDEX(SPPR!$E:$Z,MATCH($A133,SPPR!$A:$A,0),18)),$C133*INDEX(SPPR!$E:$Z,MATCH($A133,SPPR!$A:$A,0),18),""),"")</f>
        <v/>
      </c>
      <c r="V133">
        <f>IFERROR(IF(ISNUMBER(INDEX(SPPR!$E:$Z,MATCH($A133,SPPR!$A:$A,0),19)),$C133*INDEX(SPPR!$E:$Z,MATCH($A133,SPPR!$A:$A,0),19),""),"")</f>
        <v/>
      </c>
      <c r="W133">
        <f>IFERROR(IF(ISNUMBER(INDEX(SPPR!$E:$Z,MATCH($A133,SPPR!$A:$A,0),20)),$C133*INDEX(SPPR!$E:$Z,MATCH($A133,SPPR!$A:$A,0),20),""),"")</f>
        <v/>
      </c>
      <c r="X133">
        <f>IFERROR(IF(ISNUMBER(INDEX(SPPR!$E:$Z,MATCH($A133,SPPR!$A:$A,0),21)),$C133*INDEX(SPPR!$E:$Z,MATCH($A133,SPPR!$A:$A,0),21),""),"")</f>
        <v/>
      </c>
      <c r="Y133">
        <f>IFERROR(IF(ISNUMBER(INDEX(SPPR!$E:$Z,MATCH($A133,SPPR!$A:$A,0),22)),$C133*INDEX(SPPR!$E:$Z,MATCH($A133,SPPR!$A:$A,0),22),""),"")</f>
        <v/>
      </c>
    </row>
    <row r="134">
      <c r="A134" t="inlineStr">
        <is>
          <t>Psettodidae</t>
        </is>
      </c>
      <c r="B134">
        <f>IFERROR(INDEX(SPPR!$D:$D,MATCH($A134,SPPR!$A:$A,0)),"")</f>
        <v/>
      </c>
      <c r="C134">
        <f>IFERROR(INDEX(Catch!$E:$BV,MATCH($A134,Catch!$A:$A,0),MATCH($B$4,Catch!$E$1:$BV$1,0)),0)</f>
        <v/>
      </c>
      <c r="D134">
        <f>IFERROR(IF(ISNUMBER(INDEX(SPPR!$E:$Z,MATCH($A134,SPPR!$A:$A,0),1)),$C134*INDEX(SPPR!$E:$Z,MATCH($A134,SPPR!$A:$A,0),1),""),"")</f>
        <v/>
      </c>
      <c r="E134">
        <f>IFERROR(IF(ISNUMBER(INDEX(SPPR!$E:$Z,MATCH($A134,SPPR!$A:$A,0),2)),$C134*INDEX(SPPR!$E:$Z,MATCH($A134,SPPR!$A:$A,0),2),""),"")</f>
        <v/>
      </c>
      <c r="F134">
        <f>IFERROR(IF(ISNUMBER(INDEX(SPPR!$E:$Z,MATCH($A134,SPPR!$A:$A,0),3)),$C134*INDEX(SPPR!$E:$Z,MATCH($A134,SPPR!$A:$A,0),3),""),"")</f>
        <v/>
      </c>
      <c r="G134">
        <f>IFERROR(IF(ISNUMBER(INDEX(SPPR!$E:$Z,MATCH($A134,SPPR!$A:$A,0),4)),$C134*INDEX(SPPR!$E:$Z,MATCH($A134,SPPR!$A:$A,0),4),""),"")</f>
        <v/>
      </c>
      <c r="H134">
        <f>IFERROR(IF(ISNUMBER(INDEX(SPPR!$E:$Z,MATCH($A134,SPPR!$A:$A,0),5)),$C134*INDEX(SPPR!$E:$Z,MATCH($A134,SPPR!$A:$A,0),5),""),"")</f>
        <v/>
      </c>
      <c r="I134">
        <f>IFERROR(IF(ISNUMBER(INDEX(SPPR!$E:$Z,MATCH($A134,SPPR!$A:$A,0),6)),$C134*INDEX(SPPR!$E:$Z,MATCH($A134,SPPR!$A:$A,0),6),""),"")</f>
        <v/>
      </c>
      <c r="J134">
        <f>IFERROR(IF(ISNUMBER(INDEX(SPPR!$E:$Z,MATCH($A134,SPPR!$A:$A,0),7)),$C134*INDEX(SPPR!$E:$Z,MATCH($A134,SPPR!$A:$A,0),7),""),"")</f>
        <v/>
      </c>
      <c r="K134">
        <f>IFERROR(IF(ISNUMBER(INDEX(SPPR!$E:$Z,MATCH($A134,SPPR!$A:$A,0),8)),$C134*INDEX(SPPR!$E:$Z,MATCH($A134,SPPR!$A:$A,0),8),""),"")</f>
        <v/>
      </c>
      <c r="L134">
        <f>IFERROR(IF(ISNUMBER(INDEX(SPPR!$E:$Z,MATCH($A134,SPPR!$A:$A,0),9)),$C134*INDEX(SPPR!$E:$Z,MATCH($A134,SPPR!$A:$A,0),9),""),"")</f>
        <v/>
      </c>
      <c r="M134">
        <f>IFERROR(IF(ISNUMBER(INDEX(SPPR!$E:$Z,MATCH($A134,SPPR!$A:$A,0),10)),$C134*INDEX(SPPR!$E:$Z,MATCH($A134,SPPR!$A:$A,0),10),""),"")</f>
        <v/>
      </c>
      <c r="N134">
        <f>IFERROR(IF(ISNUMBER(INDEX(SPPR!$E:$Z,MATCH($A134,SPPR!$A:$A,0),11)),$C134*INDEX(SPPR!$E:$Z,MATCH($A134,SPPR!$A:$A,0),11),""),"")</f>
        <v/>
      </c>
      <c r="O134">
        <f>IFERROR(IF(ISNUMBER(INDEX(SPPR!$E:$Z,MATCH($A134,SPPR!$A:$A,0),12)),$C134*INDEX(SPPR!$E:$Z,MATCH($A134,SPPR!$A:$A,0),12),""),"")</f>
        <v/>
      </c>
      <c r="P134">
        <f>IFERROR(IF(ISNUMBER(INDEX(SPPR!$E:$Z,MATCH($A134,SPPR!$A:$A,0),13)),$C134*INDEX(SPPR!$E:$Z,MATCH($A134,SPPR!$A:$A,0),13),""),"")</f>
        <v/>
      </c>
      <c r="Q134">
        <f>IFERROR(IF(ISNUMBER(INDEX(SPPR!$E:$Z,MATCH($A134,SPPR!$A:$A,0),14)),$C134*INDEX(SPPR!$E:$Z,MATCH($A134,SPPR!$A:$A,0),14),""),"")</f>
        <v/>
      </c>
      <c r="R134">
        <f>IFERROR(IF(ISNUMBER(INDEX(SPPR!$E:$Z,MATCH($A134,SPPR!$A:$A,0),15)),$C134*INDEX(SPPR!$E:$Z,MATCH($A134,SPPR!$A:$A,0),15),""),"")</f>
        <v/>
      </c>
      <c r="S134">
        <f>IFERROR(IF(ISNUMBER(INDEX(SPPR!$E:$Z,MATCH($A134,SPPR!$A:$A,0),16)),$C134*INDEX(SPPR!$E:$Z,MATCH($A134,SPPR!$A:$A,0),16),""),"")</f>
        <v/>
      </c>
      <c r="T134">
        <f>IFERROR(IF(ISNUMBER(INDEX(SPPR!$E:$Z,MATCH($A134,SPPR!$A:$A,0),17)),$C134*INDEX(SPPR!$E:$Z,MATCH($A134,SPPR!$A:$A,0),17),""),"")</f>
        <v/>
      </c>
      <c r="U134">
        <f>IFERROR(IF(ISNUMBER(INDEX(SPPR!$E:$Z,MATCH($A134,SPPR!$A:$A,0),18)),$C134*INDEX(SPPR!$E:$Z,MATCH($A134,SPPR!$A:$A,0),18),""),"")</f>
        <v/>
      </c>
      <c r="V134">
        <f>IFERROR(IF(ISNUMBER(INDEX(SPPR!$E:$Z,MATCH($A134,SPPR!$A:$A,0),19)),$C134*INDEX(SPPR!$E:$Z,MATCH($A134,SPPR!$A:$A,0),19),""),"")</f>
        <v/>
      </c>
      <c r="W134">
        <f>IFERROR(IF(ISNUMBER(INDEX(SPPR!$E:$Z,MATCH($A134,SPPR!$A:$A,0),20)),$C134*INDEX(SPPR!$E:$Z,MATCH($A134,SPPR!$A:$A,0),20),""),"")</f>
        <v/>
      </c>
      <c r="X134">
        <f>IFERROR(IF(ISNUMBER(INDEX(SPPR!$E:$Z,MATCH($A134,SPPR!$A:$A,0),21)),$C134*INDEX(SPPR!$E:$Z,MATCH($A134,SPPR!$A:$A,0),21),""),"")</f>
        <v/>
      </c>
      <c r="Y134">
        <f>IFERROR(IF(ISNUMBER(INDEX(SPPR!$E:$Z,MATCH($A134,SPPR!$A:$A,0),22)),$C134*INDEX(SPPR!$E:$Z,MATCH($A134,SPPR!$A:$A,0),22),""),"")</f>
        <v/>
      </c>
    </row>
    <row r="135">
      <c r="A135" t="inlineStr">
        <is>
          <t>Tetraodontidae</t>
        </is>
      </c>
      <c r="B135">
        <f>IFERROR(INDEX(SPPR!$D:$D,MATCH($A135,SPPR!$A:$A,0)),"")</f>
        <v/>
      </c>
      <c r="C135">
        <f>IFERROR(INDEX(Catch!$E:$BV,MATCH($A135,Catch!$A:$A,0),MATCH($B$4,Catch!$E$1:$BV$1,0)),0)</f>
        <v/>
      </c>
      <c r="D135">
        <f>IFERROR(IF(ISNUMBER(INDEX(SPPR!$E:$Z,MATCH($A135,SPPR!$A:$A,0),1)),$C135*INDEX(SPPR!$E:$Z,MATCH($A135,SPPR!$A:$A,0),1),""),"")</f>
        <v/>
      </c>
      <c r="E135">
        <f>IFERROR(IF(ISNUMBER(INDEX(SPPR!$E:$Z,MATCH($A135,SPPR!$A:$A,0),2)),$C135*INDEX(SPPR!$E:$Z,MATCH($A135,SPPR!$A:$A,0),2),""),"")</f>
        <v/>
      </c>
      <c r="F135">
        <f>IFERROR(IF(ISNUMBER(INDEX(SPPR!$E:$Z,MATCH($A135,SPPR!$A:$A,0),3)),$C135*INDEX(SPPR!$E:$Z,MATCH($A135,SPPR!$A:$A,0),3),""),"")</f>
        <v/>
      </c>
      <c r="G135">
        <f>IFERROR(IF(ISNUMBER(INDEX(SPPR!$E:$Z,MATCH($A135,SPPR!$A:$A,0),4)),$C135*INDEX(SPPR!$E:$Z,MATCH($A135,SPPR!$A:$A,0),4),""),"")</f>
        <v/>
      </c>
      <c r="H135">
        <f>IFERROR(IF(ISNUMBER(INDEX(SPPR!$E:$Z,MATCH($A135,SPPR!$A:$A,0),5)),$C135*INDEX(SPPR!$E:$Z,MATCH($A135,SPPR!$A:$A,0),5),""),"")</f>
        <v/>
      </c>
      <c r="I135">
        <f>IFERROR(IF(ISNUMBER(INDEX(SPPR!$E:$Z,MATCH($A135,SPPR!$A:$A,0),6)),$C135*INDEX(SPPR!$E:$Z,MATCH($A135,SPPR!$A:$A,0),6),""),"")</f>
        <v/>
      </c>
      <c r="J135">
        <f>IFERROR(IF(ISNUMBER(INDEX(SPPR!$E:$Z,MATCH($A135,SPPR!$A:$A,0),7)),$C135*INDEX(SPPR!$E:$Z,MATCH($A135,SPPR!$A:$A,0),7),""),"")</f>
        <v/>
      </c>
      <c r="K135">
        <f>IFERROR(IF(ISNUMBER(INDEX(SPPR!$E:$Z,MATCH($A135,SPPR!$A:$A,0),8)),$C135*INDEX(SPPR!$E:$Z,MATCH($A135,SPPR!$A:$A,0),8),""),"")</f>
        <v/>
      </c>
      <c r="L135">
        <f>IFERROR(IF(ISNUMBER(INDEX(SPPR!$E:$Z,MATCH($A135,SPPR!$A:$A,0),9)),$C135*INDEX(SPPR!$E:$Z,MATCH($A135,SPPR!$A:$A,0),9),""),"")</f>
        <v/>
      </c>
      <c r="M135">
        <f>IFERROR(IF(ISNUMBER(INDEX(SPPR!$E:$Z,MATCH($A135,SPPR!$A:$A,0),10)),$C135*INDEX(SPPR!$E:$Z,MATCH($A135,SPPR!$A:$A,0),10),""),"")</f>
        <v/>
      </c>
      <c r="N135">
        <f>IFERROR(IF(ISNUMBER(INDEX(SPPR!$E:$Z,MATCH($A135,SPPR!$A:$A,0),11)),$C135*INDEX(SPPR!$E:$Z,MATCH($A135,SPPR!$A:$A,0),11),""),"")</f>
        <v/>
      </c>
      <c r="O135">
        <f>IFERROR(IF(ISNUMBER(INDEX(SPPR!$E:$Z,MATCH($A135,SPPR!$A:$A,0),12)),$C135*INDEX(SPPR!$E:$Z,MATCH($A135,SPPR!$A:$A,0),12),""),"")</f>
        <v/>
      </c>
      <c r="P135">
        <f>IFERROR(IF(ISNUMBER(INDEX(SPPR!$E:$Z,MATCH($A135,SPPR!$A:$A,0),13)),$C135*INDEX(SPPR!$E:$Z,MATCH($A135,SPPR!$A:$A,0),13),""),"")</f>
        <v/>
      </c>
      <c r="Q135">
        <f>IFERROR(IF(ISNUMBER(INDEX(SPPR!$E:$Z,MATCH($A135,SPPR!$A:$A,0),14)),$C135*INDEX(SPPR!$E:$Z,MATCH($A135,SPPR!$A:$A,0),14),""),"")</f>
        <v/>
      </c>
      <c r="R135">
        <f>IFERROR(IF(ISNUMBER(INDEX(SPPR!$E:$Z,MATCH($A135,SPPR!$A:$A,0),15)),$C135*INDEX(SPPR!$E:$Z,MATCH($A135,SPPR!$A:$A,0),15),""),"")</f>
        <v/>
      </c>
      <c r="S135">
        <f>IFERROR(IF(ISNUMBER(INDEX(SPPR!$E:$Z,MATCH($A135,SPPR!$A:$A,0),16)),$C135*INDEX(SPPR!$E:$Z,MATCH($A135,SPPR!$A:$A,0),16),""),"")</f>
        <v/>
      </c>
      <c r="T135">
        <f>IFERROR(IF(ISNUMBER(INDEX(SPPR!$E:$Z,MATCH($A135,SPPR!$A:$A,0),17)),$C135*INDEX(SPPR!$E:$Z,MATCH($A135,SPPR!$A:$A,0),17),""),"")</f>
        <v/>
      </c>
      <c r="U135">
        <f>IFERROR(IF(ISNUMBER(INDEX(SPPR!$E:$Z,MATCH($A135,SPPR!$A:$A,0),18)),$C135*INDEX(SPPR!$E:$Z,MATCH($A135,SPPR!$A:$A,0),18),""),"")</f>
        <v/>
      </c>
      <c r="V135">
        <f>IFERROR(IF(ISNUMBER(INDEX(SPPR!$E:$Z,MATCH($A135,SPPR!$A:$A,0),19)),$C135*INDEX(SPPR!$E:$Z,MATCH($A135,SPPR!$A:$A,0),19),""),"")</f>
        <v/>
      </c>
      <c r="W135">
        <f>IFERROR(IF(ISNUMBER(INDEX(SPPR!$E:$Z,MATCH($A135,SPPR!$A:$A,0),20)),$C135*INDEX(SPPR!$E:$Z,MATCH($A135,SPPR!$A:$A,0),20),""),"")</f>
        <v/>
      </c>
      <c r="X135">
        <f>IFERROR(IF(ISNUMBER(INDEX(SPPR!$E:$Z,MATCH($A135,SPPR!$A:$A,0),21)),$C135*INDEX(SPPR!$E:$Z,MATCH($A135,SPPR!$A:$A,0),21),""),"")</f>
        <v/>
      </c>
      <c r="Y135">
        <f>IFERROR(IF(ISNUMBER(INDEX(SPPR!$E:$Z,MATCH($A135,SPPR!$A:$A,0),22)),$C135*INDEX(SPPR!$E:$Z,MATCH($A135,SPPR!$A:$A,0),22),""),"")</f>
        <v/>
      </c>
    </row>
    <row r="136">
      <c r="A136" t="inlineStr">
        <is>
          <t>Cephalopholis boenak</t>
        </is>
      </c>
      <c r="B136">
        <f>IFERROR(INDEX(SPPR!$D:$D,MATCH($A136,SPPR!$A:$A,0)),"")</f>
        <v/>
      </c>
      <c r="C136">
        <f>IFERROR(INDEX(Catch!$E:$BV,MATCH($A136,Catch!$A:$A,0),MATCH($B$4,Catch!$E$1:$BV$1,0)),0)</f>
        <v/>
      </c>
      <c r="D136">
        <f>IFERROR(IF(ISNUMBER(INDEX(SPPR!$E:$Z,MATCH($A136,SPPR!$A:$A,0),1)),$C136*INDEX(SPPR!$E:$Z,MATCH($A136,SPPR!$A:$A,0),1),""),"")</f>
        <v/>
      </c>
      <c r="E136">
        <f>IFERROR(IF(ISNUMBER(INDEX(SPPR!$E:$Z,MATCH($A136,SPPR!$A:$A,0),2)),$C136*INDEX(SPPR!$E:$Z,MATCH($A136,SPPR!$A:$A,0),2),""),"")</f>
        <v/>
      </c>
      <c r="F136">
        <f>IFERROR(IF(ISNUMBER(INDEX(SPPR!$E:$Z,MATCH($A136,SPPR!$A:$A,0),3)),$C136*INDEX(SPPR!$E:$Z,MATCH($A136,SPPR!$A:$A,0),3),""),"")</f>
        <v/>
      </c>
      <c r="G136">
        <f>IFERROR(IF(ISNUMBER(INDEX(SPPR!$E:$Z,MATCH($A136,SPPR!$A:$A,0),4)),$C136*INDEX(SPPR!$E:$Z,MATCH($A136,SPPR!$A:$A,0),4),""),"")</f>
        <v/>
      </c>
      <c r="H136">
        <f>IFERROR(IF(ISNUMBER(INDEX(SPPR!$E:$Z,MATCH($A136,SPPR!$A:$A,0),5)),$C136*INDEX(SPPR!$E:$Z,MATCH($A136,SPPR!$A:$A,0),5),""),"")</f>
        <v/>
      </c>
      <c r="I136">
        <f>IFERROR(IF(ISNUMBER(INDEX(SPPR!$E:$Z,MATCH($A136,SPPR!$A:$A,0),6)),$C136*INDEX(SPPR!$E:$Z,MATCH($A136,SPPR!$A:$A,0),6),""),"")</f>
        <v/>
      </c>
      <c r="J136">
        <f>IFERROR(IF(ISNUMBER(INDEX(SPPR!$E:$Z,MATCH($A136,SPPR!$A:$A,0),7)),$C136*INDEX(SPPR!$E:$Z,MATCH($A136,SPPR!$A:$A,0),7),""),"")</f>
        <v/>
      </c>
      <c r="K136">
        <f>IFERROR(IF(ISNUMBER(INDEX(SPPR!$E:$Z,MATCH($A136,SPPR!$A:$A,0),8)),$C136*INDEX(SPPR!$E:$Z,MATCH($A136,SPPR!$A:$A,0),8),""),"")</f>
        <v/>
      </c>
      <c r="L136">
        <f>IFERROR(IF(ISNUMBER(INDEX(SPPR!$E:$Z,MATCH($A136,SPPR!$A:$A,0),9)),$C136*INDEX(SPPR!$E:$Z,MATCH($A136,SPPR!$A:$A,0),9),""),"")</f>
        <v/>
      </c>
      <c r="M136">
        <f>IFERROR(IF(ISNUMBER(INDEX(SPPR!$E:$Z,MATCH($A136,SPPR!$A:$A,0),10)),$C136*INDEX(SPPR!$E:$Z,MATCH($A136,SPPR!$A:$A,0),10),""),"")</f>
        <v/>
      </c>
      <c r="N136">
        <f>IFERROR(IF(ISNUMBER(INDEX(SPPR!$E:$Z,MATCH($A136,SPPR!$A:$A,0),11)),$C136*INDEX(SPPR!$E:$Z,MATCH($A136,SPPR!$A:$A,0),11),""),"")</f>
        <v/>
      </c>
      <c r="O136">
        <f>IFERROR(IF(ISNUMBER(INDEX(SPPR!$E:$Z,MATCH($A136,SPPR!$A:$A,0),12)),$C136*INDEX(SPPR!$E:$Z,MATCH($A136,SPPR!$A:$A,0),12),""),"")</f>
        <v/>
      </c>
      <c r="P136">
        <f>IFERROR(IF(ISNUMBER(INDEX(SPPR!$E:$Z,MATCH($A136,SPPR!$A:$A,0),13)),$C136*INDEX(SPPR!$E:$Z,MATCH($A136,SPPR!$A:$A,0),13),""),"")</f>
        <v/>
      </c>
      <c r="Q136">
        <f>IFERROR(IF(ISNUMBER(INDEX(SPPR!$E:$Z,MATCH($A136,SPPR!$A:$A,0),14)),$C136*INDEX(SPPR!$E:$Z,MATCH($A136,SPPR!$A:$A,0),14),""),"")</f>
        <v/>
      </c>
      <c r="R136">
        <f>IFERROR(IF(ISNUMBER(INDEX(SPPR!$E:$Z,MATCH($A136,SPPR!$A:$A,0),15)),$C136*INDEX(SPPR!$E:$Z,MATCH($A136,SPPR!$A:$A,0),15),""),"")</f>
        <v/>
      </c>
      <c r="S136">
        <f>IFERROR(IF(ISNUMBER(INDEX(SPPR!$E:$Z,MATCH($A136,SPPR!$A:$A,0),16)),$C136*INDEX(SPPR!$E:$Z,MATCH($A136,SPPR!$A:$A,0),16),""),"")</f>
        <v/>
      </c>
      <c r="T136">
        <f>IFERROR(IF(ISNUMBER(INDEX(SPPR!$E:$Z,MATCH($A136,SPPR!$A:$A,0),17)),$C136*INDEX(SPPR!$E:$Z,MATCH($A136,SPPR!$A:$A,0),17),""),"")</f>
        <v/>
      </c>
      <c r="U136">
        <f>IFERROR(IF(ISNUMBER(INDEX(SPPR!$E:$Z,MATCH($A136,SPPR!$A:$A,0),18)),$C136*INDEX(SPPR!$E:$Z,MATCH($A136,SPPR!$A:$A,0),18),""),"")</f>
        <v/>
      </c>
      <c r="V136">
        <f>IFERROR(IF(ISNUMBER(INDEX(SPPR!$E:$Z,MATCH($A136,SPPR!$A:$A,0),19)),$C136*INDEX(SPPR!$E:$Z,MATCH($A136,SPPR!$A:$A,0),19),""),"")</f>
        <v/>
      </c>
      <c r="W136">
        <f>IFERROR(IF(ISNUMBER(INDEX(SPPR!$E:$Z,MATCH($A136,SPPR!$A:$A,0),20)),$C136*INDEX(SPPR!$E:$Z,MATCH($A136,SPPR!$A:$A,0),20),""),"")</f>
        <v/>
      </c>
      <c r="X136">
        <f>IFERROR(IF(ISNUMBER(INDEX(SPPR!$E:$Z,MATCH($A136,SPPR!$A:$A,0),21)),$C136*INDEX(SPPR!$E:$Z,MATCH($A136,SPPR!$A:$A,0),21),""),"")</f>
        <v/>
      </c>
      <c r="Y136">
        <f>IFERROR(IF(ISNUMBER(INDEX(SPPR!$E:$Z,MATCH($A136,SPPR!$A:$A,0),22)),$C136*INDEX(SPPR!$E:$Z,MATCH($A136,SPPR!$A:$A,0),22),""),"")</f>
        <v/>
      </c>
    </row>
    <row r="137">
      <c r="A137" t="inlineStr">
        <is>
          <t>Muraenesox</t>
        </is>
      </c>
      <c r="B137">
        <f>IFERROR(INDEX(SPPR!$D:$D,MATCH($A137,SPPR!$A:$A,0)),"")</f>
        <v/>
      </c>
      <c r="C137">
        <f>IFERROR(INDEX(Catch!$E:$BV,MATCH($A137,Catch!$A:$A,0),MATCH($B$4,Catch!$E$1:$BV$1,0)),0)</f>
        <v/>
      </c>
      <c r="D137">
        <f>IFERROR(IF(ISNUMBER(INDEX(SPPR!$E:$Z,MATCH($A137,SPPR!$A:$A,0),1)),$C137*INDEX(SPPR!$E:$Z,MATCH($A137,SPPR!$A:$A,0),1),""),"")</f>
        <v/>
      </c>
      <c r="E137">
        <f>IFERROR(IF(ISNUMBER(INDEX(SPPR!$E:$Z,MATCH($A137,SPPR!$A:$A,0),2)),$C137*INDEX(SPPR!$E:$Z,MATCH($A137,SPPR!$A:$A,0),2),""),"")</f>
        <v/>
      </c>
      <c r="F137">
        <f>IFERROR(IF(ISNUMBER(INDEX(SPPR!$E:$Z,MATCH($A137,SPPR!$A:$A,0),3)),$C137*INDEX(SPPR!$E:$Z,MATCH($A137,SPPR!$A:$A,0),3),""),"")</f>
        <v/>
      </c>
      <c r="G137">
        <f>IFERROR(IF(ISNUMBER(INDEX(SPPR!$E:$Z,MATCH($A137,SPPR!$A:$A,0),4)),$C137*INDEX(SPPR!$E:$Z,MATCH($A137,SPPR!$A:$A,0),4),""),"")</f>
        <v/>
      </c>
      <c r="H137">
        <f>IFERROR(IF(ISNUMBER(INDEX(SPPR!$E:$Z,MATCH($A137,SPPR!$A:$A,0),5)),$C137*INDEX(SPPR!$E:$Z,MATCH($A137,SPPR!$A:$A,0),5),""),"")</f>
        <v/>
      </c>
      <c r="I137">
        <f>IFERROR(IF(ISNUMBER(INDEX(SPPR!$E:$Z,MATCH($A137,SPPR!$A:$A,0),6)),$C137*INDEX(SPPR!$E:$Z,MATCH($A137,SPPR!$A:$A,0),6),""),"")</f>
        <v/>
      </c>
      <c r="J137">
        <f>IFERROR(IF(ISNUMBER(INDEX(SPPR!$E:$Z,MATCH($A137,SPPR!$A:$A,0),7)),$C137*INDEX(SPPR!$E:$Z,MATCH($A137,SPPR!$A:$A,0),7),""),"")</f>
        <v/>
      </c>
      <c r="K137">
        <f>IFERROR(IF(ISNUMBER(INDEX(SPPR!$E:$Z,MATCH($A137,SPPR!$A:$A,0),8)),$C137*INDEX(SPPR!$E:$Z,MATCH($A137,SPPR!$A:$A,0),8),""),"")</f>
        <v/>
      </c>
      <c r="L137">
        <f>IFERROR(IF(ISNUMBER(INDEX(SPPR!$E:$Z,MATCH($A137,SPPR!$A:$A,0),9)),$C137*INDEX(SPPR!$E:$Z,MATCH($A137,SPPR!$A:$A,0),9),""),"")</f>
        <v/>
      </c>
      <c r="M137">
        <f>IFERROR(IF(ISNUMBER(INDEX(SPPR!$E:$Z,MATCH($A137,SPPR!$A:$A,0),10)),$C137*INDEX(SPPR!$E:$Z,MATCH($A137,SPPR!$A:$A,0),10),""),"")</f>
        <v/>
      </c>
      <c r="N137">
        <f>IFERROR(IF(ISNUMBER(INDEX(SPPR!$E:$Z,MATCH($A137,SPPR!$A:$A,0),11)),$C137*INDEX(SPPR!$E:$Z,MATCH($A137,SPPR!$A:$A,0),11),""),"")</f>
        <v/>
      </c>
      <c r="O137">
        <f>IFERROR(IF(ISNUMBER(INDEX(SPPR!$E:$Z,MATCH($A137,SPPR!$A:$A,0),12)),$C137*INDEX(SPPR!$E:$Z,MATCH($A137,SPPR!$A:$A,0),12),""),"")</f>
        <v/>
      </c>
      <c r="P137">
        <f>IFERROR(IF(ISNUMBER(INDEX(SPPR!$E:$Z,MATCH($A137,SPPR!$A:$A,0),13)),$C137*INDEX(SPPR!$E:$Z,MATCH($A137,SPPR!$A:$A,0),13),""),"")</f>
        <v/>
      </c>
      <c r="Q137">
        <f>IFERROR(IF(ISNUMBER(INDEX(SPPR!$E:$Z,MATCH($A137,SPPR!$A:$A,0),14)),$C137*INDEX(SPPR!$E:$Z,MATCH($A137,SPPR!$A:$A,0),14),""),"")</f>
        <v/>
      </c>
      <c r="R137">
        <f>IFERROR(IF(ISNUMBER(INDEX(SPPR!$E:$Z,MATCH($A137,SPPR!$A:$A,0),15)),$C137*INDEX(SPPR!$E:$Z,MATCH($A137,SPPR!$A:$A,0),15),""),"")</f>
        <v/>
      </c>
      <c r="S137">
        <f>IFERROR(IF(ISNUMBER(INDEX(SPPR!$E:$Z,MATCH($A137,SPPR!$A:$A,0),16)),$C137*INDEX(SPPR!$E:$Z,MATCH($A137,SPPR!$A:$A,0),16),""),"")</f>
        <v/>
      </c>
      <c r="T137">
        <f>IFERROR(IF(ISNUMBER(INDEX(SPPR!$E:$Z,MATCH($A137,SPPR!$A:$A,0),17)),$C137*INDEX(SPPR!$E:$Z,MATCH($A137,SPPR!$A:$A,0),17),""),"")</f>
        <v/>
      </c>
      <c r="U137">
        <f>IFERROR(IF(ISNUMBER(INDEX(SPPR!$E:$Z,MATCH($A137,SPPR!$A:$A,0),18)),$C137*INDEX(SPPR!$E:$Z,MATCH($A137,SPPR!$A:$A,0),18),""),"")</f>
        <v/>
      </c>
      <c r="V137">
        <f>IFERROR(IF(ISNUMBER(INDEX(SPPR!$E:$Z,MATCH($A137,SPPR!$A:$A,0),19)),$C137*INDEX(SPPR!$E:$Z,MATCH($A137,SPPR!$A:$A,0),19),""),"")</f>
        <v/>
      </c>
      <c r="W137">
        <f>IFERROR(IF(ISNUMBER(INDEX(SPPR!$E:$Z,MATCH($A137,SPPR!$A:$A,0),20)),$C137*INDEX(SPPR!$E:$Z,MATCH($A137,SPPR!$A:$A,0),20),""),"")</f>
        <v/>
      </c>
      <c r="X137">
        <f>IFERROR(IF(ISNUMBER(INDEX(SPPR!$E:$Z,MATCH($A137,SPPR!$A:$A,0),21)),$C137*INDEX(SPPR!$E:$Z,MATCH($A137,SPPR!$A:$A,0),21),""),"")</f>
        <v/>
      </c>
      <c r="Y137">
        <f>IFERROR(IF(ISNUMBER(INDEX(SPPR!$E:$Z,MATCH($A137,SPPR!$A:$A,0),22)),$C137*INDEX(SPPR!$E:$Z,MATCH($A137,SPPR!$A:$A,0),22),""),"")</f>
        <v/>
      </c>
    </row>
    <row r="138">
      <c r="A138" t="inlineStr">
        <is>
          <t>Selar crumenophthalmus</t>
        </is>
      </c>
      <c r="B138">
        <f>IFERROR(INDEX(SPPR!$D:$D,MATCH($A138,SPPR!$A:$A,0)),"")</f>
        <v/>
      </c>
      <c r="C138">
        <f>IFERROR(INDEX(Catch!$E:$BV,MATCH($A138,Catch!$A:$A,0),MATCH($B$4,Catch!$E$1:$BV$1,0)),0)</f>
        <v/>
      </c>
      <c r="D138">
        <f>IFERROR(IF(ISNUMBER(INDEX(SPPR!$E:$Z,MATCH($A138,SPPR!$A:$A,0),1)),$C138*INDEX(SPPR!$E:$Z,MATCH($A138,SPPR!$A:$A,0),1),""),"")</f>
        <v/>
      </c>
      <c r="E138">
        <f>IFERROR(IF(ISNUMBER(INDEX(SPPR!$E:$Z,MATCH($A138,SPPR!$A:$A,0),2)),$C138*INDEX(SPPR!$E:$Z,MATCH($A138,SPPR!$A:$A,0),2),""),"")</f>
        <v/>
      </c>
      <c r="F138">
        <f>IFERROR(IF(ISNUMBER(INDEX(SPPR!$E:$Z,MATCH($A138,SPPR!$A:$A,0),3)),$C138*INDEX(SPPR!$E:$Z,MATCH($A138,SPPR!$A:$A,0),3),""),"")</f>
        <v/>
      </c>
      <c r="G138">
        <f>IFERROR(IF(ISNUMBER(INDEX(SPPR!$E:$Z,MATCH($A138,SPPR!$A:$A,0),4)),$C138*INDEX(SPPR!$E:$Z,MATCH($A138,SPPR!$A:$A,0),4),""),"")</f>
        <v/>
      </c>
      <c r="H138">
        <f>IFERROR(IF(ISNUMBER(INDEX(SPPR!$E:$Z,MATCH($A138,SPPR!$A:$A,0),5)),$C138*INDEX(SPPR!$E:$Z,MATCH($A138,SPPR!$A:$A,0),5),""),"")</f>
        <v/>
      </c>
      <c r="I138">
        <f>IFERROR(IF(ISNUMBER(INDEX(SPPR!$E:$Z,MATCH($A138,SPPR!$A:$A,0),6)),$C138*INDEX(SPPR!$E:$Z,MATCH($A138,SPPR!$A:$A,0),6),""),"")</f>
        <v/>
      </c>
      <c r="J138">
        <f>IFERROR(IF(ISNUMBER(INDEX(SPPR!$E:$Z,MATCH($A138,SPPR!$A:$A,0),7)),$C138*INDEX(SPPR!$E:$Z,MATCH($A138,SPPR!$A:$A,0),7),""),"")</f>
        <v/>
      </c>
      <c r="K138">
        <f>IFERROR(IF(ISNUMBER(INDEX(SPPR!$E:$Z,MATCH($A138,SPPR!$A:$A,0),8)),$C138*INDEX(SPPR!$E:$Z,MATCH($A138,SPPR!$A:$A,0),8),""),"")</f>
        <v/>
      </c>
      <c r="L138">
        <f>IFERROR(IF(ISNUMBER(INDEX(SPPR!$E:$Z,MATCH($A138,SPPR!$A:$A,0),9)),$C138*INDEX(SPPR!$E:$Z,MATCH($A138,SPPR!$A:$A,0),9),""),"")</f>
        <v/>
      </c>
      <c r="M138">
        <f>IFERROR(IF(ISNUMBER(INDEX(SPPR!$E:$Z,MATCH($A138,SPPR!$A:$A,0),10)),$C138*INDEX(SPPR!$E:$Z,MATCH($A138,SPPR!$A:$A,0),10),""),"")</f>
        <v/>
      </c>
      <c r="N138">
        <f>IFERROR(IF(ISNUMBER(INDEX(SPPR!$E:$Z,MATCH($A138,SPPR!$A:$A,0),11)),$C138*INDEX(SPPR!$E:$Z,MATCH($A138,SPPR!$A:$A,0),11),""),"")</f>
        <v/>
      </c>
      <c r="O138">
        <f>IFERROR(IF(ISNUMBER(INDEX(SPPR!$E:$Z,MATCH($A138,SPPR!$A:$A,0),12)),$C138*INDEX(SPPR!$E:$Z,MATCH($A138,SPPR!$A:$A,0),12),""),"")</f>
        <v/>
      </c>
      <c r="P138">
        <f>IFERROR(IF(ISNUMBER(INDEX(SPPR!$E:$Z,MATCH($A138,SPPR!$A:$A,0),13)),$C138*INDEX(SPPR!$E:$Z,MATCH($A138,SPPR!$A:$A,0),13),""),"")</f>
        <v/>
      </c>
      <c r="Q138">
        <f>IFERROR(IF(ISNUMBER(INDEX(SPPR!$E:$Z,MATCH($A138,SPPR!$A:$A,0),14)),$C138*INDEX(SPPR!$E:$Z,MATCH($A138,SPPR!$A:$A,0),14),""),"")</f>
        <v/>
      </c>
      <c r="R138">
        <f>IFERROR(IF(ISNUMBER(INDEX(SPPR!$E:$Z,MATCH($A138,SPPR!$A:$A,0),15)),$C138*INDEX(SPPR!$E:$Z,MATCH($A138,SPPR!$A:$A,0),15),""),"")</f>
        <v/>
      </c>
      <c r="S138">
        <f>IFERROR(IF(ISNUMBER(INDEX(SPPR!$E:$Z,MATCH($A138,SPPR!$A:$A,0),16)),$C138*INDEX(SPPR!$E:$Z,MATCH($A138,SPPR!$A:$A,0),16),""),"")</f>
        <v/>
      </c>
      <c r="T138">
        <f>IFERROR(IF(ISNUMBER(INDEX(SPPR!$E:$Z,MATCH($A138,SPPR!$A:$A,0),17)),$C138*INDEX(SPPR!$E:$Z,MATCH($A138,SPPR!$A:$A,0),17),""),"")</f>
        <v/>
      </c>
      <c r="U138">
        <f>IFERROR(IF(ISNUMBER(INDEX(SPPR!$E:$Z,MATCH($A138,SPPR!$A:$A,0),18)),$C138*INDEX(SPPR!$E:$Z,MATCH($A138,SPPR!$A:$A,0),18),""),"")</f>
        <v/>
      </c>
      <c r="V138">
        <f>IFERROR(IF(ISNUMBER(INDEX(SPPR!$E:$Z,MATCH($A138,SPPR!$A:$A,0),19)),$C138*INDEX(SPPR!$E:$Z,MATCH($A138,SPPR!$A:$A,0),19),""),"")</f>
        <v/>
      </c>
      <c r="W138">
        <f>IFERROR(IF(ISNUMBER(INDEX(SPPR!$E:$Z,MATCH($A138,SPPR!$A:$A,0),20)),$C138*INDEX(SPPR!$E:$Z,MATCH($A138,SPPR!$A:$A,0),20),""),"")</f>
        <v/>
      </c>
      <c r="X138">
        <f>IFERROR(IF(ISNUMBER(INDEX(SPPR!$E:$Z,MATCH($A138,SPPR!$A:$A,0),21)),$C138*INDEX(SPPR!$E:$Z,MATCH($A138,SPPR!$A:$A,0),21),""),"")</f>
        <v/>
      </c>
      <c r="Y138">
        <f>IFERROR(IF(ISNUMBER(INDEX(SPPR!$E:$Z,MATCH($A138,SPPR!$A:$A,0),22)),$C138*INDEX(SPPR!$E:$Z,MATCH($A138,SPPR!$A:$A,0),22),""),"")</f>
        <v/>
      </c>
    </row>
    <row r="139">
      <c r="A139" t="inlineStr">
        <is>
          <t>Soleidae</t>
        </is>
      </c>
      <c r="B139">
        <f>IFERROR(INDEX(SPPR!$D:$D,MATCH($A139,SPPR!$A:$A,0)),"")</f>
        <v/>
      </c>
      <c r="C139">
        <f>IFERROR(INDEX(Catch!$E:$BV,MATCH($A139,Catch!$A:$A,0),MATCH($B$4,Catch!$E$1:$BV$1,0)),0)</f>
        <v/>
      </c>
      <c r="D139">
        <f>IFERROR(IF(ISNUMBER(INDEX(SPPR!$E:$Z,MATCH($A139,SPPR!$A:$A,0),1)),$C139*INDEX(SPPR!$E:$Z,MATCH($A139,SPPR!$A:$A,0),1),""),"")</f>
        <v/>
      </c>
      <c r="E139">
        <f>IFERROR(IF(ISNUMBER(INDEX(SPPR!$E:$Z,MATCH($A139,SPPR!$A:$A,0),2)),$C139*INDEX(SPPR!$E:$Z,MATCH($A139,SPPR!$A:$A,0),2),""),"")</f>
        <v/>
      </c>
      <c r="F139">
        <f>IFERROR(IF(ISNUMBER(INDEX(SPPR!$E:$Z,MATCH($A139,SPPR!$A:$A,0),3)),$C139*INDEX(SPPR!$E:$Z,MATCH($A139,SPPR!$A:$A,0),3),""),"")</f>
        <v/>
      </c>
      <c r="G139">
        <f>IFERROR(IF(ISNUMBER(INDEX(SPPR!$E:$Z,MATCH($A139,SPPR!$A:$A,0),4)),$C139*INDEX(SPPR!$E:$Z,MATCH($A139,SPPR!$A:$A,0),4),""),"")</f>
        <v/>
      </c>
      <c r="H139">
        <f>IFERROR(IF(ISNUMBER(INDEX(SPPR!$E:$Z,MATCH($A139,SPPR!$A:$A,0),5)),$C139*INDEX(SPPR!$E:$Z,MATCH($A139,SPPR!$A:$A,0),5),""),"")</f>
        <v/>
      </c>
      <c r="I139">
        <f>IFERROR(IF(ISNUMBER(INDEX(SPPR!$E:$Z,MATCH($A139,SPPR!$A:$A,0),6)),$C139*INDEX(SPPR!$E:$Z,MATCH($A139,SPPR!$A:$A,0),6),""),"")</f>
        <v/>
      </c>
      <c r="J139">
        <f>IFERROR(IF(ISNUMBER(INDEX(SPPR!$E:$Z,MATCH($A139,SPPR!$A:$A,0),7)),$C139*INDEX(SPPR!$E:$Z,MATCH($A139,SPPR!$A:$A,0),7),""),"")</f>
        <v/>
      </c>
      <c r="K139">
        <f>IFERROR(IF(ISNUMBER(INDEX(SPPR!$E:$Z,MATCH($A139,SPPR!$A:$A,0),8)),$C139*INDEX(SPPR!$E:$Z,MATCH($A139,SPPR!$A:$A,0),8),""),"")</f>
        <v/>
      </c>
      <c r="L139">
        <f>IFERROR(IF(ISNUMBER(INDEX(SPPR!$E:$Z,MATCH($A139,SPPR!$A:$A,0),9)),$C139*INDEX(SPPR!$E:$Z,MATCH($A139,SPPR!$A:$A,0),9),""),"")</f>
        <v/>
      </c>
      <c r="M139">
        <f>IFERROR(IF(ISNUMBER(INDEX(SPPR!$E:$Z,MATCH($A139,SPPR!$A:$A,0),10)),$C139*INDEX(SPPR!$E:$Z,MATCH($A139,SPPR!$A:$A,0),10),""),"")</f>
        <v/>
      </c>
      <c r="N139">
        <f>IFERROR(IF(ISNUMBER(INDEX(SPPR!$E:$Z,MATCH($A139,SPPR!$A:$A,0),11)),$C139*INDEX(SPPR!$E:$Z,MATCH($A139,SPPR!$A:$A,0),11),""),"")</f>
        <v/>
      </c>
      <c r="O139">
        <f>IFERROR(IF(ISNUMBER(INDEX(SPPR!$E:$Z,MATCH($A139,SPPR!$A:$A,0),12)),$C139*INDEX(SPPR!$E:$Z,MATCH($A139,SPPR!$A:$A,0),12),""),"")</f>
        <v/>
      </c>
      <c r="P139">
        <f>IFERROR(IF(ISNUMBER(INDEX(SPPR!$E:$Z,MATCH($A139,SPPR!$A:$A,0),13)),$C139*INDEX(SPPR!$E:$Z,MATCH($A139,SPPR!$A:$A,0),13),""),"")</f>
        <v/>
      </c>
      <c r="Q139">
        <f>IFERROR(IF(ISNUMBER(INDEX(SPPR!$E:$Z,MATCH($A139,SPPR!$A:$A,0),14)),$C139*INDEX(SPPR!$E:$Z,MATCH($A139,SPPR!$A:$A,0),14),""),"")</f>
        <v/>
      </c>
      <c r="R139">
        <f>IFERROR(IF(ISNUMBER(INDEX(SPPR!$E:$Z,MATCH($A139,SPPR!$A:$A,0),15)),$C139*INDEX(SPPR!$E:$Z,MATCH($A139,SPPR!$A:$A,0),15),""),"")</f>
        <v/>
      </c>
      <c r="S139">
        <f>IFERROR(IF(ISNUMBER(INDEX(SPPR!$E:$Z,MATCH($A139,SPPR!$A:$A,0),16)),$C139*INDEX(SPPR!$E:$Z,MATCH($A139,SPPR!$A:$A,0),16),""),"")</f>
        <v/>
      </c>
      <c r="T139">
        <f>IFERROR(IF(ISNUMBER(INDEX(SPPR!$E:$Z,MATCH($A139,SPPR!$A:$A,0),17)),$C139*INDEX(SPPR!$E:$Z,MATCH($A139,SPPR!$A:$A,0),17),""),"")</f>
        <v/>
      </c>
      <c r="U139">
        <f>IFERROR(IF(ISNUMBER(INDEX(SPPR!$E:$Z,MATCH($A139,SPPR!$A:$A,0),18)),$C139*INDEX(SPPR!$E:$Z,MATCH($A139,SPPR!$A:$A,0),18),""),"")</f>
        <v/>
      </c>
      <c r="V139">
        <f>IFERROR(IF(ISNUMBER(INDEX(SPPR!$E:$Z,MATCH($A139,SPPR!$A:$A,0),19)),$C139*INDEX(SPPR!$E:$Z,MATCH($A139,SPPR!$A:$A,0),19),""),"")</f>
        <v/>
      </c>
      <c r="W139">
        <f>IFERROR(IF(ISNUMBER(INDEX(SPPR!$E:$Z,MATCH($A139,SPPR!$A:$A,0),20)),$C139*INDEX(SPPR!$E:$Z,MATCH($A139,SPPR!$A:$A,0),20),""),"")</f>
        <v/>
      </c>
      <c r="X139">
        <f>IFERROR(IF(ISNUMBER(INDEX(SPPR!$E:$Z,MATCH($A139,SPPR!$A:$A,0),21)),$C139*INDEX(SPPR!$E:$Z,MATCH($A139,SPPR!$A:$A,0),21),""),"")</f>
        <v/>
      </c>
      <c r="Y139">
        <f>IFERROR(IF(ISNUMBER(INDEX(SPPR!$E:$Z,MATCH($A139,SPPR!$A:$A,0),22)),$C139*INDEX(SPPR!$E:$Z,MATCH($A139,SPPR!$A:$A,0),22),""),"")</f>
        <v/>
      </c>
    </row>
    <row r="140">
      <c r="A140" t="inlineStr">
        <is>
          <t>Sillago</t>
        </is>
      </c>
      <c r="B140">
        <f>IFERROR(INDEX(SPPR!$D:$D,MATCH($A140,SPPR!$A:$A,0)),"")</f>
        <v/>
      </c>
      <c r="C140">
        <f>IFERROR(INDEX(Catch!$E:$BV,MATCH($A140,Catch!$A:$A,0),MATCH($B$4,Catch!$E$1:$BV$1,0)),0)</f>
        <v/>
      </c>
      <c r="D140">
        <f>IFERROR(IF(ISNUMBER(INDEX(SPPR!$E:$Z,MATCH($A140,SPPR!$A:$A,0),1)),$C140*INDEX(SPPR!$E:$Z,MATCH($A140,SPPR!$A:$A,0),1),""),"")</f>
        <v/>
      </c>
      <c r="E140">
        <f>IFERROR(IF(ISNUMBER(INDEX(SPPR!$E:$Z,MATCH($A140,SPPR!$A:$A,0),2)),$C140*INDEX(SPPR!$E:$Z,MATCH($A140,SPPR!$A:$A,0),2),""),"")</f>
        <v/>
      </c>
      <c r="F140">
        <f>IFERROR(IF(ISNUMBER(INDEX(SPPR!$E:$Z,MATCH($A140,SPPR!$A:$A,0),3)),$C140*INDEX(SPPR!$E:$Z,MATCH($A140,SPPR!$A:$A,0),3),""),"")</f>
        <v/>
      </c>
      <c r="G140">
        <f>IFERROR(IF(ISNUMBER(INDEX(SPPR!$E:$Z,MATCH($A140,SPPR!$A:$A,0),4)),$C140*INDEX(SPPR!$E:$Z,MATCH($A140,SPPR!$A:$A,0),4),""),"")</f>
        <v/>
      </c>
      <c r="H140">
        <f>IFERROR(IF(ISNUMBER(INDEX(SPPR!$E:$Z,MATCH($A140,SPPR!$A:$A,0),5)),$C140*INDEX(SPPR!$E:$Z,MATCH($A140,SPPR!$A:$A,0),5),""),"")</f>
        <v/>
      </c>
      <c r="I140">
        <f>IFERROR(IF(ISNUMBER(INDEX(SPPR!$E:$Z,MATCH($A140,SPPR!$A:$A,0),6)),$C140*INDEX(SPPR!$E:$Z,MATCH($A140,SPPR!$A:$A,0),6),""),"")</f>
        <v/>
      </c>
      <c r="J140">
        <f>IFERROR(IF(ISNUMBER(INDEX(SPPR!$E:$Z,MATCH($A140,SPPR!$A:$A,0),7)),$C140*INDEX(SPPR!$E:$Z,MATCH($A140,SPPR!$A:$A,0),7),""),"")</f>
        <v/>
      </c>
      <c r="K140">
        <f>IFERROR(IF(ISNUMBER(INDEX(SPPR!$E:$Z,MATCH($A140,SPPR!$A:$A,0),8)),$C140*INDEX(SPPR!$E:$Z,MATCH($A140,SPPR!$A:$A,0),8),""),"")</f>
        <v/>
      </c>
      <c r="L140">
        <f>IFERROR(IF(ISNUMBER(INDEX(SPPR!$E:$Z,MATCH($A140,SPPR!$A:$A,0),9)),$C140*INDEX(SPPR!$E:$Z,MATCH($A140,SPPR!$A:$A,0),9),""),"")</f>
        <v/>
      </c>
      <c r="M140">
        <f>IFERROR(IF(ISNUMBER(INDEX(SPPR!$E:$Z,MATCH($A140,SPPR!$A:$A,0),10)),$C140*INDEX(SPPR!$E:$Z,MATCH($A140,SPPR!$A:$A,0),10),""),"")</f>
        <v/>
      </c>
      <c r="N140">
        <f>IFERROR(IF(ISNUMBER(INDEX(SPPR!$E:$Z,MATCH($A140,SPPR!$A:$A,0),11)),$C140*INDEX(SPPR!$E:$Z,MATCH($A140,SPPR!$A:$A,0),11),""),"")</f>
        <v/>
      </c>
      <c r="O140">
        <f>IFERROR(IF(ISNUMBER(INDEX(SPPR!$E:$Z,MATCH($A140,SPPR!$A:$A,0),12)),$C140*INDEX(SPPR!$E:$Z,MATCH($A140,SPPR!$A:$A,0),12),""),"")</f>
        <v/>
      </c>
      <c r="P140">
        <f>IFERROR(IF(ISNUMBER(INDEX(SPPR!$E:$Z,MATCH($A140,SPPR!$A:$A,0),13)),$C140*INDEX(SPPR!$E:$Z,MATCH($A140,SPPR!$A:$A,0),13),""),"")</f>
        <v/>
      </c>
      <c r="Q140">
        <f>IFERROR(IF(ISNUMBER(INDEX(SPPR!$E:$Z,MATCH($A140,SPPR!$A:$A,0),14)),$C140*INDEX(SPPR!$E:$Z,MATCH($A140,SPPR!$A:$A,0),14),""),"")</f>
        <v/>
      </c>
      <c r="R140">
        <f>IFERROR(IF(ISNUMBER(INDEX(SPPR!$E:$Z,MATCH($A140,SPPR!$A:$A,0),15)),$C140*INDEX(SPPR!$E:$Z,MATCH($A140,SPPR!$A:$A,0),15),""),"")</f>
        <v/>
      </c>
      <c r="S140">
        <f>IFERROR(IF(ISNUMBER(INDEX(SPPR!$E:$Z,MATCH($A140,SPPR!$A:$A,0),16)),$C140*INDEX(SPPR!$E:$Z,MATCH($A140,SPPR!$A:$A,0),16),""),"")</f>
        <v/>
      </c>
      <c r="T140">
        <f>IFERROR(IF(ISNUMBER(INDEX(SPPR!$E:$Z,MATCH($A140,SPPR!$A:$A,0),17)),$C140*INDEX(SPPR!$E:$Z,MATCH($A140,SPPR!$A:$A,0),17),""),"")</f>
        <v/>
      </c>
      <c r="U140">
        <f>IFERROR(IF(ISNUMBER(INDEX(SPPR!$E:$Z,MATCH($A140,SPPR!$A:$A,0),18)),$C140*INDEX(SPPR!$E:$Z,MATCH($A140,SPPR!$A:$A,0),18),""),"")</f>
        <v/>
      </c>
      <c r="V140">
        <f>IFERROR(IF(ISNUMBER(INDEX(SPPR!$E:$Z,MATCH($A140,SPPR!$A:$A,0),19)),$C140*INDEX(SPPR!$E:$Z,MATCH($A140,SPPR!$A:$A,0),19),""),"")</f>
        <v/>
      </c>
      <c r="W140">
        <f>IFERROR(IF(ISNUMBER(INDEX(SPPR!$E:$Z,MATCH($A140,SPPR!$A:$A,0),20)),$C140*INDEX(SPPR!$E:$Z,MATCH($A140,SPPR!$A:$A,0),20),""),"")</f>
        <v/>
      </c>
      <c r="X140">
        <f>IFERROR(IF(ISNUMBER(INDEX(SPPR!$E:$Z,MATCH($A140,SPPR!$A:$A,0),21)),$C140*INDEX(SPPR!$E:$Z,MATCH($A140,SPPR!$A:$A,0),21),""),"")</f>
        <v/>
      </c>
      <c r="Y140">
        <f>IFERROR(IF(ISNUMBER(INDEX(SPPR!$E:$Z,MATCH($A140,SPPR!$A:$A,0),22)),$C140*INDEX(SPPR!$E:$Z,MATCH($A140,SPPR!$A:$A,0),22),""),"")</f>
        <v/>
      </c>
    </row>
    <row r="141">
      <c r="A141" t="inlineStr">
        <is>
          <t>Veneridae</t>
        </is>
      </c>
      <c r="B141">
        <f>IFERROR(INDEX(SPPR!$D:$D,MATCH($A141,SPPR!$A:$A,0)),"")</f>
        <v/>
      </c>
      <c r="C141">
        <f>IFERROR(INDEX(Catch!$E:$BV,MATCH($A141,Catch!$A:$A,0),MATCH($B$4,Catch!$E$1:$BV$1,0)),0)</f>
        <v/>
      </c>
      <c r="D141">
        <f>IFERROR(IF(ISNUMBER(INDEX(SPPR!$E:$Z,MATCH($A141,SPPR!$A:$A,0),1)),$C141*INDEX(SPPR!$E:$Z,MATCH($A141,SPPR!$A:$A,0),1),""),"")</f>
        <v/>
      </c>
      <c r="E141">
        <f>IFERROR(IF(ISNUMBER(INDEX(SPPR!$E:$Z,MATCH($A141,SPPR!$A:$A,0),2)),$C141*INDEX(SPPR!$E:$Z,MATCH($A141,SPPR!$A:$A,0),2),""),"")</f>
        <v/>
      </c>
      <c r="F141">
        <f>IFERROR(IF(ISNUMBER(INDEX(SPPR!$E:$Z,MATCH($A141,SPPR!$A:$A,0),3)),$C141*INDEX(SPPR!$E:$Z,MATCH($A141,SPPR!$A:$A,0),3),""),"")</f>
        <v/>
      </c>
      <c r="G141">
        <f>IFERROR(IF(ISNUMBER(INDEX(SPPR!$E:$Z,MATCH($A141,SPPR!$A:$A,0),4)),$C141*INDEX(SPPR!$E:$Z,MATCH($A141,SPPR!$A:$A,0),4),""),"")</f>
        <v/>
      </c>
      <c r="H141">
        <f>IFERROR(IF(ISNUMBER(INDEX(SPPR!$E:$Z,MATCH($A141,SPPR!$A:$A,0),5)),$C141*INDEX(SPPR!$E:$Z,MATCH($A141,SPPR!$A:$A,0),5),""),"")</f>
        <v/>
      </c>
      <c r="I141">
        <f>IFERROR(IF(ISNUMBER(INDEX(SPPR!$E:$Z,MATCH($A141,SPPR!$A:$A,0),6)),$C141*INDEX(SPPR!$E:$Z,MATCH($A141,SPPR!$A:$A,0),6),""),"")</f>
        <v/>
      </c>
      <c r="J141">
        <f>IFERROR(IF(ISNUMBER(INDEX(SPPR!$E:$Z,MATCH($A141,SPPR!$A:$A,0),7)),$C141*INDEX(SPPR!$E:$Z,MATCH($A141,SPPR!$A:$A,0),7),""),"")</f>
        <v/>
      </c>
      <c r="K141">
        <f>IFERROR(IF(ISNUMBER(INDEX(SPPR!$E:$Z,MATCH($A141,SPPR!$A:$A,0),8)),$C141*INDEX(SPPR!$E:$Z,MATCH($A141,SPPR!$A:$A,0),8),""),"")</f>
        <v/>
      </c>
      <c r="L141">
        <f>IFERROR(IF(ISNUMBER(INDEX(SPPR!$E:$Z,MATCH($A141,SPPR!$A:$A,0),9)),$C141*INDEX(SPPR!$E:$Z,MATCH($A141,SPPR!$A:$A,0),9),""),"")</f>
        <v/>
      </c>
      <c r="M141">
        <f>IFERROR(IF(ISNUMBER(INDEX(SPPR!$E:$Z,MATCH($A141,SPPR!$A:$A,0),10)),$C141*INDEX(SPPR!$E:$Z,MATCH($A141,SPPR!$A:$A,0),10),""),"")</f>
        <v/>
      </c>
      <c r="N141">
        <f>IFERROR(IF(ISNUMBER(INDEX(SPPR!$E:$Z,MATCH($A141,SPPR!$A:$A,0),11)),$C141*INDEX(SPPR!$E:$Z,MATCH($A141,SPPR!$A:$A,0),11),""),"")</f>
        <v/>
      </c>
      <c r="O141">
        <f>IFERROR(IF(ISNUMBER(INDEX(SPPR!$E:$Z,MATCH($A141,SPPR!$A:$A,0),12)),$C141*INDEX(SPPR!$E:$Z,MATCH($A141,SPPR!$A:$A,0),12),""),"")</f>
        <v/>
      </c>
      <c r="P141">
        <f>IFERROR(IF(ISNUMBER(INDEX(SPPR!$E:$Z,MATCH($A141,SPPR!$A:$A,0),13)),$C141*INDEX(SPPR!$E:$Z,MATCH($A141,SPPR!$A:$A,0),13),""),"")</f>
        <v/>
      </c>
      <c r="Q141">
        <f>IFERROR(IF(ISNUMBER(INDEX(SPPR!$E:$Z,MATCH($A141,SPPR!$A:$A,0),14)),$C141*INDEX(SPPR!$E:$Z,MATCH($A141,SPPR!$A:$A,0),14),""),"")</f>
        <v/>
      </c>
      <c r="R141">
        <f>IFERROR(IF(ISNUMBER(INDEX(SPPR!$E:$Z,MATCH($A141,SPPR!$A:$A,0),15)),$C141*INDEX(SPPR!$E:$Z,MATCH($A141,SPPR!$A:$A,0),15),""),"")</f>
        <v/>
      </c>
      <c r="S141">
        <f>IFERROR(IF(ISNUMBER(INDEX(SPPR!$E:$Z,MATCH($A141,SPPR!$A:$A,0),16)),$C141*INDEX(SPPR!$E:$Z,MATCH($A141,SPPR!$A:$A,0),16),""),"")</f>
        <v/>
      </c>
      <c r="T141">
        <f>IFERROR(IF(ISNUMBER(INDEX(SPPR!$E:$Z,MATCH($A141,SPPR!$A:$A,0),17)),$C141*INDEX(SPPR!$E:$Z,MATCH($A141,SPPR!$A:$A,0),17),""),"")</f>
        <v/>
      </c>
      <c r="U141">
        <f>IFERROR(IF(ISNUMBER(INDEX(SPPR!$E:$Z,MATCH($A141,SPPR!$A:$A,0),18)),$C141*INDEX(SPPR!$E:$Z,MATCH($A141,SPPR!$A:$A,0),18),""),"")</f>
        <v/>
      </c>
      <c r="V141">
        <f>IFERROR(IF(ISNUMBER(INDEX(SPPR!$E:$Z,MATCH($A141,SPPR!$A:$A,0),19)),$C141*INDEX(SPPR!$E:$Z,MATCH($A141,SPPR!$A:$A,0),19),""),"")</f>
        <v/>
      </c>
      <c r="W141">
        <f>IFERROR(IF(ISNUMBER(INDEX(SPPR!$E:$Z,MATCH($A141,SPPR!$A:$A,0),20)),$C141*INDEX(SPPR!$E:$Z,MATCH($A141,SPPR!$A:$A,0),20),""),"")</f>
        <v/>
      </c>
      <c r="X141">
        <f>IFERROR(IF(ISNUMBER(INDEX(SPPR!$E:$Z,MATCH($A141,SPPR!$A:$A,0),21)),$C141*INDEX(SPPR!$E:$Z,MATCH($A141,SPPR!$A:$A,0),21),""),"")</f>
        <v/>
      </c>
      <c r="Y141">
        <f>IFERROR(IF(ISNUMBER(INDEX(SPPR!$E:$Z,MATCH($A141,SPPR!$A:$A,0),22)),$C141*INDEX(SPPR!$E:$Z,MATCH($A141,SPPR!$A:$A,0),22),""),"")</f>
        <v/>
      </c>
    </row>
    <row r="142">
      <c r="A142" t="inlineStr">
        <is>
          <t>Pampus chinensis</t>
        </is>
      </c>
      <c r="B142">
        <f>IFERROR(INDEX(SPPR!$D:$D,MATCH($A142,SPPR!$A:$A,0)),"")</f>
        <v/>
      </c>
      <c r="C142">
        <f>IFERROR(INDEX(Catch!$E:$BV,MATCH($A142,Catch!$A:$A,0),MATCH($B$4,Catch!$E$1:$BV$1,0)),0)</f>
        <v/>
      </c>
      <c r="D142">
        <f>IFERROR(IF(ISNUMBER(INDEX(SPPR!$E:$Z,MATCH($A142,SPPR!$A:$A,0),1)),$C142*INDEX(SPPR!$E:$Z,MATCH($A142,SPPR!$A:$A,0),1),""),"")</f>
        <v/>
      </c>
      <c r="E142">
        <f>IFERROR(IF(ISNUMBER(INDEX(SPPR!$E:$Z,MATCH($A142,SPPR!$A:$A,0),2)),$C142*INDEX(SPPR!$E:$Z,MATCH($A142,SPPR!$A:$A,0),2),""),"")</f>
        <v/>
      </c>
      <c r="F142">
        <f>IFERROR(IF(ISNUMBER(INDEX(SPPR!$E:$Z,MATCH($A142,SPPR!$A:$A,0),3)),$C142*INDEX(SPPR!$E:$Z,MATCH($A142,SPPR!$A:$A,0),3),""),"")</f>
        <v/>
      </c>
      <c r="G142">
        <f>IFERROR(IF(ISNUMBER(INDEX(SPPR!$E:$Z,MATCH($A142,SPPR!$A:$A,0),4)),$C142*INDEX(SPPR!$E:$Z,MATCH($A142,SPPR!$A:$A,0),4),""),"")</f>
        <v/>
      </c>
      <c r="H142">
        <f>IFERROR(IF(ISNUMBER(INDEX(SPPR!$E:$Z,MATCH($A142,SPPR!$A:$A,0),5)),$C142*INDEX(SPPR!$E:$Z,MATCH($A142,SPPR!$A:$A,0),5),""),"")</f>
        <v/>
      </c>
      <c r="I142">
        <f>IFERROR(IF(ISNUMBER(INDEX(SPPR!$E:$Z,MATCH($A142,SPPR!$A:$A,0),6)),$C142*INDEX(SPPR!$E:$Z,MATCH($A142,SPPR!$A:$A,0),6),""),"")</f>
        <v/>
      </c>
      <c r="J142">
        <f>IFERROR(IF(ISNUMBER(INDEX(SPPR!$E:$Z,MATCH($A142,SPPR!$A:$A,0),7)),$C142*INDEX(SPPR!$E:$Z,MATCH($A142,SPPR!$A:$A,0),7),""),"")</f>
        <v/>
      </c>
      <c r="K142">
        <f>IFERROR(IF(ISNUMBER(INDEX(SPPR!$E:$Z,MATCH($A142,SPPR!$A:$A,0),8)),$C142*INDEX(SPPR!$E:$Z,MATCH($A142,SPPR!$A:$A,0),8),""),"")</f>
        <v/>
      </c>
      <c r="L142">
        <f>IFERROR(IF(ISNUMBER(INDEX(SPPR!$E:$Z,MATCH($A142,SPPR!$A:$A,0),9)),$C142*INDEX(SPPR!$E:$Z,MATCH($A142,SPPR!$A:$A,0),9),""),"")</f>
        <v/>
      </c>
      <c r="M142">
        <f>IFERROR(IF(ISNUMBER(INDEX(SPPR!$E:$Z,MATCH($A142,SPPR!$A:$A,0),10)),$C142*INDEX(SPPR!$E:$Z,MATCH($A142,SPPR!$A:$A,0),10),""),"")</f>
        <v/>
      </c>
      <c r="N142">
        <f>IFERROR(IF(ISNUMBER(INDEX(SPPR!$E:$Z,MATCH($A142,SPPR!$A:$A,0),11)),$C142*INDEX(SPPR!$E:$Z,MATCH($A142,SPPR!$A:$A,0),11),""),"")</f>
        <v/>
      </c>
      <c r="O142">
        <f>IFERROR(IF(ISNUMBER(INDEX(SPPR!$E:$Z,MATCH($A142,SPPR!$A:$A,0),12)),$C142*INDEX(SPPR!$E:$Z,MATCH($A142,SPPR!$A:$A,0),12),""),"")</f>
        <v/>
      </c>
      <c r="P142">
        <f>IFERROR(IF(ISNUMBER(INDEX(SPPR!$E:$Z,MATCH($A142,SPPR!$A:$A,0),13)),$C142*INDEX(SPPR!$E:$Z,MATCH($A142,SPPR!$A:$A,0),13),""),"")</f>
        <v/>
      </c>
      <c r="Q142">
        <f>IFERROR(IF(ISNUMBER(INDEX(SPPR!$E:$Z,MATCH($A142,SPPR!$A:$A,0),14)),$C142*INDEX(SPPR!$E:$Z,MATCH($A142,SPPR!$A:$A,0),14),""),"")</f>
        <v/>
      </c>
      <c r="R142">
        <f>IFERROR(IF(ISNUMBER(INDEX(SPPR!$E:$Z,MATCH($A142,SPPR!$A:$A,0),15)),$C142*INDEX(SPPR!$E:$Z,MATCH($A142,SPPR!$A:$A,0),15),""),"")</f>
        <v/>
      </c>
      <c r="S142">
        <f>IFERROR(IF(ISNUMBER(INDEX(SPPR!$E:$Z,MATCH($A142,SPPR!$A:$A,0),16)),$C142*INDEX(SPPR!$E:$Z,MATCH($A142,SPPR!$A:$A,0),16),""),"")</f>
        <v/>
      </c>
      <c r="T142">
        <f>IFERROR(IF(ISNUMBER(INDEX(SPPR!$E:$Z,MATCH($A142,SPPR!$A:$A,0),17)),$C142*INDEX(SPPR!$E:$Z,MATCH($A142,SPPR!$A:$A,0),17),""),"")</f>
        <v/>
      </c>
      <c r="U142">
        <f>IFERROR(IF(ISNUMBER(INDEX(SPPR!$E:$Z,MATCH($A142,SPPR!$A:$A,0),18)),$C142*INDEX(SPPR!$E:$Z,MATCH($A142,SPPR!$A:$A,0),18),""),"")</f>
        <v/>
      </c>
      <c r="V142">
        <f>IFERROR(IF(ISNUMBER(INDEX(SPPR!$E:$Z,MATCH($A142,SPPR!$A:$A,0),19)),$C142*INDEX(SPPR!$E:$Z,MATCH($A142,SPPR!$A:$A,0),19),""),"")</f>
        <v/>
      </c>
      <c r="W142">
        <f>IFERROR(IF(ISNUMBER(INDEX(SPPR!$E:$Z,MATCH($A142,SPPR!$A:$A,0),20)),$C142*INDEX(SPPR!$E:$Z,MATCH($A142,SPPR!$A:$A,0),20),""),"")</f>
        <v/>
      </c>
      <c r="X142">
        <f>IFERROR(IF(ISNUMBER(INDEX(SPPR!$E:$Z,MATCH($A142,SPPR!$A:$A,0),21)),$C142*INDEX(SPPR!$E:$Z,MATCH($A142,SPPR!$A:$A,0),21),""),"")</f>
        <v/>
      </c>
      <c r="Y142">
        <f>IFERROR(IF(ISNUMBER(INDEX(SPPR!$E:$Z,MATCH($A142,SPPR!$A:$A,0),22)),$C142*INDEX(SPPR!$E:$Z,MATCH($A142,SPPR!$A:$A,0),22),""),"")</f>
        <v/>
      </c>
    </row>
    <row r="143">
      <c r="A143" t="inlineStr">
        <is>
          <t>Hemiramphus</t>
        </is>
      </c>
      <c r="B143">
        <f>IFERROR(INDEX(SPPR!$D:$D,MATCH($A143,SPPR!$A:$A,0)),"")</f>
        <v/>
      </c>
      <c r="C143">
        <f>IFERROR(INDEX(Catch!$E:$BV,MATCH($A143,Catch!$A:$A,0),MATCH($B$4,Catch!$E$1:$BV$1,0)),0)</f>
        <v/>
      </c>
      <c r="D143">
        <f>IFERROR(IF(ISNUMBER(INDEX(SPPR!$E:$Z,MATCH($A143,SPPR!$A:$A,0),1)),$C143*INDEX(SPPR!$E:$Z,MATCH($A143,SPPR!$A:$A,0),1),""),"")</f>
        <v/>
      </c>
      <c r="E143">
        <f>IFERROR(IF(ISNUMBER(INDEX(SPPR!$E:$Z,MATCH($A143,SPPR!$A:$A,0),2)),$C143*INDEX(SPPR!$E:$Z,MATCH($A143,SPPR!$A:$A,0),2),""),"")</f>
        <v/>
      </c>
      <c r="F143">
        <f>IFERROR(IF(ISNUMBER(INDEX(SPPR!$E:$Z,MATCH($A143,SPPR!$A:$A,0),3)),$C143*INDEX(SPPR!$E:$Z,MATCH($A143,SPPR!$A:$A,0),3),""),"")</f>
        <v/>
      </c>
      <c r="G143">
        <f>IFERROR(IF(ISNUMBER(INDEX(SPPR!$E:$Z,MATCH($A143,SPPR!$A:$A,0),4)),$C143*INDEX(SPPR!$E:$Z,MATCH($A143,SPPR!$A:$A,0),4),""),"")</f>
        <v/>
      </c>
      <c r="H143">
        <f>IFERROR(IF(ISNUMBER(INDEX(SPPR!$E:$Z,MATCH($A143,SPPR!$A:$A,0),5)),$C143*INDEX(SPPR!$E:$Z,MATCH($A143,SPPR!$A:$A,0),5),""),"")</f>
        <v/>
      </c>
      <c r="I143">
        <f>IFERROR(IF(ISNUMBER(INDEX(SPPR!$E:$Z,MATCH($A143,SPPR!$A:$A,0),6)),$C143*INDEX(SPPR!$E:$Z,MATCH($A143,SPPR!$A:$A,0),6),""),"")</f>
        <v/>
      </c>
      <c r="J143">
        <f>IFERROR(IF(ISNUMBER(INDEX(SPPR!$E:$Z,MATCH($A143,SPPR!$A:$A,0),7)),$C143*INDEX(SPPR!$E:$Z,MATCH($A143,SPPR!$A:$A,0),7),""),"")</f>
        <v/>
      </c>
      <c r="K143">
        <f>IFERROR(IF(ISNUMBER(INDEX(SPPR!$E:$Z,MATCH($A143,SPPR!$A:$A,0),8)),$C143*INDEX(SPPR!$E:$Z,MATCH($A143,SPPR!$A:$A,0),8),""),"")</f>
        <v/>
      </c>
      <c r="L143">
        <f>IFERROR(IF(ISNUMBER(INDEX(SPPR!$E:$Z,MATCH($A143,SPPR!$A:$A,0),9)),$C143*INDEX(SPPR!$E:$Z,MATCH($A143,SPPR!$A:$A,0),9),""),"")</f>
        <v/>
      </c>
      <c r="M143">
        <f>IFERROR(IF(ISNUMBER(INDEX(SPPR!$E:$Z,MATCH($A143,SPPR!$A:$A,0),10)),$C143*INDEX(SPPR!$E:$Z,MATCH($A143,SPPR!$A:$A,0),10),""),"")</f>
        <v/>
      </c>
      <c r="N143">
        <f>IFERROR(IF(ISNUMBER(INDEX(SPPR!$E:$Z,MATCH($A143,SPPR!$A:$A,0),11)),$C143*INDEX(SPPR!$E:$Z,MATCH($A143,SPPR!$A:$A,0),11),""),"")</f>
        <v/>
      </c>
      <c r="O143">
        <f>IFERROR(IF(ISNUMBER(INDEX(SPPR!$E:$Z,MATCH($A143,SPPR!$A:$A,0),12)),$C143*INDEX(SPPR!$E:$Z,MATCH($A143,SPPR!$A:$A,0),12),""),"")</f>
        <v/>
      </c>
      <c r="P143">
        <f>IFERROR(IF(ISNUMBER(INDEX(SPPR!$E:$Z,MATCH($A143,SPPR!$A:$A,0),13)),$C143*INDEX(SPPR!$E:$Z,MATCH($A143,SPPR!$A:$A,0),13),""),"")</f>
        <v/>
      </c>
      <c r="Q143">
        <f>IFERROR(IF(ISNUMBER(INDEX(SPPR!$E:$Z,MATCH($A143,SPPR!$A:$A,0),14)),$C143*INDEX(SPPR!$E:$Z,MATCH($A143,SPPR!$A:$A,0),14),""),"")</f>
        <v/>
      </c>
      <c r="R143">
        <f>IFERROR(IF(ISNUMBER(INDEX(SPPR!$E:$Z,MATCH($A143,SPPR!$A:$A,0),15)),$C143*INDEX(SPPR!$E:$Z,MATCH($A143,SPPR!$A:$A,0),15),""),"")</f>
        <v/>
      </c>
      <c r="S143">
        <f>IFERROR(IF(ISNUMBER(INDEX(SPPR!$E:$Z,MATCH($A143,SPPR!$A:$A,0),16)),$C143*INDEX(SPPR!$E:$Z,MATCH($A143,SPPR!$A:$A,0),16),""),"")</f>
        <v/>
      </c>
      <c r="T143">
        <f>IFERROR(IF(ISNUMBER(INDEX(SPPR!$E:$Z,MATCH($A143,SPPR!$A:$A,0),17)),$C143*INDEX(SPPR!$E:$Z,MATCH($A143,SPPR!$A:$A,0),17),""),"")</f>
        <v/>
      </c>
      <c r="U143">
        <f>IFERROR(IF(ISNUMBER(INDEX(SPPR!$E:$Z,MATCH($A143,SPPR!$A:$A,0),18)),$C143*INDEX(SPPR!$E:$Z,MATCH($A143,SPPR!$A:$A,0),18),""),"")</f>
        <v/>
      </c>
      <c r="V143">
        <f>IFERROR(IF(ISNUMBER(INDEX(SPPR!$E:$Z,MATCH($A143,SPPR!$A:$A,0),19)),$C143*INDEX(SPPR!$E:$Z,MATCH($A143,SPPR!$A:$A,0),19),""),"")</f>
        <v/>
      </c>
      <c r="W143">
        <f>IFERROR(IF(ISNUMBER(INDEX(SPPR!$E:$Z,MATCH($A143,SPPR!$A:$A,0),20)),$C143*INDEX(SPPR!$E:$Z,MATCH($A143,SPPR!$A:$A,0),20),""),"")</f>
        <v/>
      </c>
      <c r="X143">
        <f>IFERROR(IF(ISNUMBER(INDEX(SPPR!$E:$Z,MATCH($A143,SPPR!$A:$A,0),21)),$C143*INDEX(SPPR!$E:$Z,MATCH($A143,SPPR!$A:$A,0),21),""),"")</f>
        <v/>
      </c>
      <c r="Y143">
        <f>IFERROR(IF(ISNUMBER(INDEX(SPPR!$E:$Z,MATCH($A143,SPPR!$A:$A,0),22)),$C143*INDEX(SPPR!$E:$Z,MATCH($A143,SPPR!$A:$A,0),22),""),"")</f>
        <v/>
      </c>
    </row>
    <row r="144">
      <c r="A144" t="inlineStr">
        <is>
          <t>Carcharhinus falciformis</t>
        </is>
      </c>
      <c r="B144">
        <f>IFERROR(INDEX(SPPR!$D:$D,MATCH($A144,SPPR!$A:$A,0)),"")</f>
        <v/>
      </c>
      <c r="C144">
        <f>IFERROR(INDEX(Catch!$E:$BV,MATCH($A144,Catch!$A:$A,0),MATCH($B$4,Catch!$E$1:$BV$1,0)),0)</f>
        <v/>
      </c>
      <c r="D144">
        <f>IFERROR(IF(ISNUMBER(INDEX(SPPR!$E:$Z,MATCH($A144,SPPR!$A:$A,0),1)),$C144*INDEX(SPPR!$E:$Z,MATCH($A144,SPPR!$A:$A,0),1),""),"")</f>
        <v/>
      </c>
      <c r="E144">
        <f>IFERROR(IF(ISNUMBER(INDEX(SPPR!$E:$Z,MATCH($A144,SPPR!$A:$A,0),2)),$C144*INDEX(SPPR!$E:$Z,MATCH($A144,SPPR!$A:$A,0),2),""),"")</f>
        <v/>
      </c>
      <c r="F144">
        <f>IFERROR(IF(ISNUMBER(INDEX(SPPR!$E:$Z,MATCH($A144,SPPR!$A:$A,0),3)),$C144*INDEX(SPPR!$E:$Z,MATCH($A144,SPPR!$A:$A,0),3),""),"")</f>
        <v/>
      </c>
      <c r="G144">
        <f>IFERROR(IF(ISNUMBER(INDEX(SPPR!$E:$Z,MATCH($A144,SPPR!$A:$A,0),4)),$C144*INDEX(SPPR!$E:$Z,MATCH($A144,SPPR!$A:$A,0),4),""),"")</f>
        <v/>
      </c>
      <c r="H144">
        <f>IFERROR(IF(ISNUMBER(INDEX(SPPR!$E:$Z,MATCH($A144,SPPR!$A:$A,0),5)),$C144*INDEX(SPPR!$E:$Z,MATCH($A144,SPPR!$A:$A,0),5),""),"")</f>
        <v/>
      </c>
      <c r="I144">
        <f>IFERROR(IF(ISNUMBER(INDEX(SPPR!$E:$Z,MATCH($A144,SPPR!$A:$A,0),6)),$C144*INDEX(SPPR!$E:$Z,MATCH($A144,SPPR!$A:$A,0),6),""),"")</f>
        <v/>
      </c>
      <c r="J144">
        <f>IFERROR(IF(ISNUMBER(INDEX(SPPR!$E:$Z,MATCH($A144,SPPR!$A:$A,0),7)),$C144*INDEX(SPPR!$E:$Z,MATCH($A144,SPPR!$A:$A,0),7),""),"")</f>
        <v/>
      </c>
      <c r="K144">
        <f>IFERROR(IF(ISNUMBER(INDEX(SPPR!$E:$Z,MATCH($A144,SPPR!$A:$A,0),8)),$C144*INDEX(SPPR!$E:$Z,MATCH($A144,SPPR!$A:$A,0),8),""),"")</f>
        <v/>
      </c>
      <c r="L144">
        <f>IFERROR(IF(ISNUMBER(INDEX(SPPR!$E:$Z,MATCH($A144,SPPR!$A:$A,0),9)),$C144*INDEX(SPPR!$E:$Z,MATCH($A144,SPPR!$A:$A,0),9),""),"")</f>
        <v/>
      </c>
      <c r="M144">
        <f>IFERROR(IF(ISNUMBER(INDEX(SPPR!$E:$Z,MATCH($A144,SPPR!$A:$A,0),10)),$C144*INDEX(SPPR!$E:$Z,MATCH($A144,SPPR!$A:$A,0),10),""),"")</f>
        <v/>
      </c>
      <c r="N144">
        <f>IFERROR(IF(ISNUMBER(INDEX(SPPR!$E:$Z,MATCH($A144,SPPR!$A:$A,0),11)),$C144*INDEX(SPPR!$E:$Z,MATCH($A144,SPPR!$A:$A,0),11),""),"")</f>
        <v/>
      </c>
      <c r="O144">
        <f>IFERROR(IF(ISNUMBER(INDEX(SPPR!$E:$Z,MATCH($A144,SPPR!$A:$A,0),12)),$C144*INDEX(SPPR!$E:$Z,MATCH($A144,SPPR!$A:$A,0),12),""),"")</f>
        <v/>
      </c>
      <c r="P144">
        <f>IFERROR(IF(ISNUMBER(INDEX(SPPR!$E:$Z,MATCH($A144,SPPR!$A:$A,0),13)),$C144*INDEX(SPPR!$E:$Z,MATCH($A144,SPPR!$A:$A,0),13),""),"")</f>
        <v/>
      </c>
      <c r="Q144">
        <f>IFERROR(IF(ISNUMBER(INDEX(SPPR!$E:$Z,MATCH($A144,SPPR!$A:$A,0),14)),$C144*INDEX(SPPR!$E:$Z,MATCH($A144,SPPR!$A:$A,0),14),""),"")</f>
        <v/>
      </c>
      <c r="R144">
        <f>IFERROR(IF(ISNUMBER(INDEX(SPPR!$E:$Z,MATCH($A144,SPPR!$A:$A,0),15)),$C144*INDEX(SPPR!$E:$Z,MATCH($A144,SPPR!$A:$A,0),15),""),"")</f>
        <v/>
      </c>
      <c r="S144">
        <f>IFERROR(IF(ISNUMBER(INDEX(SPPR!$E:$Z,MATCH($A144,SPPR!$A:$A,0),16)),$C144*INDEX(SPPR!$E:$Z,MATCH($A144,SPPR!$A:$A,0),16),""),"")</f>
        <v/>
      </c>
      <c r="T144">
        <f>IFERROR(IF(ISNUMBER(INDEX(SPPR!$E:$Z,MATCH($A144,SPPR!$A:$A,0),17)),$C144*INDEX(SPPR!$E:$Z,MATCH($A144,SPPR!$A:$A,0),17),""),"")</f>
        <v/>
      </c>
      <c r="U144">
        <f>IFERROR(IF(ISNUMBER(INDEX(SPPR!$E:$Z,MATCH($A144,SPPR!$A:$A,0),18)),$C144*INDEX(SPPR!$E:$Z,MATCH($A144,SPPR!$A:$A,0),18),""),"")</f>
        <v/>
      </c>
      <c r="V144">
        <f>IFERROR(IF(ISNUMBER(INDEX(SPPR!$E:$Z,MATCH($A144,SPPR!$A:$A,0),19)),$C144*INDEX(SPPR!$E:$Z,MATCH($A144,SPPR!$A:$A,0),19),""),"")</f>
        <v/>
      </c>
      <c r="W144">
        <f>IFERROR(IF(ISNUMBER(INDEX(SPPR!$E:$Z,MATCH($A144,SPPR!$A:$A,0),20)),$C144*INDEX(SPPR!$E:$Z,MATCH($A144,SPPR!$A:$A,0),20),""),"")</f>
        <v/>
      </c>
      <c r="X144">
        <f>IFERROR(IF(ISNUMBER(INDEX(SPPR!$E:$Z,MATCH($A144,SPPR!$A:$A,0),21)),$C144*INDEX(SPPR!$E:$Z,MATCH($A144,SPPR!$A:$A,0),21),""),"")</f>
        <v/>
      </c>
      <c r="Y144">
        <f>IFERROR(IF(ISNUMBER(INDEX(SPPR!$E:$Z,MATCH($A144,SPPR!$A:$A,0),22)),$C144*INDEX(SPPR!$E:$Z,MATCH($A144,SPPR!$A:$A,0),22),""),"")</f>
        <v/>
      </c>
    </row>
    <row r="145">
      <c r="A145" t="inlineStr">
        <is>
          <t>Metapenaeus brevicornis</t>
        </is>
      </c>
      <c r="B145">
        <f>IFERROR(INDEX(SPPR!$D:$D,MATCH($A145,SPPR!$A:$A,0)),"")</f>
        <v/>
      </c>
      <c r="C145">
        <f>IFERROR(INDEX(Catch!$E:$BV,MATCH($A145,Catch!$A:$A,0),MATCH($B$4,Catch!$E$1:$BV$1,0)),0)</f>
        <v/>
      </c>
      <c r="D145">
        <f>IFERROR(IF(ISNUMBER(INDEX(SPPR!$E:$Z,MATCH($A145,SPPR!$A:$A,0),1)),$C145*INDEX(SPPR!$E:$Z,MATCH($A145,SPPR!$A:$A,0),1),""),"")</f>
        <v/>
      </c>
      <c r="E145">
        <f>IFERROR(IF(ISNUMBER(INDEX(SPPR!$E:$Z,MATCH($A145,SPPR!$A:$A,0),2)),$C145*INDEX(SPPR!$E:$Z,MATCH($A145,SPPR!$A:$A,0),2),""),"")</f>
        <v/>
      </c>
      <c r="F145">
        <f>IFERROR(IF(ISNUMBER(INDEX(SPPR!$E:$Z,MATCH($A145,SPPR!$A:$A,0),3)),$C145*INDEX(SPPR!$E:$Z,MATCH($A145,SPPR!$A:$A,0),3),""),"")</f>
        <v/>
      </c>
      <c r="G145">
        <f>IFERROR(IF(ISNUMBER(INDEX(SPPR!$E:$Z,MATCH($A145,SPPR!$A:$A,0),4)),$C145*INDEX(SPPR!$E:$Z,MATCH($A145,SPPR!$A:$A,0),4),""),"")</f>
        <v/>
      </c>
      <c r="H145">
        <f>IFERROR(IF(ISNUMBER(INDEX(SPPR!$E:$Z,MATCH($A145,SPPR!$A:$A,0),5)),$C145*INDEX(SPPR!$E:$Z,MATCH($A145,SPPR!$A:$A,0),5),""),"")</f>
        <v/>
      </c>
      <c r="I145">
        <f>IFERROR(IF(ISNUMBER(INDEX(SPPR!$E:$Z,MATCH($A145,SPPR!$A:$A,0),6)),$C145*INDEX(SPPR!$E:$Z,MATCH($A145,SPPR!$A:$A,0),6),""),"")</f>
        <v/>
      </c>
      <c r="J145">
        <f>IFERROR(IF(ISNUMBER(INDEX(SPPR!$E:$Z,MATCH($A145,SPPR!$A:$A,0),7)),$C145*INDEX(SPPR!$E:$Z,MATCH($A145,SPPR!$A:$A,0),7),""),"")</f>
        <v/>
      </c>
      <c r="K145">
        <f>IFERROR(IF(ISNUMBER(INDEX(SPPR!$E:$Z,MATCH($A145,SPPR!$A:$A,0),8)),$C145*INDEX(SPPR!$E:$Z,MATCH($A145,SPPR!$A:$A,0),8),""),"")</f>
        <v/>
      </c>
      <c r="L145">
        <f>IFERROR(IF(ISNUMBER(INDEX(SPPR!$E:$Z,MATCH($A145,SPPR!$A:$A,0),9)),$C145*INDEX(SPPR!$E:$Z,MATCH($A145,SPPR!$A:$A,0),9),""),"")</f>
        <v/>
      </c>
      <c r="M145">
        <f>IFERROR(IF(ISNUMBER(INDEX(SPPR!$E:$Z,MATCH($A145,SPPR!$A:$A,0),10)),$C145*INDEX(SPPR!$E:$Z,MATCH($A145,SPPR!$A:$A,0),10),""),"")</f>
        <v/>
      </c>
      <c r="N145">
        <f>IFERROR(IF(ISNUMBER(INDEX(SPPR!$E:$Z,MATCH($A145,SPPR!$A:$A,0),11)),$C145*INDEX(SPPR!$E:$Z,MATCH($A145,SPPR!$A:$A,0),11),""),"")</f>
        <v/>
      </c>
      <c r="O145">
        <f>IFERROR(IF(ISNUMBER(INDEX(SPPR!$E:$Z,MATCH($A145,SPPR!$A:$A,0),12)),$C145*INDEX(SPPR!$E:$Z,MATCH($A145,SPPR!$A:$A,0),12),""),"")</f>
        <v/>
      </c>
      <c r="P145">
        <f>IFERROR(IF(ISNUMBER(INDEX(SPPR!$E:$Z,MATCH($A145,SPPR!$A:$A,0),13)),$C145*INDEX(SPPR!$E:$Z,MATCH($A145,SPPR!$A:$A,0),13),""),"")</f>
        <v/>
      </c>
      <c r="Q145">
        <f>IFERROR(IF(ISNUMBER(INDEX(SPPR!$E:$Z,MATCH($A145,SPPR!$A:$A,0),14)),$C145*INDEX(SPPR!$E:$Z,MATCH($A145,SPPR!$A:$A,0),14),""),"")</f>
        <v/>
      </c>
      <c r="R145">
        <f>IFERROR(IF(ISNUMBER(INDEX(SPPR!$E:$Z,MATCH($A145,SPPR!$A:$A,0),15)),$C145*INDEX(SPPR!$E:$Z,MATCH($A145,SPPR!$A:$A,0),15),""),"")</f>
        <v/>
      </c>
      <c r="S145">
        <f>IFERROR(IF(ISNUMBER(INDEX(SPPR!$E:$Z,MATCH($A145,SPPR!$A:$A,0),16)),$C145*INDEX(SPPR!$E:$Z,MATCH($A145,SPPR!$A:$A,0),16),""),"")</f>
        <v/>
      </c>
      <c r="T145">
        <f>IFERROR(IF(ISNUMBER(INDEX(SPPR!$E:$Z,MATCH($A145,SPPR!$A:$A,0),17)),$C145*INDEX(SPPR!$E:$Z,MATCH($A145,SPPR!$A:$A,0),17),""),"")</f>
        <v/>
      </c>
      <c r="U145">
        <f>IFERROR(IF(ISNUMBER(INDEX(SPPR!$E:$Z,MATCH($A145,SPPR!$A:$A,0),18)),$C145*INDEX(SPPR!$E:$Z,MATCH($A145,SPPR!$A:$A,0),18),""),"")</f>
        <v/>
      </c>
      <c r="V145">
        <f>IFERROR(IF(ISNUMBER(INDEX(SPPR!$E:$Z,MATCH($A145,SPPR!$A:$A,0),19)),$C145*INDEX(SPPR!$E:$Z,MATCH($A145,SPPR!$A:$A,0),19),""),"")</f>
        <v/>
      </c>
      <c r="W145">
        <f>IFERROR(IF(ISNUMBER(INDEX(SPPR!$E:$Z,MATCH($A145,SPPR!$A:$A,0),20)),$C145*INDEX(SPPR!$E:$Z,MATCH($A145,SPPR!$A:$A,0),20),""),"")</f>
        <v/>
      </c>
      <c r="X145">
        <f>IFERROR(IF(ISNUMBER(INDEX(SPPR!$E:$Z,MATCH($A145,SPPR!$A:$A,0),21)),$C145*INDEX(SPPR!$E:$Z,MATCH($A145,SPPR!$A:$A,0),21),""),"")</f>
        <v/>
      </c>
      <c r="Y145">
        <f>IFERROR(IF(ISNUMBER(INDEX(SPPR!$E:$Z,MATCH($A145,SPPR!$A:$A,0),22)),$C145*INDEX(SPPR!$E:$Z,MATCH($A145,SPPR!$A:$A,0),22),""),"")</f>
        <v/>
      </c>
    </row>
    <row r="146">
      <c r="A146" t="inlineStr">
        <is>
          <t>Psettodes erumei</t>
        </is>
      </c>
      <c r="B146">
        <f>IFERROR(INDEX(SPPR!$D:$D,MATCH($A146,SPPR!$A:$A,0)),"")</f>
        <v/>
      </c>
      <c r="C146">
        <f>IFERROR(INDEX(Catch!$E:$BV,MATCH($A146,Catch!$A:$A,0),MATCH($B$4,Catch!$E$1:$BV$1,0)),0)</f>
        <v/>
      </c>
      <c r="D146">
        <f>IFERROR(IF(ISNUMBER(INDEX(SPPR!$E:$Z,MATCH($A146,SPPR!$A:$A,0),1)),$C146*INDEX(SPPR!$E:$Z,MATCH($A146,SPPR!$A:$A,0),1),""),"")</f>
        <v/>
      </c>
      <c r="E146">
        <f>IFERROR(IF(ISNUMBER(INDEX(SPPR!$E:$Z,MATCH($A146,SPPR!$A:$A,0),2)),$C146*INDEX(SPPR!$E:$Z,MATCH($A146,SPPR!$A:$A,0),2),""),"")</f>
        <v/>
      </c>
      <c r="F146">
        <f>IFERROR(IF(ISNUMBER(INDEX(SPPR!$E:$Z,MATCH($A146,SPPR!$A:$A,0),3)),$C146*INDEX(SPPR!$E:$Z,MATCH($A146,SPPR!$A:$A,0),3),""),"")</f>
        <v/>
      </c>
      <c r="G146">
        <f>IFERROR(IF(ISNUMBER(INDEX(SPPR!$E:$Z,MATCH($A146,SPPR!$A:$A,0),4)),$C146*INDEX(SPPR!$E:$Z,MATCH($A146,SPPR!$A:$A,0),4),""),"")</f>
        <v/>
      </c>
      <c r="H146">
        <f>IFERROR(IF(ISNUMBER(INDEX(SPPR!$E:$Z,MATCH($A146,SPPR!$A:$A,0),5)),$C146*INDEX(SPPR!$E:$Z,MATCH($A146,SPPR!$A:$A,0),5),""),"")</f>
        <v/>
      </c>
      <c r="I146">
        <f>IFERROR(IF(ISNUMBER(INDEX(SPPR!$E:$Z,MATCH($A146,SPPR!$A:$A,0),6)),$C146*INDEX(SPPR!$E:$Z,MATCH($A146,SPPR!$A:$A,0),6),""),"")</f>
        <v/>
      </c>
      <c r="J146">
        <f>IFERROR(IF(ISNUMBER(INDEX(SPPR!$E:$Z,MATCH($A146,SPPR!$A:$A,0),7)),$C146*INDEX(SPPR!$E:$Z,MATCH($A146,SPPR!$A:$A,0),7),""),"")</f>
        <v/>
      </c>
      <c r="K146">
        <f>IFERROR(IF(ISNUMBER(INDEX(SPPR!$E:$Z,MATCH($A146,SPPR!$A:$A,0),8)),$C146*INDEX(SPPR!$E:$Z,MATCH($A146,SPPR!$A:$A,0),8),""),"")</f>
        <v/>
      </c>
      <c r="L146">
        <f>IFERROR(IF(ISNUMBER(INDEX(SPPR!$E:$Z,MATCH($A146,SPPR!$A:$A,0),9)),$C146*INDEX(SPPR!$E:$Z,MATCH($A146,SPPR!$A:$A,0),9),""),"")</f>
        <v/>
      </c>
      <c r="M146">
        <f>IFERROR(IF(ISNUMBER(INDEX(SPPR!$E:$Z,MATCH($A146,SPPR!$A:$A,0),10)),$C146*INDEX(SPPR!$E:$Z,MATCH($A146,SPPR!$A:$A,0),10),""),"")</f>
        <v/>
      </c>
      <c r="N146">
        <f>IFERROR(IF(ISNUMBER(INDEX(SPPR!$E:$Z,MATCH($A146,SPPR!$A:$A,0),11)),$C146*INDEX(SPPR!$E:$Z,MATCH($A146,SPPR!$A:$A,0),11),""),"")</f>
        <v/>
      </c>
      <c r="O146">
        <f>IFERROR(IF(ISNUMBER(INDEX(SPPR!$E:$Z,MATCH($A146,SPPR!$A:$A,0),12)),$C146*INDEX(SPPR!$E:$Z,MATCH($A146,SPPR!$A:$A,0),12),""),"")</f>
        <v/>
      </c>
      <c r="P146">
        <f>IFERROR(IF(ISNUMBER(INDEX(SPPR!$E:$Z,MATCH($A146,SPPR!$A:$A,0),13)),$C146*INDEX(SPPR!$E:$Z,MATCH($A146,SPPR!$A:$A,0),13),""),"")</f>
        <v/>
      </c>
      <c r="Q146">
        <f>IFERROR(IF(ISNUMBER(INDEX(SPPR!$E:$Z,MATCH($A146,SPPR!$A:$A,0),14)),$C146*INDEX(SPPR!$E:$Z,MATCH($A146,SPPR!$A:$A,0),14),""),"")</f>
        <v/>
      </c>
      <c r="R146">
        <f>IFERROR(IF(ISNUMBER(INDEX(SPPR!$E:$Z,MATCH($A146,SPPR!$A:$A,0),15)),$C146*INDEX(SPPR!$E:$Z,MATCH($A146,SPPR!$A:$A,0),15),""),"")</f>
        <v/>
      </c>
      <c r="S146">
        <f>IFERROR(IF(ISNUMBER(INDEX(SPPR!$E:$Z,MATCH($A146,SPPR!$A:$A,0),16)),$C146*INDEX(SPPR!$E:$Z,MATCH($A146,SPPR!$A:$A,0),16),""),"")</f>
        <v/>
      </c>
      <c r="T146">
        <f>IFERROR(IF(ISNUMBER(INDEX(SPPR!$E:$Z,MATCH($A146,SPPR!$A:$A,0),17)),$C146*INDEX(SPPR!$E:$Z,MATCH($A146,SPPR!$A:$A,0),17),""),"")</f>
        <v/>
      </c>
      <c r="U146">
        <f>IFERROR(IF(ISNUMBER(INDEX(SPPR!$E:$Z,MATCH($A146,SPPR!$A:$A,0),18)),$C146*INDEX(SPPR!$E:$Z,MATCH($A146,SPPR!$A:$A,0),18),""),"")</f>
        <v/>
      </c>
      <c r="V146">
        <f>IFERROR(IF(ISNUMBER(INDEX(SPPR!$E:$Z,MATCH($A146,SPPR!$A:$A,0),19)),$C146*INDEX(SPPR!$E:$Z,MATCH($A146,SPPR!$A:$A,0),19),""),"")</f>
        <v/>
      </c>
      <c r="W146">
        <f>IFERROR(IF(ISNUMBER(INDEX(SPPR!$E:$Z,MATCH($A146,SPPR!$A:$A,0),20)),$C146*INDEX(SPPR!$E:$Z,MATCH($A146,SPPR!$A:$A,0),20),""),"")</f>
        <v/>
      </c>
      <c r="X146">
        <f>IFERROR(IF(ISNUMBER(INDEX(SPPR!$E:$Z,MATCH($A146,SPPR!$A:$A,0),21)),$C146*INDEX(SPPR!$E:$Z,MATCH($A146,SPPR!$A:$A,0),21),""),"")</f>
        <v/>
      </c>
      <c r="Y146">
        <f>IFERROR(IF(ISNUMBER(INDEX(SPPR!$E:$Z,MATCH($A146,SPPR!$A:$A,0),22)),$C146*INDEX(SPPR!$E:$Z,MATCH($A146,SPPR!$A:$A,0),22),""),"")</f>
        <v/>
      </c>
    </row>
    <row r="147">
      <c r="A147" t="inlineStr">
        <is>
          <t>Myliobatidae</t>
        </is>
      </c>
      <c r="B147">
        <f>IFERROR(INDEX(SPPR!$D:$D,MATCH($A147,SPPR!$A:$A,0)),"")</f>
        <v/>
      </c>
      <c r="C147">
        <f>IFERROR(INDEX(Catch!$E:$BV,MATCH($A147,Catch!$A:$A,0),MATCH($B$4,Catch!$E$1:$BV$1,0)),0)</f>
        <v/>
      </c>
      <c r="D147">
        <f>IFERROR(IF(ISNUMBER(INDEX(SPPR!$E:$Z,MATCH($A147,SPPR!$A:$A,0),1)),$C147*INDEX(SPPR!$E:$Z,MATCH($A147,SPPR!$A:$A,0),1),""),"")</f>
        <v/>
      </c>
      <c r="E147">
        <f>IFERROR(IF(ISNUMBER(INDEX(SPPR!$E:$Z,MATCH($A147,SPPR!$A:$A,0),2)),$C147*INDEX(SPPR!$E:$Z,MATCH($A147,SPPR!$A:$A,0),2),""),"")</f>
        <v/>
      </c>
      <c r="F147">
        <f>IFERROR(IF(ISNUMBER(INDEX(SPPR!$E:$Z,MATCH($A147,SPPR!$A:$A,0),3)),$C147*INDEX(SPPR!$E:$Z,MATCH($A147,SPPR!$A:$A,0),3),""),"")</f>
        <v/>
      </c>
      <c r="G147">
        <f>IFERROR(IF(ISNUMBER(INDEX(SPPR!$E:$Z,MATCH($A147,SPPR!$A:$A,0),4)),$C147*INDEX(SPPR!$E:$Z,MATCH($A147,SPPR!$A:$A,0),4),""),"")</f>
        <v/>
      </c>
      <c r="H147">
        <f>IFERROR(IF(ISNUMBER(INDEX(SPPR!$E:$Z,MATCH($A147,SPPR!$A:$A,0),5)),$C147*INDEX(SPPR!$E:$Z,MATCH($A147,SPPR!$A:$A,0),5),""),"")</f>
        <v/>
      </c>
      <c r="I147">
        <f>IFERROR(IF(ISNUMBER(INDEX(SPPR!$E:$Z,MATCH($A147,SPPR!$A:$A,0),6)),$C147*INDEX(SPPR!$E:$Z,MATCH($A147,SPPR!$A:$A,0),6),""),"")</f>
        <v/>
      </c>
      <c r="J147">
        <f>IFERROR(IF(ISNUMBER(INDEX(SPPR!$E:$Z,MATCH($A147,SPPR!$A:$A,0),7)),$C147*INDEX(SPPR!$E:$Z,MATCH($A147,SPPR!$A:$A,0),7),""),"")</f>
        <v/>
      </c>
      <c r="K147">
        <f>IFERROR(IF(ISNUMBER(INDEX(SPPR!$E:$Z,MATCH($A147,SPPR!$A:$A,0),8)),$C147*INDEX(SPPR!$E:$Z,MATCH($A147,SPPR!$A:$A,0),8),""),"")</f>
        <v/>
      </c>
      <c r="L147">
        <f>IFERROR(IF(ISNUMBER(INDEX(SPPR!$E:$Z,MATCH($A147,SPPR!$A:$A,0),9)),$C147*INDEX(SPPR!$E:$Z,MATCH($A147,SPPR!$A:$A,0),9),""),"")</f>
        <v/>
      </c>
      <c r="M147">
        <f>IFERROR(IF(ISNUMBER(INDEX(SPPR!$E:$Z,MATCH($A147,SPPR!$A:$A,0),10)),$C147*INDEX(SPPR!$E:$Z,MATCH($A147,SPPR!$A:$A,0),10),""),"")</f>
        <v/>
      </c>
      <c r="N147">
        <f>IFERROR(IF(ISNUMBER(INDEX(SPPR!$E:$Z,MATCH($A147,SPPR!$A:$A,0),11)),$C147*INDEX(SPPR!$E:$Z,MATCH($A147,SPPR!$A:$A,0),11),""),"")</f>
        <v/>
      </c>
      <c r="O147">
        <f>IFERROR(IF(ISNUMBER(INDEX(SPPR!$E:$Z,MATCH($A147,SPPR!$A:$A,0),12)),$C147*INDEX(SPPR!$E:$Z,MATCH($A147,SPPR!$A:$A,0),12),""),"")</f>
        <v/>
      </c>
      <c r="P147">
        <f>IFERROR(IF(ISNUMBER(INDEX(SPPR!$E:$Z,MATCH($A147,SPPR!$A:$A,0),13)),$C147*INDEX(SPPR!$E:$Z,MATCH($A147,SPPR!$A:$A,0),13),""),"")</f>
        <v/>
      </c>
      <c r="Q147">
        <f>IFERROR(IF(ISNUMBER(INDEX(SPPR!$E:$Z,MATCH($A147,SPPR!$A:$A,0),14)),$C147*INDEX(SPPR!$E:$Z,MATCH($A147,SPPR!$A:$A,0),14),""),"")</f>
        <v/>
      </c>
      <c r="R147">
        <f>IFERROR(IF(ISNUMBER(INDEX(SPPR!$E:$Z,MATCH($A147,SPPR!$A:$A,0),15)),$C147*INDEX(SPPR!$E:$Z,MATCH($A147,SPPR!$A:$A,0),15),""),"")</f>
        <v/>
      </c>
      <c r="S147">
        <f>IFERROR(IF(ISNUMBER(INDEX(SPPR!$E:$Z,MATCH($A147,SPPR!$A:$A,0),16)),$C147*INDEX(SPPR!$E:$Z,MATCH($A147,SPPR!$A:$A,0),16),""),"")</f>
        <v/>
      </c>
      <c r="T147">
        <f>IFERROR(IF(ISNUMBER(INDEX(SPPR!$E:$Z,MATCH($A147,SPPR!$A:$A,0),17)),$C147*INDEX(SPPR!$E:$Z,MATCH($A147,SPPR!$A:$A,0),17),""),"")</f>
        <v/>
      </c>
      <c r="U147">
        <f>IFERROR(IF(ISNUMBER(INDEX(SPPR!$E:$Z,MATCH($A147,SPPR!$A:$A,0),18)),$C147*INDEX(SPPR!$E:$Z,MATCH($A147,SPPR!$A:$A,0),18),""),"")</f>
        <v/>
      </c>
      <c r="V147">
        <f>IFERROR(IF(ISNUMBER(INDEX(SPPR!$E:$Z,MATCH($A147,SPPR!$A:$A,0),19)),$C147*INDEX(SPPR!$E:$Z,MATCH($A147,SPPR!$A:$A,0),19),""),"")</f>
        <v/>
      </c>
      <c r="W147">
        <f>IFERROR(IF(ISNUMBER(INDEX(SPPR!$E:$Z,MATCH($A147,SPPR!$A:$A,0),20)),$C147*INDEX(SPPR!$E:$Z,MATCH($A147,SPPR!$A:$A,0),20),""),"")</f>
        <v/>
      </c>
      <c r="X147">
        <f>IFERROR(IF(ISNUMBER(INDEX(SPPR!$E:$Z,MATCH($A147,SPPR!$A:$A,0),21)),$C147*INDEX(SPPR!$E:$Z,MATCH($A147,SPPR!$A:$A,0),21),""),"")</f>
        <v/>
      </c>
      <c r="Y147">
        <f>IFERROR(IF(ISNUMBER(INDEX(SPPR!$E:$Z,MATCH($A147,SPPR!$A:$A,0),22)),$C147*INDEX(SPPR!$E:$Z,MATCH($A147,SPPR!$A:$A,0),22),""),"")</f>
        <v/>
      </c>
    </row>
    <row r="148">
      <c r="A148" t="inlineStr">
        <is>
          <t>Acanthuridae</t>
        </is>
      </c>
      <c r="B148">
        <f>IFERROR(INDEX(SPPR!$D:$D,MATCH($A148,SPPR!$A:$A,0)),"")</f>
        <v/>
      </c>
      <c r="C148">
        <f>IFERROR(INDEX(Catch!$E:$BV,MATCH($A148,Catch!$A:$A,0),MATCH($B$4,Catch!$E$1:$BV$1,0)),0)</f>
        <v/>
      </c>
      <c r="D148">
        <f>IFERROR(IF(ISNUMBER(INDEX(SPPR!$E:$Z,MATCH($A148,SPPR!$A:$A,0),1)),$C148*INDEX(SPPR!$E:$Z,MATCH($A148,SPPR!$A:$A,0),1),""),"")</f>
        <v/>
      </c>
      <c r="E148">
        <f>IFERROR(IF(ISNUMBER(INDEX(SPPR!$E:$Z,MATCH($A148,SPPR!$A:$A,0),2)),$C148*INDEX(SPPR!$E:$Z,MATCH($A148,SPPR!$A:$A,0),2),""),"")</f>
        <v/>
      </c>
      <c r="F148">
        <f>IFERROR(IF(ISNUMBER(INDEX(SPPR!$E:$Z,MATCH($A148,SPPR!$A:$A,0),3)),$C148*INDEX(SPPR!$E:$Z,MATCH($A148,SPPR!$A:$A,0),3),""),"")</f>
        <v/>
      </c>
      <c r="G148">
        <f>IFERROR(IF(ISNUMBER(INDEX(SPPR!$E:$Z,MATCH($A148,SPPR!$A:$A,0),4)),$C148*INDEX(SPPR!$E:$Z,MATCH($A148,SPPR!$A:$A,0),4),""),"")</f>
        <v/>
      </c>
      <c r="H148">
        <f>IFERROR(IF(ISNUMBER(INDEX(SPPR!$E:$Z,MATCH($A148,SPPR!$A:$A,0),5)),$C148*INDEX(SPPR!$E:$Z,MATCH($A148,SPPR!$A:$A,0),5),""),"")</f>
        <v/>
      </c>
      <c r="I148">
        <f>IFERROR(IF(ISNUMBER(INDEX(SPPR!$E:$Z,MATCH($A148,SPPR!$A:$A,0),6)),$C148*INDEX(SPPR!$E:$Z,MATCH($A148,SPPR!$A:$A,0),6),""),"")</f>
        <v/>
      </c>
      <c r="J148">
        <f>IFERROR(IF(ISNUMBER(INDEX(SPPR!$E:$Z,MATCH($A148,SPPR!$A:$A,0),7)),$C148*INDEX(SPPR!$E:$Z,MATCH($A148,SPPR!$A:$A,0),7),""),"")</f>
        <v/>
      </c>
      <c r="K148">
        <f>IFERROR(IF(ISNUMBER(INDEX(SPPR!$E:$Z,MATCH($A148,SPPR!$A:$A,0),8)),$C148*INDEX(SPPR!$E:$Z,MATCH($A148,SPPR!$A:$A,0),8),""),"")</f>
        <v/>
      </c>
      <c r="L148">
        <f>IFERROR(IF(ISNUMBER(INDEX(SPPR!$E:$Z,MATCH($A148,SPPR!$A:$A,0),9)),$C148*INDEX(SPPR!$E:$Z,MATCH($A148,SPPR!$A:$A,0),9),""),"")</f>
        <v/>
      </c>
      <c r="M148">
        <f>IFERROR(IF(ISNUMBER(INDEX(SPPR!$E:$Z,MATCH($A148,SPPR!$A:$A,0),10)),$C148*INDEX(SPPR!$E:$Z,MATCH($A148,SPPR!$A:$A,0),10),""),"")</f>
        <v/>
      </c>
      <c r="N148">
        <f>IFERROR(IF(ISNUMBER(INDEX(SPPR!$E:$Z,MATCH($A148,SPPR!$A:$A,0),11)),$C148*INDEX(SPPR!$E:$Z,MATCH($A148,SPPR!$A:$A,0),11),""),"")</f>
        <v/>
      </c>
      <c r="O148">
        <f>IFERROR(IF(ISNUMBER(INDEX(SPPR!$E:$Z,MATCH($A148,SPPR!$A:$A,0),12)),$C148*INDEX(SPPR!$E:$Z,MATCH($A148,SPPR!$A:$A,0),12),""),"")</f>
        <v/>
      </c>
      <c r="P148">
        <f>IFERROR(IF(ISNUMBER(INDEX(SPPR!$E:$Z,MATCH($A148,SPPR!$A:$A,0),13)),$C148*INDEX(SPPR!$E:$Z,MATCH($A148,SPPR!$A:$A,0),13),""),"")</f>
        <v/>
      </c>
      <c r="Q148">
        <f>IFERROR(IF(ISNUMBER(INDEX(SPPR!$E:$Z,MATCH($A148,SPPR!$A:$A,0),14)),$C148*INDEX(SPPR!$E:$Z,MATCH($A148,SPPR!$A:$A,0),14),""),"")</f>
        <v/>
      </c>
      <c r="R148">
        <f>IFERROR(IF(ISNUMBER(INDEX(SPPR!$E:$Z,MATCH($A148,SPPR!$A:$A,0),15)),$C148*INDEX(SPPR!$E:$Z,MATCH($A148,SPPR!$A:$A,0),15),""),"")</f>
        <v/>
      </c>
      <c r="S148">
        <f>IFERROR(IF(ISNUMBER(INDEX(SPPR!$E:$Z,MATCH($A148,SPPR!$A:$A,0),16)),$C148*INDEX(SPPR!$E:$Z,MATCH($A148,SPPR!$A:$A,0),16),""),"")</f>
        <v/>
      </c>
      <c r="T148">
        <f>IFERROR(IF(ISNUMBER(INDEX(SPPR!$E:$Z,MATCH($A148,SPPR!$A:$A,0),17)),$C148*INDEX(SPPR!$E:$Z,MATCH($A148,SPPR!$A:$A,0),17),""),"")</f>
        <v/>
      </c>
      <c r="U148">
        <f>IFERROR(IF(ISNUMBER(INDEX(SPPR!$E:$Z,MATCH($A148,SPPR!$A:$A,0),18)),$C148*INDEX(SPPR!$E:$Z,MATCH($A148,SPPR!$A:$A,0),18),""),"")</f>
        <v/>
      </c>
      <c r="V148">
        <f>IFERROR(IF(ISNUMBER(INDEX(SPPR!$E:$Z,MATCH($A148,SPPR!$A:$A,0),19)),$C148*INDEX(SPPR!$E:$Z,MATCH($A148,SPPR!$A:$A,0),19),""),"")</f>
        <v/>
      </c>
      <c r="W148">
        <f>IFERROR(IF(ISNUMBER(INDEX(SPPR!$E:$Z,MATCH($A148,SPPR!$A:$A,0),20)),$C148*INDEX(SPPR!$E:$Z,MATCH($A148,SPPR!$A:$A,0),20),""),"")</f>
        <v/>
      </c>
      <c r="X148">
        <f>IFERROR(IF(ISNUMBER(INDEX(SPPR!$E:$Z,MATCH($A148,SPPR!$A:$A,0),21)),$C148*INDEX(SPPR!$E:$Z,MATCH($A148,SPPR!$A:$A,0),21),""),"")</f>
        <v/>
      </c>
      <c r="Y148">
        <f>IFERROR(IF(ISNUMBER(INDEX(SPPR!$E:$Z,MATCH($A148,SPPR!$A:$A,0),22)),$C148*INDEX(SPPR!$E:$Z,MATCH($A148,SPPR!$A:$A,0),22),""),"")</f>
        <v/>
      </c>
    </row>
    <row r="149">
      <c r="A149" t="inlineStr">
        <is>
          <t>Caranx sexfasciatus</t>
        </is>
      </c>
      <c r="B149">
        <f>IFERROR(INDEX(SPPR!$D:$D,MATCH($A149,SPPR!$A:$A,0)),"")</f>
        <v/>
      </c>
      <c r="C149">
        <f>IFERROR(INDEX(Catch!$E:$BV,MATCH($A149,Catch!$A:$A,0),MATCH($B$4,Catch!$E$1:$BV$1,0)),0)</f>
        <v/>
      </c>
      <c r="D149">
        <f>IFERROR(IF(ISNUMBER(INDEX(SPPR!$E:$Z,MATCH($A149,SPPR!$A:$A,0),1)),$C149*INDEX(SPPR!$E:$Z,MATCH($A149,SPPR!$A:$A,0),1),""),"")</f>
        <v/>
      </c>
      <c r="E149">
        <f>IFERROR(IF(ISNUMBER(INDEX(SPPR!$E:$Z,MATCH($A149,SPPR!$A:$A,0),2)),$C149*INDEX(SPPR!$E:$Z,MATCH($A149,SPPR!$A:$A,0),2),""),"")</f>
        <v/>
      </c>
      <c r="F149">
        <f>IFERROR(IF(ISNUMBER(INDEX(SPPR!$E:$Z,MATCH($A149,SPPR!$A:$A,0),3)),$C149*INDEX(SPPR!$E:$Z,MATCH($A149,SPPR!$A:$A,0),3),""),"")</f>
        <v/>
      </c>
      <c r="G149">
        <f>IFERROR(IF(ISNUMBER(INDEX(SPPR!$E:$Z,MATCH($A149,SPPR!$A:$A,0),4)),$C149*INDEX(SPPR!$E:$Z,MATCH($A149,SPPR!$A:$A,0),4),""),"")</f>
        <v/>
      </c>
      <c r="H149">
        <f>IFERROR(IF(ISNUMBER(INDEX(SPPR!$E:$Z,MATCH($A149,SPPR!$A:$A,0),5)),$C149*INDEX(SPPR!$E:$Z,MATCH($A149,SPPR!$A:$A,0),5),""),"")</f>
        <v/>
      </c>
      <c r="I149">
        <f>IFERROR(IF(ISNUMBER(INDEX(SPPR!$E:$Z,MATCH($A149,SPPR!$A:$A,0),6)),$C149*INDEX(SPPR!$E:$Z,MATCH($A149,SPPR!$A:$A,0),6),""),"")</f>
        <v/>
      </c>
      <c r="J149">
        <f>IFERROR(IF(ISNUMBER(INDEX(SPPR!$E:$Z,MATCH($A149,SPPR!$A:$A,0),7)),$C149*INDEX(SPPR!$E:$Z,MATCH($A149,SPPR!$A:$A,0),7),""),"")</f>
        <v/>
      </c>
      <c r="K149">
        <f>IFERROR(IF(ISNUMBER(INDEX(SPPR!$E:$Z,MATCH($A149,SPPR!$A:$A,0),8)),$C149*INDEX(SPPR!$E:$Z,MATCH($A149,SPPR!$A:$A,0),8),""),"")</f>
        <v/>
      </c>
      <c r="L149">
        <f>IFERROR(IF(ISNUMBER(INDEX(SPPR!$E:$Z,MATCH($A149,SPPR!$A:$A,0),9)),$C149*INDEX(SPPR!$E:$Z,MATCH($A149,SPPR!$A:$A,0),9),""),"")</f>
        <v/>
      </c>
      <c r="M149">
        <f>IFERROR(IF(ISNUMBER(INDEX(SPPR!$E:$Z,MATCH($A149,SPPR!$A:$A,0),10)),$C149*INDEX(SPPR!$E:$Z,MATCH($A149,SPPR!$A:$A,0),10),""),"")</f>
        <v/>
      </c>
      <c r="N149">
        <f>IFERROR(IF(ISNUMBER(INDEX(SPPR!$E:$Z,MATCH($A149,SPPR!$A:$A,0),11)),$C149*INDEX(SPPR!$E:$Z,MATCH($A149,SPPR!$A:$A,0),11),""),"")</f>
        <v/>
      </c>
      <c r="O149">
        <f>IFERROR(IF(ISNUMBER(INDEX(SPPR!$E:$Z,MATCH($A149,SPPR!$A:$A,0),12)),$C149*INDEX(SPPR!$E:$Z,MATCH($A149,SPPR!$A:$A,0),12),""),"")</f>
        <v/>
      </c>
      <c r="P149">
        <f>IFERROR(IF(ISNUMBER(INDEX(SPPR!$E:$Z,MATCH($A149,SPPR!$A:$A,0),13)),$C149*INDEX(SPPR!$E:$Z,MATCH($A149,SPPR!$A:$A,0),13),""),"")</f>
        <v/>
      </c>
      <c r="Q149">
        <f>IFERROR(IF(ISNUMBER(INDEX(SPPR!$E:$Z,MATCH($A149,SPPR!$A:$A,0),14)),$C149*INDEX(SPPR!$E:$Z,MATCH($A149,SPPR!$A:$A,0),14),""),"")</f>
        <v/>
      </c>
      <c r="R149">
        <f>IFERROR(IF(ISNUMBER(INDEX(SPPR!$E:$Z,MATCH($A149,SPPR!$A:$A,0),15)),$C149*INDEX(SPPR!$E:$Z,MATCH($A149,SPPR!$A:$A,0),15),""),"")</f>
        <v/>
      </c>
      <c r="S149">
        <f>IFERROR(IF(ISNUMBER(INDEX(SPPR!$E:$Z,MATCH($A149,SPPR!$A:$A,0),16)),$C149*INDEX(SPPR!$E:$Z,MATCH($A149,SPPR!$A:$A,0),16),""),"")</f>
        <v/>
      </c>
      <c r="T149">
        <f>IFERROR(IF(ISNUMBER(INDEX(SPPR!$E:$Z,MATCH($A149,SPPR!$A:$A,0),17)),$C149*INDEX(SPPR!$E:$Z,MATCH($A149,SPPR!$A:$A,0),17),""),"")</f>
        <v/>
      </c>
      <c r="U149">
        <f>IFERROR(IF(ISNUMBER(INDEX(SPPR!$E:$Z,MATCH($A149,SPPR!$A:$A,0),18)),$C149*INDEX(SPPR!$E:$Z,MATCH($A149,SPPR!$A:$A,0),18),""),"")</f>
        <v/>
      </c>
      <c r="V149">
        <f>IFERROR(IF(ISNUMBER(INDEX(SPPR!$E:$Z,MATCH($A149,SPPR!$A:$A,0),19)),$C149*INDEX(SPPR!$E:$Z,MATCH($A149,SPPR!$A:$A,0),19),""),"")</f>
        <v/>
      </c>
      <c r="W149">
        <f>IFERROR(IF(ISNUMBER(INDEX(SPPR!$E:$Z,MATCH($A149,SPPR!$A:$A,0),20)),$C149*INDEX(SPPR!$E:$Z,MATCH($A149,SPPR!$A:$A,0),20),""),"")</f>
        <v/>
      </c>
      <c r="X149">
        <f>IFERROR(IF(ISNUMBER(INDEX(SPPR!$E:$Z,MATCH($A149,SPPR!$A:$A,0),21)),$C149*INDEX(SPPR!$E:$Z,MATCH($A149,SPPR!$A:$A,0),21),""),"")</f>
        <v/>
      </c>
      <c r="Y149">
        <f>IFERROR(IF(ISNUMBER(INDEX(SPPR!$E:$Z,MATCH($A149,SPPR!$A:$A,0),22)),$C149*INDEX(SPPR!$E:$Z,MATCH($A149,SPPR!$A:$A,0),22),""),"")</f>
        <v/>
      </c>
    </row>
    <row r="150">
      <c r="A150" t="inlineStr">
        <is>
          <t>Polynemus paradiseus</t>
        </is>
      </c>
      <c r="B150">
        <f>IFERROR(INDEX(SPPR!$D:$D,MATCH($A150,SPPR!$A:$A,0)),"")</f>
        <v/>
      </c>
      <c r="C150">
        <f>IFERROR(INDEX(Catch!$E:$BV,MATCH($A150,Catch!$A:$A,0),MATCH($B$4,Catch!$E$1:$BV$1,0)),0)</f>
        <v/>
      </c>
      <c r="D150">
        <f>IFERROR(IF(ISNUMBER(INDEX(SPPR!$E:$Z,MATCH($A150,SPPR!$A:$A,0),1)),$C150*INDEX(SPPR!$E:$Z,MATCH($A150,SPPR!$A:$A,0),1),""),"")</f>
        <v/>
      </c>
      <c r="E150">
        <f>IFERROR(IF(ISNUMBER(INDEX(SPPR!$E:$Z,MATCH($A150,SPPR!$A:$A,0),2)),$C150*INDEX(SPPR!$E:$Z,MATCH($A150,SPPR!$A:$A,0),2),""),"")</f>
        <v/>
      </c>
      <c r="F150">
        <f>IFERROR(IF(ISNUMBER(INDEX(SPPR!$E:$Z,MATCH($A150,SPPR!$A:$A,0),3)),$C150*INDEX(SPPR!$E:$Z,MATCH($A150,SPPR!$A:$A,0),3),""),"")</f>
        <v/>
      </c>
      <c r="G150">
        <f>IFERROR(IF(ISNUMBER(INDEX(SPPR!$E:$Z,MATCH($A150,SPPR!$A:$A,0),4)),$C150*INDEX(SPPR!$E:$Z,MATCH($A150,SPPR!$A:$A,0),4),""),"")</f>
        <v/>
      </c>
      <c r="H150">
        <f>IFERROR(IF(ISNUMBER(INDEX(SPPR!$E:$Z,MATCH($A150,SPPR!$A:$A,0),5)),$C150*INDEX(SPPR!$E:$Z,MATCH($A150,SPPR!$A:$A,0),5),""),"")</f>
        <v/>
      </c>
      <c r="I150">
        <f>IFERROR(IF(ISNUMBER(INDEX(SPPR!$E:$Z,MATCH($A150,SPPR!$A:$A,0),6)),$C150*INDEX(SPPR!$E:$Z,MATCH($A150,SPPR!$A:$A,0),6),""),"")</f>
        <v/>
      </c>
      <c r="J150">
        <f>IFERROR(IF(ISNUMBER(INDEX(SPPR!$E:$Z,MATCH($A150,SPPR!$A:$A,0),7)),$C150*INDEX(SPPR!$E:$Z,MATCH($A150,SPPR!$A:$A,0),7),""),"")</f>
        <v/>
      </c>
      <c r="K150">
        <f>IFERROR(IF(ISNUMBER(INDEX(SPPR!$E:$Z,MATCH($A150,SPPR!$A:$A,0),8)),$C150*INDEX(SPPR!$E:$Z,MATCH($A150,SPPR!$A:$A,0),8),""),"")</f>
        <v/>
      </c>
      <c r="L150">
        <f>IFERROR(IF(ISNUMBER(INDEX(SPPR!$E:$Z,MATCH($A150,SPPR!$A:$A,0),9)),$C150*INDEX(SPPR!$E:$Z,MATCH($A150,SPPR!$A:$A,0),9),""),"")</f>
        <v/>
      </c>
      <c r="M150">
        <f>IFERROR(IF(ISNUMBER(INDEX(SPPR!$E:$Z,MATCH($A150,SPPR!$A:$A,0),10)),$C150*INDEX(SPPR!$E:$Z,MATCH($A150,SPPR!$A:$A,0),10),""),"")</f>
        <v/>
      </c>
      <c r="N150">
        <f>IFERROR(IF(ISNUMBER(INDEX(SPPR!$E:$Z,MATCH($A150,SPPR!$A:$A,0),11)),$C150*INDEX(SPPR!$E:$Z,MATCH($A150,SPPR!$A:$A,0),11),""),"")</f>
        <v/>
      </c>
      <c r="O150">
        <f>IFERROR(IF(ISNUMBER(INDEX(SPPR!$E:$Z,MATCH($A150,SPPR!$A:$A,0),12)),$C150*INDEX(SPPR!$E:$Z,MATCH($A150,SPPR!$A:$A,0),12),""),"")</f>
        <v/>
      </c>
      <c r="P150">
        <f>IFERROR(IF(ISNUMBER(INDEX(SPPR!$E:$Z,MATCH($A150,SPPR!$A:$A,0),13)),$C150*INDEX(SPPR!$E:$Z,MATCH($A150,SPPR!$A:$A,0),13),""),"")</f>
        <v/>
      </c>
      <c r="Q150">
        <f>IFERROR(IF(ISNUMBER(INDEX(SPPR!$E:$Z,MATCH($A150,SPPR!$A:$A,0),14)),$C150*INDEX(SPPR!$E:$Z,MATCH($A150,SPPR!$A:$A,0),14),""),"")</f>
        <v/>
      </c>
      <c r="R150">
        <f>IFERROR(IF(ISNUMBER(INDEX(SPPR!$E:$Z,MATCH($A150,SPPR!$A:$A,0),15)),$C150*INDEX(SPPR!$E:$Z,MATCH($A150,SPPR!$A:$A,0),15),""),"")</f>
        <v/>
      </c>
      <c r="S150">
        <f>IFERROR(IF(ISNUMBER(INDEX(SPPR!$E:$Z,MATCH($A150,SPPR!$A:$A,0),16)),$C150*INDEX(SPPR!$E:$Z,MATCH($A150,SPPR!$A:$A,0),16),""),"")</f>
        <v/>
      </c>
      <c r="T150">
        <f>IFERROR(IF(ISNUMBER(INDEX(SPPR!$E:$Z,MATCH($A150,SPPR!$A:$A,0),17)),$C150*INDEX(SPPR!$E:$Z,MATCH($A150,SPPR!$A:$A,0),17),""),"")</f>
        <v/>
      </c>
      <c r="U150">
        <f>IFERROR(IF(ISNUMBER(INDEX(SPPR!$E:$Z,MATCH($A150,SPPR!$A:$A,0),18)),$C150*INDEX(SPPR!$E:$Z,MATCH($A150,SPPR!$A:$A,0),18),""),"")</f>
        <v/>
      </c>
      <c r="V150">
        <f>IFERROR(IF(ISNUMBER(INDEX(SPPR!$E:$Z,MATCH($A150,SPPR!$A:$A,0),19)),$C150*INDEX(SPPR!$E:$Z,MATCH($A150,SPPR!$A:$A,0),19),""),"")</f>
        <v/>
      </c>
      <c r="W150">
        <f>IFERROR(IF(ISNUMBER(INDEX(SPPR!$E:$Z,MATCH($A150,SPPR!$A:$A,0),20)),$C150*INDEX(SPPR!$E:$Z,MATCH($A150,SPPR!$A:$A,0),20),""),"")</f>
        <v/>
      </c>
      <c r="X150">
        <f>IFERROR(IF(ISNUMBER(INDEX(SPPR!$E:$Z,MATCH($A150,SPPR!$A:$A,0),21)),$C150*INDEX(SPPR!$E:$Z,MATCH($A150,SPPR!$A:$A,0),21),""),"")</f>
        <v/>
      </c>
      <c r="Y150">
        <f>IFERROR(IF(ISNUMBER(INDEX(SPPR!$E:$Z,MATCH($A150,SPPR!$A:$A,0),22)),$C150*INDEX(SPPR!$E:$Z,MATCH($A150,SPPR!$A:$A,0),22),""),"")</f>
        <v/>
      </c>
    </row>
    <row r="151">
      <c r="A151" t="inlineStr">
        <is>
          <t>Bramidae</t>
        </is>
      </c>
      <c r="B151">
        <f>IFERROR(INDEX(SPPR!$D:$D,MATCH($A151,SPPR!$A:$A,0)),"")</f>
        <v/>
      </c>
      <c r="C151">
        <f>IFERROR(INDEX(Catch!$E:$BV,MATCH($A151,Catch!$A:$A,0),MATCH($B$4,Catch!$E$1:$BV$1,0)),0)</f>
        <v/>
      </c>
      <c r="D151">
        <f>IFERROR(IF(ISNUMBER(INDEX(SPPR!$E:$Z,MATCH($A151,SPPR!$A:$A,0),1)),$C151*INDEX(SPPR!$E:$Z,MATCH($A151,SPPR!$A:$A,0),1),""),"")</f>
        <v/>
      </c>
      <c r="E151">
        <f>IFERROR(IF(ISNUMBER(INDEX(SPPR!$E:$Z,MATCH($A151,SPPR!$A:$A,0),2)),$C151*INDEX(SPPR!$E:$Z,MATCH($A151,SPPR!$A:$A,0),2),""),"")</f>
        <v/>
      </c>
      <c r="F151">
        <f>IFERROR(IF(ISNUMBER(INDEX(SPPR!$E:$Z,MATCH($A151,SPPR!$A:$A,0),3)),$C151*INDEX(SPPR!$E:$Z,MATCH($A151,SPPR!$A:$A,0),3),""),"")</f>
        <v/>
      </c>
      <c r="G151">
        <f>IFERROR(IF(ISNUMBER(INDEX(SPPR!$E:$Z,MATCH($A151,SPPR!$A:$A,0),4)),$C151*INDEX(SPPR!$E:$Z,MATCH($A151,SPPR!$A:$A,0),4),""),"")</f>
        <v/>
      </c>
      <c r="H151">
        <f>IFERROR(IF(ISNUMBER(INDEX(SPPR!$E:$Z,MATCH($A151,SPPR!$A:$A,0),5)),$C151*INDEX(SPPR!$E:$Z,MATCH($A151,SPPR!$A:$A,0),5),""),"")</f>
        <v/>
      </c>
      <c r="I151">
        <f>IFERROR(IF(ISNUMBER(INDEX(SPPR!$E:$Z,MATCH($A151,SPPR!$A:$A,0),6)),$C151*INDEX(SPPR!$E:$Z,MATCH($A151,SPPR!$A:$A,0),6),""),"")</f>
        <v/>
      </c>
      <c r="J151">
        <f>IFERROR(IF(ISNUMBER(INDEX(SPPR!$E:$Z,MATCH($A151,SPPR!$A:$A,0),7)),$C151*INDEX(SPPR!$E:$Z,MATCH($A151,SPPR!$A:$A,0),7),""),"")</f>
        <v/>
      </c>
      <c r="K151">
        <f>IFERROR(IF(ISNUMBER(INDEX(SPPR!$E:$Z,MATCH($A151,SPPR!$A:$A,0),8)),$C151*INDEX(SPPR!$E:$Z,MATCH($A151,SPPR!$A:$A,0),8),""),"")</f>
        <v/>
      </c>
      <c r="L151">
        <f>IFERROR(IF(ISNUMBER(INDEX(SPPR!$E:$Z,MATCH($A151,SPPR!$A:$A,0),9)),$C151*INDEX(SPPR!$E:$Z,MATCH($A151,SPPR!$A:$A,0),9),""),"")</f>
        <v/>
      </c>
      <c r="M151">
        <f>IFERROR(IF(ISNUMBER(INDEX(SPPR!$E:$Z,MATCH($A151,SPPR!$A:$A,0),10)),$C151*INDEX(SPPR!$E:$Z,MATCH($A151,SPPR!$A:$A,0),10),""),"")</f>
        <v/>
      </c>
      <c r="N151">
        <f>IFERROR(IF(ISNUMBER(INDEX(SPPR!$E:$Z,MATCH($A151,SPPR!$A:$A,0),11)),$C151*INDEX(SPPR!$E:$Z,MATCH($A151,SPPR!$A:$A,0),11),""),"")</f>
        <v/>
      </c>
      <c r="O151">
        <f>IFERROR(IF(ISNUMBER(INDEX(SPPR!$E:$Z,MATCH($A151,SPPR!$A:$A,0),12)),$C151*INDEX(SPPR!$E:$Z,MATCH($A151,SPPR!$A:$A,0),12),""),"")</f>
        <v/>
      </c>
      <c r="P151">
        <f>IFERROR(IF(ISNUMBER(INDEX(SPPR!$E:$Z,MATCH($A151,SPPR!$A:$A,0),13)),$C151*INDEX(SPPR!$E:$Z,MATCH($A151,SPPR!$A:$A,0),13),""),"")</f>
        <v/>
      </c>
      <c r="Q151">
        <f>IFERROR(IF(ISNUMBER(INDEX(SPPR!$E:$Z,MATCH($A151,SPPR!$A:$A,0),14)),$C151*INDEX(SPPR!$E:$Z,MATCH($A151,SPPR!$A:$A,0),14),""),"")</f>
        <v/>
      </c>
      <c r="R151">
        <f>IFERROR(IF(ISNUMBER(INDEX(SPPR!$E:$Z,MATCH($A151,SPPR!$A:$A,0),15)),$C151*INDEX(SPPR!$E:$Z,MATCH($A151,SPPR!$A:$A,0),15),""),"")</f>
        <v/>
      </c>
      <c r="S151">
        <f>IFERROR(IF(ISNUMBER(INDEX(SPPR!$E:$Z,MATCH($A151,SPPR!$A:$A,0),16)),$C151*INDEX(SPPR!$E:$Z,MATCH($A151,SPPR!$A:$A,0),16),""),"")</f>
        <v/>
      </c>
      <c r="T151">
        <f>IFERROR(IF(ISNUMBER(INDEX(SPPR!$E:$Z,MATCH($A151,SPPR!$A:$A,0),17)),$C151*INDEX(SPPR!$E:$Z,MATCH($A151,SPPR!$A:$A,0),17),""),"")</f>
        <v/>
      </c>
      <c r="U151">
        <f>IFERROR(IF(ISNUMBER(INDEX(SPPR!$E:$Z,MATCH($A151,SPPR!$A:$A,0),18)),$C151*INDEX(SPPR!$E:$Z,MATCH($A151,SPPR!$A:$A,0),18),""),"")</f>
        <v/>
      </c>
      <c r="V151">
        <f>IFERROR(IF(ISNUMBER(INDEX(SPPR!$E:$Z,MATCH($A151,SPPR!$A:$A,0),19)),$C151*INDEX(SPPR!$E:$Z,MATCH($A151,SPPR!$A:$A,0),19),""),"")</f>
        <v/>
      </c>
      <c r="W151">
        <f>IFERROR(IF(ISNUMBER(INDEX(SPPR!$E:$Z,MATCH($A151,SPPR!$A:$A,0),20)),$C151*INDEX(SPPR!$E:$Z,MATCH($A151,SPPR!$A:$A,0),20),""),"")</f>
        <v/>
      </c>
      <c r="X151">
        <f>IFERROR(IF(ISNUMBER(INDEX(SPPR!$E:$Z,MATCH($A151,SPPR!$A:$A,0),21)),$C151*INDEX(SPPR!$E:$Z,MATCH($A151,SPPR!$A:$A,0),21),""),"")</f>
        <v/>
      </c>
      <c r="Y151">
        <f>IFERROR(IF(ISNUMBER(INDEX(SPPR!$E:$Z,MATCH($A151,SPPR!$A:$A,0),22)),$C151*INDEX(SPPR!$E:$Z,MATCH($A151,SPPR!$A:$A,0),22),""),"")</f>
        <v/>
      </c>
    </row>
    <row r="152">
      <c r="A152" t="inlineStr">
        <is>
          <t>Lethrinus nebulosus</t>
        </is>
      </c>
      <c r="B152">
        <f>IFERROR(INDEX(SPPR!$D:$D,MATCH($A152,SPPR!$A:$A,0)),"")</f>
        <v/>
      </c>
      <c r="C152">
        <f>IFERROR(INDEX(Catch!$E:$BV,MATCH($A152,Catch!$A:$A,0),MATCH($B$4,Catch!$E$1:$BV$1,0)),0)</f>
        <v/>
      </c>
      <c r="D152">
        <f>IFERROR(IF(ISNUMBER(INDEX(SPPR!$E:$Z,MATCH($A152,SPPR!$A:$A,0),1)),$C152*INDEX(SPPR!$E:$Z,MATCH($A152,SPPR!$A:$A,0),1),""),"")</f>
        <v/>
      </c>
      <c r="E152">
        <f>IFERROR(IF(ISNUMBER(INDEX(SPPR!$E:$Z,MATCH($A152,SPPR!$A:$A,0),2)),$C152*INDEX(SPPR!$E:$Z,MATCH($A152,SPPR!$A:$A,0),2),""),"")</f>
        <v/>
      </c>
      <c r="F152">
        <f>IFERROR(IF(ISNUMBER(INDEX(SPPR!$E:$Z,MATCH($A152,SPPR!$A:$A,0),3)),$C152*INDEX(SPPR!$E:$Z,MATCH($A152,SPPR!$A:$A,0),3),""),"")</f>
        <v/>
      </c>
      <c r="G152">
        <f>IFERROR(IF(ISNUMBER(INDEX(SPPR!$E:$Z,MATCH($A152,SPPR!$A:$A,0),4)),$C152*INDEX(SPPR!$E:$Z,MATCH($A152,SPPR!$A:$A,0),4),""),"")</f>
        <v/>
      </c>
      <c r="H152">
        <f>IFERROR(IF(ISNUMBER(INDEX(SPPR!$E:$Z,MATCH($A152,SPPR!$A:$A,0),5)),$C152*INDEX(SPPR!$E:$Z,MATCH($A152,SPPR!$A:$A,0),5),""),"")</f>
        <v/>
      </c>
      <c r="I152">
        <f>IFERROR(IF(ISNUMBER(INDEX(SPPR!$E:$Z,MATCH($A152,SPPR!$A:$A,0),6)),$C152*INDEX(SPPR!$E:$Z,MATCH($A152,SPPR!$A:$A,0),6),""),"")</f>
        <v/>
      </c>
      <c r="J152">
        <f>IFERROR(IF(ISNUMBER(INDEX(SPPR!$E:$Z,MATCH($A152,SPPR!$A:$A,0),7)),$C152*INDEX(SPPR!$E:$Z,MATCH($A152,SPPR!$A:$A,0),7),""),"")</f>
        <v/>
      </c>
      <c r="K152">
        <f>IFERROR(IF(ISNUMBER(INDEX(SPPR!$E:$Z,MATCH($A152,SPPR!$A:$A,0),8)),$C152*INDEX(SPPR!$E:$Z,MATCH($A152,SPPR!$A:$A,0),8),""),"")</f>
        <v/>
      </c>
      <c r="L152">
        <f>IFERROR(IF(ISNUMBER(INDEX(SPPR!$E:$Z,MATCH($A152,SPPR!$A:$A,0),9)),$C152*INDEX(SPPR!$E:$Z,MATCH($A152,SPPR!$A:$A,0),9),""),"")</f>
        <v/>
      </c>
      <c r="M152">
        <f>IFERROR(IF(ISNUMBER(INDEX(SPPR!$E:$Z,MATCH($A152,SPPR!$A:$A,0),10)),$C152*INDEX(SPPR!$E:$Z,MATCH($A152,SPPR!$A:$A,0),10),""),"")</f>
        <v/>
      </c>
      <c r="N152">
        <f>IFERROR(IF(ISNUMBER(INDEX(SPPR!$E:$Z,MATCH($A152,SPPR!$A:$A,0),11)),$C152*INDEX(SPPR!$E:$Z,MATCH($A152,SPPR!$A:$A,0),11),""),"")</f>
        <v/>
      </c>
      <c r="O152">
        <f>IFERROR(IF(ISNUMBER(INDEX(SPPR!$E:$Z,MATCH($A152,SPPR!$A:$A,0),12)),$C152*INDEX(SPPR!$E:$Z,MATCH($A152,SPPR!$A:$A,0),12),""),"")</f>
        <v/>
      </c>
      <c r="P152">
        <f>IFERROR(IF(ISNUMBER(INDEX(SPPR!$E:$Z,MATCH($A152,SPPR!$A:$A,0),13)),$C152*INDEX(SPPR!$E:$Z,MATCH($A152,SPPR!$A:$A,0),13),""),"")</f>
        <v/>
      </c>
      <c r="Q152">
        <f>IFERROR(IF(ISNUMBER(INDEX(SPPR!$E:$Z,MATCH($A152,SPPR!$A:$A,0),14)),$C152*INDEX(SPPR!$E:$Z,MATCH($A152,SPPR!$A:$A,0),14),""),"")</f>
        <v/>
      </c>
      <c r="R152">
        <f>IFERROR(IF(ISNUMBER(INDEX(SPPR!$E:$Z,MATCH($A152,SPPR!$A:$A,0),15)),$C152*INDEX(SPPR!$E:$Z,MATCH($A152,SPPR!$A:$A,0),15),""),"")</f>
        <v/>
      </c>
      <c r="S152">
        <f>IFERROR(IF(ISNUMBER(INDEX(SPPR!$E:$Z,MATCH($A152,SPPR!$A:$A,0),16)),$C152*INDEX(SPPR!$E:$Z,MATCH($A152,SPPR!$A:$A,0),16),""),"")</f>
        <v/>
      </c>
      <c r="T152">
        <f>IFERROR(IF(ISNUMBER(INDEX(SPPR!$E:$Z,MATCH($A152,SPPR!$A:$A,0),17)),$C152*INDEX(SPPR!$E:$Z,MATCH($A152,SPPR!$A:$A,0),17),""),"")</f>
        <v/>
      </c>
      <c r="U152">
        <f>IFERROR(IF(ISNUMBER(INDEX(SPPR!$E:$Z,MATCH($A152,SPPR!$A:$A,0),18)),$C152*INDEX(SPPR!$E:$Z,MATCH($A152,SPPR!$A:$A,0),18),""),"")</f>
        <v/>
      </c>
      <c r="V152">
        <f>IFERROR(IF(ISNUMBER(INDEX(SPPR!$E:$Z,MATCH($A152,SPPR!$A:$A,0),19)),$C152*INDEX(SPPR!$E:$Z,MATCH($A152,SPPR!$A:$A,0),19),""),"")</f>
        <v/>
      </c>
      <c r="W152">
        <f>IFERROR(IF(ISNUMBER(INDEX(SPPR!$E:$Z,MATCH($A152,SPPR!$A:$A,0),20)),$C152*INDEX(SPPR!$E:$Z,MATCH($A152,SPPR!$A:$A,0),20),""),"")</f>
        <v/>
      </c>
      <c r="X152">
        <f>IFERROR(IF(ISNUMBER(INDEX(SPPR!$E:$Z,MATCH($A152,SPPR!$A:$A,0),21)),$C152*INDEX(SPPR!$E:$Z,MATCH($A152,SPPR!$A:$A,0),21),""),"")</f>
        <v/>
      </c>
      <c r="Y152">
        <f>IFERROR(IF(ISNUMBER(INDEX(SPPR!$E:$Z,MATCH($A152,SPPR!$A:$A,0),22)),$C152*INDEX(SPPR!$E:$Z,MATCH($A152,SPPR!$A:$A,0),22),""),"")</f>
        <v/>
      </c>
    </row>
    <row r="153">
      <c r="A153" t="inlineStr">
        <is>
          <t>Caranx ignobilis</t>
        </is>
      </c>
      <c r="B153">
        <f>IFERROR(INDEX(SPPR!$D:$D,MATCH($A153,SPPR!$A:$A,0)),"")</f>
        <v/>
      </c>
      <c r="C153">
        <f>IFERROR(INDEX(Catch!$E:$BV,MATCH($A153,Catch!$A:$A,0),MATCH($B$4,Catch!$E$1:$BV$1,0)),0)</f>
        <v/>
      </c>
      <c r="D153">
        <f>IFERROR(IF(ISNUMBER(INDEX(SPPR!$E:$Z,MATCH($A153,SPPR!$A:$A,0),1)),$C153*INDEX(SPPR!$E:$Z,MATCH($A153,SPPR!$A:$A,0),1),""),"")</f>
        <v/>
      </c>
      <c r="E153">
        <f>IFERROR(IF(ISNUMBER(INDEX(SPPR!$E:$Z,MATCH($A153,SPPR!$A:$A,0),2)),$C153*INDEX(SPPR!$E:$Z,MATCH($A153,SPPR!$A:$A,0),2),""),"")</f>
        <v/>
      </c>
      <c r="F153">
        <f>IFERROR(IF(ISNUMBER(INDEX(SPPR!$E:$Z,MATCH($A153,SPPR!$A:$A,0),3)),$C153*INDEX(SPPR!$E:$Z,MATCH($A153,SPPR!$A:$A,0),3),""),"")</f>
        <v/>
      </c>
      <c r="G153">
        <f>IFERROR(IF(ISNUMBER(INDEX(SPPR!$E:$Z,MATCH($A153,SPPR!$A:$A,0),4)),$C153*INDEX(SPPR!$E:$Z,MATCH($A153,SPPR!$A:$A,0),4),""),"")</f>
        <v/>
      </c>
      <c r="H153">
        <f>IFERROR(IF(ISNUMBER(INDEX(SPPR!$E:$Z,MATCH($A153,SPPR!$A:$A,0),5)),$C153*INDEX(SPPR!$E:$Z,MATCH($A153,SPPR!$A:$A,0),5),""),"")</f>
        <v/>
      </c>
      <c r="I153">
        <f>IFERROR(IF(ISNUMBER(INDEX(SPPR!$E:$Z,MATCH($A153,SPPR!$A:$A,0),6)),$C153*INDEX(SPPR!$E:$Z,MATCH($A153,SPPR!$A:$A,0),6),""),"")</f>
        <v/>
      </c>
      <c r="J153">
        <f>IFERROR(IF(ISNUMBER(INDEX(SPPR!$E:$Z,MATCH($A153,SPPR!$A:$A,0),7)),$C153*INDEX(SPPR!$E:$Z,MATCH($A153,SPPR!$A:$A,0),7),""),"")</f>
        <v/>
      </c>
      <c r="K153">
        <f>IFERROR(IF(ISNUMBER(INDEX(SPPR!$E:$Z,MATCH($A153,SPPR!$A:$A,0),8)),$C153*INDEX(SPPR!$E:$Z,MATCH($A153,SPPR!$A:$A,0),8),""),"")</f>
        <v/>
      </c>
      <c r="L153">
        <f>IFERROR(IF(ISNUMBER(INDEX(SPPR!$E:$Z,MATCH($A153,SPPR!$A:$A,0),9)),$C153*INDEX(SPPR!$E:$Z,MATCH($A153,SPPR!$A:$A,0),9),""),"")</f>
        <v/>
      </c>
      <c r="M153">
        <f>IFERROR(IF(ISNUMBER(INDEX(SPPR!$E:$Z,MATCH($A153,SPPR!$A:$A,0),10)),$C153*INDEX(SPPR!$E:$Z,MATCH($A153,SPPR!$A:$A,0),10),""),"")</f>
        <v/>
      </c>
      <c r="N153">
        <f>IFERROR(IF(ISNUMBER(INDEX(SPPR!$E:$Z,MATCH($A153,SPPR!$A:$A,0),11)),$C153*INDEX(SPPR!$E:$Z,MATCH($A153,SPPR!$A:$A,0),11),""),"")</f>
        <v/>
      </c>
      <c r="O153">
        <f>IFERROR(IF(ISNUMBER(INDEX(SPPR!$E:$Z,MATCH($A153,SPPR!$A:$A,0),12)),$C153*INDEX(SPPR!$E:$Z,MATCH($A153,SPPR!$A:$A,0),12),""),"")</f>
        <v/>
      </c>
      <c r="P153">
        <f>IFERROR(IF(ISNUMBER(INDEX(SPPR!$E:$Z,MATCH($A153,SPPR!$A:$A,0),13)),$C153*INDEX(SPPR!$E:$Z,MATCH($A153,SPPR!$A:$A,0),13),""),"")</f>
        <v/>
      </c>
      <c r="Q153">
        <f>IFERROR(IF(ISNUMBER(INDEX(SPPR!$E:$Z,MATCH($A153,SPPR!$A:$A,0),14)),$C153*INDEX(SPPR!$E:$Z,MATCH($A153,SPPR!$A:$A,0),14),""),"")</f>
        <v/>
      </c>
      <c r="R153">
        <f>IFERROR(IF(ISNUMBER(INDEX(SPPR!$E:$Z,MATCH($A153,SPPR!$A:$A,0),15)),$C153*INDEX(SPPR!$E:$Z,MATCH($A153,SPPR!$A:$A,0),15),""),"")</f>
        <v/>
      </c>
      <c r="S153">
        <f>IFERROR(IF(ISNUMBER(INDEX(SPPR!$E:$Z,MATCH($A153,SPPR!$A:$A,0),16)),$C153*INDEX(SPPR!$E:$Z,MATCH($A153,SPPR!$A:$A,0),16),""),"")</f>
        <v/>
      </c>
      <c r="T153">
        <f>IFERROR(IF(ISNUMBER(INDEX(SPPR!$E:$Z,MATCH($A153,SPPR!$A:$A,0),17)),$C153*INDEX(SPPR!$E:$Z,MATCH($A153,SPPR!$A:$A,0),17),""),"")</f>
        <v/>
      </c>
      <c r="U153">
        <f>IFERROR(IF(ISNUMBER(INDEX(SPPR!$E:$Z,MATCH($A153,SPPR!$A:$A,0),18)),$C153*INDEX(SPPR!$E:$Z,MATCH($A153,SPPR!$A:$A,0),18),""),"")</f>
        <v/>
      </c>
      <c r="V153">
        <f>IFERROR(IF(ISNUMBER(INDEX(SPPR!$E:$Z,MATCH($A153,SPPR!$A:$A,0),19)),$C153*INDEX(SPPR!$E:$Z,MATCH($A153,SPPR!$A:$A,0),19),""),"")</f>
        <v/>
      </c>
      <c r="W153">
        <f>IFERROR(IF(ISNUMBER(INDEX(SPPR!$E:$Z,MATCH($A153,SPPR!$A:$A,0),20)),$C153*INDEX(SPPR!$E:$Z,MATCH($A153,SPPR!$A:$A,0),20),""),"")</f>
        <v/>
      </c>
      <c r="X153">
        <f>IFERROR(IF(ISNUMBER(INDEX(SPPR!$E:$Z,MATCH($A153,SPPR!$A:$A,0),21)),$C153*INDEX(SPPR!$E:$Z,MATCH($A153,SPPR!$A:$A,0),21),""),"")</f>
        <v/>
      </c>
      <c r="Y153">
        <f>IFERROR(IF(ISNUMBER(INDEX(SPPR!$E:$Z,MATCH($A153,SPPR!$A:$A,0),22)),$C153*INDEX(SPPR!$E:$Z,MATCH($A153,SPPR!$A:$A,0),22),""),"")</f>
        <v/>
      </c>
    </row>
    <row r="154">
      <c r="A154" t="inlineStr">
        <is>
          <t>Caranx melampygus</t>
        </is>
      </c>
      <c r="B154">
        <f>IFERROR(INDEX(SPPR!$D:$D,MATCH($A154,SPPR!$A:$A,0)),"")</f>
        <v/>
      </c>
      <c r="C154">
        <f>IFERROR(INDEX(Catch!$E:$BV,MATCH($A154,Catch!$A:$A,0),MATCH($B$4,Catch!$E$1:$BV$1,0)),0)</f>
        <v/>
      </c>
      <c r="D154">
        <f>IFERROR(IF(ISNUMBER(INDEX(SPPR!$E:$Z,MATCH($A154,SPPR!$A:$A,0),1)),$C154*INDEX(SPPR!$E:$Z,MATCH($A154,SPPR!$A:$A,0),1),""),"")</f>
        <v/>
      </c>
      <c r="E154">
        <f>IFERROR(IF(ISNUMBER(INDEX(SPPR!$E:$Z,MATCH($A154,SPPR!$A:$A,0),2)),$C154*INDEX(SPPR!$E:$Z,MATCH($A154,SPPR!$A:$A,0),2),""),"")</f>
        <v/>
      </c>
      <c r="F154">
        <f>IFERROR(IF(ISNUMBER(INDEX(SPPR!$E:$Z,MATCH($A154,SPPR!$A:$A,0),3)),$C154*INDEX(SPPR!$E:$Z,MATCH($A154,SPPR!$A:$A,0),3),""),"")</f>
        <v/>
      </c>
      <c r="G154">
        <f>IFERROR(IF(ISNUMBER(INDEX(SPPR!$E:$Z,MATCH($A154,SPPR!$A:$A,0),4)),$C154*INDEX(SPPR!$E:$Z,MATCH($A154,SPPR!$A:$A,0),4),""),"")</f>
        <v/>
      </c>
      <c r="H154">
        <f>IFERROR(IF(ISNUMBER(INDEX(SPPR!$E:$Z,MATCH($A154,SPPR!$A:$A,0),5)),$C154*INDEX(SPPR!$E:$Z,MATCH($A154,SPPR!$A:$A,0),5),""),"")</f>
        <v/>
      </c>
      <c r="I154">
        <f>IFERROR(IF(ISNUMBER(INDEX(SPPR!$E:$Z,MATCH($A154,SPPR!$A:$A,0),6)),$C154*INDEX(SPPR!$E:$Z,MATCH($A154,SPPR!$A:$A,0),6),""),"")</f>
        <v/>
      </c>
      <c r="J154">
        <f>IFERROR(IF(ISNUMBER(INDEX(SPPR!$E:$Z,MATCH($A154,SPPR!$A:$A,0),7)),$C154*INDEX(SPPR!$E:$Z,MATCH($A154,SPPR!$A:$A,0),7),""),"")</f>
        <v/>
      </c>
      <c r="K154">
        <f>IFERROR(IF(ISNUMBER(INDEX(SPPR!$E:$Z,MATCH($A154,SPPR!$A:$A,0),8)),$C154*INDEX(SPPR!$E:$Z,MATCH($A154,SPPR!$A:$A,0),8),""),"")</f>
        <v/>
      </c>
      <c r="L154">
        <f>IFERROR(IF(ISNUMBER(INDEX(SPPR!$E:$Z,MATCH($A154,SPPR!$A:$A,0),9)),$C154*INDEX(SPPR!$E:$Z,MATCH($A154,SPPR!$A:$A,0),9),""),"")</f>
        <v/>
      </c>
      <c r="M154">
        <f>IFERROR(IF(ISNUMBER(INDEX(SPPR!$E:$Z,MATCH($A154,SPPR!$A:$A,0),10)),$C154*INDEX(SPPR!$E:$Z,MATCH($A154,SPPR!$A:$A,0),10),""),"")</f>
        <v/>
      </c>
      <c r="N154">
        <f>IFERROR(IF(ISNUMBER(INDEX(SPPR!$E:$Z,MATCH($A154,SPPR!$A:$A,0),11)),$C154*INDEX(SPPR!$E:$Z,MATCH($A154,SPPR!$A:$A,0),11),""),"")</f>
        <v/>
      </c>
      <c r="O154">
        <f>IFERROR(IF(ISNUMBER(INDEX(SPPR!$E:$Z,MATCH($A154,SPPR!$A:$A,0),12)),$C154*INDEX(SPPR!$E:$Z,MATCH($A154,SPPR!$A:$A,0),12),""),"")</f>
        <v/>
      </c>
      <c r="P154">
        <f>IFERROR(IF(ISNUMBER(INDEX(SPPR!$E:$Z,MATCH($A154,SPPR!$A:$A,0),13)),$C154*INDEX(SPPR!$E:$Z,MATCH($A154,SPPR!$A:$A,0),13),""),"")</f>
        <v/>
      </c>
      <c r="Q154">
        <f>IFERROR(IF(ISNUMBER(INDEX(SPPR!$E:$Z,MATCH($A154,SPPR!$A:$A,0),14)),$C154*INDEX(SPPR!$E:$Z,MATCH($A154,SPPR!$A:$A,0),14),""),"")</f>
        <v/>
      </c>
      <c r="R154">
        <f>IFERROR(IF(ISNUMBER(INDEX(SPPR!$E:$Z,MATCH($A154,SPPR!$A:$A,0),15)),$C154*INDEX(SPPR!$E:$Z,MATCH($A154,SPPR!$A:$A,0),15),""),"")</f>
        <v/>
      </c>
      <c r="S154">
        <f>IFERROR(IF(ISNUMBER(INDEX(SPPR!$E:$Z,MATCH($A154,SPPR!$A:$A,0),16)),$C154*INDEX(SPPR!$E:$Z,MATCH($A154,SPPR!$A:$A,0),16),""),"")</f>
        <v/>
      </c>
      <c r="T154">
        <f>IFERROR(IF(ISNUMBER(INDEX(SPPR!$E:$Z,MATCH($A154,SPPR!$A:$A,0),17)),$C154*INDEX(SPPR!$E:$Z,MATCH($A154,SPPR!$A:$A,0),17),""),"")</f>
        <v/>
      </c>
      <c r="U154">
        <f>IFERROR(IF(ISNUMBER(INDEX(SPPR!$E:$Z,MATCH($A154,SPPR!$A:$A,0),18)),$C154*INDEX(SPPR!$E:$Z,MATCH($A154,SPPR!$A:$A,0),18),""),"")</f>
        <v/>
      </c>
      <c r="V154">
        <f>IFERROR(IF(ISNUMBER(INDEX(SPPR!$E:$Z,MATCH($A154,SPPR!$A:$A,0),19)),$C154*INDEX(SPPR!$E:$Z,MATCH($A154,SPPR!$A:$A,0),19),""),"")</f>
        <v/>
      </c>
      <c r="W154">
        <f>IFERROR(IF(ISNUMBER(INDEX(SPPR!$E:$Z,MATCH($A154,SPPR!$A:$A,0),20)),$C154*INDEX(SPPR!$E:$Z,MATCH($A154,SPPR!$A:$A,0),20),""),"")</f>
        <v/>
      </c>
      <c r="X154">
        <f>IFERROR(IF(ISNUMBER(INDEX(SPPR!$E:$Z,MATCH($A154,SPPR!$A:$A,0),21)),$C154*INDEX(SPPR!$E:$Z,MATCH($A154,SPPR!$A:$A,0),21),""),"")</f>
        <v/>
      </c>
      <c r="Y154">
        <f>IFERROR(IF(ISNUMBER(INDEX(SPPR!$E:$Z,MATCH($A154,SPPR!$A:$A,0),22)),$C154*INDEX(SPPR!$E:$Z,MATCH($A154,SPPR!$A:$A,0),22),""),"")</f>
        <v/>
      </c>
    </row>
    <row r="155">
      <c r="A155" t="inlineStr">
        <is>
          <t>Penaeus semisulcatus</t>
        </is>
      </c>
      <c r="B155">
        <f>IFERROR(INDEX(SPPR!$D:$D,MATCH($A155,SPPR!$A:$A,0)),"")</f>
        <v/>
      </c>
      <c r="C155">
        <f>IFERROR(INDEX(Catch!$E:$BV,MATCH($A155,Catch!$A:$A,0),MATCH($B$4,Catch!$E$1:$BV$1,0)),0)</f>
        <v/>
      </c>
      <c r="D155">
        <f>IFERROR(IF(ISNUMBER(INDEX(SPPR!$E:$Z,MATCH($A155,SPPR!$A:$A,0),1)),$C155*INDEX(SPPR!$E:$Z,MATCH($A155,SPPR!$A:$A,0),1),""),"")</f>
        <v/>
      </c>
      <c r="E155">
        <f>IFERROR(IF(ISNUMBER(INDEX(SPPR!$E:$Z,MATCH($A155,SPPR!$A:$A,0),2)),$C155*INDEX(SPPR!$E:$Z,MATCH($A155,SPPR!$A:$A,0),2),""),"")</f>
        <v/>
      </c>
      <c r="F155">
        <f>IFERROR(IF(ISNUMBER(INDEX(SPPR!$E:$Z,MATCH($A155,SPPR!$A:$A,0),3)),$C155*INDEX(SPPR!$E:$Z,MATCH($A155,SPPR!$A:$A,0),3),""),"")</f>
        <v/>
      </c>
      <c r="G155">
        <f>IFERROR(IF(ISNUMBER(INDEX(SPPR!$E:$Z,MATCH($A155,SPPR!$A:$A,0),4)),$C155*INDEX(SPPR!$E:$Z,MATCH($A155,SPPR!$A:$A,0),4),""),"")</f>
        <v/>
      </c>
      <c r="H155">
        <f>IFERROR(IF(ISNUMBER(INDEX(SPPR!$E:$Z,MATCH($A155,SPPR!$A:$A,0),5)),$C155*INDEX(SPPR!$E:$Z,MATCH($A155,SPPR!$A:$A,0),5),""),"")</f>
        <v/>
      </c>
      <c r="I155">
        <f>IFERROR(IF(ISNUMBER(INDEX(SPPR!$E:$Z,MATCH($A155,SPPR!$A:$A,0),6)),$C155*INDEX(SPPR!$E:$Z,MATCH($A155,SPPR!$A:$A,0),6),""),"")</f>
        <v/>
      </c>
      <c r="J155">
        <f>IFERROR(IF(ISNUMBER(INDEX(SPPR!$E:$Z,MATCH($A155,SPPR!$A:$A,0),7)),$C155*INDEX(SPPR!$E:$Z,MATCH($A155,SPPR!$A:$A,0),7),""),"")</f>
        <v/>
      </c>
      <c r="K155">
        <f>IFERROR(IF(ISNUMBER(INDEX(SPPR!$E:$Z,MATCH($A155,SPPR!$A:$A,0),8)),$C155*INDEX(SPPR!$E:$Z,MATCH($A155,SPPR!$A:$A,0),8),""),"")</f>
        <v/>
      </c>
      <c r="L155">
        <f>IFERROR(IF(ISNUMBER(INDEX(SPPR!$E:$Z,MATCH($A155,SPPR!$A:$A,0),9)),$C155*INDEX(SPPR!$E:$Z,MATCH($A155,SPPR!$A:$A,0),9),""),"")</f>
        <v/>
      </c>
      <c r="M155">
        <f>IFERROR(IF(ISNUMBER(INDEX(SPPR!$E:$Z,MATCH($A155,SPPR!$A:$A,0),10)),$C155*INDEX(SPPR!$E:$Z,MATCH($A155,SPPR!$A:$A,0),10),""),"")</f>
        <v/>
      </c>
      <c r="N155">
        <f>IFERROR(IF(ISNUMBER(INDEX(SPPR!$E:$Z,MATCH($A155,SPPR!$A:$A,0),11)),$C155*INDEX(SPPR!$E:$Z,MATCH($A155,SPPR!$A:$A,0),11),""),"")</f>
        <v/>
      </c>
      <c r="O155">
        <f>IFERROR(IF(ISNUMBER(INDEX(SPPR!$E:$Z,MATCH($A155,SPPR!$A:$A,0),12)),$C155*INDEX(SPPR!$E:$Z,MATCH($A155,SPPR!$A:$A,0),12),""),"")</f>
        <v/>
      </c>
      <c r="P155">
        <f>IFERROR(IF(ISNUMBER(INDEX(SPPR!$E:$Z,MATCH($A155,SPPR!$A:$A,0),13)),$C155*INDEX(SPPR!$E:$Z,MATCH($A155,SPPR!$A:$A,0),13),""),"")</f>
        <v/>
      </c>
      <c r="Q155">
        <f>IFERROR(IF(ISNUMBER(INDEX(SPPR!$E:$Z,MATCH($A155,SPPR!$A:$A,0),14)),$C155*INDEX(SPPR!$E:$Z,MATCH($A155,SPPR!$A:$A,0),14),""),"")</f>
        <v/>
      </c>
      <c r="R155">
        <f>IFERROR(IF(ISNUMBER(INDEX(SPPR!$E:$Z,MATCH($A155,SPPR!$A:$A,0),15)),$C155*INDEX(SPPR!$E:$Z,MATCH($A155,SPPR!$A:$A,0),15),""),"")</f>
        <v/>
      </c>
      <c r="S155">
        <f>IFERROR(IF(ISNUMBER(INDEX(SPPR!$E:$Z,MATCH($A155,SPPR!$A:$A,0),16)),$C155*INDEX(SPPR!$E:$Z,MATCH($A155,SPPR!$A:$A,0),16),""),"")</f>
        <v/>
      </c>
      <c r="T155">
        <f>IFERROR(IF(ISNUMBER(INDEX(SPPR!$E:$Z,MATCH($A155,SPPR!$A:$A,0),17)),$C155*INDEX(SPPR!$E:$Z,MATCH($A155,SPPR!$A:$A,0),17),""),"")</f>
        <v/>
      </c>
      <c r="U155">
        <f>IFERROR(IF(ISNUMBER(INDEX(SPPR!$E:$Z,MATCH($A155,SPPR!$A:$A,0),18)),$C155*INDEX(SPPR!$E:$Z,MATCH($A155,SPPR!$A:$A,0),18),""),"")</f>
        <v/>
      </c>
      <c r="V155">
        <f>IFERROR(IF(ISNUMBER(INDEX(SPPR!$E:$Z,MATCH($A155,SPPR!$A:$A,0),19)),$C155*INDEX(SPPR!$E:$Z,MATCH($A155,SPPR!$A:$A,0),19),""),"")</f>
        <v/>
      </c>
      <c r="W155">
        <f>IFERROR(IF(ISNUMBER(INDEX(SPPR!$E:$Z,MATCH($A155,SPPR!$A:$A,0),20)),$C155*INDEX(SPPR!$E:$Z,MATCH($A155,SPPR!$A:$A,0),20),""),"")</f>
        <v/>
      </c>
      <c r="X155">
        <f>IFERROR(IF(ISNUMBER(INDEX(SPPR!$E:$Z,MATCH($A155,SPPR!$A:$A,0),21)),$C155*INDEX(SPPR!$E:$Z,MATCH($A155,SPPR!$A:$A,0),21),""),"")</f>
        <v/>
      </c>
      <c r="Y155">
        <f>IFERROR(IF(ISNUMBER(INDEX(SPPR!$E:$Z,MATCH($A155,SPPR!$A:$A,0),22)),$C155*INDEX(SPPR!$E:$Z,MATCH($A155,SPPR!$A:$A,0),22),""),"")</f>
        <v/>
      </c>
    </row>
    <row r="156">
      <c r="A156" t="inlineStr">
        <is>
          <t>Isurus</t>
        </is>
      </c>
      <c r="B156">
        <f>IFERROR(INDEX(SPPR!$D:$D,MATCH($A156,SPPR!$A:$A,0)),"")</f>
        <v/>
      </c>
      <c r="C156">
        <f>IFERROR(INDEX(Catch!$E:$BV,MATCH($A156,Catch!$A:$A,0),MATCH($B$4,Catch!$E$1:$BV$1,0)),0)</f>
        <v/>
      </c>
      <c r="D156">
        <f>IFERROR(IF(ISNUMBER(INDEX(SPPR!$E:$Z,MATCH($A156,SPPR!$A:$A,0),1)),$C156*INDEX(SPPR!$E:$Z,MATCH($A156,SPPR!$A:$A,0),1),""),"")</f>
        <v/>
      </c>
      <c r="E156">
        <f>IFERROR(IF(ISNUMBER(INDEX(SPPR!$E:$Z,MATCH($A156,SPPR!$A:$A,0),2)),$C156*INDEX(SPPR!$E:$Z,MATCH($A156,SPPR!$A:$A,0),2),""),"")</f>
        <v/>
      </c>
      <c r="F156">
        <f>IFERROR(IF(ISNUMBER(INDEX(SPPR!$E:$Z,MATCH($A156,SPPR!$A:$A,0),3)),$C156*INDEX(SPPR!$E:$Z,MATCH($A156,SPPR!$A:$A,0),3),""),"")</f>
        <v/>
      </c>
      <c r="G156">
        <f>IFERROR(IF(ISNUMBER(INDEX(SPPR!$E:$Z,MATCH($A156,SPPR!$A:$A,0),4)),$C156*INDEX(SPPR!$E:$Z,MATCH($A156,SPPR!$A:$A,0),4),""),"")</f>
        <v/>
      </c>
      <c r="H156">
        <f>IFERROR(IF(ISNUMBER(INDEX(SPPR!$E:$Z,MATCH($A156,SPPR!$A:$A,0),5)),$C156*INDEX(SPPR!$E:$Z,MATCH($A156,SPPR!$A:$A,0),5),""),"")</f>
        <v/>
      </c>
      <c r="I156">
        <f>IFERROR(IF(ISNUMBER(INDEX(SPPR!$E:$Z,MATCH($A156,SPPR!$A:$A,0),6)),$C156*INDEX(SPPR!$E:$Z,MATCH($A156,SPPR!$A:$A,0),6),""),"")</f>
        <v/>
      </c>
      <c r="J156">
        <f>IFERROR(IF(ISNUMBER(INDEX(SPPR!$E:$Z,MATCH($A156,SPPR!$A:$A,0),7)),$C156*INDEX(SPPR!$E:$Z,MATCH($A156,SPPR!$A:$A,0),7),""),"")</f>
        <v/>
      </c>
      <c r="K156">
        <f>IFERROR(IF(ISNUMBER(INDEX(SPPR!$E:$Z,MATCH($A156,SPPR!$A:$A,0),8)),$C156*INDEX(SPPR!$E:$Z,MATCH($A156,SPPR!$A:$A,0),8),""),"")</f>
        <v/>
      </c>
      <c r="L156">
        <f>IFERROR(IF(ISNUMBER(INDEX(SPPR!$E:$Z,MATCH($A156,SPPR!$A:$A,0),9)),$C156*INDEX(SPPR!$E:$Z,MATCH($A156,SPPR!$A:$A,0),9),""),"")</f>
        <v/>
      </c>
      <c r="M156">
        <f>IFERROR(IF(ISNUMBER(INDEX(SPPR!$E:$Z,MATCH($A156,SPPR!$A:$A,0),10)),$C156*INDEX(SPPR!$E:$Z,MATCH($A156,SPPR!$A:$A,0),10),""),"")</f>
        <v/>
      </c>
      <c r="N156">
        <f>IFERROR(IF(ISNUMBER(INDEX(SPPR!$E:$Z,MATCH($A156,SPPR!$A:$A,0),11)),$C156*INDEX(SPPR!$E:$Z,MATCH($A156,SPPR!$A:$A,0),11),""),"")</f>
        <v/>
      </c>
      <c r="O156">
        <f>IFERROR(IF(ISNUMBER(INDEX(SPPR!$E:$Z,MATCH($A156,SPPR!$A:$A,0),12)),$C156*INDEX(SPPR!$E:$Z,MATCH($A156,SPPR!$A:$A,0),12),""),"")</f>
        <v/>
      </c>
      <c r="P156">
        <f>IFERROR(IF(ISNUMBER(INDEX(SPPR!$E:$Z,MATCH($A156,SPPR!$A:$A,0),13)),$C156*INDEX(SPPR!$E:$Z,MATCH($A156,SPPR!$A:$A,0),13),""),"")</f>
        <v/>
      </c>
      <c r="Q156">
        <f>IFERROR(IF(ISNUMBER(INDEX(SPPR!$E:$Z,MATCH($A156,SPPR!$A:$A,0),14)),$C156*INDEX(SPPR!$E:$Z,MATCH($A156,SPPR!$A:$A,0),14),""),"")</f>
        <v/>
      </c>
      <c r="R156">
        <f>IFERROR(IF(ISNUMBER(INDEX(SPPR!$E:$Z,MATCH($A156,SPPR!$A:$A,0),15)),$C156*INDEX(SPPR!$E:$Z,MATCH($A156,SPPR!$A:$A,0),15),""),"")</f>
        <v/>
      </c>
      <c r="S156">
        <f>IFERROR(IF(ISNUMBER(INDEX(SPPR!$E:$Z,MATCH($A156,SPPR!$A:$A,0),16)),$C156*INDEX(SPPR!$E:$Z,MATCH($A156,SPPR!$A:$A,0),16),""),"")</f>
        <v/>
      </c>
      <c r="T156">
        <f>IFERROR(IF(ISNUMBER(INDEX(SPPR!$E:$Z,MATCH($A156,SPPR!$A:$A,0),17)),$C156*INDEX(SPPR!$E:$Z,MATCH($A156,SPPR!$A:$A,0),17),""),"")</f>
        <v/>
      </c>
      <c r="U156">
        <f>IFERROR(IF(ISNUMBER(INDEX(SPPR!$E:$Z,MATCH($A156,SPPR!$A:$A,0),18)),$C156*INDEX(SPPR!$E:$Z,MATCH($A156,SPPR!$A:$A,0),18),""),"")</f>
        <v/>
      </c>
      <c r="V156">
        <f>IFERROR(IF(ISNUMBER(INDEX(SPPR!$E:$Z,MATCH($A156,SPPR!$A:$A,0),19)),$C156*INDEX(SPPR!$E:$Z,MATCH($A156,SPPR!$A:$A,0),19),""),"")</f>
        <v/>
      </c>
      <c r="W156">
        <f>IFERROR(IF(ISNUMBER(INDEX(SPPR!$E:$Z,MATCH($A156,SPPR!$A:$A,0),20)),$C156*INDEX(SPPR!$E:$Z,MATCH($A156,SPPR!$A:$A,0),20),""),"")</f>
        <v/>
      </c>
      <c r="X156">
        <f>IFERROR(IF(ISNUMBER(INDEX(SPPR!$E:$Z,MATCH($A156,SPPR!$A:$A,0),21)),$C156*INDEX(SPPR!$E:$Z,MATCH($A156,SPPR!$A:$A,0),21),""),"")</f>
        <v/>
      </c>
      <c r="Y156">
        <f>IFERROR(IF(ISNUMBER(INDEX(SPPR!$E:$Z,MATCH($A156,SPPR!$A:$A,0),22)),$C156*INDEX(SPPR!$E:$Z,MATCH($A156,SPPR!$A:$A,0),22),""),"")</f>
        <v/>
      </c>
    </row>
    <row r="157">
      <c r="A157" t="inlineStr">
        <is>
          <t>Nemipterus japonicus</t>
        </is>
      </c>
      <c r="B157">
        <f>IFERROR(INDEX(SPPR!$D:$D,MATCH($A157,SPPR!$A:$A,0)),"")</f>
        <v/>
      </c>
      <c r="C157">
        <f>IFERROR(INDEX(Catch!$E:$BV,MATCH($A157,Catch!$A:$A,0),MATCH($B$4,Catch!$E$1:$BV$1,0)),0)</f>
        <v/>
      </c>
      <c r="D157">
        <f>IFERROR(IF(ISNUMBER(INDEX(SPPR!$E:$Z,MATCH($A157,SPPR!$A:$A,0),1)),$C157*INDEX(SPPR!$E:$Z,MATCH($A157,SPPR!$A:$A,0),1),""),"")</f>
        <v/>
      </c>
      <c r="E157">
        <f>IFERROR(IF(ISNUMBER(INDEX(SPPR!$E:$Z,MATCH($A157,SPPR!$A:$A,0),2)),$C157*INDEX(SPPR!$E:$Z,MATCH($A157,SPPR!$A:$A,0),2),""),"")</f>
        <v/>
      </c>
      <c r="F157">
        <f>IFERROR(IF(ISNUMBER(INDEX(SPPR!$E:$Z,MATCH($A157,SPPR!$A:$A,0),3)),$C157*INDEX(SPPR!$E:$Z,MATCH($A157,SPPR!$A:$A,0),3),""),"")</f>
        <v/>
      </c>
      <c r="G157">
        <f>IFERROR(IF(ISNUMBER(INDEX(SPPR!$E:$Z,MATCH($A157,SPPR!$A:$A,0),4)),$C157*INDEX(SPPR!$E:$Z,MATCH($A157,SPPR!$A:$A,0),4),""),"")</f>
        <v/>
      </c>
      <c r="H157">
        <f>IFERROR(IF(ISNUMBER(INDEX(SPPR!$E:$Z,MATCH($A157,SPPR!$A:$A,0),5)),$C157*INDEX(SPPR!$E:$Z,MATCH($A157,SPPR!$A:$A,0),5),""),"")</f>
        <v/>
      </c>
      <c r="I157">
        <f>IFERROR(IF(ISNUMBER(INDEX(SPPR!$E:$Z,MATCH($A157,SPPR!$A:$A,0),6)),$C157*INDEX(SPPR!$E:$Z,MATCH($A157,SPPR!$A:$A,0),6),""),"")</f>
        <v/>
      </c>
      <c r="J157">
        <f>IFERROR(IF(ISNUMBER(INDEX(SPPR!$E:$Z,MATCH($A157,SPPR!$A:$A,0),7)),$C157*INDEX(SPPR!$E:$Z,MATCH($A157,SPPR!$A:$A,0),7),""),"")</f>
        <v/>
      </c>
      <c r="K157">
        <f>IFERROR(IF(ISNUMBER(INDEX(SPPR!$E:$Z,MATCH($A157,SPPR!$A:$A,0),8)),$C157*INDEX(SPPR!$E:$Z,MATCH($A157,SPPR!$A:$A,0),8),""),"")</f>
        <v/>
      </c>
      <c r="L157">
        <f>IFERROR(IF(ISNUMBER(INDEX(SPPR!$E:$Z,MATCH($A157,SPPR!$A:$A,0),9)),$C157*INDEX(SPPR!$E:$Z,MATCH($A157,SPPR!$A:$A,0),9),""),"")</f>
        <v/>
      </c>
      <c r="M157">
        <f>IFERROR(IF(ISNUMBER(INDEX(SPPR!$E:$Z,MATCH($A157,SPPR!$A:$A,0),10)),$C157*INDEX(SPPR!$E:$Z,MATCH($A157,SPPR!$A:$A,0),10),""),"")</f>
        <v/>
      </c>
      <c r="N157">
        <f>IFERROR(IF(ISNUMBER(INDEX(SPPR!$E:$Z,MATCH($A157,SPPR!$A:$A,0),11)),$C157*INDEX(SPPR!$E:$Z,MATCH($A157,SPPR!$A:$A,0),11),""),"")</f>
        <v/>
      </c>
      <c r="O157">
        <f>IFERROR(IF(ISNUMBER(INDEX(SPPR!$E:$Z,MATCH($A157,SPPR!$A:$A,0),12)),$C157*INDEX(SPPR!$E:$Z,MATCH($A157,SPPR!$A:$A,0),12),""),"")</f>
        <v/>
      </c>
      <c r="P157">
        <f>IFERROR(IF(ISNUMBER(INDEX(SPPR!$E:$Z,MATCH($A157,SPPR!$A:$A,0),13)),$C157*INDEX(SPPR!$E:$Z,MATCH($A157,SPPR!$A:$A,0),13),""),"")</f>
        <v/>
      </c>
      <c r="Q157">
        <f>IFERROR(IF(ISNUMBER(INDEX(SPPR!$E:$Z,MATCH($A157,SPPR!$A:$A,0),14)),$C157*INDEX(SPPR!$E:$Z,MATCH($A157,SPPR!$A:$A,0),14),""),"")</f>
        <v/>
      </c>
      <c r="R157">
        <f>IFERROR(IF(ISNUMBER(INDEX(SPPR!$E:$Z,MATCH($A157,SPPR!$A:$A,0),15)),$C157*INDEX(SPPR!$E:$Z,MATCH($A157,SPPR!$A:$A,0),15),""),"")</f>
        <v/>
      </c>
      <c r="S157">
        <f>IFERROR(IF(ISNUMBER(INDEX(SPPR!$E:$Z,MATCH($A157,SPPR!$A:$A,0),16)),$C157*INDEX(SPPR!$E:$Z,MATCH($A157,SPPR!$A:$A,0),16),""),"")</f>
        <v/>
      </c>
      <c r="T157">
        <f>IFERROR(IF(ISNUMBER(INDEX(SPPR!$E:$Z,MATCH($A157,SPPR!$A:$A,0),17)),$C157*INDEX(SPPR!$E:$Z,MATCH($A157,SPPR!$A:$A,0),17),""),"")</f>
        <v/>
      </c>
      <c r="U157">
        <f>IFERROR(IF(ISNUMBER(INDEX(SPPR!$E:$Z,MATCH($A157,SPPR!$A:$A,0),18)),$C157*INDEX(SPPR!$E:$Z,MATCH($A157,SPPR!$A:$A,0),18),""),"")</f>
        <v/>
      </c>
      <c r="V157">
        <f>IFERROR(IF(ISNUMBER(INDEX(SPPR!$E:$Z,MATCH($A157,SPPR!$A:$A,0),19)),$C157*INDEX(SPPR!$E:$Z,MATCH($A157,SPPR!$A:$A,0),19),""),"")</f>
        <v/>
      </c>
      <c r="W157">
        <f>IFERROR(IF(ISNUMBER(INDEX(SPPR!$E:$Z,MATCH($A157,SPPR!$A:$A,0),20)),$C157*INDEX(SPPR!$E:$Z,MATCH($A157,SPPR!$A:$A,0),20),""),"")</f>
        <v/>
      </c>
      <c r="X157">
        <f>IFERROR(IF(ISNUMBER(INDEX(SPPR!$E:$Z,MATCH($A157,SPPR!$A:$A,0),21)),$C157*INDEX(SPPR!$E:$Z,MATCH($A157,SPPR!$A:$A,0),21),""),"")</f>
        <v/>
      </c>
      <c r="Y157">
        <f>IFERROR(IF(ISNUMBER(INDEX(SPPR!$E:$Z,MATCH($A157,SPPR!$A:$A,0),22)),$C157*INDEX(SPPR!$E:$Z,MATCH($A157,SPPR!$A:$A,0),22),""),"")</f>
        <v/>
      </c>
    </row>
    <row r="158">
      <c r="A158" t="inlineStr">
        <is>
          <t>Penaeus latisulcatus</t>
        </is>
      </c>
      <c r="B158">
        <f>IFERROR(INDEX(SPPR!$D:$D,MATCH($A158,SPPR!$A:$A,0)),"")</f>
        <v/>
      </c>
      <c r="C158">
        <f>IFERROR(INDEX(Catch!$E:$BV,MATCH($A158,Catch!$A:$A,0),MATCH($B$4,Catch!$E$1:$BV$1,0)),0)</f>
        <v/>
      </c>
      <c r="D158">
        <f>IFERROR(IF(ISNUMBER(INDEX(SPPR!$E:$Z,MATCH($A158,SPPR!$A:$A,0),1)),$C158*INDEX(SPPR!$E:$Z,MATCH($A158,SPPR!$A:$A,0),1),""),"")</f>
        <v/>
      </c>
      <c r="E158">
        <f>IFERROR(IF(ISNUMBER(INDEX(SPPR!$E:$Z,MATCH($A158,SPPR!$A:$A,0),2)),$C158*INDEX(SPPR!$E:$Z,MATCH($A158,SPPR!$A:$A,0),2),""),"")</f>
        <v/>
      </c>
      <c r="F158">
        <f>IFERROR(IF(ISNUMBER(INDEX(SPPR!$E:$Z,MATCH($A158,SPPR!$A:$A,0),3)),$C158*INDEX(SPPR!$E:$Z,MATCH($A158,SPPR!$A:$A,0),3),""),"")</f>
        <v/>
      </c>
      <c r="G158">
        <f>IFERROR(IF(ISNUMBER(INDEX(SPPR!$E:$Z,MATCH($A158,SPPR!$A:$A,0),4)),$C158*INDEX(SPPR!$E:$Z,MATCH($A158,SPPR!$A:$A,0),4),""),"")</f>
        <v/>
      </c>
      <c r="H158">
        <f>IFERROR(IF(ISNUMBER(INDEX(SPPR!$E:$Z,MATCH($A158,SPPR!$A:$A,0),5)),$C158*INDEX(SPPR!$E:$Z,MATCH($A158,SPPR!$A:$A,0),5),""),"")</f>
        <v/>
      </c>
      <c r="I158">
        <f>IFERROR(IF(ISNUMBER(INDEX(SPPR!$E:$Z,MATCH($A158,SPPR!$A:$A,0),6)),$C158*INDEX(SPPR!$E:$Z,MATCH($A158,SPPR!$A:$A,0),6),""),"")</f>
        <v/>
      </c>
      <c r="J158">
        <f>IFERROR(IF(ISNUMBER(INDEX(SPPR!$E:$Z,MATCH($A158,SPPR!$A:$A,0),7)),$C158*INDEX(SPPR!$E:$Z,MATCH($A158,SPPR!$A:$A,0),7),""),"")</f>
        <v/>
      </c>
      <c r="K158">
        <f>IFERROR(IF(ISNUMBER(INDEX(SPPR!$E:$Z,MATCH($A158,SPPR!$A:$A,0),8)),$C158*INDEX(SPPR!$E:$Z,MATCH($A158,SPPR!$A:$A,0),8),""),"")</f>
        <v/>
      </c>
      <c r="L158">
        <f>IFERROR(IF(ISNUMBER(INDEX(SPPR!$E:$Z,MATCH($A158,SPPR!$A:$A,0),9)),$C158*INDEX(SPPR!$E:$Z,MATCH($A158,SPPR!$A:$A,0),9),""),"")</f>
        <v/>
      </c>
      <c r="M158">
        <f>IFERROR(IF(ISNUMBER(INDEX(SPPR!$E:$Z,MATCH($A158,SPPR!$A:$A,0),10)),$C158*INDEX(SPPR!$E:$Z,MATCH($A158,SPPR!$A:$A,0),10),""),"")</f>
        <v/>
      </c>
      <c r="N158">
        <f>IFERROR(IF(ISNUMBER(INDEX(SPPR!$E:$Z,MATCH($A158,SPPR!$A:$A,0),11)),$C158*INDEX(SPPR!$E:$Z,MATCH($A158,SPPR!$A:$A,0),11),""),"")</f>
        <v/>
      </c>
      <c r="O158">
        <f>IFERROR(IF(ISNUMBER(INDEX(SPPR!$E:$Z,MATCH($A158,SPPR!$A:$A,0),12)),$C158*INDEX(SPPR!$E:$Z,MATCH($A158,SPPR!$A:$A,0),12),""),"")</f>
        <v/>
      </c>
      <c r="P158">
        <f>IFERROR(IF(ISNUMBER(INDEX(SPPR!$E:$Z,MATCH($A158,SPPR!$A:$A,0),13)),$C158*INDEX(SPPR!$E:$Z,MATCH($A158,SPPR!$A:$A,0),13),""),"")</f>
        <v/>
      </c>
      <c r="Q158">
        <f>IFERROR(IF(ISNUMBER(INDEX(SPPR!$E:$Z,MATCH($A158,SPPR!$A:$A,0),14)),$C158*INDEX(SPPR!$E:$Z,MATCH($A158,SPPR!$A:$A,0),14),""),"")</f>
        <v/>
      </c>
      <c r="R158">
        <f>IFERROR(IF(ISNUMBER(INDEX(SPPR!$E:$Z,MATCH($A158,SPPR!$A:$A,0),15)),$C158*INDEX(SPPR!$E:$Z,MATCH($A158,SPPR!$A:$A,0),15),""),"")</f>
        <v/>
      </c>
      <c r="S158">
        <f>IFERROR(IF(ISNUMBER(INDEX(SPPR!$E:$Z,MATCH($A158,SPPR!$A:$A,0),16)),$C158*INDEX(SPPR!$E:$Z,MATCH($A158,SPPR!$A:$A,0),16),""),"")</f>
        <v/>
      </c>
      <c r="T158">
        <f>IFERROR(IF(ISNUMBER(INDEX(SPPR!$E:$Z,MATCH($A158,SPPR!$A:$A,0),17)),$C158*INDEX(SPPR!$E:$Z,MATCH($A158,SPPR!$A:$A,0),17),""),"")</f>
        <v/>
      </c>
      <c r="U158">
        <f>IFERROR(IF(ISNUMBER(INDEX(SPPR!$E:$Z,MATCH($A158,SPPR!$A:$A,0),18)),$C158*INDEX(SPPR!$E:$Z,MATCH($A158,SPPR!$A:$A,0),18),""),"")</f>
        <v/>
      </c>
      <c r="V158">
        <f>IFERROR(IF(ISNUMBER(INDEX(SPPR!$E:$Z,MATCH($A158,SPPR!$A:$A,0),19)),$C158*INDEX(SPPR!$E:$Z,MATCH($A158,SPPR!$A:$A,0),19),""),"")</f>
        <v/>
      </c>
      <c r="W158">
        <f>IFERROR(IF(ISNUMBER(INDEX(SPPR!$E:$Z,MATCH($A158,SPPR!$A:$A,0),20)),$C158*INDEX(SPPR!$E:$Z,MATCH($A158,SPPR!$A:$A,0),20),""),"")</f>
        <v/>
      </c>
      <c r="X158">
        <f>IFERROR(IF(ISNUMBER(INDEX(SPPR!$E:$Z,MATCH($A158,SPPR!$A:$A,0),21)),$C158*INDEX(SPPR!$E:$Z,MATCH($A158,SPPR!$A:$A,0),21),""),"")</f>
        <v/>
      </c>
      <c r="Y158">
        <f>IFERROR(IF(ISNUMBER(INDEX(SPPR!$E:$Z,MATCH($A158,SPPR!$A:$A,0),22)),$C158*INDEX(SPPR!$E:$Z,MATCH($A158,SPPR!$A:$A,0),22),""),"")</f>
        <v/>
      </c>
    </row>
    <row r="159">
      <c r="A159" t="inlineStr">
        <is>
          <t>Caesio cuning</t>
        </is>
      </c>
      <c r="B159">
        <f>IFERROR(INDEX(SPPR!$D:$D,MATCH($A159,SPPR!$A:$A,0)),"")</f>
        <v/>
      </c>
      <c r="C159">
        <f>IFERROR(INDEX(Catch!$E:$BV,MATCH($A159,Catch!$A:$A,0),MATCH($B$4,Catch!$E$1:$BV$1,0)),0)</f>
        <v/>
      </c>
      <c r="D159">
        <f>IFERROR(IF(ISNUMBER(INDEX(SPPR!$E:$Z,MATCH($A159,SPPR!$A:$A,0),1)),$C159*INDEX(SPPR!$E:$Z,MATCH($A159,SPPR!$A:$A,0),1),""),"")</f>
        <v/>
      </c>
      <c r="E159">
        <f>IFERROR(IF(ISNUMBER(INDEX(SPPR!$E:$Z,MATCH($A159,SPPR!$A:$A,0),2)),$C159*INDEX(SPPR!$E:$Z,MATCH($A159,SPPR!$A:$A,0),2),""),"")</f>
        <v/>
      </c>
      <c r="F159">
        <f>IFERROR(IF(ISNUMBER(INDEX(SPPR!$E:$Z,MATCH($A159,SPPR!$A:$A,0),3)),$C159*INDEX(SPPR!$E:$Z,MATCH($A159,SPPR!$A:$A,0),3),""),"")</f>
        <v/>
      </c>
      <c r="G159">
        <f>IFERROR(IF(ISNUMBER(INDEX(SPPR!$E:$Z,MATCH($A159,SPPR!$A:$A,0),4)),$C159*INDEX(SPPR!$E:$Z,MATCH($A159,SPPR!$A:$A,0),4),""),"")</f>
        <v/>
      </c>
      <c r="H159">
        <f>IFERROR(IF(ISNUMBER(INDEX(SPPR!$E:$Z,MATCH($A159,SPPR!$A:$A,0),5)),$C159*INDEX(SPPR!$E:$Z,MATCH($A159,SPPR!$A:$A,0),5),""),"")</f>
        <v/>
      </c>
      <c r="I159">
        <f>IFERROR(IF(ISNUMBER(INDEX(SPPR!$E:$Z,MATCH($A159,SPPR!$A:$A,0),6)),$C159*INDEX(SPPR!$E:$Z,MATCH($A159,SPPR!$A:$A,0),6),""),"")</f>
        <v/>
      </c>
      <c r="J159">
        <f>IFERROR(IF(ISNUMBER(INDEX(SPPR!$E:$Z,MATCH($A159,SPPR!$A:$A,0),7)),$C159*INDEX(SPPR!$E:$Z,MATCH($A159,SPPR!$A:$A,0),7),""),"")</f>
        <v/>
      </c>
      <c r="K159">
        <f>IFERROR(IF(ISNUMBER(INDEX(SPPR!$E:$Z,MATCH($A159,SPPR!$A:$A,0),8)),$C159*INDEX(SPPR!$E:$Z,MATCH($A159,SPPR!$A:$A,0),8),""),"")</f>
        <v/>
      </c>
      <c r="L159">
        <f>IFERROR(IF(ISNUMBER(INDEX(SPPR!$E:$Z,MATCH($A159,SPPR!$A:$A,0),9)),$C159*INDEX(SPPR!$E:$Z,MATCH($A159,SPPR!$A:$A,0),9),""),"")</f>
        <v/>
      </c>
      <c r="M159">
        <f>IFERROR(IF(ISNUMBER(INDEX(SPPR!$E:$Z,MATCH($A159,SPPR!$A:$A,0),10)),$C159*INDEX(SPPR!$E:$Z,MATCH($A159,SPPR!$A:$A,0),10),""),"")</f>
        <v/>
      </c>
      <c r="N159">
        <f>IFERROR(IF(ISNUMBER(INDEX(SPPR!$E:$Z,MATCH($A159,SPPR!$A:$A,0),11)),$C159*INDEX(SPPR!$E:$Z,MATCH($A159,SPPR!$A:$A,0),11),""),"")</f>
        <v/>
      </c>
      <c r="O159">
        <f>IFERROR(IF(ISNUMBER(INDEX(SPPR!$E:$Z,MATCH($A159,SPPR!$A:$A,0),12)),$C159*INDEX(SPPR!$E:$Z,MATCH($A159,SPPR!$A:$A,0),12),""),"")</f>
        <v/>
      </c>
      <c r="P159">
        <f>IFERROR(IF(ISNUMBER(INDEX(SPPR!$E:$Z,MATCH($A159,SPPR!$A:$A,0),13)),$C159*INDEX(SPPR!$E:$Z,MATCH($A159,SPPR!$A:$A,0),13),""),"")</f>
        <v/>
      </c>
      <c r="Q159">
        <f>IFERROR(IF(ISNUMBER(INDEX(SPPR!$E:$Z,MATCH($A159,SPPR!$A:$A,0),14)),$C159*INDEX(SPPR!$E:$Z,MATCH($A159,SPPR!$A:$A,0),14),""),"")</f>
        <v/>
      </c>
      <c r="R159">
        <f>IFERROR(IF(ISNUMBER(INDEX(SPPR!$E:$Z,MATCH($A159,SPPR!$A:$A,0),15)),$C159*INDEX(SPPR!$E:$Z,MATCH($A159,SPPR!$A:$A,0),15),""),"")</f>
        <v/>
      </c>
      <c r="S159">
        <f>IFERROR(IF(ISNUMBER(INDEX(SPPR!$E:$Z,MATCH($A159,SPPR!$A:$A,0),16)),$C159*INDEX(SPPR!$E:$Z,MATCH($A159,SPPR!$A:$A,0),16),""),"")</f>
        <v/>
      </c>
      <c r="T159">
        <f>IFERROR(IF(ISNUMBER(INDEX(SPPR!$E:$Z,MATCH($A159,SPPR!$A:$A,0),17)),$C159*INDEX(SPPR!$E:$Z,MATCH($A159,SPPR!$A:$A,0),17),""),"")</f>
        <v/>
      </c>
      <c r="U159">
        <f>IFERROR(IF(ISNUMBER(INDEX(SPPR!$E:$Z,MATCH($A159,SPPR!$A:$A,0),18)),$C159*INDEX(SPPR!$E:$Z,MATCH($A159,SPPR!$A:$A,0),18),""),"")</f>
        <v/>
      </c>
      <c r="V159">
        <f>IFERROR(IF(ISNUMBER(INDEX(SPPR!$E:$Z,MATCH($A159,SPPR!$A:$A,0),19)),$C159*INDEX(SPPR!$E:$Z,MATCH($A159,SPPR!$A:$A,0),19),""),"")</f>
        <v/>
      </c>
      <c r="W159">
        <f>IFERROR(IF(ISNUMBER(INDEX(SPPR!$E:$Z,MATCH($A159,SPPR!$A:$A,0),20)),$C159*INDEX(SPPR!$E:$Z,MATCH($A159,SPPR!$A:$A,0),20),""),"")</f>
        <v/>
      </c>
      <c r="X159">
        <f>IFERROR(IF(ISNUMBER(INDEX(SPPR!$E:$Z,MATCH($A159,SPPR!$A:$A,0),21)),$C159*INDEX(SPPR!$E:$Z,MATCH($A159,SPPR!$A:$A,0),21),""),"")</f>
        <v/>
      </c>
      <c r="Y159">
        <f>IFERROR(IF(ISNUMBER(INDEX(SPPR!$E:$Z,MATCH($A159,SPPR!$A:$A,0),22)),$C159*INDEX(SPPR!$E:$Z,MATCH($A159,SPPR!$A:$A,0),22),""),"")</f>
        <v/>
      </c>
    </row>
    <row r="160">
      <c r="A160" t="inlineStr">
        <is>
          <t>Stromateidae</t>
        </is>
      </c>
      <c r="B160">
        <f>IFERROR(INDEX(SPPR!$D:$D,MATCH($A160,SPPR!$A:$A,0)),"")</f>
        <v/>
      </c>
      <c r="C160">
        <f>IFERROR(INDEX(Catch!$E:$BV,MATCH($A160,Catch!$A:$A,0),MATCH($B$4,Catch!$E$1:$BV$1,0)),0)</f>
        <v/>
      </c>
      <c r="D160">
        <f>IFERROR(IF(ISNUMBER(INDEX(SPPR!$E:$Z,MATCH($A160,SPPR!$A:$A,0),1)),$C160*INDEX(SPPR!$E:$Z,MATCH($A160,SPPR!$A:$A,0),1),""),"")</f>
        <v/>
      </c>
      <c r="E160">
        <f>IFERROR(IF(ISNUMBER(INDEX(SPPR!$E:$Z,MATCH($A160,SPPR!$A:$A,0),2)),$C160*INDEX(SPPR!$E:$Z,MATCH($A160,SPPR!$A:$A,0),2),""),"")</f>
        <v/>
      </c>
      <c r="F160">
        <f>IFERROR(IF(ISNUMBER(INDEX(SPPR!$E:$Z,MATCH($A160,SPPR!$A:$A,0),3)),$C160*INDEX(SPPR!$E:$Z,MATCH($A160,SPPR!$A:$A,0),3),""),"")</f>
        <v/>
      </c>
      <c r="G160">
        <f>IFERROR(IF(ISNUMBER(INDEX(SPPR!$E:$Z,MATCH($A160,SPPR!$A:$A,0),4)),$C160*INDEX(SPPR!$E:$Z,MATCH($A160,SPPR!$A:$A,0),4),""),"")</f>
        <v/>
      </c>
      <c r="H160">
        <f>IFERROR(IF(ISNUMBER(INDEX(SPPR!$E:$Z,MATCH($A160,SPPR!$A:$A,0),5)),$C160*INDEX(SPPR!$E:$Z,MATCH($A160,SPPR!$A:$A,0),5),""),"")</f>
        <v/>
      </c>
      <c r="I160">
        <f>IFERROR(IF(ISNUMBER(INDEX(SPPR!$E:$Z,MATCH($A160,SPPR!$A:$A,0),6)),$C160*INDEX(SPPR!$E:$Z,MATCH($A160,SPPR!$A:$A,0),6),""),"")</f>
        <v/>
      </c>
      <c r="J160">
        <f>IFERROR(IF(ISNUMBER(INDEX(SPPR!$E:$Z,MATCH($A160,SPPR!$A:$A,0),7)),$C160*INDEX(SPPR!$E:$Z,MATCH($A160,SPPR!$A:$A,0),7),""),"")</f>
        <v/>
      </c>
      <c r="K160">
        <f>IFERROR(IF(ISNUMBER(INDEX(SPPR!$E:$Z,MATCH($A160,SPPR!$A:$A,0),8)),$C160*INDEX(SPPR!$E:$Z,MATCH($A160,SPPR!$A:$A,0),8),""),"")</f>
        <v/>
      </c>
      <c r="L160">
        <f>IFERROR(IF(ISNUMBER(INDEX(SPPR!$E:$Z,MATCH($A160,SPPR!$A:$A,0),9)),$C160*INDEX(SPPR!$E:$Z,MATCH($A160,SPPR!$A:$A,0),9),""),"")</f>
        <v/>
      </c>
      <c r="M160">
        <f>IFERROR(IF(ISNUMBER(INDEX(SPPR!$E:$Z,MATCH($A160,SPPR!$A:$A,0),10)),$C160*INDEX(SPPR!$E:$Z,MATCH($A160,SPPR!$A:$A,0),10),""),"")</f>
        <v/>
      </c>
      <c r="N160">
        <f>IFERROR(IF(ISNUMBER(INDEX(SPPR!$E:$Z,MATCH($A160,SPPR!$A:$A,0),11)),$C160*INDEX(SPPR!$E:$Z,MATCH($A160,SPPR!$A:$A,0),11),""),"")</f>
        <v/>
      </c>
      <c r="O160">
        <f>IFERROR(IF(ISNUMBER(INDEX(SPPR!$E:$Z,MATCH($A160,SPPR!$A:$A,0),12)),$C160*INDEX(SPPR!$E:$Z,MATCH($A160,SPPR!$A:$A,0),12),""),"")</f>
        <v/>
      </c>
      <c r="P160">
        <f>IFERROR(IF(ISNUMBER(INDEX(SPPR!$E:$Z,MATCH($A160,SPPR!$A:$A,0),13)),$C160*INDEX(SPPR!$E:$Z,MATCH($A160,SPPR!$A:$A,0),13),""),"")</f>
        <v/>
      </c>
      <c r="Q160">
        <f>IFERROR(IF(ISNUMBER(INDEX(SPPR!$E:$Z,MATCH($A160,SPPR!$A:$A,0),14)),$C160*INDEX(SPPR!$E:$Z,MATCH($A160,SPPR!$A:$A,0),14),""),"")</f>
        <v/>
      </c>
      <c r="R160">
        <f>IFERROR(IF(ISNUMBER(INDEX(SPPR!$E:$Z,MATCH($A160,SPPR!$A:$A,0),15)),$C160*INDEX(SPPR!$E:$Z,MATCH($A160,SPPR!$A:$A,0),15),""),"")</f>
        <v/>
      </c>
      <c r="S160">
        <f>IFERROR(IF(ISNUMBER(INDEX(SPPR!$E:$Z,MATCH($A160,SPPR!$A:$A,0),16)),$C160*INDEX(SPPR!$E:$Z,MATCH($A160,SPPR!$A:$A,0),16),""),"")</f>
        <v/>
      </c>
      <c r="T160">
        <f>IFERROR(IF(ISNUMBER(INDEX(SPPR!$E:$Z,MATCH($A160,SPPR!$A:$A,0),17)),$C160*INDEX(SPPR!$E:$Z,MATCH($A160,SPPR!$A:$A,0),17),""),"")</f>
        <v/>
      </c>
      <c r="U160">
        <f>IFERROR(IF(ISNUMBER(INDEX(SPPR!$E:$Z,MATCH($A160,SPPR!$A:$A,0),18)),$C160*INDEX(SPPR!$E:$Z,MATCH($A160,SPPR!$A:$A,0),18),""),"")</f>
        <v/>
      </c>
      <c r="V160">
        <f>IFERROR(IF(ISNUMBER(INDEX(SPPR!$E:$Z,MATCH($A160,SPPR!$A:$A,0),19)),$C160*INDEX(SPPR!$E:$Z,MATCH($A160,SPPR!$A:$A,0),19),""),"")</f>
        <v/>
      </c>
      <c r="W160">
        <f>IFERROR(IF(ISNUMBER(INDEX(SPPR!$E:$Z,MATCH($A160,SPPR!$A:$A,0),20)),$C160*INDEX(SPPR!$E:$Z,MATCH($A160,SPPR!$A:$A,0),20),""),"")</f>
        <v/>
      </c>
      <c r="X160">
        <f>IFERROR(IF(ISNUMBER(INDEX(SPPR!$E:$Z,MATCH($A160,SPPR!$A:$A,0),21)),$C160*INDEX(SPPR!$E:$Z,MATCH($A160,SPPR!$A:$A,0),21),""),"")</f>
        <v/>
      </c>
      <c r="Y160">
        <f>IFERROR(IF(ISNUMBER(INDEX(SPPR!$E:$Z,MATCH($A160,SPPR!$A:$A,0),22)),$C160*INDEX(SPPR!$E:$Z,MATCH($A160,SPPR!$A:$A,0),22),""),"")</f>
        <v/>
      </c>
    </row>
    <row r="161">
      <c r="A161" t="inlineStr">
        <is>
          <t>Gobiidae</t>
        </is>
      </c>
      <c r="B161">
        <f>IFERROR(INDEX(SPPR!$D:$D,MATCH($A161,SPPR!$A:$A,0)),"")</f>
        <v/>
      </c>
      <c r="C161">
        <f>IFERROR(INDEX(Catch!$E:$BV,MATCH($A161,Catch!$A:$A,0),MATCH($B$4,Catch!$E$1:$BV$1,0)),0)</f>
        <v/>
      </c>
      <c r="D161">
        <f>IFERROR(IF(ISNUMBER(INDEX(SPPR!$E:$Z,MATCH($A161,SPPR!$A:$A,0),1)),$C161*INDEX(SPPR!$E:$Z,MATCH($A161,SPPR!$A:$A,0),1),""),"")</f>
        <v/>
      </c>
      <c r="E161">
        <f>IFERROR(IF(ISNUMBER(INDEX(SPPR!$E:$Z,MATCH($A161,SPPR!$A:$A,0),2)),$C161*INDEX(SPPR!$E:$Z,MATCH($A161,SPPR!$A:$A,0),2),""),"")</f>
        <v/>
      </c>
      <c r="F161">
        <f>IFERROR(IF(ISNUMBER(INDEX(SPPR!$E:$Z,MATCH($A161,SPPR!$A:$A,0),3)),$C161*INDEX(SPPR!$E:$Z,MATCH($A161,SPPR!$A:$A,0),3),""),"")</f>
        <v/>
      </c>
      <c r="G161">
        <f>IFERROR(IF(ISNUMBER(INDEX(SPPR!$E:$Z,MATCH($A161,SPPR!$A:$A,0),4)),$C161*INDEX(SPPR!$E:$Z,MATCH($A161,SPPR!$A:$A,0),4),""),"")</f>
        <v/>
      </c>
      <c r="H161">
        <f>IFERROR(IF(ISNUMBER(INDEX(SPPR!$E:$Z,MATCH($A161,SPPR!$A:$A,0),5)),$C161*INDEX(SPPR!$E:$Z,MATCH($A161,SPPR!$A:$A,0),5),""),"")</f>
        <v/>
      </c>
      <c r="I161">
        <f>IFERROR(IF(ISNUMBER(INDEX(SPPR!$E:$Z,MATCH($A161,SPPR!$A:$A,0),6)),$C161*INDEX(SPPR!$E:$Z,MATCH($A161,SPPR!$A:$A,0),6),""),"")</f>
        <v/>
      </c>
      <c r="J161">
        <f>IFERROR(IF(ISNUMBER(INDEX(SPPR!$E:$Z,MATCH($A161,SPPR!$A:$A,0),7)),$C161*INDEX(SPPR!$E:$Z,MATCH($A161,SPPR!$A:$A,0),7),""),"")</f>
        <v/>
      </c>
      <c r="K161">
        <f>IFERROR(IF(ISNUMBER(INDEX(SPPR!$E:$Z,MATCH($A161,SPPR!$A:$A,0),8)),$C161*INDEX(SPPR!$E:$Z,MATCH($A161,SPPR!$A:$A,0),8),""),"")</f>
        <v/>
      </c>
      <c r="L161">
        <f>IFERROR(IF(ISNUMBER(INDEX(SPPR!$E:$Z,MATCH($A161,SPPR!$A:$A,0),9)),$C161*INDEX(SPPR!$E:$Z,MATCH($A161,SPPR!$A:$A,0),9),""),"")</f>
        <v/>
      </c>
      <c r="M161">
        <f>IFERROR(IF(ISNUMBER(INDEX(SPPR!$E:$Z,MATCH($A161,SPPR!$A:$A,0),10)),$C161*INDEX(SPPR!$E:$Z,MATCH($A161,SPPR!$A:$A,0),10),""),"")</f>
        <v/>
      </c>
      <c r="N161">
        <f>IFERROR(IF(ISNUMBER(INDEX(SPPR!$E:$Z,MATCH($A161,SPPR!$A:$A,0),11)),$C161*INDEX(SPPR!$E:$Z,MATCH($A161,SPPR!$A:$A,0),11),""),"")</f>
        <v/>
      </c>
      <c r="O161">
        <f>IFERROR(IF(ISNUMBER(INDEX(SPPR!$E:$Z,MATCH($A161,SPPR!$A:$A,0),12)),$C161*INDEX(SPPR!$E:$Z,MATCH($A161,SPPR!$A:$A,0),12),""),"")</f>
        <v/>
      </c>
      <c r="P161">
        <f>IFERROR(IF(ISNUMBER(INDEX(SPPR!$E:$Z,MATCH($A161,SPPR!$A:$A,0),13)),$C161*INDEX(SPPR!$E:$Z,MATCH($A161,SPPR!$A:$A,0),13),""),"")</f>
        <v/>
      </c>
      <c r="Q161">
        <f>IFERROR(IF(ISNUMBER(INDEX(SPPR!$E:$Z,MATCH($A161,SPPR!$A:$A,0),14)),$C161*INDEX(SPPR!$E:$Z,MATCH($A161,SPPR!$A:$A,0),14),""),"")</f>
        <v/>
      </c>
      <c r="R161">
        <f>IFERROR(IF(ISNUMBER(INDEX(SPPR!$E:$Z,MATCH($A161,SPPR!$A:$A,0),15)),$C161*INDEX(SPPR!$E:$Z,MATCH($A161,SPPR!$A:$A,0),15),""),"")</f>
        <v/>
      </c>
      <c r="S161">
        <f>IFERROR(IF(ISNUMBER(INDEX(SPPR!$E:$Z,MATCH($A161,SPPR!$A:$A,0),16)),$C161*INDEX(SPPR!$E:$Z,MATCH($A161,SPPR!$A:$A,0),16),""),"")</f>
        <v/>
      </c>
      <c r="T161">
        <f>IFERROR(IF(ISNUMBER(INDEX(SPPR!$E:$Z,MATCH($A161,SPPR!$A:$A,0),17)),$C161*INDEX(SPPR!$E:$Z,MATCH($A161,SPPR!$A:$A,0),17),""),"")</f>
        <v/>
      </c>
      <c r="U161">
        <f>IFERROR(IF(ISNUMBER(INDEX(SPPR!$E:$Z,MATCH($A161,SPPR!$A:$A,0),18)),$C161*INDEX(SPPR!$E:$Z,MATCH($A161,SPPR!$A:$A,0),18),""),"")</f>
        <v/>
      </c>
      <c r="V161">
        <f>IFERROR(IF(ISNUMBER(INDEX(SPPR!$E:$Z,MATCH($A161,SPPR!$A:$A,0),19)),$C161*INDEX(SPPR!$E:$Z,MATCH($A161,SPPR!$A:$A,0),19),""),"")</f>
        <v/>
      </c>
      <c r="W161">
        <f>IFERROR(IF(ISNUMBER(INDEX(SPPR!$E:$Z,MATCH($A161,SPPR!$A:$A,0),20)),$C161*INDEX(SPPR!$E:$Z,MATCH($A161,SPPR!$A:$A,0),20),""),"")</f>
        <v/>
      </c>
      <c r="X161">
        <f>IFERROR(IF(ISNUMBER(INDEX(SPPR!$E:$Z,MATCH($A161,SPPR!$A:$A,0),21)),$C161*INDEX(SPPR!$E:$Z,MATCH($A161,SPPR!$A:$A,0),21),""),"")</f>
        <v/>
      </c>
      <c r="Y161">
        <f>IFERROR(IF(ISNUMBER(INDEX(SPPR!$E:$Z,MATCH($A161,SPPR!$A:$A,0),22)),$C161*INDEX(SPPR!$E:$Z,MATCH($A161,SPPR!$A:$A,0),22),""),"")</f>
        <v/>
      </c>
    </row>
    <row r="162">
      <c r="A162" t="inlineStr">
        <is>
          <t>Deveximentum insidiator</t>
        </is>
      </c>
      <c r="B162">
        <f>IFERROR(INDEX(SPPR!$D:$D,MATCH($A162,SPPR!$A:$A,0)),"")</f>
        <v/>
      </c>
      <c r="C162">
        <f>IFERROR(INDEX(Catch!$E:$BV,MATCH($A162,Catch!$A:$A,0),MATCH($B$4,Catch!$E$1:$BV$1,0)),0)</f>
        <v/>
      </c>
      <c r="D162">
        <f>IFERROR(IF(ISNUMBER(INDEX(SPPR!$E:$Z,MATCH($A162,SPPR!$A:$A,0),1)),$C162*INDEX(SPPR!$E:$Z,MATCH($A162,SPPR!$A:$A,0),1),""),"")</f>
        <v/>
      </c>
      <c r="E162">
        <f>IFERROR(IF(ISNUMBER(INDEX(SPPR!$E:$Z,MATCH($A162,SPPR!$A:$A,0),2)),$C162*INDEX(SPPR!$E:$Z,MATCH($A162,SPPR!$A:$A,0),2),""),"")</f>
        <v/>
      </c>
      <c r="F162">
        <f>IFERROR(IF(ISNUMBER(INDEX(SPPR!$E:$Z,MATCH($A162,SPPR!$A:$A,0),3)),$C162*INDEX(SPPR!$E:$Z,MATCH($A162,SPPR!$A:$A,0),3),""),"")</f>
        <v/>
      </c>
      <c r="G162">
        <f>IFERROR(IF(ISNUMBER(INDEX(SPPR!$E:$Z,MATCH($A162,SPPR!$A:$A,0),4)),$C162*INDEX(SPPR!$E:$Z,MATCH($A162,SPPR!$A:$A,0),4),""),"")</f>
        <v/>
      </c>
      <c r="H162">
        <f>IFERROR(IF(ISNUMBER(INDEX(SPPR!$E:$Z,MATCH($A162,SPPR!$A:$A,0),5)),$C162*INDEX(SPPR!$E:$Z,MATCH($A162,SPPR!$A:$A,0),5),""),"")</f>
        <v/>
      </c>
      <c r="I162">
        <f>IFERROR(IF(ISNUMBER(INDEX(SPPR!$E:$Z,MATCH($A162,SPPR!$A:$A,0),6)),$C162*INDEX(SPPR!$E:$Z,MATCH($A162,SPPR!$A:$A,0),6),""),"")</f>
        <v/>
      </c>
      <c r="J162">
        <f>IFERROR(IF(ISNUMBER(INDEX(SPPR!$E:$Z,MATCH($A162,SPPR!$A:$A,0),7)),$C162*INDEX(SPPR!$E:$Z,MATCH($A162,SPPR!$A:$A,0),7),""),"")</f>
        <v/>
      </c>
      <c r="K162">
        <f>IFERROR(IF(ISNUMBER(INDEX(SPPR!$E:$Z,MATCH($A162,SPPR!$A:$A,0),8)),$C162*INDEX(SPPR!$E:$Z,MATCH($A162,SPPR!$A:$A,0),8),""),"")</f>
        <v/>
      </c>
      <c r="L162">
        <f>IFERROR(IF(ISNUMBER(INDEX(SPPR!$E:$Z,MATCH($A162,SPPR!$A:$A,0),9)),$C162*INDEX(SPPR!$E:$Z,MATCH($A162,SPPR!$A:$A,0),9),""),"")</f>
        <v/>
      </c>
      <c r="M162">
        <f>IFERROR(IF(ISNUMBER(INDEX(SPPR!$E:$Z,MATCH($A162,SPPR!$A:$A,0),10)),$C162*INDEX(SPPR!$E:$Z,MATCH($A162,SPPR!$A:$A,0),10),""),"")</f>
        <v/>
      </c>
      <c r="N162">
        <f>IFERROR(IF(ISNUMBER(INDEX(SPPR!$E:$Z,MATCH($A162,SPPR!$A:$A,0),11)),$C162*INDEX(SPPR!$E:$Z,MATCH($A162,SPPR!$A:$A,0),11),""),"")</f>
        <v/>
      </c>
      <c r="O162">
        <f>IFERROR(IF(ISNUMBER(INDEX(SPPR!$E:$Z,MATCH($A162,SPPR!$A:$A,0),12)),$C162*INDEX(SPPR!$E:$Z,MATCH($A162,SPPR!$A:$A,0),12),""),"")</f>
        <v/>
      </c>
      <c r="P162">
        <f>IFERROR(IF(ISNUMBER(INDEX(SPPR!$E:$Z,MATCH($A162,SPPR!$A:$A,0),13)),$C162*INDEX(SPPR!$E:$Z,MATCH($A162,SPPR!$A:$A,0),13),""),"")</f>
        <v/>
      </c>
      <c r="Q162">
        <f>IFERROR(IF(ISNUMBER(INDEX(SPPR!$E:$Z,MATCH($A162,SPPR!$A:$A,0),14)),$C162*INDEX(SPPR!$E:$Z,MATCH($A162,SPPR!$A:$A,0),14),""),"")</f>
        <v/>
      </c>
      <c r="R162">
        <f>IFERROR(IF(ISNUMBER(INDEX(SPPR!$E:$Z,MATCH($A162,SPPR!$A:$A,0),15)),$C162*INDEX(SPPR!$E:$Z,MATCH($A162,SPPR!$A:$A,0),15),""),"")</f>
        <v/>
      </c>
      <c r="S162">
        <f>IFERROR(IF(ISNUMBER(INDEX(SPPR!$E:$Z,MATCH($A162,SPPR!$A:$A,0),16)),$C162*INDEX(SPPR!$E:$Z,MATCH($A162,SPPR!$A:$A,0),16),""),"")</f>
        <v/>
      </c>
      <c r="T162">
        <f>IFERROR(IF(ISNUMBER(INDEX(SPPR!$E:$Z,MATCH($A162,SPPR!$A:$A,0),17)),$C162*INDEX(SPPR!$E:$Z,MATCH($A162,SPPR!$A:$A,0),17),""),"")</f>
        <v/>
      </c>
      <c r="U162">
        <f>IFERROR(IF(ISNUMBER(INDEX(SPPR!$E:$Z,MATCH($A162,SPPR!$A:$A,0),18)),$C162*INDEX(SPPR!$E:$Z,MATCH($A162,SPPR!$A:$A,0),18),""),"")</f>
        <v/>
      </c>
      <c r="V162">
        <f>IFERROR(IF(ISNUMBER(INDEX(SPPR!$E:$Z,MATCH($A162,SPPR!$A:$A,0),19)),$C162*INDEX(SPPR!$E:$Z,MATCH($A162,SPPR!$A:$A,0),19),""),"")</f>
        <v/>
      </c>
      <c r="W162">
        <f>IFERROR(IF(ISNUMBER(INDEX(SPPR!$E:$Z,MATCH($A162,SPPR!$A:$A,0),20)),$C162*INDEX(SPPR!$E:$Z,MATCH($A162,SPPR!$A:$A,0),20),""),"")</f>
        <v/>
      </c>
      <c r="X162">
        <f>IFERROR(IF(ISNUMBER(INDEX(SPPR!$E:$Z,MATCH($A162,SPPR!$A:$A,0),21)),$C162*INDEX(SPPR!$E:$Z,MATCH($A162,SPPR!$A:$A,0),21),""),"")</f>
        <v/>
      </c>
      <c r="Y162">
        <f>IFERROR(IF(ISNUMBER(INDEX(SPPR!$E:$Z,MATCH($A162,SPPR!$A:$A,0),22)),$C162*INDEX(SPPR!$E:$Z,MATCH($A162,SPPR!$A:$A,0),22),""),"")</f>
        <v/>
      </c>
    </row>
    <row r="163">
      <c r="A163" t="inlineStr">
        <is>
          <t>Plotosidae</t>
        </is>
      </c>
      <c r="B163">
        <f>IFERROR(INDEX(SPPR!$D:$D,MATCH($A163,SPPR!$A:$A,0)),"")</f>
        <v/>
      </c>
      <c r="C163">
        <f>IFERROR(INDEX(Catch!$E:$BV,MATCH($A163,Catch!$A:$A,0),MATCH($B$4,Catch!$E$1:$BV$1,0)),0)</f>
        <v/>
      </c>
      <c r="D163">
        <f>IFERROR(IF(ISNUMBER(INDEX(SPPR!$E:$Z,MATCH($A163,SPPR!$A:$A,0),1)),$C163*INDEX(SPPR!$E:$Z,MATCH($A163,SPPR!$A:$A,0),1),""),"")</f>
        <v/>
      </c>
      <c r="E163">
        <f>IFERROR(IF(ISNUMBER(INDEX(SPPR!$E:$Z,MATCH($A163,SPPR!$A:$A,0),2)),$C163*INDEX(SPPR!$E:$Z,MATCH($A163,SPPR!$A:$A,0),2),""),"")</f>
        <v/>
      </c>
      <c r="F163">
        <f>IFERROR(IF(ISNUMBER(INDEX(SPPR!$E:$Z,MATCH($A163,SPPR!$A:$A,0),3)),$C163*INDEX(SPPR!$E:$Z,MATCH($A163,SPPR!$A:$A,0),3),""),"")</f>
        <v/>
      </c>
      <c r="G163">
        <f>IFERROR(IF(ISNUMBER(INDEX(SPPR!$E:$Z,MATCH($A163,SPPR!$A:$A,0),4)),$C163*INDEX(SPPR!$E:$Z,MATCH($A163,SPPR!$A:$A,0),4),""),"")</f>
        <v/>
      </c>
      <c r="H163">
        <f>IFERROR(IF(ISNUMBER(INDEX(SPPR!$E:$Z,MATCH($A163,SPPR!$A:$A,0),5)),$C163*INDEX(SPPR!$E:$Z,MATCH($A163,SPPR!$A:$A,0),5),""),"")</f>
        <v/>
      </c>
      <c r="I163">
        <f>IFERROR(IF(ISNUMBER(INDEX(SPPR!$E:$Z,MATCH($A163,SPPR!$A:$A,0),6)),$C163*INDEX(SPPR!$E:$Z,MATCH($A163,SPPR!$A:$A,0),6),""),"")</f>
        <v/>
      </c>
      <c r="J163">
        <f>IFERROR(IF(ISNUMBER(INDEX(SPPR!$E:$Z,MATCH($A163,SPPR!$A:$A,0),7)),$C163*INDEX(SPPR!$E:$Z,MATCH($A163,SPPR!$A:$A,0),7),""),"")</f>
        <v/>
      </c>
      <c r="K163">
        <f>IFERROR(IF(ISNUMBER(INDEX(SPPR!$E:$Z,MATCH($A163,SPPR!$A:$A,0),8)),$C163*INDEX(SPPR!$E:$Z,MATCH($A163,SPPR!$A:$A,0),8),""),"")</f>
        <v/>
      </c>
      <c r="L163">
        <f>IFERROR(IF(ISNUMBER(INDEX(SPPR!$E:$Z,MATCH($A163,SPPR!$A:$A,0),9)),$C163*INDEX(SPPR!$E:$Z,MATCH($A163,SPPR!$A:$A,0),9),""),"")</f>
        <v/>
      </c>
      <c r="M163">
        <f>IFERROR(IF(ISNUMBER(INDEX(SPPR!$E:$Z,MATCH($A163,SPPR!$A:$A,0),10)),$C163*INDEX(SPPR!$E:$Z,MATCH($A163,SPPR!$A:$A,0),10),""),"")</f>
        <v/>
      </c>
      <c r="N163">
        <f>IFERROR(IF(ISNUMBER(INDEX(SPPR!$E:$Z,MATCH($A163,SPPR!$A:$A,0),11)),$C163*INDEX(SPPR!$E:$Z,MATCH($A163,SPPR!$A:$A,0),11),""),"")</f>
        <v/>
      </c>
      <c r="O163">
        <f>IFERROR(IF(ISNUMBER(INDEX(SPPR!$E:$Z,MATCH($A163,SPPR!$A:$A,0),12)),$C163*INDEX(SPPR!$E:$Z,MATCH($A163,SPPR!$A:$A,0),12),""),"")</f>
        <v/>
      </c>
      <c r="P163">
        <f>IFERROR(IF(ISNUMBER(INDEX(SPPR!$E:$Z,MATCH($A163,SPPR!$A:$A,0),13)),$C163*INDEX(SPPR!$E:$Z,MATCH($A163,SPPR!$A:$A,0),13),""),"")</f>
        <v/>
      </c>
      <c r="Q163">
        <f>IFERROR(IF(ISNUMBER(INDEX(SPPR!$E:$Z,MATCH($A163,SPPR!$A:$A,0),14)),$C163*INDEX(SPPR!$E:$Z,MATCH($A163,SPPR!$A:$A,0),14),""),"")</f>
        <v/>
      </c>
      <c r="R163">
        <f>IFERROR(IF(ISNUMBER(INDEX(SPPR!$E:$Z,MATCH($A163,SPPR!$A:$A,0),15)),$C163*INDEX(SPPR!$E:$Z,MATCH($A163,SPPR!$A:$A,0),15),""),"")</f>
        <v/>
      </c>
      <c r="S163">
        <f>IFERROR(IF(ISNUMBER(INDEX(SPPR!$E:$Z,MATCH($A163,SPPR!$A:$A,0),16)),$C163*INDEX(SPPR!$E:$Z,MATCH($A163,SPPR!$A:$A,0),16),""),"")</f>
        <v/>
      </c>
      <c r="T163">
        <f>IFERROR(IF(ISNUMBER(INDEX(SPPR!$E:$Z,MATCH($A163,SPPR!$A:$A,0),17)),$C163*INDEX(SPPR!$E:$Z,MATCH($A163,SPPR!$A:$A,0),17),""),"")</f>
        <v/>
      </c>
      <c r="U163">
        <f>IFERROR(IF(ISNUMBER(INDEX(SPPR!$E:$Z,MATCH($A163,SPPR!$A:$A,0),18)),$C163*INDEX(SPPR!$E:$Z,MATCH($A163,SPPR!$A:$A,0),18),""),"")</f>
        <v/>
      </c>
      <c r="V163">
        <f>IFERROR(IF(ISNUMBER(INDEX(SPPR!$E:$Z,MATCH($A163,SPPR!$A:$A,0),19)),$C163*INDEX(SPPR!$E:$Z,MATCH($A163,SPPR!$A:$A,0),19),""),"")</f>
        <v/>
      </c>
      <c r="W163">
        <f>IFERROR(IF(ISNUMBER(INDEX(SPPR!$E:$Z,MATCH($A163,SPPR!$A:$A,0),20)),$C163*INDEX(SPPR!$E:$Z,MATCH($A163,SPPR!$A:$A,0),20),""),"")</f>
        <v/>
      </c>
      <c r="X163">
        <f>IFERROR(IF(ISNUMBER(INDEX(SPPR!$E:$Z,MATCH($A163,SPPR!$A:$A,0),21)),$C163*INDEX(SPPR!$E:$Z,MATCH($A163,SPPR!$A:$A,0),21),""),"")</f>
        <v/>
      </c>
      <c r="Y163">
        <f>IFERROR(IF(ISNUMBER(INDEX(SPPR!$E:$Z,MATCH($A163,SPPR!$A:$A,0),22)),$C163*INDEX(SPPR!$E:$Z,MATCH($A163,SPPR!$A:$A,0),22),""),"")</f>
        <v/>
      </c>
    </row>
    <row r="164">
      <c r="A164" t="inlineStr">
        <is>
          <t>Xiphias gladius</t>
        </is>
      </c>
      <c r="B164">
        <f>IFERROR(INDEX(SPPR!$D:$D,MATCH($A164,SPPR!$A:$A,0)),"")</f>
        <v/>
      </c>
      <c r="C164">
        <f>IFERROR(INDEX(Catch!$E:$BV,MATCH($A164,Catch!$A:$A,0),MATCH($B$4,Catch!$E$1:$BV$1,0)),0)</f>
        <v/>
      </c>
      <c r="D164">
        <f>IFERROR(IF(ISNUMBER(INDEX(SPPR!$E:$Z,MATCH($A164,SPPR!$A:$A,0),1)),$C164*INDEX(SPPR!$E:$Z,MATCH($A164,SPPR!$A:$A,0),1),""),"")</f>
        <v/>
      </c>
      <c r="E164">
        <f>IFERROR(IF(ISNUMBER(INDEX(SPPR!$E:$Z,MATCH($A164,SPPR!$A:$A,0),2)),$C164*INDEX(SPPR!$E:$Z,MATCH($A164,SPPR!$A:$A,0),2),""),"")</f>
        <v/>
      </c>
      <c r="F164">
        <f>IFERROR(IF(ISNUMBER(INDEX(SPPR!$E:$Z,MATCH($A164,SPPR!$A:$A,0),3)),$C164*INDEX(SPPR!$E:$Z,MATCH($A164,SPPR!$A:$A,0),3),""),"")</f>
        <v/>
      </c>
      <c r="G164">
        <f>IFERROR(IF(ISNUMBER(INDEX(SPPR!$E:$Z,MATCH($A164,SPPR!$A:$A,0),4)),$C164*INDEX(SPPR!$E:$Z,MATCH($A164,SPPR!$A:$A,0),4),""),"")</f>
        <v/>
      </c>
      <c r="H164">
        <f>IFERROR(IF(ISNUMBER(INDEX(SPPR!$E:$Z,MATCH($A164,SPPR!$A:$A,0),5)),$C164*INDEX(SPPR!$E:$Z,MATCH($A164,SPPR!$A:$A,0),5),""),"")</f>
        <v/>
      </c>
      <c r="I164">
        <f>IFERROR(IF(ISNUMBER(INDEX(SPPR!$E:$Z,MATCH($A164,SPPR!$A:$A,0),6)),$C164*INDEX(SPPR!$E:$Z,MATCH($A164,SPPR!$A:$A,0),6),""),"")</f>
        <v/>
      </c>
      <c r="J164">
        <f>IFERROR(IF(ISNUMBER(INDEX(SPPR!$E:$Z,MATCH($A164,SPPR!$A:$A,0),7)),$C164*INDEX(SPPR!$E:$Z,MATCH($A164,SPPR!$A:$A,0),7),""),"")</f>
        <v/>
      </c>
      <c r="K164">
        <f>IFERROR(IF(ISNUMBER(INDEX(SPPR!$E:$Z,MATCH($A164,SPPR!$A:$A,0),8)),$C164*INDEX(SPPR!$E:$Z,MATCH($A164,SPPR!$A:$A,0),8),""),"")</f>
        <v/>
      </c>
      <c r="L164">
        <f>IFERROR(IF(ISNUMBER(INDEX(SPPR!$E:$Z,MATCH($A164,SPPR!$A:$A,0),9)),$C164*INDEX(SPPR!$E:$Z,MATCH($A164,SPPR!$A:$A,0),9),""),"")</f>
        <v/>
      </c>
      <c r="M164">
        <f>IFERROR(IF(ISNUMBER(INDEX(SPPR!$E:$Z,MATCH($A164,SPPR!$A:$A,0),10)),$C164*INDEX(SPPR!$E:$Z,MATCH($A164,SPPR!$A:$A,0),10),""),"")</f>
        <v/>
      </c>
      <c r="N164">
        <f>IFERROR(IF(ISNUMBER(INDEX(SPPR!$E:$Z,MATCH($A164,SPPR!$A:$A,0),11)),$C164*INDEX(SPPR!$E:$Z,MATCH($A164,SPPR!$A:$A,0),11),""),"")</f>
        <v/>
      </c>
      <c r="O164">
        <f>IFERROR(IF(ISNUMBER(INDEX(SPPR!$E:$Z,MATCH($A164,SPPR!$A:$A,0),12)),$C164*INDEX(SPPR!$E:$Z,MATCH($A164,SPPR!$A:$A,0),12),""),"")</f>
        <v/>
      </c>
      <c r="P164">
        <f>IFERROR(IF(ISNUMBER(INDEX(SPPR!$E:$Z,MATCH($A164,SPPR!$A:$A,0),13)),$C164*INDEX(SPPR!$E:$Z,MATCH($A164,SPPR!$A:$A,0),13),""),"")</f>
        <v/>
      </c>
      <c r="Q164">
        <f>IFERROR(IF(ISNUMBER(INDEX(SPPR!$E:$Z,MATCH($A164,SPPR!$A:$A,0),14)),$C164*INDEX(SPPR!$E:$Z,MATCH($A164,SPPR!$A:$A,0),14),""),"")</f>
        <v/>
      </c>
      <c r="R164">
        <f>IFERROR(IF(ISNUMBER(INDEX(SPPR!$E:$Z,MATCH($A164,SPPR!$A:$A,0),15)),$C164*INDEX(SPPR!$E:$Z,MATCH($A164,SPPR!$A:$A,0),15),""),"")</f>
        <v/>
      </c>
      <c r="S164">
        <f>IFERROR(IF(ISNUMBER(INDEX(SPPR!$E:$Z,MATCH($A164,SPPR!$A:$A,0),16)),$C164*INDEX(SPPR!$E:$Z,MATCH($A164,SPPR!$A:$A,0),16),""),"")</f>
        <v/>
      </c>
      <c r="T164">
        <f>IFERROR(IF(ISNUMBER(INDEX(SPPR!$E:$Z,MATCH($A164,SPPR!$A:$A,0),17)),$C164*INDEX(SPPR!$E:$Z,MATCH($A164,SPPR!$A:$A,0),17),""),"")</f>
        <v/>
      </c>
      <c r="U164">
        <f>IFERROR(IF(ISNUMBER(INDEX(SPPR!$E:$Z,MATCH($A164,SPPR!$A:$A,0),18)),$C164*INDEX(SPPR!$E:$Z,MATCH($A164,SPPR!$A:$A,0),18),""),"")</f>
        <v/>
      </c>
      <c r="V164">
        <f>IFERROR(IF(ISNUMBER(INDEX(SPPR!$E:$Z,MATCH($A164,SPPR!$A:$A,0),19)),$C164*INDEX(SPPR!$E:$Z,MATCH($A164,SPPR!$A:$A,0),19),""),"")</f>
        <v/>
      </c>
      <c r="W164">
        <f>IFERROR(IF(ISNUMBER(INDEX(SPPR!$E:$Z,MATCH($A164,SPPR!$A:$A,0),20)),$C164*INDEX(SPPR!$E:$Z,MATCH($A164,SPPR!$A:$A,0),20),""),"")</f>
        <v/>
      </c>
      <c r="X164">
        <f>IFERROR(IF(ISNUMBER(INDEX(SPPR!$E:$Z,MATCH($A164,SPPR!$A:$A,0),21)),$C164*INDEX(SPPR!$E:$Z,MATCH($A164,SPPR!$A:$A,0),21),""),"")</f>
        <v/>
      </c>
      <c r="Y164">
        <f>IFERROR(IF(ISNUMBER(INDEX(SPPR!$E:$Z,MATCH($A164,SPPR!$A:$A,0),22)),$C164*INDEX(SPPR!$E:$Z,MATCH($A164,SPPR!$A:$A,0),22),""),"")</f>
        <v/>
      </c>
    </row>
    <row r="165">
      <c r="A165" t="inlineStr">
        <is>
          <t>Malacostraca</t>
        </is>
      </c>
      <c r="B165">
        <f>IFERROR(INDEX(SPPR!$D:$D,MATCH($A165,SPPR!$A:$A,0)),"")</f>
        <v/>
      </c>
      <c r="C165">
        <f>IFERROR(INDEX(Catch!$E:$BV,MATCH($A165,Catch!$A:$A,0),MATCH($B$4,Catch!$E$1:$BV$1,0)),0)</f>
        <v/>
      </c>
      <c r="D165">
        <f>IFERROR(IF(ISNUMBER(INDEX(SPPR!$E:$Z,MATCH($A165,SPPR!$A:$A,0),1)),$C165*INDEX(SPPR!$E:$Z,MATCH($A165,SPPR!$A:$A,0),1),""),"")</f>
        <v/>
      </c>
      <c r="E165">
        <f>IFERROR(IF(ISNUMBER(INDEX(SPPR!$E:$Z,MATCH($A165,SPPR!$A:$A,0),2)),$C165*INDEX(SPPR!$E:$Z,MATCH($A165,SPPR!$A:$A,0),2),""),"")</f>
        <v/>
      </c>
      <c r="F165">
        <f>IFERROR(IF(ISNUMBER(INDEX(SPPR!$E:$Z,MATCH($A165,SPPR!$A:$A,0),3)),$C165*INDEX(SPPR!$E:$Z,MATCH($A165,SPPR!$A:$A,0),3),""),"")</f>
        <v/>
      </c>
      <c r="G165">
        <f>IFERROR(IF(ISNUMBER(INDEX(SPPR!$E:$Z,MATCH($A165,SPPR!$A:$A,0),4)),$C165*INDEX(SPPR!$E:$Z,MATCH($A165,SPPR!$A:$A,0),4),""),"")</f>
        <v/>
      </c>
      <c r="H165">
        <f>IFERROR(IF(ISNUMBER(INDEX(SPPR!$E:$Z,MATCH($A165,SPPR!$A:$A,0),5)),$C165*INDEX(SPPR!$E:$Z,MATCH($A165,SPPR!$A:$A,0),5),""),"")</f>
        <v/>
      </c>
      <c r="I165">
        <f>IFERROR(IF(ISNUMBER(INDEX(SPPR!$E:$Z,MATCH($A165,SPPR!$A:$A,0),6)),$C165*INDEX(SPPR!$E:$Z,MATCH($A165,SPPR!$A:$A,0),6),""),"")</f>
        <v/>
      </c>
      <c r="J165">
        <f>IFERROR(IF(ISNUMBER(INDEX(SPPR!$E:$Z,MATCH($A165,SPPR!$A:$A,0),7)),$C165*INDEX(SPPR!$E:$Z,MATCH($A165,SPPR!$A:$A,0),7),""),"")</f>
        <v/>
      </c>
      <c r="K165">
        <f>IFERROR(IF(ISNUMBER(INDEX(SPPR!$E:$Z,MATCH($A165,SPPR!$A:$A,0),8)),$C165*INDEX(SPPR!$E:$Z,MATCH($A165,SPPR!$A:$A,0),8),""),"")</f>
        <v/>
      </c>
      <c r="L165">
        <f>IFERROR(IF(ISNUMBER(INDEX(SPPR!$E:$Z,MATCH($A165,SPPR!$A:$A,0),9)),$C165*INDEX(SPPR!$E:$Z,MATCH($A165,SPPR!$A:$A,0),9),""),"")</f>
        <v/>
      </c>
      <c r="M165">
        <f>IFERROR(IF(ISNUMBER(INDEX(SPPR!$E:$Z,MATCH($A165,SPPR!$A:$A,0),10)),$C165*INDEX(SPPR!$E:$Z,MATCH($A165,SPPR!$A:$A,0),10),""),"")</f>
        <v/>
      </c>
      <c r="N165">
        <f>IFERROR(IF(ISNUMBER(INDEX(SPPR!$E:$Z,MATCH($A165,SPPR!$A:$A,0),11)),$C165*INDEX(SPPR!$E:$Z,MATCH($A165,SPPR!$A:$A,0),11),""),"")</f>
        <v/>
      </c>
      <c r="O165">
        <f>IFERROR(IF(ISNUMBER(INDEX(SPPR!$E:$Z,MATCH($A165,SPPR!$A:$A,0),12)),$C165*INDEX(SPPR!$E:$Z,MATCH($A165,SPPR!$A:$A,0),12),""),"")</f>
        <v/>
      </c>
      <c r="P165">
        <f>IFERROR(IF(ISNUMBER(INDEX(SPPR!$E:$Z,MATCH($A165,SPPR!$A:$A,0),13)),$C165*INDEX(SPPR!$E:$Z,MATCH($A165,SPPR!$A:$A,0),13),""),"")</f>
        <v/>
      </c>
      <c r="Q165">
        <f>IFERROR(IF(ISNUMBER(INDEX(SPPR!$E:$Z,MATCH($A165,SPPR!$A:$A,0),14)),$C165*INDEX(SPPR!$E:$Z,MATCH($A165,SPPR!$A:$A,0),14),""),"")</f>
        <v/>
      </c>
      <c r="R165">
        <f>IFERROR(IF(ISNUMBER(INDEX(SPPR!$E:$Z,MATCH($A165,SPPR!$A:$A,0),15)),$C165*INDEX(SPPR!$E:$Z,MATCH($A165,SPPR!$A:$A,0),15),""),"")</f>
        <v/>
      </c>
      <c r="S165">
        <f>IFERROR(IF(ISNUMBER(INDEX(SPPR!$E:$Z,MATCH($A165,SPPR!$A:$A,0),16)),$C165*INDEX(SPPR!$E:$Z,MATCH($A165,SPPR!$A:$A,0),16),""),"")</f>
        <v/>
      </c>
      <c r="T165">
        <f>IFERROR(IF(ISNUMBER(INDEX(SPPR!$E:$Z,MATCH($A165,SPPR!$A:$A,0),17)),$C165*INDEX(SPPR!$E:$Z,MATCH($A165,SPPR!$A:$A,0),17),""),"")</f>
        <v/>
      </c>
      <c r="U165">
        <f>IFERROR(IF(ISNUMBER(INDEX(SPPR!$E:$Z,MATCH($A165,SPPR!$A:$A,0),18)),$C165*INDEX(SPPR!$E:$Z,MATCH($A165,SPPR!$A:$A,0),18),""),"")</f>
        <v/>
      </c>
      <c r="V165">
        <f>IFERROR(IF(ISNUMBER(INDEX(SPPR!$E:$Z,MATCH($A165,SPPR!$A:$A,0),19)),$C165*INDEX(SPPR!$E:$Z,MATCH($A165,SPPR!$A:$A,0),19),""),"")</f>
        <v/>
      </c>
      <c r="W165">
        <f>IFERROR(IF(ISNUMBER(INDEX(SPPR!$E:$Z,MATCH($A165,SPPR!$A:$A,0),20)),$C165*INDEX(SPPR!$E:$Z,MATCH($A165,SPPR!$A:$A,0),20),""),"")</f>
        <v/>
      </c>
      <c r="X165">
        <f>IFERROR(IF(ISNUMBER(INDEX(SPPR!$E:$Z,MATCH($A165,SPPR!$A:$A,0),21)),$C165*INDEX(SPPR!$E:$Z,MATCH($A165,SPPR!$A:$A,0),21),""),"")</f>
        <v/>
      </c>
      <c r="Y165">
        <f>IFERROR(IF(ISNUMBER(INDEX(SPPR!$E:$Z,MATCH($A165,SPPR!$A:$A,0),22)),$C165*INDEX(SPPR!$E:$Z,MATCH($A165,SPPR!$A:$A,0),22),""),"")</f>
        <v/>
      </c>
    </row>
    <row r="166">
      <c r="A166" t="inlineStr">
        <is>
          <t>Sparidae</t>
        </is>
      </c>
      <c r="B166">
        <f>IFERROR(INDEX(SPPR!$D:$D,MATCH($A166,SPPR!$A:$A,0)),"")</f>
        <v/>
      </c>
      <c r="C166">
        <f>IFERROR(INDEX(Catch!$E:$BV,MATCH($A166,Catch!$A:$A,0),MATCH($B$4,Catch!$E$1:$BV$1,0)),0)</f>
        <v/>
      </c>
      <c r="D166">
        <f>IFERROR(IF(ISNUMBER(INDEX(SPPR!$E:$Z,MATCH($A166,SPPR!$A:$A,0),1)),$C166*INDEX(SPPR!$E:$Z,MATCH($A166,SPPR!$A:$A,0),1),""),"")</f>
        <v/>
      </c>
      <c r="E166">
        <f>IFERROR(IF(ISNUMBER(INDEX(SPPR!$E:$Z,MATCH($A166,SPPR!$A:$A,0),2)),$C166*INDEX(SPPR!$E:$Z,MATCH($A166,SPPR!$A:$A,0),2),""),"")</f>
        <v/>
      </c>
      <c r="F166">
        <f>IFERROR(IF(ISNUMBER(INDEX(SPPR!$E:$Z,MATCH($A166,SPPR!$A:$A,0),3)),$C166*INDEX(SPPR!$E:$Z,MATCH($A166,SPPR!$A:$A,0),3),""),"")</f>
        <v/>
      </c>
      <c r="G166">
        <f>IFERROR(IF(ISNUMBER(INDEX(SPPR!$E:$Z,MATCH($A166,SPPR!$A:$A,0),4)),$C166*INDEX(SPPR!$E:$Z,MATCH($A166,SPPR!$A:$A,0),4),""),"")</f>
        <v/>
      </c>
      <c r="H166">
        <f>IFERROR(IF(ISNUMBER(INDEX(SPPR!$E:$Z,MATCH($A166,SPPR!$A:$A,0),5)),$C166*INDEX(SPPR!$E:$Z,MATCH($A166,SPPR!$A:$A,0),5),""),"")</f>
        <v/>
      </c>
      <c r="I166">
        <f>IFERROR(IF(ISNUMBER(INDEX(SPPR!$E:$Z,MATCH($A166,SPPR!$A:$A,0),6)),$C166*INDEX(SPPR!$E:$Z,MATCH($A166,SPPR!$A:$A,0),6),""),"")</f>
        <v/>
      </c>
      <c r="J166">
        <f>IFERROR(IF(ISNUMBER(INDEX(SPPR!$E:$Z,MATCH($A166,SPPR!$A:$A,0),7)),$C166*INDEX(SPPR!$E:$Z,MATCH($A166,SPPR!$A:$A,0),7),""),"")</f>
        <v/>
      </c>
      <c r="K166">
        <f>IFERROR(IF(ISNUMBER(INDEX(SPPR!$E:$Z,MATCH($A166,SPPR!$A:$A,0),8)),$C166*INDEX(SPPR!$E:$Z,MATCH($A166,SPPR!$A:$A,0),8),""),"")</f>
        <v/>
      </c>
      <c r="L166">
        <f>IFERROR(IF(ISNUMBER(INDEX(SPPR!$E:$Z,MATCH($A166,SPPR!$A:$A,0),9)),$C166*INDEX(SPPR!$E:$Z,MATCH($A166,SPPR!$A:$A,0),9),""),"")</f>
        <v/>
      </c>
      <c r="M166">
        <f>IFERROR(IF(ISNUMBER(INDEX(SPPR!$E:$Z,MATCH($A166,SPPR!$A:$A,0),10)),$C166*INDEX(SPPR!$E:$Z,MATCH($A166,SPPR!$A:$A,0),10),""),"")</f>
        <v/>
      </c>
      <c r="N166">
        <f>IFERROR(IF(ISNUMBER(INDEX(SPPR!$E:$Z,MATCH($A166,SPPR!$A:$A,0),11)),$C166*INDEX(SPPR!$E:$Z,MATCH($A166,SPPR!$A:$A,0),11),""),"")</f>
        <v/>
      </c>
      <c r="O166">
        <f>IFERROR(IF(ISNUMBER(INDEX(SPPR!$E:$Z,MATCH($A166,SPPR!$A:$A,0),12)),$C166*INDEX(SPPR!$E:$Z,MATCH($A166,SPPR!$A:$A,0),12),""),"")</f>
        <v/>
      </c>
      <c r="P166">
        <f>IFERROR(IF(ISNUMBER(INDEX(SPPR!$E:$Z,MATCH($A166,SPPR!$A:$A,0),13)),$C166*INDEX(SPPR!$E:$Z,MATCH($A166,SPPR!$A:$A,0),13),""),"")</f>
        <v/>
      </c>
      <c r="Q166">
        <f>IFERROR(IF(ISNUMBER(INDEX(SPPR!$E:$Z,MATCH($A166,SPPR!$A:$A,0),14)),$C166*INDEX(SPPR!$E:$Z,MATCH($A166,SPPR!$A:$A,0),14),""),"")</f>
        <v/>
      </c>
      <c r="R166">
        <f>IFERROR(IF(ISNUMBER(INDEX(SPPR!$E:$Z,MATCH($A166,SPPR!$A:$A,0),15)),$C166*INDEX(SPPR!$E:$Z,MATCH($A166,SPPR!$A:$A,0),15),""),"")</f>
        <v/>
      </c>
      <c r="S166">
        <f>IFERROR(IF(ISNUMBER(INDEX(SPPR!$E:$Z,MATCH($A166,SPPR!$A:$A,0),16)),$C166*INDEX(SPPR!$E:$Z,MATCH($A166,SPPR!$A:$A,0),16),""),"")</f>
        <v/>
      </c>
      <c r="T166">
        <f>IFERROR(IF(ISNUMBER(INDEX(SPPR!$E:$Z,MATCH($A166,SPPR!$A:$A,0),17)),$C166*INDEX(SPPR!$E:$Z,MATCH($A166,SPPR!$A:$A,0),17),""),"")</f>
        <v/>
      </c>
      <c r="U166">
        <f>IFERROR(IF(ISNUMBER(INDEX(SPPR!$E:$Z,MATCH($A166,SPPR!$A:$A,0),18)),$C166*INDEX(SPPR!$E:$Z,MATCH($A166,SPPR!$A:$A,0),18),""),"")</f>
        <v/>
      </c>
      <c r="V166">
        <f>IFERROR(IF(ISNUMBER(INDEX(SPPR!$E:$Z,MATCH($A166,SPPR!$A:$A,0),19)),$C166*INDEX(SPPR!$E:$Z,MATCH($A166,SPPR!$A:$A,0),19),""),"")</f>
        <v/>
      </c>
      <c r="W166">
        <f>IFERROR(IF(ISNUMBER(INDEX(SPPR!$E:$Z,MATCH($A166,SPPR!$A:$A,0),20)),$C166*INDEX(SPPR!$E:$Z,MATCH($A166,SPPR!$A:$A,0),20),""),"")</f>
        <v/>
      </c>
      <c r="X166">
        <f>IFERROR(IF(ISNUMBER(INDEX(SPPR!$E:$Z,MATCH($A166,SPPR!$A:$A,0),21)),$C166*INDEX(SPPR!$E:$Z,MATCH($A166,SPPR!$A:$A,0),21),""),"")</f>
        <v/>
      </c>
      <c r="Y166">
        <f>IFERROR(IF(ISNUMBER(INDEX(SPPR!$E:$Z,MATCH($A166,SPPR!$A:$A,0),22)),$C166*INDEX(SPPR!$E:$Z,MATCH($A166,SPPR!$A:$A,0),22),""),"")</f>
        <v/>
      </c>
    </row>
    <row r="167">
      <c r="A167" t="inlineStr">
        <is>
          <t>Bothidae</t>
        </is>
      </c>
      <c r="B167">
        <f>IFERROR(INDEX(SPPR!$D:$D,MATCH($A167,SPPR!$A:$A,0)),"")</f>
        <v/>
      </c>
      <c r="C167">
        <f>IFERROR(INDEX(Catch!$E:$BV,MATCH($A167,Catch!$A:$A,0),MATCH($B$4,Catch!$E$1:$BV$1,0)),0)</f>
        <v/>
      </c>
      <c r="D167">
        <f>IFERROR(IF(ISNUMBER(INDEX(SPPR!$E:$Z,MATCH($A167,SPPR!$A:$A,0),1)),$C167*INDEX(SPPR!$E:$Z,MATCH($A167,SPPR!$A:$A,0),1),""),"")</f>
        <v/>
      </c>
      <c r="E167">
        <f>IFERROR(IF(ISNUMBER(INDEX(SPPR!$E:$Z,MATCH($A167,SPPR!$A:$A,0),2)),$C167*INDEX(SPPR!$E:$Z,MATCH($A167,SPPR!$A:$A,0),2),""),"")</f>
        <v/>
      </c>
      <c r="F167">
        <f>IFERROR(IF(ISNUMBER(INDEX(SPPR!$E:$Z,MATCH($A167,SPPR!$A:$A,0),3)),$C167*INDEX(SPPR!$E:$Z,MATCH($A167,SPPR!$A:$A,0),3),""),"")</f>
        <v/>
      </c>
      <c r="G167">
        <f>IFERROR(IF(ISNUMBER(INDEX(SPPR!$E:$Z,MATCH($A167,SPPR!$A:$A,0),4)),$C167*INDEX(SPPR!$E:$Z,MATCH($A167,SPPR!$A:$A,0),4),""),"")</f>
        <v/>
      </c>
      <c r="H167">
        <f>IFERROR(IF(ISNUMBER(INDEX(SPPR!$E:$Z,MATCH($A167,SPPR!$A:$A,0),5)),$C167*INDEX(SPPR!$E:$Z,MATCH($A167,SPPR!$A:$A,0),5),""),"")</f>
        <v/>
      </c>
      <c r="I167">
        <f>IFERROR(IF(ISNUMBER(INDEX(SPPR!$E:$Z,MATCH($A167,SPPR!$A:$A,0),6)),$C167*INDEX(SPPR!$E:$Z,MATCH($A167,SPPR!$A:$A,0),6),""),"")</f>
        <v/>
      </c>
      <c r="J167">
        <f>IFERROR(IF(ISNUMBER(INDEX(SPPR!$E:$Z,MATCH($A167,SPPR!$A:$A,0),7)),$C167*INDEX(SPPR!$E:$Z,MATCH($A167,SPPR!$A:$A,0),7),""),"")</f>
        <v/>
      </c>
      <c r="K167">
        <f>IFERROR(IF(ISNUMBER(INDEX(SPPR!$E:$Z,MATCH($A167,SPPR!$A:$A,0),8)),$C167*INDEX(SPPR!$E:$Z,MATCH($A167,SPPR!$A:$A,0),8),""),"")</f>
        <v/>
      </c>
      <c r="L167">
        <f>IFERROR(IF(ISNUMBER(INDEX(SPPR!$E:$Z,MATCH($A167,SPPR!$A:$A,0),9)),$C167*INDEX(SPPR!$E:$Z,MATCH($A167,SPPR!$A:$A,0),9),""),"")</f>
        <v/>
      </c>
      <c r="M167">
        <f>IFERROR(IF(ISNUMBER(INDEX(SPPR!$E:$Z,MATCH($A167,SPPR!$A:$A,0),10)),$C167*INDEX(SPPR!$E:$Z,MATCH($A167,SPPR!$A:$A,0),10),""),"")</f>
        <v/>
      </c>
      <c r="N167">
        <f>IFERROR(IF(ISNUMBER(INDEX(SPPR!$E:$Z,MATCH($A167,SPPR!$A:$A,0),11)),$C167*INDEX(SPPR!$E:$Z,MATCH($A167,SPPR!$A:$A,0),11),""),"")</f>
        <v/>
      </c>
      <c r="O167">
        <f>IFERROR(IF(ISNUMBER(INDEX(SPPR!$E:$Z,MATCH($A167,SPPR!$A:$A,0),12)),$C167*INDEX(SPPR!$E:$Z,MATCH($A167,SPPR!$A:$A,0),12),""),"")</f>
        <v/>
      </c>
      <c r="P167">
        <f>IFERROR(IF(ISNUMBER(INDEX(SPPR!$E:$Z,MATCH($A167,SPPR!$A:$A,0),13)),$C167*INDEX(SPPR!$E:$Z,MATCH($A167,SPPR!$A:$A,0),13),""),"")</f>
        <v/>
      </c>
      <c r="Q167">
        <f>IFERROR(IF(ISNUMBER(INDEX(SPPR!$E:$Z,MATCH($A167,SPPR!$A:$A,0),14)),$C167*INDEX(SPPR!$E:$Z,MATCH($A167,SPPR!$A:$A,0),14),""),"")</f>
        <v/>
      </c>
      <c r="R167">
        <f>IFERROR(IF(ISNUMBER(INDEX(SPPR!$E:$Z,MATCH($A167,SPPR!$A:$A,0),15)),$C167*INDEX(SPPR!$E:$Z,MATCH($A167,SPPR!$A:$A,0),15),""),"")</f>
        <v/>
      </c>
      <c r="S167">
        <f>IFERROR(IF(ISNUMBER(INDEX(SPPR!$E:$Z,MATCH($A167,SPPR!$A:$A,0),16)),$C167*INDEX(SPPR!$E:$Z,MATCH($A167,SPPR!$A:$A,0),16),""),"")</f>
        <v/>
      </c>
      <c r="T167">
        <f>IFERROR(IF(ISNUMBER(INDEX(SPPR!$E:$Z,MATCH($A167,SPPR!$A:$A,0),17)),$C167*INDEX(SPPR!$E:$Z,MATCH($A167,SPPR!$A:$A,0),17),""),"")</f>
        <v/>
      </c>
      <c r="U167">
        <f>IFERROR(IF(ISNUMBER(INDEX(SPPR!$E:$Z,MATCH($A167,SPPR!$A:$A,0),18)),$C167*INDEX(SPPR!$E:$Z,MATCH($A167,SPPR!$A:$A,0),18),""),"")</f>
        <v/>
      </c>
      <c r="V167">
        <f>IFERROR(IF(ISNUMBER(INDEX(SPPR!$E:$Z,MATCH($A167,SPPR!$A:$A,0),19)),$C167*INDEX(SPPR!$E:$Z,MATCH($A167,SPPR!$A:$A,0),19),""),"")</f>
        <v/>
      </c>
      <c r="W167">
        <f>IFERROR(IF(ISNUMBER(INDEX(SPPR!$E:$Z,MATCH($A167,SPPR!$A:$A,0),20)),$C167*INDEX(SPPR!$E:$Z,MATCH($A167,SPPR!$A:$A,0),20),""),"")</f>
        <v/>
      </c>
      <c r="X167">
        <f>IFERROR(IF(ISNUMBER(INDEX(SPPR!$E:$Z,MATCH($A167,SPPR!$A:$A,0),21)),$C167*INDEX(SPPR!$E:$Z,MATCH($A167,SPPR!$A:$A,0),21),""),"")</f>
        <v/>
      </c>
      <c r="Y167">
        <f>IFERROR(IF(ISNUMBER(INDEX(SPPR!$E:$Z,MATCH($A167,SPPR!$A:$A,0),22)),$C167*INDEX(SPPR!$E:$Z,MATCH($A167,SPPR!$A:$A,0),22),""),"")</f>
        <v/>
      </c>
    </row>
    <row r="168">
      <c r="A168" t="inlineStr">
        <is>
          <t>Ganjampenaeopsis uncta</t>
        </is>
      </c>
      <c r="B168">
        <f>IFERROR(INDEX(SPPR!$D:$D,MATCH($A168,SPPR!$A:$A,0)),"")</f>
        <v/>
      </c>
      <c r="C168">
        <f>IFERROR(INDEX(Catch!$E:$BV,MATCH($A168,Catch!$A:$A,0),MATCH($B$4,Catch!$E$1:$BV$1,0)),0)</f>
        <v/>
      </c>
      <c r="D168">
        <f>IFERROR(IF(ISNUMBER(INDEX(SPPR!$E:$Z,MATCH($A168,SPPR!$A:$A,0),1)),$C168*INDEX(SPPR!$E:$Z,MATCH($A168,SPPR!$A:$A,0),1),""),"")</f>
        <v/>
      </c>
      <c r="E168">
        <f>IFERROR(IF(ISNUMBER(INDEX(SPPR!$E:$Z,MATCH($A168,SPPR!$A:$A,0),2)),$C168*INDEX(SPPR!$E:$Z,MATCH($A168,SPPR!$A:$A,0),2),""),"")</f>
        <v/>
      </c>
      <c r="F168">
        <f>IFERROR(IF(ISNUMBER(INDEX(SPPR!$E:$Z,MATCH($A168,SPPR!$A:$A,0),3)),$C168*INDEX(SPPR!$E:$Z,MATCH($A168,SPPR!$A:$A,0),3),""),"")</f>
        <v/>
      </c>
      <c r="G168">
        <f>IFERROR(IF(ISNUMBER(INDEX(SPPR!$E:$Z,MATCH($A168,SPPR!$A:$A,0),4)),$C168*INDEX(SPPR!$E:$Z,MATCH($A168,SPPR!$A:$A,0),4),""),"")</f>
        <v/>
      </c>
      <c r="H168">
        <f>IFERROR(IF(ISNUMBER(INDEX(SPPR!$E:$Z,MATCH($A168,SPPR!$A:$A,0),5)),$C168*INDEX(SPPR!$E:$Z,MATCH($A168,SPPR!$A:$A,0),5),""),"")</f>
        <v/>
      </c>
      <c r="I168">
        <f>IFERROR(IF(ISNUMBER(INDEX(SPPR!$E:$Z,MATCH($A168,SPPR!$A:$A,0),6)),$C168*INDEX(SPPR!$E:$Z,MATCH($A168,SPPR!$A:$A,0),6),""),"")</f>
        <v/>
      </c>
      <c r="J168">
        <f>IFERROR(IF(ISNUMBER(INDEX(SPPR!$E:$Z,MATCH($A168,SPPR!$A:$A,0),7)),$C168*INDEX(SPPR!$E:$Z,MATCH($A168,SPPR!$A:$A,0),7),""),"")</f>
        <v/>
      </c>
      <c r="K168">
        <f>IFERROR(IF(ISNUMBER(INDEX(SPPR!$E:$Z,MATCH($A168,SPPR!$A:$A,0),8)),$C168*INDEX(SPPR!$E:$Z,MATCH($A168,SPPR!$A:$A,0),8),""),"")</f>
        <v/>
      </c>
      <c r="L168">
        <f>IFERROR(IF(ISNUMBER(INDEX(SPPR!$E:$Z,MATCH($A168,SPPR!$A:$A,0),9)),$C168*INDEX(SPPR!$E:$Z,MATCH($A168,SPPR!$A:$A,0),9),""),"")</f>
        <v/>
      </c>
      <c r="M168">
        <f>IFERROR(IF(ISNUMBER(INDEX(SPPR!$E:$Z,MATCH($A168,SPPR!$A:$A,0),10)),$C168*INDEX(SPPR!$E:$Z,MATCH($A168,SPPR!$A:$A,0),10),""),"")</f>
        <v/>
      </c>
      <c r="N168">
        <f>IFERROR(IF(ISNUMBER(INDEX(SPPR!$E:$Z,MATCH($A168,SPPR!$A:$A,0),11)),$C168*INDEX(SPPR!$E:$Z,MATCH($A168,SPPR!$A:$A,0),11),""),"")</f>
        <v/>
      </c>
      <c r="O168">
        <f>IFERROR(IF(ISNUMBER(INDEX(SPPR!$E:$Z,MATCH($A168,SPPR!$A:$A,0),12)),$C168*INDEX(SPPR!$E:$Z,MATCH($A168,SPPR!$A:$A,0),12),""),"")</f>
        <v/>
      </c>
      <c r="P168">
        <f>IFERROR(IF(ISNUMBER(INDEX(SPPR!$E:$Z,MATCH($A168,SPPR!$A:$A,0),13)),$C168*INDEX(SPPR!$E:$Z,MATCH($A168,SPPR!$A:$A,0),13),""),"")</f>
        <v/>
      </c>
      <c r="Q168">
        <f>IFERROR(IF(ISNUMBER(INDEX(SPPR!$E:$Z,MATCH($A168,SPPR!$A:$A,0),14)),$C168*INDEX(SPPR!$E:$Z,MATCH($A168,SPPR!$A:$A,0),14),""),"")</f>
        <v/>
      </c>
      <c r="R168">
        <f>IFERROR(IF(ISNUMBER(INDEX(SPPR!$E:$Z,MATCH($A168,SPPR!$A:$A,0),15)),$C168*INDEX(SPPR!$E:$Z,MATCH($A168,SPPR!$A:$A,0),15),""),"")</f>
        <v/>
      </c>
      <c r="S168">
        <f>IFERROR(IF(ISNUMBER(INDEX(SPPR!$E:$Z,MATCH($A168,SPPR!$A:$A,0),16)),$C168*INDEX(SPPR!$E:$Z,MATCH($A168,SPPR!$A:$A,0),16),""),"")</f>
        <v/>
      </c>
      <c r="T168">
        <f>IFERROR(IF(ISNUMBER(INDEX(SPPR!$E:$Z,MATCH($A168,SPPR!$A:$A,0),17)),$C168*INDEX(SPPR!$E:$Z,MATCH($A168,SPPR!$A:$A,0),17),""),"")</f>
        <v/>
      </c>
      <c r="U168">
        <f>IFERROR(IF(ISNUMBER(INDEX(SPPR!$E:$Z,MATCH($A168,SPPR!$A:$A,0),18)),$C168*INDEX(SPPR!$E:$Z,MATCH($A168,SPPR!$A:$A,0),18),""),"")</f>
        <v/>
      </c>
      <c r="V168">
        <f>IFERROR(IF(ISNUMBER(INDEX(SPPR!$E:$Z,MATCH($A168,SPPR!$A:$A,0),19)),$C168*INDEX(SPPR!$E:$Z,MATCH($A168,SPPR!$A:$A,0),19),""),"")</f>
        <v/>
      </c>
      <c r="W168">
        <f>IFERROR(IF(ISNUMBER(INDEX(SPPR!$E:$Z,MATCH($A168,SPPR!$A:$A,0),20)),$C168*INDEX(SPPR!$E:$Z,MATCH($A168,SPPR!$A:$A,0),20),""),"")</f>
        <v/>
      </c>
      <c r="X168">
        <f>IFERROR(IF(ISNUMBER(INDEX(SPPR!$E:$Z,MATCH($A168,SPPR!$A:$A,0),21)),$C168*INDEX(SPPR!$E:$Z,MATCH($A168,SPPR!$A:$A,0),21),""),"")</f>
        <v/>
      </c>
      <c r="Y168">
        <f>IFERROR(IF(ISNUMBER(INDEX(SPPR!$E:$Z,MATCH($A168,SPPR!$A:$A,0),22)),$C168*INDEX(SPPR!$E:$Z,MATCH($A168,SPPR!$A:$A,0),22),""),"")</f>
        <v/>
      </c>
    </row>
    <row r="169">
      <c r="A169" t="inlineStr">
        <is>
          <t>Mierspenaeopsis hardwickii</t>
        </is>
      </c>
      <c r="B169">
        <f>IFERROR(INDEX(SPPR!$D:$D,MATCH($A169,SPPR!$A:$A,0)),"")</f>
        <v/>
      </c>
      <c r="C169">
        <f>IFERROR(INDEX(Catch!$E:$BV,MATCH($A169,Catch!$A:$A,0),MATCH($B$4,Catch!$E$1:$BV$1,0)),0)</f>
        <v/>
      </c>
      <c r="D169">
        <f>IFERROR(IF(ISNUMBER(INDEX(SPPR!$E:$Z,MATCH($A169,SPPR!$A:$A,0),1)),$C169*INDEX(SPPR!$E:$Z,MATCH($A169,SPPR!$A:$A,0),1),""),"")</f>
        <v/>
      </c>
      <c r="E169">
        <f>IFERROR(IF(ISNUMBER(INDEX(SPPR!$E:$Z,MATCH($A169,SPPR!$A:$A,0),2)),$C169*INDEX(SPPR!$E:$Z,MATCH($A169,SPPR!$A:$A,0),2),""),"")</f>
        <v/>
      </c>
      <c r="F169">
        <f>IFERROR(IF(ISNUMBER(INDEX(SPPR!$E:$Z,MATCH($A169,SPPR!$A:$A,0),3)),$C169*INDEX(SPPR!$E:$Z,MATCH($A169,SPPR!$A:$A,0),3),""),"")</f>
        <v/>
      </c>
      <c r="G169">
        <f>IFERROR(IF(ISNUMBER(INDEX(SPPR!$E:$Z,MATCH($A169,SPPR!$A:$A,0),4)),$C169*INDEX(SPPR!$E:$Z,MATCH($A169,SPPR!$A:$A,0),4),""),"")</f>
        <v/>
      </c>
      <c r="H169">
        <f>IFERROR(IF(ISNUMBER(INDEX(SPPR!$E:$Z,MATCH($A169,SPPR!$A:$A,0),5)),$C169*INDEX(SPPR!$E:$Z,MATCH($A169,SPPR!$A:$A,0),5),""),"")</f>
        <v/>
      </c>
      <c r="I169">
        <f>IFERROR(IF(ISNUMBER(INDEX(SPPR!$E:$Z,MATCH($A169,SPPR!$A:$A,0),6)),$C169*INDEX(SPPR!$E:$Z,MATCH($A169,SPPR!$A:$A,0),6),""),"")</f>
        <v/>
      </c>
      <c r="J169">
        <f>IFERROR(IF(ISNUMBER(INDEX(SPPR!$E:$Z,MATCH($A169,SPPR!$A:$A,0),7)),$C169*INDEX(SPPR!$E:$Z,MATCH($A169,SPPR!$A:$A,0),7),""),"")</f>
        <v/>
      </c>
      <c r="K169">
        <f>IFERROR(IF(ISNUMBER(INDEX(SPPR!$E:$Z,MATCH($A169,SPPR!$A:$A,0),8)),$C169*INDEX(SPPR!$E:$Z,MATCH($A169,SPPR!$A:$A,0),8),""),"")</f>
        <v/>
      </c>
      <c r="L169">
        <f>IFERROR(IF(ISNUMBER(INDEX(SPPR!$E:$Z,MATCH($A169,SPPR!$A:$A,0),9)),$C169*INDEX(SPPR!$E:$Z,MATCH($A169,SPPR!$A:$A,0),9),""),"")</f>
        <v/>
      </c>
      <c r="M169">
        <f>IFERROR(IF(ISNUMBER(INDEX(SPPR!$E:$Z,MATCH($A169,SPPR!$A:$A,0),10)),$C169*INDEX(SPPR!$E:$Z,MATCH($A169,SPPR!$A:$A,0),10),""),"")</f>
        <v/>
      </c>
      <c r="N169">
        <f>IFERROR(IF(ISNUMBER(INDEX(SPPR!$E:$Z,MATCH($A169,SPPR!$A:$A,0),11)),$C169*INDEX(SPPR!$E:$Z,MATCH($A169,SPPR!$A:$A,0),11),""),"")</f>
        <v/>
      </c>
      <c r="O169">
        <f>IFERROR(IF(ISNUMBER(INDEX(SPPR!$E:$Z,MATCH($A169,SPPR!$A:$A,0),12)),$C169*INDEX(SPPR!$E:$Z,MATCH($A169,SPPR!$A:$A,0),12),""),"")</f>
        <v/>
      </c>
      <c r="P169">
        <f>IFERROR(IF(ISNUMBER(INDEX(SPPR!$E:$Z,MATCH($A169,SPPR!$A:$A,0),13)),$C169*INDEX(SPPR!$E:$Z,MATCH($A169,SPPR!$A:$A,0),13),""),"")</f>
        <v/>
      </c>
      <c r="Q169">
        <f>IFERROR(IF(ISNUMBER(INDEX(SPPR!$E:$Z,MATCH($A169,SPPR!$A:$A,0),14)),$C169*INDEX(SPPR!$E:$Z,MATCH($A169,SPPR!$A:$A,0),14),""),"")</f>
        <v/>
      </c>
      <c r="R169">
        <f>IFERROR(IF(ISNUMBER(INDEX(SPPR!$E:$Z,MATCH($A169,SPPR!$A:$A,0),15)),$C169*INDEX(SPPR!$E:$Z,MATCH($A169,SPPR!$A:$A,0),15),""),"")</f>
        <v/>
      </c>
      <c r="S169">
        <f>IFERROR(IF(ISNUMBER(INDEX(SPPR!$E:$Z,MATCH($A169,SPPR!$A:$A,0),16)),$C169*INDEX(SPPR!$E:$Z,MATCH($A169,SPPR!$A:$A,0),16),""),"")</f>
        <v/>
      </c>
      <c r="T169">
        <f>IFERROR(IF(ISNUMBER(INDEX(SPPR!$E:$Z,MATCH($A169,SPPR!$A:$A,0),17)),$C169*INDEX(SPPR!$E:$Z,MATCH($A169,SPPR!$A:$A,0),17),""),"")</f>
        <v/>
      </c>
      <c r="U169">
        <f>IFERROR(IF(ISNUMBER(INDEX(SPPR!$E:$Z,MATCH($A169,SPPR!$A:$A,0),18)),$C169*INDEX(SPPR!$E:$Z,MATCH($A169,SPPR!$A:$A,0),18),""),"")</f>
        <v/>
      </c>
      <c r="V169">
        <f>IFERROR(IF(ISNUMBER(INDEX(SPPR!$E:$Z,MATCH($A169,SPPR!$A:$A,0),19)),$C169*INDEX(SPPR!$E:$Z,MATCH($A169,SPPR!$A:$A,0),19),""),"")</f>
        <v/>
      </c>
      <c r="W169">
        <f>IFERROR(IF(ISNUMBER(INDEX(SPPR!$E:$Z,MATCH($A169,SPPR!$A:$A,0),20)),$C169*INDEX(SPPR!$E:$Z,MATCH($A169,SPPR!$A:$A,0),20),""),"")</f>
        <v/>
      </c>
      <c r="X169">
        <f>IFERROR(IF(ISNUMBER(INDEX(SPPR!$E:$Z,MATCH($A169,SPPR!$A:$A,0),21)),$C169*INDEX(SPPR!$E:$Z,MATCH($A169,SPPR!$A:$A,0),21),""),"")</f>
        <v/>
      </c>
      <c r="Y169">
        <f>IFERROR(IF(ISNUMBER(INDEX(SPPR!$E:$Z,MATCH($A169,SPPR!$A:$A,0),22)),$C169*INDEX(SPPR!$E:$Z,MATCH($A169,SPPR!$A:$A,0),22),""),"")</f>
        <v/>
      </c>
    </row>
    <row r="170">
      <c r="A170" t="inlineStr">
        <is>
          <t>Lutjanus johnii</t>
        </is>
      </c>
      <c r="B170">
        <f>IFERROR(INDEX(SPPR!$D:$D,MATCH($A170,SPPR!$A:$A,0)),"")</f>
        <v/>
      </c>
      <c r="C170">
        <f>IFERROR(INDEX(Catch!$E:$BV,MATCH($A170,Catch!$A:$A,0),MATCH($B$4,Catch!$E$1:$BV$1,0)),0)</f>
        <v/>
      </c>
      <c r="D170">
        <f>IFERROR(IF(ISNUMBER(INDEX(SPPR!$E:$Z,MATCH($A170,SPPR!$A:$A,0),1)),$C170*INDEX(SPPR!$E:$Z,MATCH($A170,SPPR!$A:$A,0),1),""),"")</f>
        <v/>
      </c>
      <c r="E170">
        <f>IFERROR(IF(ISNUMBER(INDEX(SPPR!$E:$Z,MATCH($A170,SPPR!$A:$A,0),2)),$C170*INDEX(SPPR!$E:$Z,MATCH($A170,SPPR!$A:$A,0),2),""),"")</f>
        <v/>
      </c>
      <c r="F170">
        <f>IFERROR(IF(ISNUMBER(INDEX(SPPR!$E:$Z,MATCH($A170,SPPR!$A:$A,0),3)),$C170*INDEX(SPPR!$E:$Z,MATCH($A170,SPPR!$A:$A,0),3),""),"")</f>
        <v/>
      </c>
      <c r="G170">
        <f>IFERROR(IF(ISNUMBER(INDEX(SPPR!$E:$Z,MATCH($A170,SPPR!$A:$A,0),4)),$C170*INDEX(SPPR!$E:$Z,MATCH($A170,SPPR!$A:$A,0),4),""),"")</f>
        <v/>
      </c>
      <c r="H170">
        <f>IFERROR(IF(ISNUMBER(INDEX(SPPR!$E:$Z,MATCH($A170,SPPR!$A:$A,0),5)),$C170*INDEX(SPPR!$E:$Z,MATCH($A170,SPPR!$A:$A,0),5),""),"")</f>
        <v/>
      </c>
      <c r="I170">
        <f>IFERROR(IF(ISNUMBER(INDEX(SPPR!$E:$Z,MATCH($A170,SPPR!$A:$A,0),6)),$C170*INDEX(SPPR!$E:$Z,MATCH($A170,SPPR!$A:$A,0),6),""),"")</f>
        <v/>
      </c>
      <c r="J170">
        <f>IFERROR(IF(ISNUMBER(INDEX(SPPR!$E:$Z,MATCH($A170,SPPR!$A:$A,0),7)),$C170*INDEX(SPPR!$E:$Z,MATCH($A170,SPPR!$A:$A,0),7),""),"")</f>
        <v/>
      </c>
      <c r="K170">
        <f>IFERROR(IF(ISNUMBER(INDEX(SPPR!$E:$Z,MATCH($A170,SPPR!$A:$A,0),8)),$C170*INDEX(SPPR!$E:$Z,MATCH($A170,SPPR!$A:$A,0),8),""),"")</f>
        <v/>
      </c>
      <c r="L170">
        <f>IFERROR(IF(ISNUMBER(INDEX(SPPR!$E:$Z,MATCH($A170,SPPR!$A:$A,0),9)),$C170*INDEX(SPPR!$E:$Z,MATCH($A170,SPPR!$A:$A,0),9),""),"")</f>
        <v/>
      </c>
      <c r="M170">
        <f>IFERROR(IF(ISNUMBER(INDEX(SPPR!$E:$Z,MATCH($A170,SPPR!$A:$A,0),10)),$C170*INDEX(SPPR!$E:$Z,MATCH($A170,SPPR!$A:$A,0),10),""),"")</f>
        <v/>
      </c>
      <c r="N170">
        <f>IFERROR(IF(ISNUMBER(INDEX(SPPR!$E:$Z,MATCH($A170,SPPR!$A:$A,0),11)),$C170*INDEX(SPPR!$E:$Z,MATCH($A170,SPPR!$A:$A,0),11),""),"")</f>
        <v/>
      </c>
      <c r="O170">
        <f>IFERROR(IF(ISNUMBER(INDEX(SPPR!$E:$Z,MATCH($A170,SPPR!$A:$A,0),12)),$C170*INDEX(SPPR!$E:$Z,MATCH($A170,SPPR!$A:$A,0),12),""),"")</f>
        <v/>
      </c>
      <c r="P170">
        <f>IFERROR(IF(ISNUMBER(INDEX(SPPR!$E:$Z,MATCH($A170,SPPR!$A:$A,0),13)),$C170*INDEX(SPPR!$E:$Z,MATCH($A170,SPPR!$A:$A,0),13),""),"")</f>
        <v/>
      </c>
      <c r="Q170">
        <f>IFERROR(IF(ISNUMBER(INDEX(SPPR!$E:$Z,MATCH($A170,SPPR!$A:$A,0),14)),$C170*INDEX(SPPR!$E:$Z,MATCH($A170,SPPR!$A:$A,0),14),""),"")</f>
        <v/>
      </c>
      <c r="R170">
        <f>IFERROR(IF(ISNUMBER(INDEX(SPPR!$E:$Z,MATCH($A170,SPPR!$A:$A,0),15)),$C170*INDEX(SPPR!$E:$Z,MATCH($A170,SPPR!$A:$A,0),15),""),"")</f>
        <v/>
      </c>
      <c r="S170">
        <f>IFERROR(IF(ISNUMBER(INDEX(SPPR!$E:$Z,MATCH($A170,SPPR!$A:$A,0),16)),$C170*INDEX(SPPR!$E:$Z,MATCH($A170,SPPR!$A:$A,0),16),""),"")</f>
        <v/>
      </c>
      <c r="T170">
        <f>IFERROR(IF(ISNUMBER(INDEX(SPPR!$E:$Z,MATCH($A170,SPPR!$A:$A,0),17)),$C170*INDEX(SPPR!$E:$Z,MATCH($A170,SPPR!$A:$A,0),17),""),"")</f>
        <v/>
      </c>
      <c r="U170">
        <f>IFERROR(IF(ISNUMBER(INDEX(SPPR!$E:$Z,MATCH($A170,SPPR!$A:$A,0),18)),$C170*INDEX(SPPR!$E:$Z,MATCH($A170,SPPR!$A:$A,0),18),""),"")</f>
        <v/>
      </c>
      <c r="V170">
        <f>IFERROR(IF(ISNUMBER(INDEX(SPPR!$E:$Z,MATCH($A170,SPPR!$A:$A,0),19)),$C170*INDEX(SPPR!$E:$Z,MATCH($A170,SPPR!$A:$A,0),19),""),"")</f>
        <v/>
      </c>
      <c r="W170">
        <f>IFERROR(IF(ISNUMBER(INDEX(SPPR!$E:$Z,MATCH($A170,SPPR!$A:$A,0),20)),$C170*INDEX(SPPR!$E:$Z,MATCH($A170,SPPR!$A:$A,0),20),""),"")</f>
        <v/>
      </c>
      <c r="X170">
        <f>IFERROR(IF(ISNUMBER(INDEX(SPPR!$E:$Z,MATCH($A170,SPPR!$A:$A,0),21)),$C170*INDEX(SPPR!$E:$Z,MATCH($A170,SPPR!$A:$A,0),21),""),"")</f>
        <v/>
      </c>
      <c r="Y170">
        <f>IFERROR(IF(ISNUMBER(INDEX(SPPR!$E:$Z,MATCH($A170,SPPR!$A:$A,0),22)),$C170*INDEX(SPPR!$E:$Z,MATCH($A170,SPPR!$A:$A,0),22),""),"")</f>
        <v/>
      </c>
    </row>
    <row r="171">
      <c r="A171" t="inlineStr">
        <is>
          <t>Istiophoridae</t>
        </is>
      </c>
      <c r="B171">
        <f>IFERROR(INDEX(SPPR!$D:$D,MATCH($A171,SPPR!$A:$A,0)),"")</f>
        <v/>
      </c>
      <c r="C171">
        <f>IFERROR(INDEX(Catch!$E:$BV,MATCH($A171,Catch!$A:$A,0),MATCH($B$4,Catch!$E$1:$BV$1,0)),0)</f>
        <v/>
      </c>
      <c r="D171">
        <f>IFERROR(IF(ISNUMBER(INDEX(SPPR!$E:$Z,MATCH($A171,SPPR!$A:$A,0),1)),$C171*INDEX(SPPR!$E:$Z,MATCH($A171,SPPR!$A:$A,0),1),""),"")</f>
        <v/>
      </c>
      <c r="E171">
        <f>IFERROR(IF(ISNUMBER(INDEX(SPPR!$E:$Z,MATCH($A171,SPPR!$A:$A,0),2)),$C171*INDEX(SPPR!$E:$Z,MATCH($A171,SPPR!$A:$A,0),2),""),"")</f>
        <v/>
      </c>
      <c r="F171">
        <f>IFERROR(IF(ISNUMBER(INDEX(SPPR!$E:$Z,MATCH($A171,SPPR!$A:$A,0),3)),$C171*INDEX(SPPR!$E:$Z,MATCH($A171,SPPR!$A:$A,0),3),""),"")</f>
        <v/>
      </c>
      <c r="G171">
        <f>IFERROR(IF(ISNUMBER(INDEX(SPPR!$E:$Z,MATCH($A171,SPPR!$A:$A,0),4)),$C171*INDEX(SPPR!$E:$Z,MATCH($A171,SPPR!$A:$A,0),4),""),"")</f>
        <v/>
      </c>
      <c r="H171">
        <f>IFERROR(IF(ISNUMBER(INDEX(SPPR!$E:$Z,MATCH($A171,SPPR!$A:$A,0),5)),$C171*INDEX(SPPR!$E:$Z,MATCH($A171,SPPR!$A:$A,0),5),""),"")</f>
        <v/>
      </c>
      <c r="I171">
        <f>IFERROR(IF(ISNUMBER(INDEX(SPPR!$E:$Z,MATCH($A171,SPPR!$A:$A,0),6)),$C171*INDEX(SPPR!$E:$Z,MATCH($A171,SPPR!$A:$A,0),6),""),"")</f>
        <v/>
      </c>
      <c r="J171">
        <f>IFERROR(IF(ISNUMBER(INDEX(SPPR!$E:$Z,MATCH($A171,SPPR!$A:$A,0),7)),$C171*INDEX(SPPR!$E:$Z,MATCH($A171,SPPR!$A:$A,0),7),""),"")</f>
        <v/>
      </c>
      <c r="K171">
        <f>IFERROR(IF(ISNUMBER(INDEX(SPPR!$E:$Z,MATCH($A171,SPPR!$A:$A,0),8)),$C171*INDEX(SPPR!$E:$Z,MATCH($A171,SPPR!$A:$A,0),8),""),"")</f>
        <v/>
      </c>
      <c r="L171">
        <f>IFERROR(IF(ISNUMBER(INDEX(SPPR!$E:$Z,MATCH($A171,SPPR!$A:$A,0),9)),$C171*INDEX(SPPR!$E:$Z,MATCH($A171,SPPR!$A:$A,0),9),""),"")</f>
        <v/>
      </c>
      <c r="M171">
        <f>IFERROR(IF(ISNUMBER(INDEX(SPPR!$E:$Z,MATCH($A171,SPPR!$A:$A,0),10)),$C171*INDEX(SPPR!$E:$Z,MATCH($A171,SPPR!$A:$A,0),10),""),"")</f>
        <v/>
      </c>
      <c r="N171">
        <f>IFERROR(IF(ISNUMBER(INDEX(SPPR!$E:$Z,MATCH($A171,SPPR!$A:$A,0),11)),$C171*INDEX(SPPR!$E:$Z,MATCH($A171,SPPR!$A:$A,0),11),""),"")</f>
        <v/>
      </c>
      <c r="O171">
        <f>IFERROR(IF(ISNUMBER(INDEX(SPPR!$E:$Z,MATCH($A171,SPPR!$A:$A,0),12)),$C171*INDEX(SPPR!$E:$Z,MATCH($A171,SPPR!$A:$A,0),12),""),"")</f>
        <v/>
      </c>
      <c r="P171">
        <f>IFERROR(IF(ISNUMBER(INDEX(SPPR!$E:$Z,MATCH($A171,SPPR!$A:$A,0),13)),$C171*INDEX(SPPR!$E:$Z,MATCH($A171,SPPR!$A:$A,0),13),""),"")</f>
        <v/>
      </c>
      <c r="Q171">
        <f>IFERROR(IF(ISNUMBER(INDEX(SPPR!$E:$Z,MATCH($A171,SPPR!$A:$A,0),14)),$C171*INDEX(SPPR!$E:$Z,MATCH($A171,SPPR!$A:$A,0),14),""),"")</f>
        <v/>
      </c>
      <c r="R171">
        <f>IFERROR(IF(ISNUMBER(INDEX(SPPR!$E:$Z,MATCH($A171,SPPR!$A:$A,0),15)),$C171*INDEX(SPPR!$E:$Z,MATCH($A171,SPPR!$A:$A,0),15),""),"")</f>
        <v/>
      </c>
      <c r="S171">
        <f>IFERROR(IF(ISNUMBER(INDEX(SPPR!$E:$Z,MATCH($A171,SPPR!$A:$A,0),16)),$C171*INDEX(SPPR!$E:$Z,MATCH($A171,SPPR!$A:$A,0),16),""),"")</f>
        <v/>
      </c>
      <c r="T171">
        <f>IFERROR(IF(ISNUMBER(INDEX(SPPR!$E:$Z,MATCH($A171,SPPR!$A:$A,0),17)),$C171*INDEX(SPPR!$E:$Z,MATCH($A171,SPPR!$A:$A,0),17),""),"")</f>
        <v/>
      </c>
      <c r="U171">
        <f>IFERROR(IF(ISNUMBER(INDEX(SPPR!$E:$Z,MATCH($A171,SPPR!$A:$A,0),18)),$C171*INDEX(SPPR!$E:$Z,MATCH($A171,SPPR!$A:$A,0),18),""),"")</f>
        <v/>
      </c>
      <c r="V171">
        <f>IFERROR(IF(ISNUMBER(INDEX(SPPR!$E:$Z,MATCH($A171,SPPR!$A:$A,0),19)),$C171*INDEX(SPPR!$E:$Z,MATCH($A171,SPPR!$A:$A,0),19),""),"")</f>
        <v/>
      </c>
      <c r="W171">
        <f>IFERROR(IF(ISNUMBER(INDEX(SPPR!$E:$Z,MATCH($A171,SPPR!$A:$A,0),20)),$C171*INDEX(SPPR!$E:$Z,MATCH($A171,SPPR!$A:$A,0),20),""),"")</f>
        <v/>
      </c>
      <c r="X171">
        <f>IFERROR(IF(ISNUMBER(INDEX(SPPR!$E:$Z,MATCH($A171,SPPR!$A:$A,0),21)),$C171*INDEX(SPPR!$E:$Z,MATCH($A171,SPPR!$A:$A,0),21),""),"")</f>
        <v/>
      </c>
      <c r="Y171">
        <f>IFERROR(IF(ISNUMBER(INDEX(SPPR!$E:$Z,MATCH($A171,SPPR!$A:$A,0),22)),$C171*INDEX(SPPR!$E:$Z,MATCH($A171,SPPR!$A:$A,0),22),""),"")</f>
        <v/>
      </c>
    </row>
    <row r="172">
      <c r="A172" t="inlineStr">
        <is>
          <t>Thunnus</t>
        </is>
      </c>
      <c r="B172">
        <f>IFERROR(INDEX(SPPR!$D:$D,MATCH($A172,SPPR!$A:$A,0)),"")</f>
        <v/>
      </c>
      <c r="C172">
        <f>IFERROR(INDEX(Catch!$E:$BV,MATCH($A172,Catch!$A:$A,0),MATCH($B$4,Catch!$E$1:$BV$1,0)),0)</f>
        <v/>
      </c>
      <c r="D172">
        <f>IFERROR(IF(ISNUMBER(INDEX(SPPR!$E:$Z,MATCH($A172,SPPR!$A:$A,0),1)),$C172*INDEX(SPPR!$E:$Z,MATCH($A172,SPPR!$A:$A,0),1),""),"")</f>
        <v/>
      </c>
      <c r="E172">
        <f>IFERROR(IF(ISNUMBER(INDEX(SPPR!$E:$Z,MATCH($A172,SPPR!$A:$A,0),2)),$C172*INDEX(SPPR!$E:$Z,MATCH($A172,SPPR!$A:$A,0),2),""),"")</f>
        <v/>
      </c>
      <c r="F172">
        <f>IFERROR(IF(ISNUMBER(INDEX(SPPR!$E:$Z,MATCH($A172,SPPR!$A:$A,0),3)),$C172*INDEX(SPPR!$E:$Z,MATCH($A172,SPPR!$A:$A,0),3),""),"")</f>
        <v/>
      </c>
      <c r="G172">
        <f>IFERROR(IF(ISNUMBER(INDEX(SPPR!$E:$Z,MATCH($A172,SPPR!$A:$A,0),4)),$C172*INDEX(SPPR!$E:$Z,MATCH($A172,SPPR!$A:$A,0),4),""),"")</f>
        <v/>
      </c>
      <c r="H172">
        <f>IFERROR(IF(ISNUMBER(INDEX(SPPR!$E:$Z,MATCH($A172,SPPR!$A:$A,0),5)),$C172*INDEX(SPPR!$E:$Z,MATCH($A172,SPPR!$A:$A,0),5),""),"")</f>
        <v/>
      </c>
      <c r="I172">
        <f>IFERROR(IF(ISNUMBER(INDEX(SPPR!$E:$Z,MATCH($A172,SPPR!$A:$A,0),6)),$C172*INDEX(SPPR!$E:$Z,MATCH($A172,SPPR!$A:$A,0),6),""),"")</f>
        <v/>
      </c>
      <c r="J172">
        <f>IFERROR(IF(ISNUMBER(INDEX(SPPR!$E:$Z,MATCH($A172,SPPR!$A:$A,0),7)),$C172*INDEX(SPPR!$E:$Z,MATCH($A172,SPPR!$A:$A,0),7),""),"")</f>
        <v/>
      </c>
      <c r="K172">
        <f>IFERROR(IF(ISNUMBER(INDEX(SPPR!$E:$Z,MATCH($A172,SPPR!$A:$A,0),8)),$C172*INDEX(SPPR!$E:$Z,MATCH($A172,SPPR!$A:$A,0),8),""),"")</f>
        <v/>
      </c>
      <c r="L172">
        <f>IFERROR(IF(ISNUMBER(INDEX(SPPR!$E:$Z,MATCH($A172,SPPR!$A:$A,0),9)),$C172*INDEX(SPPR!$E:$Z,MATCH($A172,SPPR!$A:$A,0),9),""),"")</f>
        <v/>
      </c>
      <c r="M172">
        <f>IFERROR(IF(ISNUMBER(INDEX(SPPR!$E:$Z,MATCH($A172,SPPR!$A:$A,0),10)),$C172*INDEX(SPPR!$E:$Z,MATCH($A172,SPPR!$A:$A,0),10),""),"")</f>
        <v/>
      </c>
      <c r="N172">
        <f>IFERROR(IF(ISNUMBER(INDEX(SPPR!$E:$Z,MATCH($A172,SPPR!$A:$A,0),11)),$C172*INDEX(SPPR!$E:$Z,MATCH($A172,SPPR!$A:$A,0),11),""),"")</f>
        <v/>
      </c>
      <c r="O172">
        <f>IFERROR(IF(ISNUMBER(INDEX(SPPR!$E:$Z,MATCH($A172,SPPR!$A:$A,0),12)),$C172*INDEX(SPPR!$E:$Z,MATCH($A172,SPPR!$A:$A,0),12),""),"")</f>
        <v/>
      </c>
      <c r="P172">
        <f>IFERROR(IF(ISNUMBER(INDEX(SPPR!$E:$Z,MATCH($A172,SPPR!$A:$A,0),13)),$C172*INDEX(SPPR!$E:$Z,MATCH($A172,SPPR!$A:$A,0),13),""),"")</f>
        <v/>
      </c>
      <c r="Q172">
        <f>IFERROR(IF(ISNUMBER(INDEX(SPPR!$E:$Z,MATCH($A172,SPPR!$A:$A,0),14)),$C172*INDEX(SPPR!$E:$Z,MATCH($A172,SPPR!$A:$A,0),14),""),"")</f>
        <v/>
      </c>
      <c r="R172">
        <f>IFERROR(IF(ISNUMBER(INDEX(SPPR!$E:$Z,MATCH($A172,SPPR!$A:$A,0),15)),$C172*INDEX(SPPR!$E:$Z,MATCH($A172,SPPR!$A:$A,0),15),""),"")</f>
        <v/>
      </c>
      <c r="S172">
        <f>IFERROR(IF(ISNUMBER(INDEX(SPPR!$E:$Z,MATCH($A172,SPPR!$A:$A,0),16)),$C172*INDEX(SPPR!$E:$Z,MATCH($A172,SPPR!$A:$A,0),16),""),"")</f>
        <v/>
      </c>
      <c r="T172">
        <f>IFERROR(IF(ISNUMBER(INDEX(SPPR!$E:$Z,MATCH($A172,SPPR!$A:$A,0),17)),$C172*INDEX(SPPR!$E:$Z,MATCH($A172,SPPR!$A:$A,0),17),""),"")</f>
        <v/>
      </c>
      <c r="U172">
        <f>IFERROR(IF(ISNUMBER(INDEX(SPPR!$E:$Z,MATCH($A172,SPPR!$A:$A,0),18)),$C172*INDEX(SPPR!$E:$Z,MATCH($A172,SPPR!$A:$A,0),18),""),"")</f>
        <v/>
      </c>
      <c r="V172">
        <f>IFERROR(IF(ISNUMBER(INDEX(SPPR!$E:$Z,MATCH($A172,SPPR!$A:$A,0),19)),$C172*INDEX(SPPR!$E:$Z,MATCH($A172,SPPR!$A:$A,0),19),""),"")</f>
        <v/>
      </c>
      <c r="W172">
        <f>IFERROR(IF(ISNUMBER(INDEX(SPPR!$E:$Z,MATCH($A172,SPPR!$A:$A,0),20)),$C172*INDEX(SPPR!$E:$Z,MATCH($A172,SPPR!$A:$A,0),20),""),"")</f>
        <v/>
      </c>
      <c r="X172">
        <f>IFERROR(IF(ISNUMBER(INDEX(SPPR!$E:$Z,MATCH($A172,SPPR!$A:$A,0),21)),$C172*INDEX(SPPR!$E:$Z,MATCH($A172,SPPR!$A:$A,0),21),""),"")</f>
        <v/>
      </c>
      <c r="Y172">
        <f>IFERROR(IF(ISNUMBER(INDEX(SPPR!$E:$Z,MATCH($A172,SPPR!$A:$A,0),22)),$C172*INDEX(SPPR!$E:$Z,MATCH($A172,SPPR!$A:$A,0),22),""),"")</f>
        <v/>
      </c>
    </row>
    <row r="173">
      <c r="A173" t="inlineStr">
        <is>
          <t>Sergestidae</t>
        </is>
      </c>
      <c r="B173">
        <f>IFERROR(INDEX(SPPR!$D:$D,MATCH($A173,SPPR!$A:$A,0)),"")</f>
        <v/>
      </c>
      <c r="C173">
        <f>IFERROR(INDEX(Catch!$E:$BV,MATCH($A173,Catch!$A:$A,0),MATCH($B$4,Catch!$E$1:$BV$1,0)),0)</f>
        <v/>
      </c>
      <c r="D173">
        <f>IFERROR(IF(ISNUMBER(INDEX(SPPR!$E:$Z,MATCH($A173,SPPR!$A:$A,0),1)),$C173*INDEX(SPPR!$E:$Z,MATCH($A173,SPPR!$A:$A,0),1),""),"")</f>
        <v/>
      </c>
      <c r="E173">
        <f>IFERROR(IF(ISNUMBER(INDEX(SPPR!$E:$Z,MATCH($A173,SPPR!$A:$A,0),2)),$C173*INDEX(SPPR!$E:$Z,MATCH($A173,SPPR!$A:$A,0),2),""),"")</f>
        <v/>
      </c>
      <c r="F173">
        <f>IFERROR(IF(ISNUMBER(INDEX(SPPR!$E:$Z,MATCH($A173,SPPR!$A:$A,0),3)),$C173*INDEX(SPPR!$E:$Z,MATCH($A173,SPPR!$A:$A,0),3),""),"")</f>
        <v/>
      </c>
      <c r="G173">
        <f>IFERROR(IF(ISNUMBER(INDEX(SPPR!$E:$Z,MATCH($A173,SPPR!$A:$A,0),4)),$C173*INDEX(SPPR!$E:$Z,MATCH($A173,SPPR!$A:$A,0),4),""),"")</f>
        <v/>
      </c>
      <c r="H173">
        <f>IFERROR(IF(ISNUMBER(INDEX(SPPR!$E:$Z,MATCH($A173,SPPR!$A:$A,0),5)),$C173*INDEX(SPPR!$E:$Z,MATCH($A173,SPPR!$A:$A,0),5),""),"")</f>
        <v/>
      </c>
      <c r="I173">
        <f>IFERROR(IF(ISNUMBER(INDEX(SPPR!$E:$Z,MATCH($A173,SPPR!$A:$A,0),6)),$C173*INDEX(SPPR!$E:$Z,MATCH($A173,SPPR!$A:$A,0),6),""),"")</f>
        <v/>
      </c>
      <c r="J173">
        <f>IFERROR(IF(ISNUMBER(INDEX(SPPR!$E:$Z,MATCH($A173,SPPR!$A:$A,0),7)),$C173*INDEX(SPPR!$E:$Z,MATCH($A173,SPPR!$A:$A,0),7),""),"")</f>
        <v/>
      </c>
      <c r="K173">
        <f>IFERROR(IF(ISNUMBER(INDEX(SPPR!$E:$Z,MATCH($A173,SPPR!$A:$A,0),8)),$C173*INDEX(SPPR!$E:$Z,MATCH($A173,SPPR!$A:$A,0),8),""),"")</f>
        <v/>
      </c>
      <c r="L173">
        <f>IFERROR(IF(ISNUMBER(INDEX(SPPR!$E:$Z,MATCH($A173,SPPR!$A:$A,0),9)),$C173*INDEX(SPPR!$E:$Z,MATCH($A173,SPPR!$A:$A,0),9),""),"")</f>
        <v/>
      </c>
      <c r="M173">
        <f>IFERROR(IF(ISNUMBER(INDEX(SPPR!$E:$Z,MATCH($A173,SPPR!$A:$A,0),10)),$C173*INDEX(SPPR!$E:$Z,MATCH($A173,SPPR!$A:$A,0),10),""),"")</f>
        <v/>
      </c>
      <c r="N173">
        <f>IFERROR(IF(ISNUMBER(INDEX(SPPR!$E:$Z,MATCH($A173,SPPR!$A:$A,0),11)),$C173*INDEX(SPPR!$E:$Z,MATCH($A173,SPPR!$A:$A,0),11),""),"")</f>
        <v/>
      </c>
      <c r="O173">
        <f>IFERROR(IF(ISNUMBER(INDEX(SPPR!$E:$Z,MATCH($A173,SPPR!$A:$A,0),12)),$C173*INDEX(SPPR!$E:$Z,MATCH($A173,SPPR!$A:$A,0),12),""),"")</f>
        <v/>
      </c>
      <c r="P173">
        <f>IFERROR(IF(ISNUMBER(INDEX(SPPR!$E:$Z,MATCH($A173,SPPR!$A:$A,0),13)),$C173*INDEX(SPPR!$E:$Z,MATCH($A173,SPPR!$A:$A,0),13),""),"")</f>
        <v/>
      </c>
      <c r="Q173">
        <f>IFERROR(IF(ISNUMBER(INDEX(SPPR!$E:$Z,MATCH($A173,SPPR!$A:$A,0),14)),$C173*INDEX(SPPR!$E:$Z,MATCH($A173,SPPR!$A:$A,0),14),""),"")</f>
        <v/>
      </c>
      <c r="R173">
        <f>IFERROR(IF(ISNUMBER(INDEX(SPPR!$E:$Z,MATCH($A173,SPPR!$A:$A,0),15)),$C173*INDEX(SPPR!$E:$Z,MATCH($A173,SPPR!$A:$A,0),15),""),"")</f>
        <v/>
      </c>
      <c r="S173">
        <f>IFERROR(IF(ISNUMBER(INDEX(SPPR!$E:$Z,MATCH($A173,SPPR!$A:$A,0),16)),$C173*INDEX(SPPR!$E:$Z,MATCH($A173,SPPR!$A:$A,0),16),""),"")</f>
        <v/>
      </c>
      <c r="T173">
        <f>IFERROR(IF(ISNUMBER(INDEX(SPPR!$E:$Z,MATCH($A173,SPPR!$A:$A,0),17)),$C173*INDEX(SPPR!$E:$Z,MATCH($A173,SPPR!$A:$A,0),17),""),"")</f>
        <v/>
      </c>
      <c r="U173">
        <f>IFERROR(IF(ISNUMBER(INDEX(SPPR!$E:$Z,MATCH($A173,SPPR!$A:$A,0),18)),$C173*INDEX(SPPR!$E:$Z,MATCH($A173,SPPR!$A:$A,0),18),""),"")</f>
        <v/>
      </c>
      <c r="V173">
        <f>IFERROR(IF(ISNUMBER(INDEX(SPPR!$E:$Z,MATCH($A173,SPPR!$A:$A,0),19)),$C173*INDEX(SPPR!$E:$Z,MATCH($A173,SPPR!$A:$A,0),19),""),"")</f>
        <v/>
      </c>
      <c r="W173">
        <f>IFERROR(IF(ISNUMBER(INDEX(SPPR!$E:$Z,MATCH($A173,SPPR!$A:$A,0),20)),$C173*INDEX(SPPR!$E:$Z,MATCH($A173,SPPR!$A:$A,0),20),""),"")</f>
        <v/>
      </c>
      <c r="X173">
        <f>IFERROR(IF(ISNUMBER(INDEX(SPPR!$E:$Z,MATCH($A173,SPPR!$A:$A,0),21)),$C173*INDEX(SPPR!$E:$Z,MATCH($A173,SPPR!$A:$A,0),21),""),"")</f>
        <v/>
      </c>
      <c r="Y173">
        <f>IFERROR(IF(ISNUMBER(INDEX(SPPR!$E:$Z,MATCH($A173,SPPR!$A:$A,0),22)),$C173*INDEX(SPPR!$E:$Z,MATCH($A173,SPPR!$A:$A,0),22),""),"")</f>
        <v/>
      </c>
    </row>
    <row r="174">
      <c r="A174" t="inlineStr">
        <is>
          <t>Siganus</t>
        </is>
      </c>
      <c r="B174">
        <f>IFERROR(INDEX(SPPR!$D:$D,MATCH($A174,SPPR!$A:$A,0)),"")</f>
        <v/>
      </c>
      <c r="C174">
        <f>IFERROR(INDEX(Catch!$E:$BV,MATCH($A174,Catch!$A:$A,0),MATCH($B$4,Catch!$E$1:$BV$1,0)),0)</f>
        <v/>
      </c>
      <c r="D174">
        <f>IFERROR(IF(ISNUMBER(INDEX(SPPR!$E:$Z,MATCH($A174,SPPR!$A:$A,0),1)),$C174*INDEX(SPPR!$E:$Z,MATCH($A174,SPPR!$A:$A,0),1),""),"")</f>
        <v/>
      </c>
      <c r="E174">
        <f>IFERROR(IF(ISNUMBER(INDEX(SPPR!$E:$Z,MATCH($A174,SPPR!$A:$A,0),2)),$C174*INDEX(SPPR!$E:$Z,MATCH($A174,SPPR!$A:$A,0),2),""),"")</f>
        <v/>
      </c>
      <c r="F174">
        <f>IFERROR(IF(ISNUMBER(INDEX(SPPR!$E:$Z,MATCH($A174,SPPR!$A:$A,0),3)),$C174*INDEX(SPPR!$E:$Z,MATCH($A174,SPPR!$A:$A,0),3),""),"")</f>
        <v/>
      </c>
      <c r="G174">
        <f>IFERROR(IF(ISNUMBER(INDEX(SPPR!$E:$Z,MATCH($A174,SPPR!$A:$A,0),4)),$C174*INDEX(SPPR!$E:$Z,MATCH($A174,SPPR!$A:$A,0),4),""),"")</f>
        <v/>
      </c>
      <c r="H174">
        <f>IFERROR(IF(ISNUMBER(INDEX(SPPR!$E:$Z,MATCH($A174,SPPR!$A:$A,0),5)),$C174*INDEX(SPPR!$E:$Z,MATCH($A174,SPPR!$A:$A,0),5),""),"")</f>
        <v/>
      </c>
      <c r="I174">
        <f>IFERROR(IF(ISNUMBER(INDEX(SPPR!$E:$Z,MATCH($A174,SPPR!$A:$A,0),6)),$C174*INDEX(SPPR!$E:$Z,MATCH($A174,SPPR!$A:$A,0),6),""),"")</f>
        <v/>
      </c>
      <c r="J174">
        <f>IFERROR(IF(ISNUMBER(INDEX(SPPR!$E:$Z,MATCH($A174,SPPR!$A:$A,0),7)),$C174*INDEX(SPPR!$E:$Z,MATCH($A174,SPPR!$A:$A,0),7),""),"")</f>
        <v/>
      </c>
      <c r="K174">
        <f>IFERROR(IF(ISNUMBER(INDEX(SPPR!$E:$Z,MATCH($A174,SPPR!$A:$A,0),8)),$C174*INDEX(SPPR!$E:$Z,MATCH($A174,SPPR!$A:$A,0),8),""),"")</f>
        <v/>
      </c>
      <c r="L174">
        <f>IFERROR(IF(ISNUMBER(INDEX(SPPR!$E:$Z,MATCH($A174,SPPR!$A:$A,0),9)),$C174*INDEX(SPPR!$E:$Z,MATCH($A174,SPPR!$A:$A,0),9),""),"")</f>
        <v/>
      </c>
      <c r="M174">
        <f>IFERROR(IF(ISNUMBER(INDEX(SPPR!$E:$Z,MATCH($A174,SPPR!$A:$A,0),10)),$C174*INDEX(SPPR!$E:$Z,MATCH($A174,SPPR!$A:$A,0),10),""),"")</f>
        <v/>
      </c>
      <c r="N174">
        <f>IFERROR(IF(ISNUMBER(INDEX(SPPR!$E:$Z,MATCH($A174,SPPR!$A:$A,0),11)),$C174*INDEX(SPPR!$E:$Z,MATCH($A174,SPPR!$A:$A,0),11),""),"")</f>
        <v/>
      </c>
      <c r="O174">
        <f>IFERROR(IF(ISNUMBER(INDEX(SPPR!$E:$Z,MATCH($A174,SPPR!$A:$A,0),12)),$C174*INDEX(SPPR!$E:$Z,MATCH($A174,SPPR!$A:$A,0),12),""),"")</f>
        <v/>
      </c>
      <c r="P174">
        <f>IFERROR(IF(ISNUMBER(INDEX(SPPR!$E:$Z,MATCH($A174,SPPR!$A:$A,0),13)),$C174*INDEX(SPPR!$E:$Z,MATCH($A174,SPPR!$A:$A,0),13),""),"")</f>
        <v/>
      </c>
      <c r="Q174">
        <f>IFERROR(IF(ISNUMBER(INDEX(SPPR!$E:$Z,MATCH($A174,SPPR!$A:$A,0),14)),$C174*INDEX(SPPR!$E:$Z,MATCH($A174,SPPR!$A:$A,0),14),""),"")</f>
        <v/>
      </c>
      <c r="R174">
        <f>IFERROR(IF(ISNUMBER(INDEX(SPPR!$E:$Z,MATCH($A174,SPPR!$A:$A,0),15)),$C174*INDEX(SPPR!$E:$Z,MATCH($A174,SPPR!$A:$A,0),15),""),"")</f>
        <v/>
      </c>
      <c r="S174">
        <f>IFERROR(IF(ISNUMBER(INDEX(SPPR!$E:$Z,MATCH($A174,SPPR!$A:$A,0),16)),$C174*INDEX(SPPR!$E:$Z,MATCH($A174,SPPR!$A:$A,0),16),""),"")</f>
        <v/>
      </c>
      <c r="T174">
        <f>IFERROR(IF(ISNUMBER(INDEX(SPPR!$E:$Z,MATCH($A174,SPPR!$A:$A,0),17)),$C174*INDEX(SPPR!$E:$Z,MATCH($A174,SPPR!$A:$A,0),17),""),"")</f>
        <v/>
      </c>
      <c r="U174">
        <f>IFERROR(IF(ISNUMBER(INDEX(SPPR!$E:$Z,MATCH($A174,SPPR!$A:$A,0),18)),$C174*INDEX(SPPR!$E:$Z,MATCH($A174,SPPR!$A:$A,0),18),""),"")</f>
        <v/>
      </c>
      <c r="V174">
        <f>IFERROR(IF(ISNUMBER(INDEX(SPPR!$E:$Z,MATCH($A174,SPPR!$A:$A,0),19)),$C174*INDEX(SPPR!$E:$Z,MATCH($A174,SPPR!$A:$A,0),19),""),"")</f>
        <v/>
      </c>
      <c r="W174">
        <f>IFERROR(IF(ISNUMBER(INDEX(SPPR!$E:$Z,MATCH($A174,SPPR!$A:$A,0),20)),$C174*INDEX(SPPR!$E:$Z,MATCH($A174,SPPR!$A:$A,0),20),""),"")</f>
        <v/>
      </c>
      <c r="X174">
        <f>IFERROR(IF(ISNUMBER(INDEX(SPPR!$E:$Z,MATCH($A174,SPPR!$A:$A,0),21)),$C174*INDEX(SPPR!$E:$Z,MATCH($A174,SPPR!$A:$A,0),21),""),"")</f>
        <v/>
      </c>
      <c r="Y174">
        <f>IFERROR(IF(ISNUMBER(INDEX(SPPR!$E:$Z,MATCH($A174,SPPR!$A:$A,0),22)),$C174*INDEX(SPPR!$E:$Z,MATCH($A174,SPPR!$A:$A,0),22),""),"")</f>
        <v/>
      </c>
    </row>
    <row r="175">
      <c r="A175" t="inlineStr">
        <is>
          <t>Ilisha elongata</t>
        </is>
      </c>
      <c r="B175">
        <f>IFERROR(INDEX(SPPR!$D:$D,MATCH($A175,SPPR!$A:$A,0)),"")</f>
        <v/>
      </c>
      <c r="C175">
        <f>IFERROR(INDEX(Catch!$E:$BV,MATCH($A175,Catch!$A:$A,0),MATCH($B$4,Catch!$E$1:$BV$1,0)),0)</f>
        <v/>
      </c>
      <c r="D175">
        <f>IFERROR(IF(ISNUMBER(INDEX(SPPR!$E:$Z,MATCH($A175,SPPR!$A:$A,0),1)),$C175*INDEX(SPPR!$E:$Z,MATCH($A175,SPPR!$A:$A,0),1),""),"")</f>
        <v/>
      </c>
      <c r="E175">
        <f>IFERROR(IF(ISNUMBER(INDEX(SPPR!$E:$Z,MATCH($A175,SPPR!$A:$A,0),2)),$C175*INDEX(SPPR!$E:$Z,MATCH($A175,SPPR!$A:$A,0),2),""),"")</f>
        <v/>
      </c>
      <c r="F175">
        <f>IFERROR(IF(ISNUMBER(INDEX(SPPR!$E:$Z,MATCH($A175,SPPR!$A:$A,0),3)),$C175*INDEX(SPPR!$E:$Z,MATCH($A175,SPPR!$A:$A,0),3),""),"")</f>
        <v/>
      </c>
      <c r="G175">
        <f>IFERROR(IF(ISNUMBER(INDEX(SPPR!$E:$Z,MATCH($A175,SPPR!$A:$A,0),4)),$C175*INDEX(SPPR!$E:$Z,MATCH($A175,SPPR!$A:$A,0),4),""),"")</f>
        <v/>
      </c>
      <c r="H175">
        <f>IFERROR(IF(ISNUMBER(INDEX(SPPR!$E:$Z,MATCH($A175,SPPR!$A:$A,0),5)),$C175*INDEX(SPPR!$E:$Z,MATCH($A175,SPPR!$A:$A,0),5),""),"")</f>
        <v/>
      </c>
      <c r="I175">
        <f>IFERROR(IF(ISNUMBER(INDEX(SPPR!$E:$Z,MATCH($A175,SPPR!$A:$A,0),6)),$C175*INDEX(SPPR!$E:$Z,MATCH($A175,SPPR!$A:$A,0),6),""),"")</f>
        <v/>
      </c>
      <c r="J175">
        <f>IFERROR(IF(ISNUMBER(INDEX(SPPR!$E:$Z,MATCH($A175,SPPR!$A:$A,0),7)),$C175*INDEX(SPPR!$E:$Z,MATCH($A175,SPPR!$A:$A,0),7),""),"")</f>
        <v/>
      </c>
      <c r="K175">
        <f>IFERROR(IF(ISNUMBER(INDEX(SPPR!$E:$Z,MATCH($A175,SPPR!$A:$A,0),8)),$C175*INDEX(SPPR!$E:$Z,MATCH($A175,SPPR!$A:$A,0),8),""),"")</f>
        <v/>
      </c>
      <c r="L175">
        <f>IFERROR(IF(ISNUMBER(INDEX(SPPR!$E:$Z,MATCH($A175,SPPR!$A:$A,0),9)),$C175*INDEX(SPPR!$E:$Z,MATCH($A175,SPPR!$A:$A,0),9),""),"")</f>
        <v/>
      </c>
      <c r="M175">
        <f>IFERROR(IF(ISNUMBER(INDEX(SPPR!$E:$Z,MATCH($A175,SPPR!$A:$A,0),10)),$C175*INDEX(SPPR!$E:$Z,MATCH($A175,SPPR!$A:$A,0),10),""),"")</f>
        <v/>
      </c>
      <c r="N175">
        <f>IFERROR(IF(ISNUMBER(INDEX(SPPR!$E:$Z,MATCH($A175,SPPR!$A:$A,0),11)),$C175*INDEX(SPPR!$E:$Z,MATCH($A175,SPPR!$A:$A,0),11),""),"")</f>
        <v/>
      </c>
      <c r="O175">
        <f>IFERROR(IF(ISNUMBER(INDEX(SPPR!$E:$Z,MATCH($A175,SPPR!$A:$A,0),12)),$C175*INDEX(SPPR!$E:$Z,MATCH($A175,SPPR!$A:$A,0),12),""),"")</f>
        <v/>
      </c>
      <c r="P175">
        <f>IFERROR(IF(ISNUMBER(INDEX(SPPR!$E:$Z,MATCH($A175,SPPR!$A:$A,0),13)),$C175*INDEX(SPPR!$E:$Z,MATCH($A175,SPPR!$A:$A,0),13),""),"")</f>
        <v/>
      </c>
      <c r="Q175">
        <f>IFERROR(IF(ISNUMBER(INDEX(SPPR!$E:$Z,MATCH($A175,SPPR!$A:$A,0),14)),$C175*INDEX(SPPR!$E:$Z,MATCH($A175,SPPR!$A:$A,0),14),""),"")</f>
        <v/>
      </c>
      <c r="R175">
        <f>IFERROR(IF(ISNUMBER(INDEX(SPPR!$E:$Z,MATCH($A175,SPPR!$A:$A,0),15)),$C175*INDEX(SPPR!$E:$Z,MATCH($A175,SPPR!$A:$A,0),15),""),"")</f>
        <v/>
      </c>
      <c r="S175">
        <f>IFERROR(IF(ISNUMBER(INDEX(SPPR!$E:$Z,MATCH($A175,SPPR!$A:$A,0),16)),$C175*INDEX(SPPR!$E:$Z,MATCH($A175,SPPR!$A:$A,0),16),""),"")</f>
        <v/>
      </c>
      <c r="T175">
        <f>IFERROR(IF(ISNUMBER(INDEX(SPPR!$E:$Z,MATCH($A175,SPPR!$A:$A,0),17)),$C175*INDEX(SPPR!$E:$Z,MATCH($A175,SPPR!$A:$A,0),17),""),"")</f>
        <v/>
      </c>
      <c r="U175">
        <f>IFERROR(IF(ISNUMBER(INDEX(SPPR!$E:$Z,MATCH($A175,SPPR!$A:$A,0),18)),$C175*INDEX(SPPR!$E:$Z,MATCH($A175,SPPR!$A:$A,0),18),""),"")</f>
        <v/>
      </c>
      <c r="V175">
        <f>IFERROR(IF(ISNUMBER(INDEX(SPPR!$E:$Z,MATCH($A175,SPPR!$A:$A,0),19)),$C175*INDEX(SPPR!$E:$Z,MATCH($A175,SPPR!$A:$A,0),19),""),"")</f>
        <v/>
      </c>
      <c r="W175">
        <f>IFERROR(IF(ISNUMBER(INDEX(SPPR!$E:$Z,MATCH($A175,SPPR!$A:$A,0),20)),$C175*INDEX(SPPR!$E:$Z,MATCH($A175,SPPR!$A:$A,0),20),""),"")</f>
        <v/>
      </c>
      <c r="X175">
        <f>IFERROR(IF(ISNUMBER(INDEX(SPPR!$E:$Z,MATCH($A175,SPPR!$A:$A,0),21)),$C175*INDEX(SPPR!$E:$Z,MATCH($A175,SPPR!$A:$A,0),21),""),"")</f>
        <v/>
      </c>
      <c r="Y175">
        <f>IFERROR(IF(ISNUMBER(INDEX(SPPR!$E:$Z,MATCH($A175,SPPR!$A:$A,0),22)),$C175*INDEX(SPPR!$E:$Z,MATCH($A175,SPPR!$A:$A,0),22),""),"")</f>
        <v/>
      </c>
    </row>
    <row r="176">
      <c r="A176" t="inlineStr">
        <is>
          <t>Plotosus</t>
        </is>
      </c>
      <c r="B176">
        <f>IFERROR(INDEX(SPPR!$D:$D,MATCH($A176,SPPR!$A:$A,0)),"")</f>
        <v/>
      </c>
      <c r="C176">
        <f>IFERROR(INDEX(Catch!$E:$BV,MATCH($A176,Catch!$A:$A,0),MATCH($B$4,Catch!$E$1:$BV$1,0)),0)</f>
        <v/>
      </c>
      <c r="D176">
        <f>IFERROR(IF(ISNUMBER(INDEX(SPPR!$E:$Z,MATCH($A176,SPPR!$A:$A,0),1)),$C176*INDEX(SPPR!$E:$Z,MATCH($A176,SPPR!$A:$A,0),1),""),"")</f>
        <v/>
      </c>
      <c r="E176">
        <f>IFERROR(IF(ISNUMBER(INDEX(SPPR!$E:$Z,MATCH($A176,SPPR!$A:$A,0),2)),$C176*INDEX(SPPR!$E:$Z,MATCH($A176,SPPR!$A:$A,0),2),""),"")</f>
        <v/>
      </c>
      <c r="F176">
        <f>IFERROR(IF(ISNUMBER(INDEX(SPPR!$E:$Z,MATCH($A176,SPPR!$A:$A,0),3)),$C176*INDEX(SPPR!$E:$Z,MATCH($A176,SPPR!$A:$A,0),3),""),"")</f>
        <v/>
      </c>
      <c r="G176">
        <f>IFERROR(IF(ISNUMBER(INDEX(SPPR!$E:$Z,MATCH($A176,SPPR!$A:$A,0),4)),$C176*INDEX(SPPR!$E:$Z,MATCH($A176,SPPR!$A:$A,0),4),""),"")</f>
        <v/>
      </c>
      <c r="H176">
        <f>IFERROR(IF(ISNUMBER(INDEX(SPPR!$E:$Z,MATCH($A176,SPPR!$A:$A,0),5)),$C176*INDEX(SPPR!$E:$Z,MATCH($A176,SPPR!$A:$A,0),5),""),"")</f>
        <v/>
      </c>
      <c r="I176">
        <f>IFERROR(IF(ISNUMBER(INDEX(SPPR!$E:$Z,MATCH($A176,SPPR!$A:$A,0),6)),$C176*INDEX(SPPR!$E:$Z,MATCH($A176,SPPR!$A:$A,0),6),""),"")</f>
        <v/>
      </c>
      <c r="J176">
        <f>IFERROR(IF(ISNUMBER(INDEX(SPPR!$E:$Z,MATCH($A176,SPPR!$A:$A,0),7)),$C176*INDEX(SPPR!$E:$Z,MATCH($A176,SPPR!$A:$A,0),7),""),"")</f>
        <v/>
      </c>
      <c r="K176">
        <f>IFERROR(IF(ISNUMBER(INDEX(SPPR!$E:$Z,MATCH($A176,SPPR!$A:$A,0),8)),$C176*INDEX(SPPR!$E:$Z,MATCH($A176,SPPR!$A:$A,0),8),""),"")</f>
        <v/>
      </c>
      <c r="L176">
        <f>IFERROR(IF(ISNUMBER(INDEX(SPPR!$E:$Z,MATCH($A176,SPPR!$A:$A,0),9)),$C176*INDEX(SPPR!$E:$Z,MATCH($A176,SPPR!$A:$A,0),9),""),"")</f>
        <v/>
      </c>
      <c r="M176">
        <f>IFERROR(IF(ISNUMBER(INDEX(SPPR!$E:$Z,MATCH($A176,SPPR!$A:$A,0),10)),$C176*INDEX(SPPR!$E:$Z,MATCH($A176,SPPR!$A:$A,0),10),""),"")</f>
        <v/>
      </c>
      <c r="N176">
        <f>IFERROR(IF(ISNUMBER(INDEX(SPPR!$E:$Z,MATCH($A176,SPPR!$A:$A,0),11)),$C176*INDEX(SPPR!$E:$Z,MATCH($A176,SPPR!$A:$A,0),11),""),"")</f>
        <v/>
      </c>
      <c r="O176">
        <f>IFERROR(IF(ISNUMBER(INDEX(SPPR!$E:$Z,MATCH($A176,SPPR!$A:$A,0),12)),$C176*INDEX(SPPR!$E:$Z,MATCH($A176,SPPR!$A:$A,0),12),""),"")</f>
        <v/>
      </c>
      <c r="P176">
        <f>IFERROR(IF(ISNUMBER(INDEX(SPPR!$E:$Z,MATCH($A176,SPPR!$A:$A,0),13)),$C176*INDEX(SPPR!$E:$Z,MATCH($A176,SPPR!$A:$A,0),13),""),"")</f>
        <v/>
      </c>
      <c r="Q176">
        <f>IFERROR(IF(ISNUMBER(INDEX(SPPR!$E:$Z,MATCH($A176,SPPR!$A:$A,0),14)),$C176*INDEX(SPPR!$E:$Z,MATCH($A176,SPPR!$A:$A,0),14),""),"")</f>
        <v/>
      </c>
      <c r="R176">
        <f>IFERROR(IF(ISNUMBER(INDEX(SPPR!$E:$Z,MATCH($A176,SPPR!$A:$A,0),15)),$C176*INDEX(SPPR!$E:$Z,MATCH($A176,SPPR!$A:$A,0),15),""),"")</f>
        <v/>
      </c>
      <c r="S176">
        <f>IFERROR(IF(ISNUMBER(INDEX(SPPR!$E:$Z,MATCH($A176,SPPR!$A:$A,0),16)),$C176*INDEX(SPPR!$E:$Z,MATCH($A176,SPPR!$A:$A,0),16),""),"")</f>
        <v/>
      </c>
      <c r="T176">
        <f>IFERROR(IF(ISNUMBER(INDEX(SPPR!$E:$Z,MATCH($A176,SPPR!$A:$A,0),17)),$C176*INDEX(SPPR!$E:$Z,MATCH($A176,SPPR!$A:$A,0),17),""),"")</f>
        <v/>
      </c>
      <c r="U176">
        <f>IFERROR(IF(ISNUMBER(INDEX(SPPR!$E:$Z,MATCH($A176,SPPR!$A:$A,0),18)),$C176*INDEX(SPPR!$E:$Z,MATCH($A176,SPPR!$A:$A,0),18),""),"")</f>
        <v/>
      </c>
      <c r="V176">
        <f>IFERROR(IF(ISNUMBER(INDEX(SPPR!$E:$Z,MATCH($A176,SPPR!$A:$A,0),19)),$C176*INDEX(SPPR!$E:$Z,MATCH($A176,SPPR!$A:$A,0),19),""),"")</f>
        <v/>
      </c>
      <c r="W176">
        <f>IFERROR(IF(ISNUMBER(INDEX(SPPR!$E:$Z,MATCH($A176,SPPR!$A:$A,0),20)),$C176*INDEX(SPPR!$E:$Z,MATCH($A176,SPPR!$A:$A,0),20),""),"")</f>
        <v/>
      </c>
      <c r="X176">
        <f>IFERROR(IF(ISNUMBER(INDEX(SPPR!$E:$Z,MATCH($A176,SPPR!$A:$A,0),21)),$C176*INDEX(SPPR!$E:$Z,MATCH($A176,SPPR!$A:$A,0),21),""),"")</f>
        <v/>
      </c>
      <c r="Y176">
        <f>IFERROR(IF(ISNUMBER(INDEX(SPPR!$E:$Z,MATCH($A176,SPPR!$A:$A,0),22)),$C176*INDEX(SPPR!$E:$Z,MATCH($A176,SPPR!$A:$A,0),22),""),"")</f>
        <v/>
      </c>
    </row>
    <row r="177">
      <c r="A177" t="inlineStr">
        <is>
          <t>Caranx</t>
        </is>
      </c>
      <c r="B177">
        <f>IFERROR(INDEX(SPPR!$D:$D,MATCH($A177,SPPR!$A:$A,0)),"")</f>
        <v/>
      </c>
      <c r="C177">
        <f>IFERROR(INDEX(Catch!$E:$BV,MATCH($A177,Catch!$A:$A,0),MATCH($B$4,Catch!$E$1:$BV$1,0)),0)</f>
        <v/>
      </c>
      <c r="D177">
        <f>IFERROR(IF(ISNUMBER(INDEX(SPPR!$E:$Z,MATCH($A177,SPPR!$A:$A,0),1)),$C177*INDEX(SPPR!$E:$Z,MATCH($A177,SPPR!$A:$A,0),1),""),"")</f>
        <v/>
      </c>
      <c r="E177">
        <f>IFERROR(IF(ISNUMBER(INDEX(SPPR!$E:$Z,MATCH($A177,SPPR!$A:$A,0),2)),$C177*INDEX(SPPR!$E:$Z,MATCH($A177,SPPR!$A:$A,0),2),""),"")</f>
        <v/>
      </c>
      <c r="F177">
        <f>IFERROR(IF(ISNUMBER(INDEX(SPPR!$E:$Z,MATCH($A177,SPPR!$A:$A,0),3)),$C177*INDEX(SPPR!$E:$Z,MATCH($A177,SPPR!$A:$A,0),3),""),"")</f>
        <v/>
      </c>
      <c r="G177">
        <f>IFERROR(IF(ISNUMBER(INDEX(SPPR!$E:$Z,MATCH($A177,SPPR!$A:$A,0),4)),$C177*INDEX(SPPR!$E:$Z,MATCH($A177,SPPR!$A:$A,0),4),""),"")</f>
        <v/>
      </c>
      <c r="H177">
        <f>IFERROR(IF(ISNUMBER(INDEX(SPPR!$E:$Z,MATCH($A177,SPPR!$A:$A,0),5)),$C177*INDEX(SPPR!$E:$Z,MATCH($A177,SPPR!$A:$A,0),5),""),"")</f>
        <v/>
      </c>
      <c r="I177">
        <f>IFERROR(IF(ISNUMBER(INDEX(SPPR!$E:$Z,MATCH($A177,SPPR!$A:$A,0),6)),$C177*INDEX(SPPR!$E:$Z,MATCH($A177,SPPR!$A:$A,0),6),""),"")</f>
        <v/>
      </c>
      <c r="J177">
        <f>IFERROR(IF(ISNUMBER(INDEX(SPPR!$E:$Z,MATCH($A177,SPPR!$A:$A,0),7)),$C177*INDEX(SPPR!$E:$Z,MATCH($A177,SPPR!$A:$A,0),7),""),"")</f>
        <v/>
      </c>
      <c r="K177">
        <f>IFERROR(IF(ISNUMBER(INDEX(SPPR!$E:$Z,MATCH($A177,SPPR!$A:$A,0),8)),$C177*INDEX(SPPR!$E:$Z,MATCH($A177,SPPR!$A:$A,0),8),""),"")</f>
        <v/>
      </c>
      <c r="L177">
        <f>IFERROR(IF(ISNUMBER(INDEX(SPPR!$E:$Z,MATCH($A177,SPPR!$A:$A,0),9)),$C177*INDEX(SPPR!$E:$Z,MATCH($A177,SPPR!$A:$A,0),9),""),"")</f>
        <v/>
      </c>
      <c r="M177">
        <f>IFERROR(IF(ISNUMBER(INDEX(SPPR!$E:$Z,MATCH($A177,SPPR!$A:$A,0),10)),$C177*INDEX(SPPR!$E:$Z,MATCH($A177,SPPR!$A:$A,0),10),""),"")</f>
        <v/>
      </c>
      <c r="N177">
        <f>IFERROR(IF(ISNUMBER(INDEX(SPPR!$E:$Z,MATCH($A177,SPPR!$A:$A,0),11)),$C177*INDEX(SPPR!$E:$Z,MATCH($A177,SPPR!$A:$A,0),11),""),"")</f>
        <v/>
      </c>
      <c r="O177">
        <f>IFERROR(IF(ISNUMBER(INDEX(SPPR!$E:$Z,MATCH($A177,SPPR!$A:$A,0),12)),$C177*INDEX(SPPR!$E:$Z,MATCH($A177,SPPR!$A:$A,0),12),""),"")</f>
        <v/>
      </c>
      <c r="P177">
        <f>IFERROR(IF(ISNUMBER(INDEX(SPPR!$E:$Z,MATCH($A177,SPPR!$A:$A,0),13)),$C177*INDEX(SPPR!$E:$Z,MATCH($A177,SPPR!$A:$A,0),13),""),"")</f>
        <v/>
      </c>
      <c r="Q177">
        <f>IFERROR(IF(ISNUMBER(INDEX(SPPR!$E:$Z,MATCH($A177,SPPR!$A:$A,0),14)),$C177*INDEX(SPPR!$E:$Z,MATCH($A177,SPPR!$A:$A,0),14),""),"")</f>
        <v/>
      </c>
      <c r="R177">
        <f>IFERROR(IF(ISNUMBER(INDEX(SPPR!$E:$Z,MATCH($A177,SPPR!$A:$A,0),15)),$C177*INDEX(SPPR!$E:$Z,MATCH($A177,SPPR!$A:$A,0),15),""),"")</f>
        <v/>
      </c>
      <c r="S177">
        <f>IFERROR(IF(ISNUMBER(INDEX(SPPR!$E:$Z,MATCH($A177,SPPR!$A:$A,0),16)),$C177*INDEX(SPPR!$E:$Z,MATCH($A177,SPPR!$A:$A,0),16),""),"")</f>
        <v/>
      </c>
      <c r="T177">
        <f>IFERROR(IF(ISNUMBER(INDEX(SPPR!$E:$Z,MATCH($A177,SPPR!$A:$A,0),17)),$C177*INDEX(SPPR!$E:$Z,MATCH($A177,SPPR!$A:$A,0),17),""),"")</f>
        <v/>
      </c>
      <c r="U177">
        <f>IFERROR(IF(ISNUMBER(INDEX(SPPR!$E:$Z,MATCH($A177,SPPR!$A:$A,0),18)),$C177*INDEX(SPPR!$E:$Z,MATCH($A177,SPPR!$A:$A,0),18),""),"")</f>
        <v/>
      </c>
      <c r="V177">
        <f>IFERROR(IF(ISNUMBER(INDEX(SPPR!$E:$Z,MATCH($A177,SPPR!$A:$A,0),19)),$C177*INDEX(SPPR!$E:$Z,MATCH($A177,SPPR!$A:$A,0),19),""),"")</f>
        <v/>
      </c>
      <c r="W177">
        <f>IFERROR(IF(ISNUMBER(INDEX(SPPR!$E:$Z,MATCH($A177,SPPR!$A:$A,0),20)),$C177*INDEX(SPPR!$E:$Z,MATCH($A177,SPPR!$A:$A,0),20),""),"")</f>
        <v/>
      </c>
      <c r="X177">
        <f>IFERROR(IF(ISNUMBER(INDEX(SPPR!$E:$Z,MATCH($A177,SPPR!$A:$A,0),21)),$C177*INDEX(SPPR!$E:$Z,MATCH($A177,SPPR!$A:$A,0),21),""),"")</f>
        <v/>
      </c>
      <c r="Y177">
        <f>IFERROR(IF(ISNUMBER(INDEX(SPPR!$E:$Z,MATCH($A177,SPPR!$A:$A,0),22)),$C177*INDEX(SPPR!$E:$Z,MATCH($A177,SPPR!$A:$A,0),22),""),"")</f>
        <v/>
      </c>
    </row>
    <row r="178">
      <c r="A178" t="inlineStr">
        <is>
          <t>Carangoides</t>
        </is>
      </c>
      <c r="B178">
        <f>IFERROR(INDEX(SPPR!$D:$D,MATCH($A178,SPPR!$A:$A,0)),"")</f>
        <v/>
      </c>
      <c r="C178">
        <f>IFERROR(INDEX(Catch!$E:$BV,MATCH($A178,Catch!$A:$A,0),MATCH($B$4,Catch!$E$1:$BV$1,0)),0)</f>
        <v/>
      </c>
      <c r="D178">
        <f>IFERROR(IF(ISNUMBER(INDEX(SPPR!$E:$Z,MATCH($A178,SPPR!$A:$A,0),1)),$C178*INDEX(SPPR!$E:$Z,MATCH($A178,SPPR!$A:$A,0),1),""),"")</f>
        <v/>
      </c>
      <c r="E178">
        <f>IFERROR(IF(ISNUMBER(INDEX(SPPR!$E:$Z,MATCH($A178,SPPR!$A:$A,0),2)),$C178*INDEX(SPPR!$E:$Z,MATCH($A178,SPPR!$A:$A,0),2),""),"")</f>
        <v/>
      </c>
      <c r="F178">
        <f>IFERROR(IF(ISNUMBER(INDEX(SPPR!$E:$Z,MATCH($A178,SPPR!$A:$A,0),3)),$C178*INDEX(SPPR!$E:$Z,MATCH($A178,SPPR!$A:$A,0),3),""),"")</f>
        <v/>
      </c>
      <c r="G178">
        <f>IFERROR(IF(ISNUMBER(INDEX(SPPR!$E:$Z,MATCH($A178,SPPR!$A:$A,0),4)),$C178*INDEX(SPPR!$E:$Z,MATCH($A178,SPPR!$A:$A,0),4),""),"")</f>
        <v/>
      </c>
      <c r="H178">
        <f>IFERROR(IF(ISNUMBER(INDEX(SPPR!$E:$Z,MATCH($A178,SPPR!$A:$A,0),5)),$C178*INDEX(SPPR!$E:$Z,MATCH($A178,SPPR!$A:$A,0),5),""),"")</f>
        <v/>
      </c>
      <c r="I178">
        <f>IFERROR(IF(ISNUMBER(INDEX(SPPR!$E:$Z,MATCH($A178,SPPR!$A:$A,0),6)),$C178*INDEX(SPPR!$E:$Z,MATCH($A178,SPPR!$A:$A,0),6),""),"")</f>
        <v/>
      </c>
      <c r="J178">
        <f>IFERROR(IF(ISNUMBER(INDEX(SPPR!$E:$Z,MATCH($A178,SPPR!$A:$A,0),7)),$C178*INDEX(SPPR!$E:$Z,MATCH($A178,SPPR!$A:$A,0),7),""),"")</f>
        <v/>
      </c>
      <c r="K178">
        <f>IFERROR(IF(ISNUMBER(INDEX(SPPR!$E:$Z,MATCH($A178,SPPR!$A:$A,0),8)),$C178*INDEX(SPPR!$E:$Z,MATCH($A178,SPPR!$A:$A,0),8),""),"")</f>
        <v/>
      </c>
      <c r="L178">
        <f>IFERROR(IF(ISNUMBER(INDEX(SPPR!$E:$Z,MATCH($A178,SPPR!$A:$A,0),9)),$C178*INDEX(SPPR!$E:$Z,MATCH($A178,SPPR!$A:$A,0),9),""),"")</f>
        <v/>
      </c>
      <c r="M178">
        <f>IFERROR(IF(ISNUMBER(INDEX(SPPR!$E:$Z,MATCH($A178,SPPR!$A:$A,0),10)),$C178*INDEX(SPPR!$E:$Z,MATCH($A178,SPPR!$A:$A,0),10),""),"")</f>
        <v/>
      </c>
      <c r="N178">
        <f>IFERROR(IF(ISNUMBER(INDEX(SPPR!$E:$Z,MATCH($A178,SPPR!$A:$A,0),11)),$C178*INDEX(SPPR!$E:$Z,MATCH($A178,SPPR!$A:$A,0),11),""),"")</f>
        <v/>
      </c>
      <c r="O178">
        <f>IFERROR(IF(ISNUMBER(INDEX(SPPR!$E:$Z,MATCH($A178,SPPR!$A:$A,0),12)),$C178*INDEX(SPPR!$E:$Z,MATCH($A178,SPPR!$A:$A,0),12),""),"")</f>
        <v/>
      </c>
      <c r="P178">
        <f>IFERROR(IF(ISNUMBER(INDEX(SPPR!$E:$Z,MATCH($A178,SPPR!$A:$A,0),13)),$C178*INDEX(SPPR!$E:$Z,MATCH($A178,SPPR!$A:$A,0),13),""),"")</f>
        <v/>
      </c>
      <c r="Q178">
        <f>IFERROR(IF(ISNUMBER(INDEX(SPPR!$E:$Z,MATCH($A178,SPPR!$A:$A,0),14)),$C178*INDEX(SPPR!$E:$Z,MATCH($A178,SPPR!$A:$A,0),14),""),"")</f>
        <v/>
      </c>
      <c r="R178">
        <f>IFERROR(IF(ISNUMBER(INDEX(SPPR!$E:$Z,MATCH($A178,SPPR!$A:$A,0),15)),$C178*INDEX(SPPR!$E:$Z,MATCH($A178,SPPR!$A:$A,0),15),""),"")</f>
        <v/>
      </c>
      <c r="S178">
        <f>IFERROR(IF(ISNUMBER(INDEX(SPPR!$E:$Z,MATCH($A178,SPPR!$A:$A,0),16)),$C178*INDEX(SPPR!$E:$Z,MATCH($A178,SPPR!$A:$A,0),16),""),"")</f>
        <v/>
      </c>
      <c r="T178">
        <f>IFERROR(IF(ISNUMBER(INDEX(SPPR!$E:$Z,MATCH($A178,SPPR!$A:$A,0),17)),$C178*INDEX(SPPR!$E:$Z,MATCH($A178,SPPR!$A:$A,0),17),""),"")</f>
        <v/>
      </c>
      <c r="U178">
        <f>IFERROR(IF(ISNUMBER(INDEX(SPPR!$E:$Z,MATCH($A178,SPPR!$A:$A,0),18)),$C178*INDEX(SPPR!$E:$Z,MATCH($A178,SPPR!$A:$A,0),18),""),"")</f>
        <v/>
      </c>
      <c r="V178">
        <f>IFERROR(IF(ISNUMBER(INDEX(SPPR!$E:$Z,MATCH($A178,SPPR!$A:$A,0),19)),$C178*INDEX(SPPR!$E:$Z,MATCH($A178,SPPR!$A:$A,0),19),""),"")</f>
        <v/>
      </c>
      <c r="W178">
        <f>IFERROR(IF(ISNUMBER(INDEX(SPPR!$E:$Z,MATCH($A178,SPPR!$A:$A,0),20)),$C178*INDEX(SPPR!$E:$Z,MATCH($A178,SPPR!$A:$A,0),20),""),"")</f>
        <v/>
      </c>
      <c r="X178">
        <f>IFERROR(IF(ISNUMBER(INDEX(SPPR!$E:$Z,MATCH($A178,SPPR!$A:$A,0),21)),$C178*INDEX(SPPR!$E:$Z,MATCH($A178,SPPR!$A:$A,0),21),""),"")</f>
        <v/>
      </c>
      <c r="Y178">
        <f>IFERROR(IF(ISNUMBER(INDEX(SPPR!$E:$Z,MATCH($A178,SPPR!$A:$A,0),22)),$C178*INDEX(SPPR!$E:$Z,MATCH($A178,SPPR!$A:$A,0),22),""),"")</f>
        <v/>
      </c>
    </row>
    <row r="179">
      <c r="A179" t="inlineStr">
        <is>
          <t>Penaeus indicus</t>
        </is>
      </c>
      <c r="B179">
        <f>IFERROR(INDEX(SPPR!$D:$D,MATCH($A179,SPPR!$A:$A,0)),"")</f>
        <v/>
      </c>
      <c r="C179">
        <f>IFERROR(INDEX(Catch!$E:$BV,MATCH($A179,Catch!$A:$A,0),MATCH($B$4,Catch!$E$1:$BV$1,0)),0)</f>
        <v/>
      </c>
      <c r="D179">
        <f>IFERROR(IF(ISNUMBER(INDEX(SPPR!$E:$Z,MATCH($A179,SPPR!$A:$A,0),1)),$C179*INDEX(SPPR!$E:$Z,MATCH($A179,SPPR!$A:$A,0),1),""),"")</f>
        <v/>
      </c>
      <c r="E179">
        <f>IFERROR(IF(ISNUMBER(INDEX(SPPR!$E:$Z,MATCH($A179,SPPR!$A:$A,0),2)),$C179*INDEX(SPPR!$E:$Z,MATCH($A179,SPPR!$A:$A,0),2),""),"")</f>
        <v/>
      </c>
      <c r="F179">
        <f>IFERROR(IF(ISNUMBER(INDEX(SPPR!$E:$Z,MATCH($A179,SPPR!$A:$A,0),3)),$C179*INDEX(SPPR!$E:$Z,MATCH($A179,SPPR!$A:$A,0),3),""),"")</f>
        <v/>
      </c>
      <c r="G179">
        <f>IFERROR(IF(ISNUMBER(INDEX(SPPR!$E:$Z,MATCH($A179,SPPR!$A:$A,0),4)),$C179*INDEX(SPPR!$E:$Z,MATCH($A179,SPPR!$A:$A,0),4),""),"")</f>
        <v/>
      </c>
      <c r="H179">
        <f>IFERROR(IF(ISNUMBER(INDEX(SPPR!$E:$Z,MATCH($A179,SPPR!$A:$A,0),5)),$C179*INDEX(SPPR!$E:$Z,MATCH($A179,SPPR!$A:$A,0),5),""),"")</f>
        <v/>
      </c>
      <c r="I179">
        <f>IFERROR(IF(ISNUMBER(INDEX(SPPR!$E:$Z,MATCH($A179,SPPR!$A:$A,0),6)),$C179*INDEX(SPPR!$E:$Z,MATCH($A179,SPPR!$A:$A,0),6),""),"")</f>
        <v/>
      </c>
      <c r="J179">
        <f>IFERROR(IF(ISNUMBER(INDEX(SPPR!$E:$Z,MATCH($A179,SPPR!$A:$A,0),7)),$C179*INDEX(SPPR!$E:$Z,MATCH($A179,SPPR!$A:$A,0),7),""),"")</f>
        <v/>
      </c>
      <c r="K179">
        <f>IFERROR(IF(ISNUMBER(INDEX(SPPR!$E:$Z,MATCH($A179,SPPR!$A:$A,0),8)),$C179*INDEX(SPPR!$E:$Z,MATCH($A179,SPPR!$A:$A,0),8),""),"")</f>
        <v/>
      </c>
      <c r="L179">
        <f>IFERROR(IF(ISNUMBER(INDEX(SPPR!$E:$Z,MATCH($A179,SPPR!$A:$A,0),9)),$C179*INDEX(SPPR!$E:$Z,MATCH($A179,SPPR!$A:$A,0),9),""),"")</f>
        <v/>
      </c>
      <c r="M179">
        <f>IFERROR(IF(ISNUMBER(INDEX(SPPR!$E:$Z,MATCH($A179,SPPR!$A:$A,0),10)),$C179*INDEX(SPPR!$E:$Z,MATCH($A179,SPPR!$A:$A,0),10),""),"")</f>
        <v/>
      </c>
      <c r="N179">
        <f>IFERROR(IF(ISNUMBER(INDEX(SPPR!$E:$Z,MATCH($A179,SPPR!$A:$A,0),11)),$C179*INDEX(SPPR!$E:$Z,MATCH($A179,SPPR!$A:$A,0),11),""),"")</f>
        <v/>
      </c>
      <c r="O179">
        <f>IFERROR(IF(ISNUMBER(INDEX(SPPR!$E:$Z,MATCH($A179,SPPR!$A:$A,0),12)),$C179*INDEX(SPPR!$E:$Z,MATCH($A179,SPPR!$A:$A,0),12),""),"")</f>
        <v/>
      </c>
      <c r="P179">
        <f>IFERROR(IF(ISNUMBER(INDEX(SPPR!$E:$Z,MATCH($A179,SPPR!$A:$A,0),13)),$C179*INDEX(SPPR!$E:$Z,MATCH($A179,SPPR!$A:$A,0),13),""),"")</f>
        <v/>
      </c>
      <c r="Q179">
        <f>IFERROR(IF(ISNUMBER(INDEX(SPPR!$E:$Z,MATCH($A179,SPPR!$A:$A,0),14)),$C179*INDEX(SPPR!$E:$Z,MATCH($A179,SPPR!$A:$A,0),14),""),"")</f>
        <v/>
      </c>
      <c r="R179">
        <f>IFERROR(IF(ISNUMBER(INDEX(SPPR!$E:$Z,MATCH($A179,SPPR!$A:$A,0),15)),$C179*INDEX(SPPR!$E:$Z,MATCH($A179,SPPR!$A:$A,0),15),""),"")</f>
        <v/>
      </c>
      <c r="S179">
        <f>IFERROR(IF(ISNUMBER(INDEX(SPPR!$E:$Z,MATCH($A179,SPPR!$A:$A,0),16)),$C179*INDEX(SPPR!$E:$Z,MATCH($A179,SPPR!$A:$A,0),16),""),"")</f>
        <v/>
      </c>
      <c r="T179">
        <f>IFERROR(IF(ISNUMBER(INDEX(SPPR!$E:$Z,MATCH($A179,SPPR!$A:$A,0),17)),$C179*INDEX(SPPR!$E:$Z,MATCH($A179,SPPR!$A:$A,0),17),""),"")</f>
        <v/>
      </c>
      <c r="U179">
        <f>IFERROR(IF(ISNUMBER(INDEX(SPPR!$E:$Z,MATCH($A179,SPPR!$A:$A,0),18)),$C179*INDEX(SPPR!$E:$Z,MATCH($A179,SPPR!$A:$A,0),18),""),"")</f>
        <v/>
      </c>
      <c r="V179">
        <f>IFERROR(IF(ISNUMBER(INDEX(SPPR!$E:$Z,MATCH($A179,SPPR!$A:$A,0),19)),$C179*INDEX(SPPR!$E:$Z,MATCH($A179,SPPR!$A:$A,0),19),""),"")</f>
        <v/>
      </c>
      <c r="W179">
        <f>IFERROR(IF(ISNUMBER(INDEX(SPPR!$E:$Z,MATCH($A179,SPPR!$A:$A,0),20)),$C179*INDEX(SPPR!$E:$Z,MATCH($A179,SPPR!$A:$A,0),20),""),"")</f>
        <v/>
      </c>
      <c r="X179">
        <f>IFERROR(IF(ISNUMBER(INDEX(SPPR!$E:$Z,MATCH($A179,SPPR!$A:$A,0),21)),$C179*INDEX(SPPR!$E:$Z,MATCH($A179,SPPR!$A:$A,0),21),""),"")</f>
        <v/>
      </c>
      <c r="Y179">
        <f>IFERROR(IF(ISNUMBER(INDEX(SPPR!$E:$Z,MATCH($A179,SPPR!$A:$A,0),22)),$C179*INDEX(SPPR!$E:$Z,MATCH($A179,SPPR!$A:$A,0),22),""),"")</f>
        <v/>
      </c>
    </row>
    <row r="180">
      <c r="A180" t="inlineStr">
        <is>
          <t>Gudusia chapra</t>
        </is>
      </c>
      <c r="B180">
        <f>IFERROR(INDEX(SPPR!$D:$D,MATCH($A180,SPPR!$A:$A,0)),"")</f>
        <v/>
      </c>
      <c r="C180">
        <f>IFERROR(INDEX(Catch!$E:$BV,MATCH($A180,Catch!$A:$A,0),MATCH($B$4,Catch!$E$1:$BV$1,0)),0)</f>
        <v/>
      </c>
      <c r="D180">
        <f>IFERROR(IF(ISNUMBER(INDEX(SPPR!$E:$Z,MATCH($A180,SPPR!$A:$A,0),1)),$C180*INDEX(SPPR!$E:$Z,MATCH($A180,SPPR!$A:$A,0),1),""),"")</f>
        <v/>
      </c>
      <c r="E180">
        <f>IFERROR(IF(ISNUMBER(INDEX(SPPR!$E:$Z,MATCH($A180,SPPR!$A:$A,0),2)),$C180*INDEX(SPPR!$E:$Z,MATCH($A180,SPPR!$A:$A,0),2),""),"")</f>
        <v/>
      </c>
      <c r="F180">
        <f>IFERROR(IF(ISNUMBER(INDEX(SPPR!$E:$Z,MATCH($A180,SPPR!$A:$A,0),3)),$C180*INDEX(SPPR!$E:$Z,MATCH($A180,SPPR!$A:$A,0),3),""),"")</f>
        <v/>
      </c>
      <c r="G180">
        <f>IFERROR(IF(ISNUMBER(INDEX(SPPR!$E:$Z,MATCH($A180,SPPR!$A:$A,0),4)),$C180*INDEX(SPPR!$E:$Z,MATCH($A180,SPPR!$A:$A,0),4),""),"")</f>
        <v/>
      </c>
      <c r="H180">
        <f>IFERROR(IF(ISNUMBER(INDEX(SPPR!$E:$Z,MATCH($A180,SPPR!$A:$A,0),5)),$C180*INDEX(SPPR!$E:$Z,MATCH($A180,SPPR!$A:$A,0),5),""),"")</f>
        <v/>
      </c>
      <c r="I180">
        <f>IFERROR(IF(ISNUMBER(INDEX(SPPR!$E:$Z,MATCH($A180,SPPR!$A:$A,0),6)),$C180*INDEX(SPPR!$E:$Z,MATCH($A180,SPPR!$A:$A,0),6),""),"")</f>
        <v/>
      </c>
      <c r="J180">
        <f>IFERROR(IF(ISNUMBER(INDEX(SPPR!$E:$Z,MATCH($A180,SPPR!$A:$A,0),7)),$C180*INDEX(SPPR!$E:$Z,MATCH($A180,SPPR!$A:$A,0),7),""),"")</f>
        <v/>
      </c>
      <c r="K180">
        <f>IFERROR(IF(ISNUMBER(INDEX(SPPR!$E:$Z,MATCH($A180,SPPR!$A:$A,0),8)),$C180*INDEX(SPPR!$E:$Z,MATCH($A180,SPPR!$A:$A,0),8),""),"")</f>
        <v/>
      </c>
      <c r="L180">
        <f>IFERROR(IF(ISNUMBER(INDEX(SPPR!$E:$Z,MATCH($A180,SPPR!$A:$A,0),9)),$C180*INDEX(SPPR!$E:$Z,MATCH($A180,SPPR!$A:$A,0),9),""),"")</f>
        <v/>
      </c>
      <c r="M180">
        <f>IFERROR(IF(ISNUMBER(INDEX(SPPR!$E:$Z,MATCH($A180,SPPR!$A:$A,0),10)),$C180*INDEX(SPPR!$E:$Z,MATCH($A180,SPPR!$A:$A,0),10),""),"")</f>
        <v/>
      </c>
      <c r="N180">
        <f>IFERROR(IF(ISNUMBER(INDEX(SPPR!$E:$Z,MATCH($A180,SPPR!$A:$A,0),11)),$C180*INDEX(SPPR!$E:$Z,MATCH($A180,SPPR!$A:$A,0),11),""),"")</f>
        <v/>
      </c>
      <c r="O180">
        <f>IFERROR(IF(ISNUMBER(INDEX(SPPR!$E:$Z,MATCH($A180,SPPR!$A:$A,0),12)),$C180*INDEX(SPPR!$E:$Z,MATCH($A180,SPPR!$A:$A,0),12),""),"")</f>
        <v/>
      </c>
      <c r="P180">
        <f>IFERROR(IF(ISNUMBER(INDEX(SPPR!$E:$Z,MATCH($A180,SPPR!$A:$A,0),13)),$C180*INDEX(SPPR!$E:$Z,MATCH($A180,SPPR!$A:$A,0),13),""),"")</f>
        <v/>
      </c>
      <c r="Q180">
        <f>IFERROR(IF(ISNUMBER(INDEX(SPPR!$E:$Z,MATCH($A180,SPPR!$A:$A,0),14)),$C180*INDEX(SPPR!$E:$Z,MATCH($A180,SPPR!$A:$A,0),14),""),"")</f>
        <v/>
      </c>
      <c r="R180">
        <f>IFERROR(IF(ISNUMBER(INDEX(SPPR!$E:$Z,MATCH($A180,SPPR!$A:$A,0),15)),$C180*INDEX(SPPR!$E:$Z,MATCH($A180,SPPR!$A:$A,0),15),""),"")</f>
        <v/>
      </c>
      <c r="S180">
        <f>IFERROR(IF(ISNUMBER(INDEX(SPPR!$E:$Z,MATCH($A180,SPPR!$A:$A,0),16)),$C180*INDEX(SPPR!$E:$Z,MATCH($A180,SPPR!$A:$A,0),16),""),"")</f>
        <v/>
      </c>
      <c r="T180">
        <f>IFERROR(IF(ISNUMBER(INDEX(SPPR!$E:$Z,MATCH($A180,SPPR!$A:$A,0),17)),$C180*INDEX(SPPR!$E:$Z,MATCH($A180,SPPR!$A:$A,0),17),""),"")</f>
        <v/>
      </c>
      <c r="U180">
        <f>IFERROR(IF(ISNUMBER(INDEX(SPPR!$E:$Z,MATCH($A180,SPPR!$A:$A,0),18)),$C180*INDEX(SPPR!$E:$Z,MATCH($A180,SPPR!$A:$A,0),18),""),"")</f>
        <v/>
      </c>
      <c r="V180">
        <f>IFERROR(IF(ISNUMBER(INDEX(SPPR!$E:$Z,MATCH($A180,SPPR!$A:$A,0),19)),$C180*INDEX(SPPR!$E:$Z,MATCH($A180,SPPR!$A:$A,0),19),""),"")</f>
        <v/>
      </c>
      <c r="W180">
        <f>IFERROR(IF(ISNUMBER(INDEX(SPPR!$E:$Z,MATCH($A180,SPPR!$A:$A,0),20)),$C180*INDEX(SPPR!$E:$Z,MATCH($A180,SPPR!$A:$A,0),20),""),"")</f>
        <v/>
      </c>
      <c r="X180">
        <f>IFERROR(IF(ISNUMBER(INDEX(SPPR!$E:$Z,MATCH($A180,SPPR!$A:$A,0),21)),$C180*INDEX(SPPR!$E:$Z,MATCH($A180,SPPR!$A:$A,0),21),""),"")</f>
        <v/>
      </c>
      <c r="Y180">
        <f>IFERROR(IF(ISNUMBER(INDEX(SPPR!$E:$Z,MATCH($A180,SPPR!$A:$A,0),22)),$C180*INDEX(SPPR!$E:$Z,MATCH($A180,SPPR!$A:$A,0),22),""),"")</f>
        <v/>
      </c>
    </row>
    <row r="181">
      <c r="A181" t="inlineStr">
        <is>
          <t>Portunus</t>
        </is>
      </c>
      <c r="B181">
        <f>IFERROR(INDEX(SPPR!$D:$D,MATCH($A181,SPPR!$A:$A,0)),"")</f>
        <v/>
      </c>
      <c r="C181">
        <f>IFERROR(INDEX(Catch!$E:$BV,MATCH($A181,Catch!$A:$A,0),MATCH($B$4,Catch!$E$1:$BV$1,0)),0)</f>
        <v/>
      </c>
      <c r="D181">
        <f>IFERROR(IF(ISNUMBER(INDEX(SPPR!$E:$Z,MATCH($A181,SPPR!$A:$A,0),1)),$C181*INDEX(SPPR!$E:$Z,MATCH($A181,SPPR!$A:$A,0),1),""),"")</f>
        <v/>
      </c>
      <c r="E181">
        <f>IFERROR(IF(ISNUMBER(INDEX(SPPR!$E:$Z,MATCH($A181,SPPR!$A:$A,0),2)),$C181*INDEX(SPPR!$E:$Z,MATCH($A181,SPPR!$A:$A,0),2),""),"")</f>
        <v/>
      </c>
      <c r="F181">
        <f>IFERROR(IF(ISNUMBER(INDEX(SPPR!$E:$Z,MATCH($A181,SPPR!$A:$A,0),3)),$C181*INDEX(SPPR!$E:$Z,MATCH($A181,SPPR!$A:$A,0),3),""),"")</f>
        <v/>
      </c>
      <c r="G181">
        <f>IFERROR(IF(ISNUMBER(INDEX(SPPR!$E:$Z,MATCH($A181,SPPR!$A:$A,0),4)),$C181*INDEX(SPPR!$E:$Z,MATCH($A181,SPPR!$A:$A,0),4),""),"")</f>
        <v/>
      </c>
      <c r="H181">
        <f>IFERROR(IF(ISNUMBER(INDEX(SPPR!$E:$Z,MATCH($A181,SPPR!$A:$A,0),5)),$C181*INDEX(SPPR!$E:$Z,MATCH($A181,SPPR!$A:$A,0),5),""),"")</f>
        <v/>
      </c>
      <c r="I181">
        <f>IFERROR(IF(ISNUMBER(INDEX(SPPR!$E:$Z,MATCH($A181,SPPR!$A:$A,0),6)),$C181*INDEX(SPPR!$E:$Z,MATCH($A181,SPPR!$A:$A,0),6),""),"")</f>
        <v/>
      </c>
      <c r="J181">
        <f>IFERROR(IF(ISNUMBER(INDEX(SPPR!$E:$Z,MATCH($A181,SPPR!$A:$A,0),7)),$C181*INDEX(SPPR!$E:$Z,MATCH($A181,SPPR!$A:$A,0),7),""),"")</f>
        <v/>
      </c>
      <c r="K181">
        <f>IFERROR(IF(ISNUMBER(INDEX(SPPR!$E:$Z,MATCH($A181,SPPR!$A:$A,0),8)),$C181*INDEX(SPPR!$E:$Z,MATCH($A181,SPPR!$A:$A,0),8),""),"")</f>
        <v/>
      </c>
      <c r="L181">
        <f>IFERROR(IF(ISNUMBER(INDEX(SPPR!$E:$Z,MATCH($A181,SPPR!$A:$A,0),9)),$C181*INDEX(SPPR!$E:$Z,MATCH($A181,SPPR!$A:$A,0),9),""),"")</f>
        <v/>
      </c>
      <c r="M181">
        <f>IFERROR(IF(ISNUMBER(INDEX(SPPR!$E:$Z,MATCH($A181,SPPR!$A:$A,0),10)),$C181*INDEX(SPPR!$E:$Z,MATCH($A181,SPPR!$A:$A,0),10),""),"")</f>
        <v/>
      </c>
      <c r="N181">
        <f>IFERROR(IF(ISNUMBER(INDEX(SPPR!$E:$Z,MATCH($A181,SPPR!$A:$A,0),11)),$C181*INDEX(SPPR!$E:$Z,MATCH($A181,SPPR!$A:$A,0),11),""),"")</f>
        <v/>
      </c>
      <c r="O181">
        <f>IFERROR(IF(ISNUMBER(INDEX(SPPR!$E:$Z,MATCH($A181,SPPR!$A:$A,0),12)),$C181*INDEX(SPPR!$E:$Z,MATCH($A181,SPPR!$A:$A,0),12),""),"")</f>
        <v/>
      </c>
      <c r="P181">
        <f>IFERROR(IF(ISNUMBER(INDEX(SPPR!$E:$Z,MATCH($A181,SPPR!$A:$A,0),13)),$C181*INDEX(SPPR!$E:$Z,MATCH($A181,SPPR!$A:$A,0),13),""),"")</f>
        <v/>
      </c>
      <c r="Q181">
        <f>IFERROR(IF(ISNUMBER(INDEX(SPPR!$E:$Z,MATCH($A181,SPPR!$A:$A,0),14)),$C181*INDEX(SPPR!$E:$Z,MATCH($A181,SPPR!$A:$A,0),14),""),"")</f>
        <v/>
      </c>
      <c r="R181">
        <f>IFERROR(IF(ISNUMBER(INDEX(SPPR!$E:$Z,MATCH($A181,SPPR!$A:$A,0),15)),$C181*INDEX(SPPR!$E:$Z,MATCH($A181,SPPR!$A:$A,0),15),""),"")</f>
        <v/>
      </c>
      <c r="S181">
        <f>IFERROR(IF(ISNUMBER(INDEX(SPPR!$E:$Z,MATCH($A181,SPPR!$A:$A,0),16)),$C181*INDEX(SPPR!$E:$Z,MATCH($A181,SPPR!$A:$A,0),16),""),"")</f>
        <v/>
      </c>
      <c r="T181">
        <f>IFERROR(IF(ISNUMBER(INDEX(SPPR!$E:$Z,MATCH($A181,SPPR!$A:$A,0),17)),$C181*INDEX(SPPR!$E:$Z,MATCH($A181,SPPR!$A:$A,0),17),""),"")</f>
        <v/>
      </c>
      <c r="U181">
        <f>IFERROR(IF(ISNUMBER(INDEX(SPPR!$E:$Z,MATCH($A181,SPPR!$A:$A,0),18)),$C181*INDEX(SPPR!$E:$Z,MATCH($A181,SPPR!$A:$A,0),18),""),"")</f>
        <v/>
      </c>
      <c r="V181">
        <f>IFERROR(IF(ISNUMBER(INDEX(SPPR!$E:$Z,MATCH($A181,SPPR!$A:$A,0),19)),$C181*INDEX(SPPR!$E:$Z,MATCH($A181,SPPR!$A:$A,0),19),""),"")</f>
        <v/>
      </c>
      <c r="W181">
        <f>IFERROR(IF(ISNUMBER(INDEX(SPPR!$E:$Z,MATCH($A181,SPPR!$A:$A,0),20)),$C181*INDEX(SPPR!$E:$Z,MATCH($A181,SPPR!$A:$A,0),20),""),"")</f>
        <v/>
      </c>
      <c r="X181">
        <f>IFERROR(IF(ISNUMBER(INDEX(SPPR!$E:$Z,MATCH($A181,SPPR!$A:$A,0),21)),$C181*INDEX(SPPR!$E:$Z,MATCH($A181,SPPR!$A:$A,0),21),""),"")</f>
        <v/>
      </c>
      <c r="Y181">
        <f>IFERROR(IF(ISNUMBER(INDEX(SPPR!$E:$Z,MATCH($A181,SPPR!$A:$A,0),22)),$C181*INDEX(SPPR!$E:$Z,MATCH($A181,SPPR!$A:$A,0),22),""),"")</f>
        <v/>
      </c>
    </row>
    <row r="182">
      <c r="A182" t="inlineStr">
        <is>
          <t>Metapenaeus monoceros</t>
        </is>
      </c>
      <c r="B182">
        <f>IFERROR(INDEX(SPPR!$D:$D,MATCH($A182,SPPR!$A:$A,0)),"")</f>
        <v/>
      </c>
      <c r="C182">
        <f>IFERROR(INDEX(Catch!$E:$BV,MATCH($A182,Catch!$A:$A,0),MATCH($B$4,Catch!$E$1:$BV$1,0)),0)</f>
        <v/>
      </c>
      <c r="D182">
        <f>IFERROR(IF(ISNUMBER(INDEX(SPPR!$E:$Z,MATCH($A182,SPPR!$A:$A,0),1)),$C182*INDEX(SPPR!$E:$Z,MATCH($A182,SPPR!$A:$A,0),1),""),"")</f>
        <v/>
      </c>
      <c r="E182">
        <f>IFERROR(IF(ISNUMBER(INDEX(SPPR!$E:$Z,MATCH($A182,SPPR!$A:$A,0),2)),$C182*INDEX(SPPR!$E:$Z,MATCH($A182,SPPR!$A:$A,0),2),""),"")</f>
        <v/>
      </c>
      <c r="F182">
        <f>IFERROR(IF(ISNUMBER(INDEX(SPPR!$E:$Z,MATCH($A182,SPPR!$A:$A,0),3)),$C182*INDEX(SPPR!$E:$Z,MATCH($A182,SPPR!$A:$A,0),3),""),"")</f>
        <v/>
      </c>
      <c r="G182">
        <f>IFERROR(IF(ISNUMBER(INDEX(SPPR!$E:$Z,MATCH($A182,SPPR!$A:$A,0),4)),$C182*INDEX(SPPR!$E:$Z,MATCH($A182,SPPR!$A:$A,0),4),""),"")</f>
        <v/>
      </c>
      <c r="H182">
        <f>IFERROR(IF(ISNUMBER(INDEX(SPPR!$E:$Z,MATCH($A182,SPPR!$A:$A,0),5)),$C182*INDEX(SPPR!$E:$Z,MATCH($A182,SPPR!$A:$A,0),5),""),"")</f>
        <v/>
      </c>
      <c r="I182">
        <f>IFERROR(IF(ISNUMBER(INDEX(SPPR!$E:$Z,MATCH($A182,SPPR!$A:$A,0),6)),$C182*INDEX(SPPR!$E:$Z,MATCH($A182,SPPR!$A:$A,0),6),""),"")</f>
        <v/>
      </c>
      <c r="J182">
        <f>IFERROR(IF(ISNUMBER(INDEX(SPPR!$E:$Z,MATCH($A182,SPPR!$A:$A,0),7)),$C182*INDEX(SPPR!$E:$Z,MATCH($A182,SPPR!$A:$A,0),7),""),"")</f>
        <v/>
      </c>
      <c r="K182">
        <f>IFERROR(IF(ISNUMBER(INDEX(SPPR!$E:$Z,MATCH($A182,SPPR!$A:$A,0),8)),$C182*INDEX(SPPR!$E:$Z,MATCH($A182,SPPR!$A:$A,0),8),""),"")</f>
        <v/>
      </c>
      <c r="L182">
        <f>IFERROR(IF(ISNUMBER(INDEX(SPPR!$E:$Z,MATCH($A182,SPPR!$A:$A,0),9)),$C182*INDEX(SPPR!$E:$Z,MATCH($A182,SPPR!$A:$A,0),9),""),"")</f>
        <v/>
      </c>
      <c r="M182">
        <f>IFERROR(IF(ISNUMBER(INDEX(SPPR!$E:$Z,MATCH($A182,SPPR!$A:$A,0),10)),$C182*INDEX(SPPR!$E:$Z,MATCH($A182,SPPR!$A:$A,0),10),""),"")</f>
        <v/>
      </c>
      <c r="N182">
        <f>IFERROR(IF(ISNUMBER(INDEX(SPPR!$E:$Z,MATCH($A182,SPPR!$A:$A,0),11)),$C182*INDEX(SPPR!$E:$Z,MATCH($A182,SPPR!$A:$A,0),11),""),"")</f>
        <v/>
      </c>
      <c r="O182">
        <f>IFERROR(IF(ISNUMBER(INDEX(SPPR!$E:$Z,MATCH($A182,SPPR!$A:$A,0),12)),$C182*INDEX(SPPR!$E:$Z,MATCH($A182,SPPR!$A:$A,0),12),""),"")</f>
        <v/>
      </c>
      <c r="P182">
        <f>IFERROR(IF(ISNUMBER(INDEX(SPPR!$E:$Z,MATCH($A182,SPPR!$A:$A,0),13)),$C182*INDEX(SPPR!$E:$Z,MATCH($A182,SPPR!$A:$A,0),13),""),"")</f>
        <v/>
      </c>
      <c r="Q182">
        <f>IFERROR(IF(ISNUMBER(INDEX(SPPR!$E:$Z,MATCH($A182,SPPR!$A:$A,0),14)),$C182*INDEX(SPPR!$E:$Z,MATCH($A182,SPPR!$A:$A,0),14),""),"")</f>
        <v/>
      </c>
      <c r="R182">
        <f>IFERROR(IF(ISNUMBER(INDEX(SPPR!$E:$Z,MATCH($A182,SPPR!$A:$A,0),15)),$C182*INDEX(SPPR!$E:$Z,MATCH($A182,SPPR!$A:$A,0),15),""),"")</f>
        <v/>
      </c>
      <c r="S182">
        <f>IFERROR(IF(ISNUMBER(INDEX(SPPR!$E:$Z,MATCH($A182,SPPR!$A:$A,0),16)),$C182*INDEX(SPPR!$E:$Z,MATCH($A182,SPPR!$A:$A,0),16),""),"")</f>
        <v/>
      </c>
      <c r="T182">
        <f>IFERROR(IF(ISNUMBER(INDEX(SPPR!$E:$Z,MATCH($A182,SPPR!$A:$A,0),17)),$C182*INDEX(SPPR!$E:$Z,MATCH($A182,SPPR!$A:$A,0),17),""),"")</f>
        <v/>
      </c>
      <c r="U182">
        <f>IFERROR(IF(ISNUMBER(INDEX(SPPR!$E:$Z,MATCH($A182,SPPR!$A:$A,0),18)),$C182*INDEX(SPPR!$E:$Z,MATCH($A182,SPPR!$A:$A,0),18),""),"")</f>
        <v/>
      </c>
      <c r="V182">
        <f>IFERROR(IF(ISNUMBER(INDEX(SPPR!$E:$Z,MATCH($A182,SPPR!$A:$A,0),19)),$C182*INDEX(SPPR!$E:$Z,MATCH($A182,SPPR!$A:$A,0),19),""),"")</f>
        <v/>
      </c>
      <c r="W182">
        <f>IFERROR(IF(ISNUMBER(INDEX(SPPR!$E:$Z,MATCH($A182,SPPR!$A:$A,0),20)),$C182*INDEX(SPPR!$E:$Z,MATCH($A182,SPPR!$A:$A,0),20),""),"")</f>
        <v/>
      </c>
      <c r="X182">
        <f>IFERROR(IF(ISNUMBER(INDEX(SPPR!$E:$Z,MATCH($A182,SPPR!$A:$A,0),21)),$C182*INDEX(SPPR!$E:$Z,MATCH($A182,SPPR!$A:$A,0),21),""),"")</f>
        <v/>
      </c>
      <c r="Y182">
        <f>IFERROR(IF(ISNUMBER(INDEX(SPPR!$E:$Z,MATCH($A182,SPPR!$A:$A,0),22)),$C182*INDEX(SPPR!$E:$Z,MATCH($A182,SPPR!$A:$A,0),22),""),"")</f>
        <v/>
      </c>
    </row>
    <row r="183">
      <c r="A183" t="inlineStr">
        <is>
          <t>Palinuridae</t>
        </is>
      </c>
      <c r="B183">
        <f>IFERROR(INDEX(SPPR!$D:$D,MATCH($A183,SPPR!$A:$A,0)),"")</f>
        <v/>
      </c>
      <c r="C183">
        <f>IFERROR(INDEX(Catch!$E:$BV,MATCH($A183,Catch!$A:$A,0),MATCH($B$4,Catch!$E$1:$BV$1,0)),0)</f>
        <v/>
      </c>
      <c r="D183">
        <f>IFERROR(IF(ISNUMBER(INDEX(SPPR!$E:$Z,MATCH($A183,SPPR!$A:$A,0),1)),$C183*INDEX(SPPR!$E:$Z,MATCH($A183,SPPR!$A:$A,0),1),""),"")</f>
        <v/>
      </c>
      <c r="E183">
        <f>IFERROR(IF(ISNUMBER(INDEX(SPPR!$E:$Z,MATCH($A183,SPPR!$A:$A,0),2)),$C183*INDEX(SPPR!$E:$Z,MATCH($A183,SPPR!$A:$A,0),2),""),"")</f>
        <v/>
      </c>
      <c r="F183">
        <f>IFERROR(IF(ISNUMBER(INDEX(SPPR!$E:$Z,MATCH($A183,SPPR!$A:$A,0),3)),$C183*INDEX(SPPR!$E:$Z,MATCH($A183,SPPR!$A:$A,0),3),""),"")</f>
        <v/>
      </c>
      <c r="G183">
        <f>IFERROR(IF(ISNUMBER(INDEX(SPPR!$E:$Z,MATCH($A183,SPPR!$A:$A,0),4)),$C183*INDEX(SPPR!$E:$Z,MATCH($A183,SPPR!$A:$A,0),4),""),"")</f>
        <v/>
      </c>
      <c r="H183">
        <f>IFERROR(IF(ISNUMBER(INDEX(SPPR!$E:$Z,MATCH($A183,SPPR!$A:$A,0),5)),$C183*INDEX(SPPR!$E:$Z,MATCH($A183,SPPR!$A:$A,0),5),""),"")</f>
        <v/>
      </c>
      <c r="I183">
        <f>IFERROR(IF(ISNUMBER(INDEX(SPPR!$E:$Z,MATCH($A183,SPPR!$A:$A,0),6)),$C183*INDEX(SPPR!$E:$Z,MATCH($A183,SPPR!$A:$A,0),6),""),"")</f>
        <v/>
      </c>
      <c r="J183">
        <f>IFERROR(IF(ISNUMBER(INDEX(SPPR!$E:$Z,MATCH($A183,SPPR!$A:$A,0),7)),$C183*INDEX(SPPR!$E:$Z,MATCH($A183,SPPR!$A:$A,0),7),""),"")</f>
        <v/>
      </c>
      <c r="K183">
        <f>IFERROR(IF(ISNUMBER(INDEX(SPPR!$E:$Z,MATCH($A183,SPPR!$A:$A,0),8)),$C183*INDEX(SPPR!$E:$Z,MATCH($A183,SPPR!$A:$A,0),8),""),"")</f>
        <v/>
      </c>
      <c r="L183">
        <f>IFERROR(IF(ISNUMBER(INDEX(SPPR!$E:$Z,MATCH($A183,SPPR!$A:$A,0),9)),$C183*INDEX(SPPR!$E:$Z,MATCH($A183,SPPR!$A:$A,0),9),""),"")</f>
        <v/>
      </c>
      <c r="M183">
        <f>IFERROR(IF(ISNUMBER(INDEX(SPPR!$E:$Z,MATCH($A183,SPPR!$A:$A,0),10)),$C183*INDEX(SPPR!$E:$Z,MATCH($A183,SPPR!$A:$A,0),10),""),"")</f>
        <v/>
      </c>
      <c r="N183">
        <f>IFERROR(IF(ISNUMBER(INDEX(SPPR!$E:$Z,MATCH($A183,SPPR!$A:$A,0),11)),$C183*INDEX(SPPR!$E:$Z,MATCH($A183,SPPR!$A:$A,0),11),""),"")</f>
        <v/>
      </c>
      <c r="O183">
        <f>IFERROR(IF(ISNUMBER(INDEX(SPPR!$E:$Z,MATCH($A183,SPPR!$A:$A,0),12)),$C183*INDEX(SPPR!$E:$Z,MATCH($A183,SPPR!$A:$A,0),12),""),"")</f>
        <v/>
      </c>
      <c r="P183">
        <f>IFERROR(IF(ISNUMBER(INDEX(SPPR!$E:$Z,MATCH($A183,SPPR!$A:$A,0),13)),$C183*INDEX(SPPR!$E:$Z,MATCH($A183,SPPR!$A:$A,0),13),""),"")</f>
        <v/>
      </c>
      <c r="Q183">
        <f>IFERROR(IF(ISNUMBER(INDEX(SPPR!$E:$Z,MATCH($A183,SPPR!$A:$A,0),14)),$C183*INDEX(SPPR!$E:$Z,MATCH($A183,SPPR!$A:$A,0),14),""),"")</f>
        <v/>
      </c>
      <c r="R183">
        <f>IFERROR(IF(ISNUMBER(INDEX(SPPR!$E:$Z,MATCH($A183,SPPR!$A:$A,0),15)),$C183*INDEX(SPPR!$E:$Z,MATCH($A183,SPPR!$A:$A,0),15),""),"")</f>
        <v/>
      </c>
      <c r="S183">
        <f>IFERROR(IF(ISNUMBER(INDEX(SPPR!$E:$Z,MATCH($A183,SPPR!$A:$A,0),16)),$C183*INDEX(SPPR!$E:$Z,MATCH($A183,SPPR!$A:$A,0),16),""),"")</f>
        <v/>
      </c>
      <c r="T183">
        <f>IFERROR(IF(ISNUMBER(INDEX(SPPR!$E:$Z,MATCH($A183,SPPR!$A:$A,0),17)),$C183*INDEX(SPPR!$E:$Z,MATCH($A183,SPPR!$A:$A,0),17),""),"")</f>
        <v/>
      </c>
      <c r="U183">
        <f>IFERROR(IF(ISNUMBER(INDEX(SPPR!$E:$Z,MATCH($A183,SPPR!$A:$A,0),18)),$C183*INDEX(SPPR!$E:$Z,MATCH($A183,SPPR!$A:$A,0),18),""),"")</f>
        <v/>
      </c>
      <c r="V183">
        <f>IFERROR(IF(ISNUMBER(INDEX(SPPR!$E:$Z,MATCH($A183,SPPR!$A:$A,0),19)),$C183*INDEX(SPPR!$E:$Z,MATCH($A183,SPPR!$A:$A,0),19),""),"")</f>
        <v/>
      </c>
      <c r="W183">
        <f>IFERROR(IF(ISNUMBER(INDEX(SPPR!$E:$Z,MATCH($A183,SPPR!$A:$A,0),20)),$C183*INDEX(SPPR!$E:$Z,MATCH($A183,SPPR!$A:$A,0),20),""),"")</f>
        <v/>
      </c>
      <c r="X183">
        <f>IFERROR(IF(ISNUMBER(INDEX(SPPR!$E:$Z,MATCH($A183,SPPR!$A:$A,0),21)),$C183*INDEX(SPPR!$E:$Z,MATCH($A183,SPPR!$A:$A,0),21),""),"")</f>
        <v/>
      </c>
      <c r="Y183">
        <f>IFERROR(IF(ISNUMBER(INDEX(SPPR!$E:$Z,MATCH($A183,SPPR!$A:$A,0),22)),$C183*INDEX(SPPR!$E:$Z,MATCH($A183,SPPR!$A:$A,0),22),""),"")</f>
        <v/>
      </c>
    </row>
    <row r="184">
      <c r="A184" t="inlineStr">
        <is>
          <t>Dussumieria</t>
        </is>
      </c>
      <c r="B184">
        <f>IFERROR(INDEX(SPPR!$D:$D,MATCH($A184,SPPR!$A:$A,0)),"")</f>
        <v/>
      </c>
      <c r="C184">
        <f>IFERROR(INDEX(Catch!$E:$BV,MATCH($A184,Catch!$A:$A,0),MATCH($B$4,Catch!$E$1:$BV$1,0)),0)</f>
        <v/>
      </c>
      <c r="D184">
        <f>IFERROR(IF(ISNUMBER(INDEX(SPPR!$E:$Z,MATCH($A184,SPPR!$A:$A,0),1)),$C184*INDEX(SPPR!$E:$Z,MATCH($A184,SPPR!$A:$A,0),1),""),"")</f>
        <v/>
      </c>
      <c r="E184">
        <f>IFERROR(IF(ISNUMBER(INDEX(SPPR!$E:$Z,MATCH($A184,SPPR!$A:$A,0),2)),$C184*INDEX(SPPR!$E:$Z,MATCH($A184,SPPR!$A:$A,0),2),""),"")</f>
        <v/>
      </c>
      <c r="F184">
        <f>IFERROR(IF(ISNUMBER(INDEX(SPPR!$E:$Z,MATCH($A184,SPPR!$A:$A,0),3)),$C184*INDEX(SPPR!$E:$Z,MATCH($A184,SPPR!$A:$A,0),3),""),"")</f>
        <v/>
      </c>
      <c r="G184">
        <f>IFERROR(IF(ISNUMBER(INDEX(SPPR!$E:$Z,MATCH($A184,SPPR!$A:$A,0),4)),$C184*INDEX(SPPR!$E:$Z,MATCH($A184,SPPR!$A:$A,0),4),""),"")</f>
        <v/>
      </c>
      <c r="H184">
        <f>IFERROR(IF(ISNUMBER(INDEX(SPPR!$E:$Z,MATCH($A184,SPPR!$A:$A,0),5)),$C184*INDEX(SPPR!$E:$Z,MATCH($A184,SPPR!$A:$A,0),5),""),"")</f>
        <v/>
      </c>
      <c r="I184">
        <f>IFERROR(IF(ISNUMBER(INDEX(SPPR!$E:$Z,MATCH($A184,SPPR!$A:$A,0),6)),$C184*INDEX(SPPR!$E:$Z,MATCH($A184,SPPR!$A:$A,0),6),""),"")</f>
        <v/>
      </c>
      <c r="J184">
        <f>IFERROR(IF(ISNUMBER(INDEX(SPPR!$E:$Z,MATCH($A184,SPPR!$A:$A,0),7)),$C184*INDEX(SPPR!$E:$Z,MATCH($A184,SPPR!$A:$A,0),7),""),"")</f>
        <v/>
      </c>
      <c r="K184">
        <f>IFERROR(IF(ISNUMBER(INDEX(SPPR!$E:$Z,MATCH($A184,SPPR!$A:$A,0),8)),$C184*INDEX(SPPR!$E:$Z,MATCH($A184,SPPR!$A:$A,0),8),""),"")</f>
        <v/>
      </c>
      <c r="L184">
        <f>IFERROR(IF(ISNUMBER(INDEX(SPPR!$E:$Z,MATCH($A184,SPPR!$A:$A,0),9)),$C184*INDEX(SPPR!$E:$Z,MATCH($A184,SPPR!$A:$A,0),9),""),"")</f>
        <v/>
      </c>
      <c r="M184">
        <f>IFERROR(IF(ISNUMBER(INDEX(SPPR!$E:$Z,MATCH($A184,SPPR!$A:$A,0),10)),$C184*INDEX(SPPR!$E:$Z,MATCH($A184,SPPR!$A:$A,0),10),""),"")</f>
        <v/>
      </c>
      <c r="N184">
        <f>IFERROR(IF(ISNUMBER(INDEX(SPPR!$E:$Z,MATCH($A184,SPPR!$A:$A,0),11)),$C184*INDEX(SPPR!$E:$Z,MATCH($A184,SPPR!$A:$A,0),11),""),"")</f>
        <v/>
      </c>
      <c r="O184">
        <f>IFERROR(IF(ISNUMBER(INDEX(SPPR!$E:$Z,MATCH($A184,SPPR!$A:$A,0),12)),$C184*INDEX(SPPR!$E:$Z,MATCH($A184,SPPR!$A:$A,0),12),""),"")</f>
        <v/>
      </c>
      <c r="P184">
        <f>IFERROR(IF(ISNUMBER(INDEX(SPPR!$E:$Z,MATCH($A184,SPPR!$A:$A,0),13)),$C184*INDEX(SPPR!$E:$Z,MATCH($A184,SPPR!$A:$A,0),13),""),"")</f>
        <v/>
      </c>
      <c r="Q184">
        <f>IFERROR(IF(ISNUMBER(INDEX(SPPR!$E:$Z,MATCH($A184,SPPR!$A:$A,0),14)),$C184*INDEX(SPPR!$E:$Z,MATCH($A184,SPPR!$A:$A,0),14),""),"")</f>
        <v/>
      </c>
      <c r="R184">
        <f>IFERROR(IF(ISNUMBER(INDEX(SPPR!$E:$Z,MATCH($A184,SPPR!$A:$A,0),15)),$C184*INDEX(SPPR!$E:$Z,MATCH($A184,SPPR!$A:$A,0),15),""),"")</f>
        <v/>
      </c>
      <c r="S184">
        <f>IFERROR(IF(ISNUMBER(INDEX(SPPR!$E:$Z,MATCH($A184,SPPR!$A:$A,0),16)),$C184*INDEX(SPPR!$E:$Z,MATCH($A184,SPPR!$A:$A,0),16),""),"")</f>
        <v/>
      </c>
      <c r="T184">
        <f>IFERROR(IF(ISNUMBER(INDEX(SPPR!$E:$Z,MATCH($A184,SPPR!$A:$A,0),17)),$C184*INDEX(SPPR!$E:$Z,MATCH($A184,SPPR!$A:$A,0),17),""),"")</f>
        <v/>
      </c>
      <c r="U184">
        <f>IFERROR(IF(ISNUMBER(INDEX(SPPR!$E:$Z,MATCH($A184,SPPR!$A:$A,0),18)),$C184*INDEX(SPPR!$E:$Z,MATCH($A184,SPPR!$A:$A,0),18),""),"")</f>
        <v/>
      </c>
      <c r="V184">
        <f>IFERROR(IF(ISNUMBER(INDEX(SPPR!$E:$Z,MATCH($A184,SPPR!$A:$A,0),19)),$C184*INDEX(SPPR!$E:$Z,MATCH($A184,SPPR!$A:$A,0),19),""),"")</f>
        <v/>
      </c>
      <c r="W184">
        <f>IFERROR(IF(ISNUMBER(INDEX(SPPR!$E:$Z,MATCH($A184,SPPR!$A:$A,0),20)),$C184*INDEX(SPPR!$E:$Z,MATCH($A184,SPPR!$A:$A,0),20),""),"")</f>
        <v/>
      </c>
      <c r="X184">
        <f>IFERROR(IF(ISNUMBER(INDEX(SPPR!$E:$Z,MATCH($A184,SPPR!$A:$A,0),21)),$C184*INDEX(SPPR!$E:$Z,MATCH($A184,SPPR!$A:$A,0),21),""),"")</f>
        <v/>
      </c>
      <c r="Y184">
        <f>IFERROR(IF(ISNUMBER(INDEX(SPPR!$E:$Z,MATCH($A184,SPPR!$A:$A,0),22)),$C184*INDEX(SPPR!$E:$Z,MATCH($A184,SPPR!$A:$A,0),22),""),"")</f>
        <v/>
      </c>
    </row>
    <row r="185">
      <c r="A185" t="inlineStr">
        <is>
          <t>Sepioteuthis lessoniana</t>
        </is>
      </c>
      <c r="B185">
        <f>IFERROR(INDEX(SPPR!$D:$D,MATCH($A185,SPPR!$A:$A,0)),"")</f>
        <v/>
      </c>
      <c r="C185">
        <f>IFERROR(INDEX(Catch!$E:$BV,MATCH($A185,Catch!$A:$A,0),MATCH($B$4,Catch!$E$1:$BV$1,0)),0)</f>
        <v/>
      </c>
      <c r="D185">
        <f>IFERROR(IF(ISNUMBER(INDEX(SPPR!$E:$Z,MATCH($A185,SPPR!$A:$A,0),1)),$C185*INDEX(SPPR!$E:$Z,MATCH($A185,SPPR!$A:$A,0),1),""),"")</f>
        <v/>
      </c>
      <c r="E185">
        <f>IFERROR(IF(ISNUMBER(INDEX(SPPR!$E:$Z,MATCH($A185,SPPR!$A:$A,0),2)),$C185*INDEX(SPPR!$E:$Z,MATCH($A185,SPPR!$A:$A,0),2),""),"")</f>
        <v/>
      </c>
      <c r="F185">
        <f>IFERROR(IF(ISNUMBER(INDEX(SPPR!$E:$Z,MATCH($A185,SPPR!$A:$A,0),3)),$C185*INDEX(SPPR!$E:$Z,MATCH($A185,SPPR!$A:$A,0),3),""),"")</f>
        <v/>
      </c>
      <c r="G185">
        <f>IFERROR(IF(ISNUMBER(INDEX(SPPR!$E:$Z,MATCH($A185,SPPR!$A:$A,0),4)),$C185*INDEX(SPPR!$E:$Z,MATCH($A185,SPPR!$A:$A,0),4),""),"")</f>
        <v/>
      </c>
      <c r="H185">
        <f>IFERROR(IF(ISNUMBER(INDEX(SPPR!$E:$Z,MATCH($A185,SPPR!$A:$A,0),5)),$C185*INDEX(SPPR!$E:$Z,MATCH($A185,SPPR!$A:$A,0),5),""),"")</f>
        <v/>
      </c>
      <c r="I185">
        <f>IFERROR(IF(ISNUMBER(INDEX(SPPR!$E:$Z,MATCH($A185,SPPR!$A:$A,0),6)),$C185*INDEX(SPPR!$E:$Z,MATCH($A185,SPPR!$A:$A,0),6),""),"")</f>
        <v/>
      </c>
      <c r="J185">
        <f>IFERROR(IF(ISNUMBER(INDEX(SPPR!$E:$Z,MATCH($A185,SPPR!$A:$A,0),7)),$C185*INDEX(SPPR!$E:$Z,MATCH($A185,SPPR!$A:$A,0),7),""),"")</f>
        <v/>
      </c>
      <c r="K185">
        <f>IFERROR(IF(ISNUMBER(INDEX(SPPR!$E:$Z,MATCH($A185,SPPR!$A:$A,0),8)),$C185*INDEX(SPPR!$E:$Z,MATCH($A185,SPPR!$A:$A,0),8),""),"")</f>
        <v/>
      </c>
      <c r="L185">
        <f>IFERROR(IF(ISNUMBER(INDEX(SPPR!$E:$Z,MATCH($A185,SPPR!$A:$A,0),9)),$C185*INDEX(SPPR!$E:$Z,MATCH($A185,SPPR!$A:$A,0),9),""),"")</f>
        <v/>
      </c>
      <c r="M185">
        <f>IFERROR(IF(ISNUMBER(INDEX(SPPR!$E:$Z,MATCH($A185,SPPR!$A:$A,0),10)),$C185*INDEX(SPPR!$E:$Z,MATCH($A185,SPPR!$A:$A,0),10),""),"")</f>
        <v/>
      </c>
      <c r="N185">
        <f>IFERROR(IF(ISNUMBER(INDEX(SPPR!$E:$Z,MATCH($A185,SPPR!$A:$A,0),11)),$C185*INDEX(SPPR!$E:$Z,MATCH($A185,SPPR!$A:$A,0),11),""),"")</f>
        <v/>
      </c>
      <c r="O185">
        <f>IFERROR(IF(ISNUMBER(INDEX(SPPR!$E:$Z,MATCH($A185,SPPR!$A:$A,0),12)),$C185*INDEX(SPPR!$E:$Z,MATCH($A185,SPPR!$A:$A,0),12),""),"")</f>
        <v/>
      </c>
      <c r="P185">
        <f>IFERROR(IF(ISNUMBER(INDEX(SPPR!$E:$Z,MATCH($A185,SPPR!$A:$A,0),13)),$C185*INDEX(SPPR!$E:$Z,MATCH($A185,SPPR!$A:$A,0),13),""),"")</f>
        <v/>
      </c>
      <c r="Q185">
        <f>IFERROR(IF(ISNUMBER(INDEX(SPPR!$E:$Z,MATCH($A185,SPPR!$A:$A,0),14)),$C185*INDEX(SPPR!$E:$Z,MATCH($A185,SPPR!$A:$A,0),14),""),"")</f>
        <v/>
      </c>
      <c r="R185">
        <f>IFERROR(IF(ISNUMBER(INDEX(SPPR!$E:$Z,MATCH($A185,SPPR!$A:$A,0),15)),$C185*INDEX(SPPR!$E:$Z,MATCH($A185,SPPR!$A:$A,0),15),""),"")</f>
        <v/>
      </c>
      <c r="S185">
        <f>IFERROR(IF(ISNUMBER(INDEX(SPPR!$E:$Z,MATCH($A185,SPPR!$A:$A,0),16)),$C185*INDEX(SPPR!$E:$Z,MATCH($A185,SPPR!$A:$A,0),16),""),"")</f>
        <v/>
      </c>
      <c r="T185">
        <f>IFERROR(IF(ISNUMBER(INDEX(SPPR!$E:$Z,MATCH($A185,SPPR!$A:$A,0),17)),$C185*INDEX(SPPR!$E:$Z,MATCH($A185,SPPR!$A:$A,0),17),""),"")</f>
        <v/>
      </c>
      <c r="U185">
        <f>IFERROR(IF(ISNUMBER(INDEX(SPPR!$E:$Z,MATCH($A185,SPPR!$A:$A,0),18)),$C185*INDEX(SPPR!$E:$Z,MATCH($A185,SPPR!$A:$A,0),18),""),"")</f>
        <v/>
      </c>
      <c r="V185">
        <f>IFERROR(IF(ISNUMBER(INDEX(SPPR!$E:$Z,MATCH($A185,SPPR!$A:$A,0),19)),$C185*INDEX(SPPR!$E:$Z,MATCH($A185,SPPR!$A:$A,0),19),""),"")</f>
        <v/>
      </c>
      <c r="W185">
        <f>IFERROR(IF(ISNUMBER(INDEX(SPPR!$E:$Z,MATCH($A185,SPPR!$A:$A,0),20)),$C185*INDEX(SPPR!$E:$Z,MATCH($A185,SPPR!$A:$A,0),20),""),"")</f>
        <v/>
      </c>
      <c r="X185">
        <f>IFERROR(IF(ISNUMBER(INDEX(SPPR!$E:$Z,MATCH($A185,SPPR!$A:$A,0),21)),$C185*INDEX(SPPR!$E:$Z,MATCH($A185,SPPR!$A:$A,0),21),""),"")</f>
        <v/>
      </c>
      <c r="Y185">
        <f>IFERROR(IF(ISNUMBER(INDEX(SPPR!$E:$Z,MATCH($A185,SPPR!$A:$A,0),22)),$C185*INDEX(SPPR!$E:$Z,MATCH($A185,SPPR!$A:$A,0),22),""),"")</f>
        <v/>
      </c>
    </row>
    <row r="186">
      <c r="A186" t="inlineStr">
        <is>
          <t>Seriolina nigrofasciata</t>
        </is>
      </c>
      <c r="B186">
        <f>IFERROR(INDEX(SPPR!$D:$D,MATCH($A186,SPPR!$A:$A,0)),"")</f>
        <v/>
      </c>
      <c r="C186">
        <f>IFERROR(INDEX(Catch!$E:$BV,MATCH($A186,Catch!$A:$A,0),MATCH($B$4,Catch!$E$1:$BV$1,0)),0)</f>
        <v/>
      </c>
      <c r="D186">
        <f>IFERROR(IF(ISNUMBER(INDEX(SPPR!$E:$Z,MATCH($A186,SPPR!$A:$A,0),1)),$C186*INDEX(SPPR!$E:$Z,MATCH($A186,SPPR!$A:$A,0),1),""),"")</f>
        <v/>
      </c>
      <c r="E186">
        <f>IFERROR(IF(ISNUMBER(INDEX(SPPR!$E:$Z,MATCH($A186,SPPR!$A:$A,0),2)),$C186*INDEX(SPPR!$E:$Z,MATCH($A186,SPPR!$A:$A,0),2),""),"")</f>
        <v/>
      </c>
      <c r="F186">
        <f>IFERROR(IF(ISNUMBER(INDEX(SPPR!$E:$Z,MATCH($A186,SPPR!$A:$A,0),3)),$C186*INDEX(SPPR!$E:$Z,MATCH($A186,SPPR!$A:$A,0),3),""),"")</f>
        <v/>
      </c>
      <c r="G186">
        <f>IFERROR(IF(ISNUMBER(INDEX(SPPR!$E:$Z,MATCH($A186,SPPR!$A:$A,0),4)),$C186*INDEX(SPPR!$E:$Z,MATCH($A186,SPPR!$A:$A,0),4),""),"")</f>
        <v/>
      </c>
      <c r="H186">
        <f>IFERROR(IF(ISNUMBER(INDEX(SPPR!$E:$Z,MATCH($A186,SPPR!$A:$A,0),5)),$C186*INDEX(SPPR!$E:$Z,MATCH($A186,SPPR!$A:$A,0),5),""),"")</f>
        <v/>
      </c>
      <c r="I186">
        <f>IFERROR(IF(ISNUMBER(INDEX(SPPR!$E:$Z,MATCH($A186,SPPR!$A:$A,0),6)),$C186*INDEX(SPPR!$E:$Z,MATCH($A186,SPPR!$A:$A,0),6),""),"")</f>
        <v/>
      </c>
      <c r="J186">
        <f>IFERROR(IF(ISNUMBER(INDEX(SPPR!$E:$Z,MATCH($A186,SPPR!$A:$A,0),7)),$C186*INDEX(SPPR!$E:$Z,MATCH($A186,SPPR!$A:$A,0),7),""),"")</f>
        <v/>
      </c>
      <c r="K186">
        <f>IFERROR(IF(ISNUMBER(INDEX(SPPR!$E:$Z,MATCH($A186,SPPR!$A:$A,0),8)),$C186*INDEX(SPPR!$E:$Z,MATCH($A186,SPPR!$A:$A,0),8),""),"")</f>
        <v/>
      </c>
      <c r="L186">
        <f>IFERROR(IF(ISNUMBER(INDEX(SPPR!$E:$Z,MATCH($A186,SPPR!$A:$A,0),9)),$C186*INDEX(SPPR!$E:$Z,MATCH($A186,SPPR!$A:$A,0),9),""),"")</f>
        <v/>
      </c>
      <c r="M186">
        <f>IFERROR(IF(ISNUMBER(INDEX(SPPR!$E:$Z,MATCH($A186,SPPR!$A:$A,0),10)),$C186*INDEX(SPPR!$E:$Z,MATCH($A186,SPPR!$A:$A,0),10),""),"")</f>
        <v/>
      </c>
      <c r="N186">
        <f>IFERROR(IF(ISNUMBER(INDEX(SPPR!$E:$Z,MATCH($A186,SPPR!$A:$A,0),11)),$C186*INDEX(SPPR!$E:$Z,MATCH($A186,SPPR!$A:$A,0),11),""),"")</f>
        <v/>
      </c>
      <c r="O186">
        <f>IFERROR(IF(ISNUMBER(INDEX(SPPR!$E:$Z,MATCH($A186,SPPR!$A:$A,0),12)),$C186*INDEX(SPPR!$E:$Z,MATCH($A186,SPPR!$A:$A,0),12),""),"")</f>
        <v/>
      </c>
      <c r="P186">
        <f>IFERROR(IF(ISNUMBER(INDEX(SPPR!$E:$Z,MATCH($A186,SPPR!$A:$A,0),13)),$C186*INDEX(SPPR!$E:$Z,MATCH($A186,SPPR!$A:$A,0),13),""),"")</f>
        <v/>
      </c>
      <c r="Q186">
        <f>IFERROR(IF(ISNUMBER(INDEX(SPPR!$E:$Z,MATCH($A186,SPPR!$A:$A,0),14)),$C186*INDEX(SPPR!$E:$Z,MATCH($A186,SPPR!$A:$A,0),14),""),"")</f>
        <v/>
      </c>
      <c r="R186">
        <f>IFERROR(IF(ISNUMBER(INDEX(SPPR!$E:$Z,MATCH($A186,SPPR!$A:$A,0),15)),$C186*INDEX(SPPR!$E:$Z,MATCH($A186,SPPR!$A:$A,0),15),""),"")</f>
        <v/>
      </c>
      <c r="S186">
        <f>IFERROR(IF(ISNUMBER(INDEX(SPPR!$E:$Z,MATCH($A186,SPPR!$A:$A,0),16)),$C186*INDEX(SPPR!$E:$Z,MATCH($A186,SPPR!$A:$A,0),16),""),"")</f>
        <v/>
      </c>
      <c r="T186">
        <f>IFERROR(IF(ISNUMBER(INDEX(SPPR!$E:$Z,MATCH($A186,SPPR!$A:$A,0),17)),$C186*INDEX(SPPR!$E:$Z,MATCH($A186,SPPR!$A:$A,0),17),""),"")</f>
        <v/>
      </c>
      <c r="U186">
        <f>IFERROR(IF(ISNUMBER(INDEX(SPPR!$E:$Z,MATCH($A186,SPPR!$A:$A,0),18)),$C186*INDEX(SPPR!$E:$Z,MATCH($A186,SPPR!$A:$A,0),18),""),"")</f>
        <v/>
      </c>
      <c r="V186">
        <f>IFERROR(IF(ISNUMBER(INDEX(SPPR!$E:$Z,MATCH($A186,SPPR!$A:$A,0),19)),$C186*INDEX(SPPR!$E:$Z,MATCH($A186,SPPR!$A:$A,0),19),""),"")</f>
        <v/>
      </c>
      <c r="W186">
        <f>IFERROR(IF(ISNUMBER(INDEX(SPPR!$E:$Z,MATCH($A186,SPPR!$A:$A,0),20)),$C186*INDEX(SPPR!$E:$Z,MATCH($A186,SPPR!$A:$A,0),20),""),"")</f>
        <v/>
      </c>
      <c r="X186">
        <f>IFERROR(IF(ISNUMBER(INDEX(SPPR!$E:$Z,MATCH($A186,SPPR!$A:$A,0),21)),$C186*INDEX(SPPR!$E:$Z,MATCH($A186,SPPR!$A:$A,0),21),""),"")</f>
        <v/>
      </c>
      <c r="Y186">
        <f>IFERROR(IF(ISNUMBER(INDEX(SPPR!$E:$Z,MATCH($A186,SPPR!$A:$A,0),22)),$C186*INDEX(SPPR!$E:$Z,MATCH($A186,SPPR!$A:$A,0),22),""),"")</f>
        <v/>
      </c>
    </row>
    <row r="187">
      <c r="A187" t="inlineStr">
        <is>
          <t>Scorpaenidae</t>
        </is>
      </c>
      <c r="B187">
        <f>IFERROR(INDEX(SPPR!$D:$D,MATCH($A187,SPPR!$A:$A,0)),"")</f>
        <v/>
      </c>
      <c r="C187">
        <f>IFERROR(INDEX(Catch!$E:$BV,MATCH($A187,Catch!$A:$A,0),MATCH($B$4,Catch!$E$1:$BV$1,0)),0)</f>
        <v/>
      </c>
      <c r="D187">
        <f>IFERROR(IF(ISNUMBER(INDEX(SPPR!$E:$Z,MATCH($A187,SPPR!$A:$A,0),1)),$C187*INDEX(SPPR!$E:$Z,MATCH($A187,SPPR!$A:$A,0),1),""),"")</f>
        <v/>
      </c>
      <c r="E187">
        <f>IFERROR(IF(ISNUMBER(INDEX(SPPR!$E:$Z,MATCH($A187,SPPR!$A:$A,0),2)),$C187*INDEX(SPPR!$E:$Z,MATCH($A187,SPPR!$A:$A,0),2),""),"")</f>
        <v/>
      </c>
      <c r="F187">
        <f>IFERROR(IF(ISNUMBER(INDEX(SPPR!$E:$Z,MATCH($A187,SPPR!$A:$A,0),3)),$C187*INDEX(SPPR!$E:$Z,MATCH($A187,SPPR!$A:$A,0),3),""),"")</f>
        <v/>
      </c>
      <c r="G187">
        <f>IFERROR(IF(ISNUMBER(INDEX(SPPR!$E:$Z,MATCH($A187,SPPR!$A:$A,0),4)),$C187*INDEX(SPPR!$E:$Z,MATCH($A187,SPPR!$A:$A,0),4),""),"")</f>
        <v/>
      </c>
      <c r="H187">
        <f>IFERROR(IF(ISNUMBER(INDEX(SPPR!$E:$Z,MATCH($A187,SPPR!$A:$A,0),5)),$C187*INDEX(SPPR!$E:$Z,MATCH($A187,SPPR!$A:$A,0),5),""),"")</f>
        <v/>
      </c>
      <c r="I187">
        <f>IFERROR(IF(ISNUMBER(INDEX(SPPR!$E:$Z,MATCH($A187,SPPR!$A:$A,0),6)),$C187*INDEX(SPPR!$E:$Z,MATCH($A187,SPPR!$A:$A,0),6),""),"")</f>
        <v/>
      </c>
      <c r="J187">
        <f>IFERROR(IF(ISNUMBER(INDEX(SPPR!$E:$Z,MATCH($A187,SPPR!$A:$A,0),7)),$C187*INDEX(SPPR!$E:$Z,MATCH($A187,SPPR!$A:$A,0),7),""),"")</f>
        <v/>
      </c>
      <c r="K187">
        <f>IFERROR(IF(ISNUMBER(INDEX(SPPR!$E:$Z,MATCH($A187,SPPR!$A:$A,0),8)),$C187*INDEX(SPPR!$E:$Z,MATCH($A187,SPPR!$A:$A,0),8),""),"")</f>
        <v/>
      </c>
      <c r="L187">
        <f>IFERROR(IF(ISNUMBER(INDEX(SPPR!$E:$Z,MATCH($A187,SPPR!$A:$A,0),9)),$C187*INDEX(SPPR!$E:$Z,MATCH($A187,SPPR!$A:$A,0),9),""),"")</f>
        <v/>
      </c>
      <c r="M187">
        <f>IFERROR(IF(ISNUMBER(INDEX(SPPR!$E:$Z,MATCH($A187,SPPR!$A:$A,0),10)),$C187*INDEX(SPPR!$E:$Z,MATCH($A187,SPPR!$A:$A,0),10),""),"")</f>
        <v/>
      </c>
      <c r="N187">
        <f>IFERROR(IF(ISNUMBER(INDEX(SPPR!$E:$Z,MATCH($A187,SPPR!$A:$A,0),11)),$C187*INDEX(SPPR!$E:$Z,MATCH($A187,SPPR!$A:$A,0),11),""),"")</f>
        <v/>
      </c>
      <c r="O187">
        <f>IFERROR(IF(ISNUMBER(INDEX(SPPR!$E:$Z,MATCH($A187,SPPR!$A:$A,0),12)),$C187*INDEX(SPPR!$E:$Z,MATCH($A187,SPPR!$A:$A,0),12),""),"")</f>
        <v/>
      </c>
      <c r="P187">
        <f>IFERROR(IF(ISNUMBER(INDEX(SPPR!$E:$Z,MATCH($A187,SPPR!$A:$A,0),13)),$C187*INDEX(SPPR!$E:$Z,MATCH($A187,SPPR!$A:$A,0),13),""),"")</f>
        <v/>
      </c>
      <c r="Q187">
        <f>IFERROR(IF(ISNUMBER(INDEX(SPPR!$E:$Z,MATCH($A187,SPPR!$A:$A,0),14)),$C187*INDEX(SPPR!$E:$Z,MATCH($A187,SPPR!$A:$A,0),14),""),"")</f>
        <v/>
      </c>
      <c r="R187">
        <f>IFERROR(IF(ISNUMBER(INDEX(SPPR!$E:$Z,MATCH($A187,SPPR!$A:$A,0),15)),$C187*INDEX(SPPR!$E:$Z,MATCH($A187,SPPR!$A:$A,0),15),""),"")</f>
        <v/>
      </c>
      <c r="S187">
        <f>IFERROR(IF(ISNUMBER(INDEX(SPPR!$E:$Z,MATCH($A187,SPPR!$A:$A,0),16)),$C187*INDEX(SPPR!$E:$Z,MATCH($A187,SPPR!$A:$A,0),16),""),"")</f>
        <v/>
      </c>
      <c r="T187">
        <f>IFERROR(IF(ISNUMBER(INDEX(SPPR!$E:$Z,MATCH($A187,SPPR!$A:$A,0),17)),$C187*INDEX(SPPR!$E:$Z,MATCH($A187,SPPR!$A:$A,0),17),""),"")</f>
        <v/>
      </c>
      <c r="U187">
        <f>IFERROR(IF(ISNUMBER(INDEX(SPPR!$E:$Z,MATCH($A187,SPPR!$A:$A,0),18)),$C187*INDEX(SPPR!$E:$Z,MATCH($A187,SPPR!$A:$A,0),18),""),"")</f>
        <v/>
      </c>
      <c r="V187">
        <f>IFERROR(IF(ISNUMBER(INDEX(SPPR!$E:$Z,MATCH($A187,SPPR!$A:$A,0),19)),$C187*INDEX(SPPR!$E:$Z,MATCH($A187,SPPR!$A:$A,0),19),""),"")</f>
        <v/>
      </c>
      <c r="W187">
        <f>IFERROR(IF(ISNUMBER(INDEX(SPPR!$E:$Z,MATCH($A187,SPPR!$A:$A,0),20)),$C187*INDEX(SPPR!$E:$Z,MATCH($A187,SPPR!$A:$A,0),20),""),"")</f>
        <v/>
      </c>
      <c r="X187">
        <f>IFERROR(IF(ISNUMBER(INDEX(SPPR!$E:$Z,MATCH($A187,SPPR!$A:$A,0),21)),$C187*INDEX(SPPR!$E:$Z,MATCH($A187,SPPR!$A:$A,0),21),""),"")</f>
        <v/>
      </c>
      <c r="Y187">
        <f>IFERROR(IF(ISNUMBER(INDEX(SPPR!$E:$Z,MATCH($A187,SPPR!$A:$A,0),22)),$C187*INDEX(SPPR!$E:$Z,MATCH($A187,SPPR!$A:$A,0),22),""),"")</f>
        <v/>
      </c>
    </row>
    <row r="188">
      <c r="A188" t="inlineStr">
        <is>
          <t>Muraenesox cinereus</t>
        </is>
      </c>
      <c r="B188">
        <f>IFERROR(INDEX(SPPR!$D:$D,MATCH($A188,SPPR!$A:$A,0)),"")</f>
        <v/>
      </c>
      <c r="C188">
        <f>IFERROR(INDEX(Catch!$E:$BV,MATCH($A188,Catch!$A:$A,0),MATCH($B$4,Catch!$E$1:$BV$1,0)),0)</f>
        <v/>
      </c>
      <c r="D188">
        <f>IFERROR(IF(ISNUMBER(INDEX(SPPR!$E:$Z,MATCH($A188,SPPR!$A:$A,0),1)),$C188*INDEX(SPPR!$E:$Z,MATCH($A188,SPPR!$A:$A,0),1),""),"")</f>
        <v/>
      </c>
      <c r="E188">
        <f>IFERROR(IF(ISNUMBER(INDEX(SPPR!$E:$Z,MATCH($A188,SPPR!$A:$A,0),2)),$C188*INDEX(SPPR!$E:$Z,MATCH($A188,SPPR!$A:$A,0),2),""),"")</f>
        <v/>
      </c>
      <c r="F188">
        <f>IFERROR(IF(ISNUMBER(INDEX(SPPR!$E:$Z,MATCH($A188,SPPR!$A:$A,0),3)),$C188*INDEX(SPPR!$E:$Z,MATCH($A188,SPPR!$A:$A,0),3),""),"")</f>
        <v/>
      </c>
      <c r="G188">
        <f>IFERROR(IF(ISNUMBER(INDEX(SPPR!$E:$Z,MATCH($A188,SPPR!$A:$A,0),4)),$C188*INDEX(SPPR!$E:$Z,MATCH($A188,SPPR!$A:$A,0),4),""),"")</f>
        <v/>
      </c>
      <c r="H188">
        <f>IFERROR(IF(ISNUMBER(INDEX(SPPR!$E:$Z,MATCH($A188,SPPR!$A:$A,0),5)),$C188*INDEX(SPPR!$E:$Z,MATCH($A188,SPPR!$A:$A,0),5),""),"")</f>
        <v/>
      </c>
      <c r="I188">
        <f>IFERROR(IF(ISNUMBER(INDEX(SPPR!$E:$Z,MATCH($A188,SPPR!$A:$A,0),6)),$C188*INDEX(SPPR!$E:$Z,MATCH($A188,SPPR!$A:$A,0),6),""),"")</f>
        <v/>
      </c>
      <c r="J188">
        <f>IFERROR(IF(ISNUMBER(INDEX(SPPR!$E:$Z,MATCH($A188,SPPR!$A:$A,0),7)),$C188*INDEX(SPPR!$E:$Z,MATCH($A188,SPPR!$A:$A,0),7),""),"")</f>
        <v/>
      </c>
      <c r="K188">
        <f>IFERROR(IF(ISNUMBER(INDEX(SPPR!$E:$Z,MATCH($A188,SPPR!$A:$A,0),8)),$C188*INDEX(SPPR!$E:$Z,MATCH($A188,SPPR!$A:$A,0),8),""),"")</f>
        <v/>
      </c>
      <c r="L188">
        <f>IFERROR(IF(ISNUMBER(INDEX(SPPR!$E:$Z,MATCH($A188,SPPR!$A:$A,0),9)),$C188*INDEX(SPPR!$E:$Z,MATCH($A188,SPPR!$A:$A,0),9),""),"")</f>
        <v/>
      </c>
      <c r="M188">
        <f>IFERROR(IF(ISNUMBER(INDEX(SPPR!$E:$Z,MATCH($A188,SPPR!$A:$A,0),10)),$C188*INDEX(SPPR!$E:$Z,MATCH($A188,SPPR!$A:$A,0),10),""),"")</f>
        <v/>
      </c>
      <c r="N188">
        <f>IFERROR(IF(ISNUMBER(INDEX(SPPR!$E:$Z,MATCH($A188,SPPR!$A:$A,0),11)),$C188*INDEX(SPPR!$E:$Z,MATCH($A188,SPPR!$A:$A,0),11),""),"")</f>
        <v/>
      </c>
      <c r="O188">
        <f>IFERROR(IF(ISNUMBER(INDEX(SPPR!$E:$Z,MATCH($A188,SPPR!$A:$A,0),12)),$C188*INDEX(SPPR!$E:$Z,MATCH($A188,SPPR!$A:$A,0),12),""),"")</f>
        <v/>
      </c>
      <c r="P188">
        <f>IFERROR(IF(ISNUMBER(INDEX(SPPR!$E:$Z,MATCH($A188,SPPR!$A:$A,0),13)),$C188*INDEX(SPPR!$E:$Z,MATCH($A188,SPPR!$A:$A,0),13),""),"")</f>
        <v/>
      </c>
      <c r="Q188">
        <f>IFERROR(IF(ISNUMBER(INDEX(SPPR!$E:$Z,MATCH($A188,SPPR!$A:$A,0),14)),$C188*INDEX(SPPR!$E:$Z,MATCH($A188,SPPR!$A:$A,0),14),""),"")</f>
        <v/>
      </c>
      <c r="R188">
        <f>IFERROR(IF(ISNUMBER(INDEX(SPPR!$E:$Z,MATCH($A188,SPPR!$A:$A,0),15)),$C188*INDEX(SPPR!$E:$Z,MATCH($A188,SPPR!$A:$A,0),15),""),"")</f>
        <v/>
      </c>
      <c r="S188">
        <f>IFERROR(IF(ISNUMBER(INDEX(SPPR!$E:$Z,MATCH($A188,SPPR!$A:$A,0),16)),$C188*INDEX(SPPR!$E:$Z,MATCH($A188,SPPR!$A:$A,0),16),""),"")</f>
        <v/>
      </c>
      <c r="T188">
        <f>IFERROR(IF(ISNUMBER(INDEX(SPPR!$E:$Z,MATCH($A188,SPPR!$A:$A,0),17)),$C188*INDEX(SPPR!$E:$Z,MATCH($A188,SPPR!$A:$A,0),17),""),"")</f>
        <v/>
      </c>
      <c r="U188">
        <f>IFERROR(IF(ISNUMBER(INDEX(SPPR!$E:$Z,MATCH($A188,SPPR!$A:$A,0),18)),$C188*INDEX(SPPR!$E:$Z,MATCH($A188,SPPR!$A:$A,0),18),""),"")</f>
        <v/>
      </c>
      <c r="V188">
        <f>IFERROR(IF(ISNUMBER(INDEX(SPPR!$E:$Z,MATCH($A188,SPPR!$A:$A,0),19)),$C188*INDEX(SPPR!$E:$Z,MATCH($A188,SPPR!$A:$A,0),19),""),"")</f>
        <v/>
      </c>
      <c r="W188">
        <f>IFERROR(IF(ISNUMBER(INDEX(SPPR!$E:$Z,MATCH($A188,SPPR!$A:$A,0),20)),$C188*INDEX(SPPR!$E:$Z,MATCH($A188,SPPR!$A:$A,0),20),""),"")</f>
        <v/>
      </c>
      <c r="X188">
        <f>IFERROR(IF(ISNUMBER(INDEX(SPPR!$E:$Z,MATCH($A188,SPPR!$A:$A,0),21)),$C188*INDEX(SPPR!$E:$Z,MATCH($A188,SPPR!$A:$A,0),21),""),"")</f>
        <v/>
      </c>
      <c r="Y188">
        <f>IFERROR(IF(ISNUMBER(INDEX(SPPR!$E:$Z,MATCH($A188,SPPR!$A:$A,0),22)),$C188*INDEX(SPPR!$E:$Z,MATCH($A188,SPPR!$A:$A,0),22),""),"")</f>
        <v/>
      </c>
    </row>
    <row r="189">
      <c r="A189" t="inlineStr">
        <is>
          <t>Balistidae</t>
        </is>
      </c>
      <c r="B189">
        <f>IFERROR(INDEX(SPPR!$D:$D,MATCH($A189,SPPR!$A:$A,0)),"")</f>
        <v/>
      </c>
      <c r="C189">
        <f>IFERROR(INDEX(Catch!$E:$BV,MATCH($A189,Catch!$A:$A,0),MATCH($B$4,Catch!$E$1:$BV$1,0)),0)</f>
        <v/>
      </c>
      <c r="D189">
        <f>IFERROR(IF(ISNUMBER(INDEX(SPPR!$E:$Z,MATCH($A189,SPPR!$A:$A,0),1)),$C189*INDEX(SPPR!$E:$Z,MATCH($A189,SPPR!$A:$A,0),1),""),"")</f>
        <v/>
      </c>
      <c r="E189">
        <f>IFERROR(IF(ISNUMBER(INDEX(SPPR!$E:$Z,MATCH($A189,SPPR!$A:$A,0),2)),$C189*INDEX(SPPR!$E:$Z,MATCH($A189,SPPR!$A:$A,0),2),""),"")</f>
        <v/>
      </c>
      <c r="F189">
        <f>IFERROR(IF(ISNUMBER(INDEX(SPPR!$E:$Z,MATCH($A189,SPPR!$A:$A,0),3)),$C189*INDEX(SPPR!$E:$Z,MATCH($A189,SPPR!$A:$A,0),3),""),"")</f>
        <v/>
      </c>
      <c r="G189">
        <f>IFERROR(IF(ISNUMBER(INDEX(SPPR!$E:$Z,MATCH($A189,SPPR!$A:$A,0),4)),$C189*INDEX(SPPR!$E:$Z,MATCH($A189,SPPR!$A:$A,0),4),""),"")</f>
        <v/>
      </c>
      <c r="H189">
        <f>IFERROR(IF(ISNUMBER(INDEX(SPPR!$E:$Z,MATCH($A189,SPPR!$A:$A,0),5)),$C189*INDEX(SPPR!$E:$Z,MATCH($A189,SPPR!$A:$A,0),5),""),"")</f>
        <v/>
      </c>
      <c r="I189">
        <f>IFERROR(IF(ISNUMBER(INDEX(SPPR!$E:$Z,MATCH($A189,SPPR!$A:$A,0),6)),$C189*INDEX(SPPR!$E:$Z,MATCH($A189,SPPR!$A:$A,0),6),""),"")</f>
        <v/>
      </c>
      <c r="J189">
        <f>IFERROR(IF(ISNUMBER(INDEX(SPPR!$E:$Z,MATCH($A189,SPPR!$A:$A,0),7)),$C189*INDEX(SPPR!$E:$Z,MATCH($A189,SPPR!$A:$A,0),7),""),"")</f>
        <v/>
      </c>
      <c r="K189">
        <f>IFERROR(IF(ISNUMBER(INDEX(SPPR!$E:$Z,MATCH($A189,SPPR!$A:$A,0),8)),$C189*INDEX(SPPR!$E:$Z,MATCH($A189,SPPR!$A:$A,0),8),""),"")</f>
        <v/>
      </c>
      <c r="L189">
        <f>IFERROR(IF(ISNUMBER(INDEX(SPPR!$E:$Z,MATCH($A189,SPPR!$A:$A,0),9)),$C189*INDEX(SPPR!$E:$Z,MATCH($A189,SPPR!$A:$A,0),9),""),"")</f>
        <v/>
      </c>
      <c r="M189">
        <f>IFERROR(IF(ISNUMBER(INDEX(SPPR!$E:$Z,MATCH($A189,SPPR!$A:$A,0),10)),$C189*INDEX(SPPR!$E:$Z,MATCH($A189,SPPR!$A:$A,0),10),""),"")</f>
        <v/>
      </c>
      <c r="N189">
        <f>IFERROR(IF(ISNUMBER(INDEX(SPPR!$E:$Z,MATCH($A189,SPPR!$A:$A,0),11)),$C189*INDEX(SPPR!$E:$Z,MATCH($A189,SPPR!$A:$A,0),11),""),"")</f>
        <v/>
      </c>
      <c r="O189">
        <f>IFERROR(IF(ISNUMBER(INDEX(SPPR!$E:$Z,MATCH($A189,SPPR!$A:$A,0),12)),$C189*INDEX(SPPR!$E:$Z,MATCH($A189,SPPR!$A:$A,0),12),""),"")</f>
        <v/>
      </c>
      <c r="P189">
        <f>IFERROR(IF(ISNUMBER(INDEX(SPPR!$E:$Z,MATCH($A189,SPPR!$A:$A,0),13)),$C189*INDEX(SPPR!$E:$Z,MATCH($A189,SPPR!$A:$A,0),13),""),"")</f>
        <v/>
      </c>
      <c r="Q189">
        <f>IFERROR(IF(ISNUMBER(INDEX(SPPR!$E:$Z,MATCH($A189,SPPR!$A:$A,0),14)),$C189*INDEX(SPPR!$E:$Z,MATCH($A189,SPPR!$A:$A,0),14),""),"")</f>
        <v/>
      </c>
      <c r="R189">
        <f>IFERROR(IF(ISNUMBER(INDEX(SPPR!$E:$Z,MATCH($A189,SPPR!$A:$A,0),15)),$C189*INDEX(SPPR!$E:$Z,MATCH($A189,SPPR!$A:$A,0),15),""),"")</f>
        <v/>
      </c>
      <c r="S189">
        <f>IFERROR(IF(ISNUMBER(INDEX(SPPR!$E:$Z,MATCH($A189,SPPR!$A:$A,0),16)),$C189*INDEX(SPPR!$E:$Z,MATCH($A189,SPPR!$A:$A,0),16),""),"")</f>
        <v/>
      </c>
      <c r="T189">
        <f>IFERROR(IF(ISNUMBER(INDEX(SPPR!$E:$Z,MATCH($A189,SPPR!$A:$A,0),17)),$C189*INDEX(SPPR!$E:$Z,MATCH($A189,SPPR!$A:$A,0),17),""),"")</f>
        <v/>
      </c>
      <c r="U189">
        <f>IFERROR(IF(ISNUMBER(INDEX(SPPR!$E:$Z,MATCH($A189,SPPR!$A:$A,0),18)),$C189*INDEX(SPPR!$E:$Z,MATCH($A189,SPPR!$A:$A,0),18),""),"")</f>
        <v/>
      </c>
      <c r="V189">
        <f>IFERROR(IF(ISNUMBER(INDEX(SPPR!$E:$Z,MATCH($A189,SPPR!$A:$A,0),19)),$C189*INDEX(SPPR!$E:$Z,MATCH($A189,SPPR!$A:$A,0),19),""),"")</f>
        <v/>
      </c>
      <c r="W189">
        <f>IFERROR(IF(ISNUMBER(INDEX(SPPR!$E:$Z,MATCH($A189,SPPR!$A:$A,0),20)),$C189*INDEX(SPPR!$E:$Z,MATCH($A189,SPPR!$A:$A,0),20),""),"")</f>
        <v/>
      </c>
      <c r="X189">
        <f>IFERROR(IF(ISNUMBER(INDEX(SPPR!$E:$Z,MATCH($A189,SPPR!$A:$A,0),21)),$C189*INDEX(SPPR!$E:$Z,MATCH($A189,SPPR!$A:$A,0),21),""),"")</f>
        <v/>
      </c>
      <c r="Y189">
        <f>IFERROR(IF(ISNUMBER(INDEX(SPPR!$E:$Z,MATCH($A189,SPPR!$A:$A,0),22)),$C189*INDEX(SPPR!$E:$Z,MATCH($A189,SPPR!$A:$A,0),22),""),"")</f>
        <v/>
      </c>
    </row>
    <row r="190">
      <c r="A190" t="inlineStr">
        <is>
          <t>Coryphaena</t>
        </is>
      </c>
      <c r="B190">
        <f>IFERROR(INDEX(SPPR!$D:$D,MATCH($A190,SPPR!$A:$A,0)),"")</f>
        <v/>
      </c>
      <c r="C190">
        <f>IFERROR(INDEX(Catch!$E:$BV,MATCH($A190,Catch!$A:$A,0),MATCH($B$4,Catch!$E$1:$BV$1,0)),0)</f>
        <v/>
      </c>
      <c r="D190">
        <f>IFERROR(IF(ISNUMBER(INDEX(SPPR!$E:$Z,MATCH($A190,SPPR!$A:$A,0),1)),$C190*INDEX(SPPR!$E:$Z,MATCH($A190,SPPR!$A:$A,0),1),""),"")</f>
        <v/>
      </c>
      <c r="E190">
        <f>IFERROR(IF(ISNUMBER(INDEX(SPPR!$E:$Z,MATCH($A190,SPPR!$A:$A,0),2)),$C190*INDEX(SPPR!$E:$Z,MATCH($A190,SPPR!$A:$A,0),2),""),"")</f>
        <v/>
      </c>
      <c r="F190">
        <f>IFERROR(IF(ISNUMBER(INDEX(SPPR!$E:$Z,MATCH($A190,SPPR!$A:$A,0),3)),$C190*INDEX(SPPR!$E:$Z,MATCH($A190,SPPR!$A:$A,0),3),""),"")</f>
        <v/>
      </c>
      <c r="G190">
        <f>IFERROR(IF(ISNUMBER(INDEX(SPPR!$E:$Z,MATCH($A190,SPPR!$A:$A,0),4)),$C190*INDEX(SPPR!$E:$Z,MATCH($A190,SPPR!$A:$A,0),4),""),"")</f>
        <v/>
      </c>
      <c r="H190">
        <f>IFERROR(IF(ISNUMBER(INDEX(SPPR!$E:$Z,MATCH($A190,SPPR!$A:$A,0),5)),$C190*INDEX(SPPR!$E:$Z,MATCH($A190,SPPR!$A:$A,0),5),""),"")</f>
        <v/>
      </c>
      <c r="I190">
        <f>IFERROR(IF(ISNUMBER(INDEX(SPPR!$E:$Z,MATCH($A190,SPPR!$A:$A,0),6)),$C190*INDEX(SPPR!$E:$Z,MATCH($A190,SPPR!$A:$A,0),6),""),"")</f>
        <v/>
      </c>
      <c r="J190">
        <f>IFERROR(IF(ISNUMBER(INDEX(SPPR!$E:$Z,MATCH($A190,SPPR!$A:$A,0),7)),$C190*INDEX(SPPR!$E:$Z,MATCH($A190,SPPR!$A:$A,0),7),""),"")</f>
        <v/>
      </c>
      <c r="K190">
        <f>IFERROR(IF(ISNUMBER(INDEX(SPPR!$E:$Z,MATCH($A190,SPPR!$A:$A,0),8)),$C190*INDEX(SPPR!$E:$Z,MATCH($A190,SPPR!$A:$A,0),8),""),"")</f>
        <v/>
      </c>
      <c r="L190">
        <f>IFERROR(IF(ISNUMBER(INDEX(SPPR!$E:$Z,MATCH($A190,SPPR!$A:$A,0),9)),$C190*INDEX(SPPR!$E:$Z,MATCH($A190,SPPR!$A:$A,0),9),""),"")</f>
        <v/>
      </c>
      <c r="M190">
        <f>IFERROR(IF(ISNUMBER(INDEX(SPPR!$E:$Z,MATCH($A190,SPPR!$A:$A,0),10)),$C190*INDEX(SPPR!$E:$Z,MATCH($A190,SPPR!$A:$A,0),10),""),"")</f>
        <v/>
      </c>
      <c r="N190">
        <f>IFERROR(IF(ISNUMBER(INDEX(SPPR!$E:$Z,MATCH($A190,SPPR!$A:$A,0),11)),$C190*INDEX(SPPR!$E:$Z,MATCH($A190,SPPR!$A:$A,0),11),""),"")</f>
        <v/>
      </c>
      <c r="O190">
        <f>IFERROR(IF(ISNUMBER(INDEX(SPPR!$E:$Z,MATCH($A190,SPPR!$A:$A,0),12)),$C190*INDEX(SPPR!$E:$Z,MATCH($A190,SPPR!$A:$A,0),12),""),"")</f>
        <v/>
      </c>
      <c r="P190">
        <f>IFERROR(IF(ISNUMBER(INDEX(SPPR!$E:$Z,MATCH($A190,SPPR!$A:$A,0),13)),$C190*INDEX(SPPR!$E:$Z,MATCH($A190,SPPR!$A:$A,0),13),""),"")</f>
        <v/>
      </c>
      <c r="Q190">
        <f>IFERROR(IF(ISNUMBER(INDEX(SPPR!$E:$Z,MATCH($A190,SPPR!$A:$A,0),14)),$C190*INDEX(SPPR!$E:$Z,MATCH($A190,SPPR!$A:$A,0),14),""),"")</f>
        <v/>
      </c>
      <c r="R190">
        <f>IFERROR(IF(ISNUMBER(INDEX(SPPR!$E:$Z,MATCH($A190,SPPR!$A:$A,0),15)),$C190*INDEX(SPPR!$E:$Z,MATCH($A190,SPPR!$A:$A,0),15),""),"")</f>
        <v/>
      </c>
      <c r="S190">
        <f>IFERROR(IF(ISNUMBER(INDEX(SPPR!$E:$Z,MATCH($A190,SPPR!$A:$A,0),16)),$C190*INDEX(SPPR!$E:$Z,MATCH($A190,SPPR!$A:$A,0),16),""),"")</f>
        <v/>
      </c>
      <c r="T190">
        <f>IFERROR(IF(ISNUMBER(INDEX(SPPR!$E:$Z,MATCH($A190,SPPR!$A:$A,0),17)),$C190*INDEX(SPPR!$E:$Z,MATCH($A190,SPPR!$A:$A,0),17),""),"")</f>
        <v/>
      </c>
      <c r="U190">
        <f>IFERROR(IF(ISNUMBER(INDEX(SPPR!$E:$Z,MATCH($A190,SPPR!$A:$A,0),18)),$C190*INDEX(SPPR!$E:$Z,MATCH($A190,SPPR!$A:$A,0),18),""),"")</f>
        <v/>
      </c>
      <c r="V190">
        <f>IFERROR(IF(ISNUMBER(INDEX(SPPR!$E:$Z,MATCH($A190,SPPR!$A:$A,0),19)),$C190*INDEX(SPPR!$E:$Z,MATCH($A190,SPPR!$A:$A,0),19),""),"")</f>
        <v/>
      </c>
      <c r="W190">
        <f>IFERROR(IF(ISNUMBER(INDEX(SPPR!$E:$Z,MATCH($A190,SPPR!$A:$A,0),20)),$C190*INDEX(SPPR!$E:$Z,MATCH($A190,SPPR!$A:$A,0),20),""),"")</f>
        <v/>
      </c>
      <c r="X190">
        <f>IFERROR(IF(ISNUMBER(INDEX(SPPR!$E:$Z,MATCH($A190,SPPR!$A:$A,0),21)),$C190*INDEX(SPPR!$E:$Z,MATCH($A190,SPPR!$A:$A,0),21),""),"")</f>
        <v/>
      </c>
      <c r="Y190">
        <f>IFERROR(IF(ISNUMBER(INDEX(SPPR!$E:$Z,MATCH($A190,SPPR!$A:$A,0),22)),$C190*INDEX(SPPR!$E:$Z,MATCH($A190,SPPR!$A:$A,0),22),""),"")</f>
        <v/>
      </c>
    </row>
    <row r="191">
      <c r="A191" t="inlineStr">
        <is>
          <t>Gerreidae</t>
        </is>
      </c>
      <c r="B191">
        <f>IFERROR(INDEX(SPPR!$D:$D,MATCH($A191,SPPR!$A:$A,0)),"")</f>
        <v/>
      </c>
      <c r="C191">
        <f>IFERROR(INDEX(Catch!$E:$BV,MATCH($A191,Catch!$A:$A,0),MATCH($B$4,Catch!$E$1:$BV$1,0)),0)</f>
        <v/>
      </c>
      <c r="D191">
        <f>IFERROR(IF(ISNUMBER(INDEX(SPPR!$E:$Z,MATCH($A191,SPPR!$A:$A,0),1)),$C191*INDEX(SPPR!$E:$Z,MATCH($A191,SPPR!$A:$A,0),1),""),"")</f>
        <v/>
      </c>
      <c r="E191">
        <f>IFERROR(IF(ISNUMBER(INDEX(SPPR!$E:$Z,MATCH($A191,SPPR!$A:$A,0),2)),$C191*INDEX(SPPR!$E:$Z,MATCH($A191,SPPR!$A:$A,0),2),""),"")</f>
        <v/>
      </c>
      <c r="F191">
        <f>IFERROR(IF(ISNUMBER(INDEX(SPPR!$E:$Z,MATCH($A191,SPPR!$A:$A,0),3)),$C191*INDEX(SPPR!$E:$Z,MATCH($A191,SPPR!$A:$A,0),3),""),"")</f>
        <v/>
      </c>
      <c r="G191">
        <f>IFERROR(IF(ISNUMBER(INDEX(SPPR!$E:$Z,MATCH($A191,SPPR!$A:$A,0),4)),$C191*INDEX(SPPR!$E:$Z,MATCH($A191,SPPR!$A:$A,0),4),""),"")</f>
        <v/>
      </c>
      <c r="H191">
        <f>IFERROR(IF(ISNUMBER(INDEX(SPPR!$E:$Z,MATCH($A191,SPPR!$A:$A,0),5)),$C191*INDEX(SPPR!$E:$Z,MATCH($A191,SPPR!$A:$A,0),5),""),"")</f>
        <v/>
      </c>
      <c r="I191">
        <f>IFERROR(IF(ISNUMBER(INDEX(SPPR!$E:$Z,MATCH($A191,SPPR!$A:$A,0),6)),$C191*INDEX(SPPR!$E:$Z,MATCH($A191,SPPR!$A:$A,0),6),""),"")</f>
        <v/>
      </c>
      <c r="J191">
        <f>IFERROR(IF(ISNUMBER(INDEX(SPPR!$E:$Z,MATCH($A191,SPPR!$A:$A,0),7)),$C191*INDEX(SPPR!$E:$Z,MATCH($A191,SPPR!$A:$A,0),7),""),"")</f>
        <v/>
      </c>
      <c r="K191">
        <f>IFERROR(IF(ISNUMBER(INDEX(SPPR!$E:$Z,MATCH($A191,SPPR!$A:$A,0),8)),$C191*INDEX(SPPR!$E:$Z,MATCH($A191,SPPR!$A:$A,0),8),""),"")</f>
        <v/>
      </c>
      <c r="L191">
        <f>IFERROR(IF(ISNUMBER(INDEX(SPPR!$E:$Z,MATCH($A191,SPPR!$A:$A,0),9)),$C191*INDEX(SPPR!$E:$Z,MATCH($A191,SPPR!$A:$A,0),9),""),"")</f>
        <v/>
      </c>
      <c r="M191">
        <f>IFERROR(IF(ISNUMBER(INDEX(SPPR!$E:$Z,MATCH($A191,SPPR!$A:$A,0),10)),$C191*INDEX(SPPR!$E:$Z,MATCH($A191,SPPR!$A:$A,0),10),""),"")</f>
        <v/>
      </c>
      <c r="N191">
        <f>IFERROR(IF(ISNUMBER(INDEX(SPPR!$E:$Z,MATCH($A191,SPPR!$A:$A,0),11)),$C191*INDEX(SPPR!$E:$Z,MATCH($A191,SPPR!$A:$A,0),11),""),"")</f>
        <v/>
      </c>
      <c r="O191">
        <f>IFERROR(IF(ISNUMBER(INDEX(SPPR!$E:$Z,MATCH($A191,SPPR!$A:$A,0),12)),$C191*INDEX(SPPR!$E:$Z,MATCH($A191,SPPR!$A:$A,0),12),""),"")</f>
        <v/>
      </c>
      <c r="P191">
        <f>IFERROR(IF(ISNUMBER(INDEX(SPPR!$E:$Z,MATCH($A191,SPPR!$A:$A,0),13)),$C191*INDEX(SPPR!$E:$Z,MATCH($A191,SPPR!$A:$A,0),13),""),"")</f>
        <v/>
      </c>
      <c r="Q191">
        <f>IFERROR(IF(ISNUMBER(INDEX(SPPR!$E:$Z,MATCH($A191,SPPR!$A:$A,0),14)),$C191*INDEX(SPPR!$E:$Z,MATCH($A191,SPPR!$A:$A,0),14),""),"")</f>
        <v/>
      </c>
      <c r="R191">
        <f>IFERROR(IF(ISNUMBER(INDEX(SPPR!$E:$Z,MATCH($A191,SPPR!$A:$A,0),15)),$C191*INDEX(SPPR!$E:$Z,MATCH($A191,SPPR!$A:$A,0),15),""),"")</f>
        <v/>
      </c>
      <c r="S191">
        <f>IFERROR(IF(ISNUMBER(INDEX(SPPR!$E:$Z,MATCH($A191,SPPR!$A:$A,0),16)),$C191*INDEX(SPPR!$E:$Z,MATCH($A191,SPPR!$A:$A,0),16),""),"")</f>
        <v/>
      </c>
      <c r="T191">
        <f>IFERROR(IF(ISNUMBER(INDEX(SPPR!$E:$Z,MATCH($A191,SPPR!$A:$A,0),17)),$C191*INDEX(SPPR!$E:$Z,MATCH($A191,SPPR!$A:$A,0),17),""),"")</f>
        <v/>
      </c>
      <c r="U191">
        <f>IFERROR(IF(ISNUMBER(INDEX(SPPR!$E:$Z,MATCH($A191,SPPR!$A:$A,0),18)),$C191*INDEX(SPPR!$E:$Z,MATCH($A191,SPPR!$A:$A,0),18),""),"")</f>
        <v/>
      </c>
      <c r="V191">
        <f>IFERROR(IF(ISNUMBER(INDEX(SPPR!$E:$Z,MATCH($A191,SPPR!$A:$A,0),19)),$C191*INDEX(SPPR!$E:$Z,MATCH($A191,SPPR!$A:$A,0),19),""),"")</f>
        <v/>
      </c>
      <c r="W191">
        <f>IFERROR(IF(ISNUMBER(INDEX(SPPR!$E:$Z,MATCH($A191,SPPR!$A:$A,0),20)),$C191*INDEX(SPPR!$E:$Z,MATCH($A191,SPPR!$A:$A,0),20),""),"")</f>
        <v/>
      </c>
      <c r="X191">
        <f>IFERROR(IF(ISNUMBER(INDEX(SPPR!$E:$Z,MATCH($A191,SPPR!$A:$A,0),21)),$C191*INDEX(SPPR!$E:$Z,MATCH($A191,SPPR!$A:$A,0),21),""),"")</f>
        <v/>
      </c>
      <c r="Y191">
        <f>IFERROR(IF(ISNUMBER(INDEX(SPPR!$E:$Z,MATCH($A191,SPPR!$A:$A,0),22)),$C191*INDEX(SPPR!$E:$Z,MATCH($A191,SPPR!$A:$A,0),22),""),"")</f>
        <v/>
      </c>
    </row>
    <row r="192">
      <c r="A192" t="inlineStr">
        <is>
          <t>Alopias</t>
        </is>
      </c>
      <c r="B192">
        <f>IFERROR(INDEX(SPPR!$D:$D,MATCH($A192,SPPR!$A:$A,0)),"")</f>
        <v/>
      </c>
      <c r="C192">
        <f>IFERROR(INDEX(Catch!$E:$BV,MATCH($A192,Catch!$A:$A,0),MATCH($B$4,Catch!$E$1:$BV$1,0)),0)</f>
        <v/>
      </c>
      <c r="D192">
        <f>IFERROR(IF(ISNUMBER(INDEX(SPPR!$E:$Z,MATCH($A192,SPPR!$A:$A,0),1)),$C192*INDEX(SPPR!$E:$Z,MATCH($A192,SPPR!$A:$A,0),1),""),"")</f>
        <v/>
      </c>
      <c r="E192">
        <f>IFERROR(IF(ISNUMBER(INDEX(SPPR!$E:$Z,MATCH($A192,SPPR!$A:$A,0),2)),$C192*INDEX(SPPR!$E:$Z,MATCH($A192,SPPR!$A:$A,0),2),""),"")</f>
        <v/>
      </c>
      <c r="F192">
        <f>IFERROR(IF(ISNUMBER(INDEX(SPPR!$E:$Z,MATCH($A192,SPPR!$A:$A,0),3)),$C192*INDEX(SPPR!$E:$Z,MATCH($A192,SPPR!$A:$A,0),3),""),"")</f>
        <v/>
      </c>
      <c r="G192">
        <f>IFERROR(IF(ISNUMBER(INDEX(SPPR!$E:$Z,MATCH($A192,SPPR!$A:$A,0),4)),$C192*INDEX(SPPR!$E:$Z,MATCH($A192,SPPR!$A:$A,0),4),""),"")</f>
        <v/>
      </c>
      <c r="H192">
        <f>IFERROR(IF(ISNUMBER(INDEX(SPPR!$E:$Z,MATCH($A192,SPPR!$A:$A,0),5)),$C192*INDEX(SPPR!$E:$Z,MATCH($A192,SPPR!$A:$A,0),5),""),"")</f>
        <v/>
      </c>
      <c r="I192">
        <f>IFERROR(IF(ISNUMBER(INDEX(SPPR!$E:$Z,MATCH($A192,SPPR!$A:$A,0),6)),$C192*INDEX(SPPR!$E:$Z,MATCH($A192,SPPR!$A:$A,0),6),""),"")</f>
        <v/>
      </c>
      <c r="J192">
        <f>IFERROR(IF(ISNUMBER(INDEX(SPPR!$E:$Z,MATCH($A192,SPPR!$A:$A,0),7)),$C192*INDEX(SPPR!$E:$Z,MATCH($A192,SPPR!$A:$A,0),7),""),"")</f>
        <v/>
      </c>
      <c r="K192">
        <f>IFERROR(IF(ISNUMBER(INDEX(SPPR!$E:$Z,MATCH($A192,SPPR!$A:$A,0),8)),$C192*INDEX(SPPR!$E:$Z,MATCH($A192,SPPR!$A:$A,0),8),""),"")</f>
        <v/>
      </c>
      <c r="L192">
        <f>IFERROR(IF(ISNUMBER(INDEX(SPPR!$E:$Z,MATCH($A192,SPPR!$A:$A,0),9)),$C192*INDEX(SPPR!$E:$Z,MATCH($A192,SPPR!$A:$A,0),9),""),"")</f>
        <v/>
      </c>
      <c r="M192">
        <f>IFERROR(IF(ISNUMBER(INDEX(SPPR!$E:$Z,MATCH($A192,SPPR!$A:$A,0),10)),$C192*INDEX(SPPR!$E:$Z,MATCH($A192,SPPR!$A:$A,0),10),""),"")</f>
        <v/>
      </c>
      <c r="N192">
        <f>IFERROR(IF(ISNUMBER(INDEX(SPPR!$E:$Z,MATCH($A192,SPPR!$A:$A,0),11)),$C192*INDEX(SPPR!$E:$Z,MATCH($A192,SPPR!$A:$A,0),11),""),"")</f>
        <v/>
      </c>
      <c r="O192">
        <f>IFERROR(IF(ISNUMBER(INDEX(SPPR!$E:$Z,MATCH($A192,SPPR!$A:$A,0),12)),$C192*INDEX(SPPR!$E:$Z,MATCH($A192,SPPR!$A:$A,0),12),""),"")</f>
        <v/>
      </c>
      <c r="P192">
        <f>IFERROR(IF(ISNUMBER(INDEX(SPPR!$E:$Z,MATCH($A192,SPPR!$A:$A,0),13)),$C192*INDEX(SPPR!$E:$Z,MATCH($A192,SPPR!$A:$A,0),13),""),"")</f>
        <v/>
      </c>
      <c r="Q192">
        <f>IFERROR(IF(ISNUMBER(INDEX(SPPR!$E:$Z,MATCH($A192,SPPR!$A:$A,0),14)),$C192*INDEX(SPPR!$E:$Z,MATCH($A192,SPPR!$A:$A,0),14),""),"")</f>
        <v/>
      </c>
      <c r="R192">
        <f>IFERROR(IF(ISNUMBER(INDEX(SPPR!$E:$Z,MATCH($A192,SPPR!$A:$A,0),15)),$C192*INDEX(SPPR!$E:$Z,MATCH($A192,SPPR!$A:$A,0),15),""),"")</f>
        <v/>
      </c>
      <c r="S192">
        <f>IFERROR(IF(ISNUMBER(INDEX(SPPR!$E:$Z,MATCH($A192,SPPR!$A:$A,0),16)),$C192*INDEX(SPPR!$E:$Z,MATCH($A192,SPPR!$A:$A,0),16),""),"")</f>
        <v/>
      </c>
      <c r="T192">
        <f>IFERROR(IF(ISNUMBER(INDEX(SPPR!$E:$Z,MATCH($A192,SPPR!$A:$A,0),17)),$C192*INDEX(SPPR!$E:$Z,MATCH($A192,SPPR!$A:$A,0),17),""),"")</f>
        <v/>
      </c>
      <c r="U192">
        <f>IFERROR(IF(ISNUMBER(INDEX(SPPR!$E:$Z,MATCH($A192,SPPR!$A:$A,0),18)),$C192*INDEX(SPPR!$E:$Z,MATCH($A192,SPPR!$A:$A,0),18),""),"")</f>
        <v/>
      </c>
      <c r="V192">
        <f>IFERROR(IF(ISNUMBER(INDEX(SPPR!$E:$Z,MATCH($A192,SPPR!$A:$A,0),19)),$C192*INDEX(SPPR!$E:$Z,MATCH($A192,SPPR!$A:$A,0),19),""),"")</f>
        <v/>
      </c>
      <c r="W192">
        <f>IFERROR(IF(ISNUMBER(INDEX(SPPR!$E:$Z,MATCH($A192,SPPR!$A:$A,0),20)),$C192*INDEX(SPPR!$E:$Z,MATCH($A192,SPPR!$A:$A,0),20),""),"")</f>
        <v/>
      </c>
      <c r="X192">
        <f>IFERROR(IF(ISNUMBER(INDEX(SPPR!$E:$Z,MATCH($A192,SPPR!$A:$A,0),21)),$C192*INDEX(SPPR!$E:$Z,MATCH($A192,SPPR!$A:$A,0),21),""),"")</f>
        <v/>
      </c>
      <c r="Y192">
        <f>IFERROR(IF(ISNUMBER(INDEX(SPPR!$E:$Z,MATCH($A192,SPPR!$A:$A,0),22)),$C192*INDEX(SPPR!$E:$Z,MATCH($A192,SPPR!$A:$A,0),22),""),"")</f>
        <v/>
      </c>
    </row>
    <row r="193">
      <c r="A193" t="inlineStr">
        <is>
          <t>Pristipomoides</t>
        </is>
      </c>
      <c r="B193">
        <f>IFERROR(INDEX(SPPR!$D:$D,MATCH($A193,SPPR!$A:$A,0)),"")</f>
        <v/>
      </c>
      <c r="C193">
        <f>IFERROR(INDEX(Catch!$E:$BV,MATCH($A193,Catch!$A:$A,0),MATCH($B$4,Catch!$E$1:$BV$1,0)),0)</f>
        <v/>
      </c>
      <c r="D193">
        <f>IFERROR(IF(ISNUMBER(INDEX(SPPR!$E:$Z,MATCH($A193,SPPR!$A:$A,0),1)),$C193*INDEX(SPPR!$E:$Z,MATCH($A193,SPPR!$A:$A,0),1),""),"")</f>
        <v/>
      </c>
      <c r="E193">
        <f>IFERROR(IF(ISNUMBER(INDEX(SPPR!$E:$Z,MATCH($A193,SPPR!$A:$A,0),2)),$C193*INDEX(SPPR!$E:$Z,MATCH($A193,SPPR!$A:$A,0),2),""),"")</f>
        <v/>
      </c>
      <c r="F193">
        <f>IFERROR(IF(ISNUMBER(INDEX(SPPR!$E:$Z,MATCH($A193,SPPR!$A:$A,0),3)),$C193*INDEX(SPPR!$E:$Z,MATCH($A193,SPPR!$A:$A,0),3),""),"")</f>
        <v/>
      </c>
      <c r="G193">
        <f>IFERROR(IF(ISNUMBER(INDEX(SPPR!$E:$Z,MATCH($A193,SPPR!$A:$A,0),4)),$C193*INDEX(SPPR!$E:$Z,MATCH($A193,SPPR!$A:$A,0),4),""),"")</f>
        <v/>
      </c>
      <c r="H193">
        <f>IFERROR(IF(ISNUMBER(INDEX(SPPR!$E:$Z,MATCH($A193,SPPR!$A:$A,0),5)),$C193*INDEX(SPPR!$E:$Z,MATCH($A193,SPPR!$A:$A,0),5),""),"")</f>
        <v/>
      </c>
      <c r="I193">
        <f>IFERROR(IF(ISNUMBER(INDEX(SPPR!$E:$Z,MATCH($A193,SPPR!$A:$A,0),6)),$C193*INDEX(SPPR!$E:$Z,MATCH($A193,SPPR!$A:$A,0),6),""),"")</f>
        <v/>
      </c>
      <c r="J193">
        <f>IFERROR(IF(ISNUMBER(INDEX(SPPR!$E:$Z,MATCH($A193,SPPR!$A:$A,0),7)),$C193*INDEX(SPPR!$E:$Z,MATCH($A193,SPPR!$A:$A,0),7),""),"")</f>
        <v/>
      </c>
      <c r="K193">
        <f>IFERROR(IF(ISNUMBER(INDEX(SPPR!$E:$Z,MATCH($A193,SPPR!$A:$A,0),8)),$C193*INDEX(SPPR!$E:$Z,MATCH($A193,SPPR!$A:$A,0),8),""),"")</f>
        <v/>
      </c>
      <c r="L193">
        <f>IFERROR(IF(ISNUMBER(INDEX(SPPR!$E:$Z,MATCH($A193,SPPR!$A:$A,0),9)),$C193*INDEX(SPPR!$E:$Z,MATCH($A193,SPPR!$A:$A,0),9),""),"")</f>
        <v/>
      </c>
      <c r="M193">
        <f>IFERROR(IF(ISNUMBER(INDEX(SPPR!$E:$Z,MATCH($A193,SPPR!$A:$A,0),10)),$C193*INDEX(SPPR!$E:$Z,MATCH($A193,SPPR!$A:$A,0),10),""),"")</f>
        <v/>
      </c>
      <c r="N193">
        <f>IFERROR(IF(ISNUMBER(INDEX(SPPR!$E:$Z,MATCH($A193,SPPR!$A:$A,0),11)),$C193*INDEX(SPPR!$E:$Z,MATCH($A193,SPPR!$A:$A,0),11),""),"")</f>
        <v/>
      </c>
      <c r="O193">
        <f>IFERROR(IF(ISNUMBER(INDEX(SPPR!$E:$Z,MATCH($A193,SPPR!$A:$A,0),12)),$C193*INDEX(SPPR!$E:$Z,MATCH($A193,SPPR!$A:$A,0),12),""),"")</f>
        <v/>
      </c>
      <c r="P193">
        <f>IFERROR(IF(ISNUMBER(INDEX(SPPR!$E:$Z,MATCH($A193,SPPR!$A:$A,0),13)),$C193*INDEX(SPPR!$E:$Z,MATCH($A193,SPPR!$A:$A,0),13),""),"")</f>
        <v/>
      </c>
      <c r="Q193">
        <f>IFERROR(IF(ISNUMBER(INDEX(SPPR!$E:$Z,MATCH($A193,SPPR!$A:$A,0),14)),$C193*INDEX(SPPR!$E:$Z,MATCH($A193,SPPR!$A:$A,0),14),""),"")</f>
        <v/>
      </c>
      <c r="R193">
        <f>IFERROR(IF(ISNUMBER(INDEX(SPPR!$E:$Z,MATCH($A193,SPPR!$A:$A,0),15)),$C193*INDEX(SPPR!$E:$Z,MATCH($A193,SPPR!$A:$A,0),15),""),"")</f>
        <v/>
      </c>
      <c r="S193">
        <f>IFERROR(IF(ISNUMBER(INDEX(SPPR!$E:$Z,MATCH($A193,SPPR!$A:$A,0),16)),$C193*INDEX(SPPR!$E:$Z,MATCH($A193,SPPR!$A:$A,0),16),""),"")</f>
        <v/>
      </c>
      <c r="T193">
        <f>IFERROR(IF(ISNUMBER(INDEX(SPPR!$E:$Z,MATCH($A193,SPPR!$A:$A,0),17)),$C193*INDEX(SPPR!$E:$Z,MATCH($A193,SPPR!$A:$A,0),17),""),"")</f>
        <v/>
      </c>
      <c r="U193">
        <f>IFERROR(IF(ISNUMBER(INDEX(SPPR!$E:$Z,MATCH($A193,SPPR!$A:$A,0),18)),$C193*INDEX(SPPR!$E:$Z,MATCH($A193,SPPR!$A:$A,0),18),""),"")</f>
        <v/>
      </c>
      <c r="V193">
        <f>IFERROR(IF(ISNUMBER(INDEX(SPPR!$E:$Z,MATCH($A193,SPPR!$A:$A,0),19)),$C193*INDEX(SPPR!$E:$Z,MATCH($A193,SPPR!$A:$A,0),19),""),"")</f>
        <v/>
      </c>
      <c r="W193">
        <f>IFERROR(IF(ISNUMBER(INDEX(SPPR!$E:$Z,MATCH($A193,SPPR!$A:$A,0),20)),$C193*INDEX(SPPR!$E:$Z,MATCH($A193,SPPR!$A:$A,0),20),""),"")</f>
        <v/>
      </c>
      <c r="X193">
        <f>IFERROR(IF(ISNUMBER(INDEX(SPPR!$E:$Z,MATCH($A193,SPPR!$A:$A,0),21)),$C193*INDEX(SPPR!$E:$Z,MATCH($A193,SPPR!$A:$A,0),21),""),"")</f>
        <v/>
      </c>
      <c r="Y193">
        <f>IFERROR(IF(ISNUMBER(INDEX(SPPR!$E:$Z,MATCH($A193,SPPR!$A:$A,0),22)),$C193*INDEX(SPPR!$E:$Z,MATCH($A193,SPPR!$A:$A,0),22),""),"")</f>
        <v/>
      </c>
    </row>
    <row r="194">
      <c r="A194" t="inlineStr">
        <is>
          <t>Kajikia audax</t>
        </is>
      </c>
      <c r="B194">
        <f>IFERROR(INDEX(SPPR!$D:$D,MATCH($A194,SPPR!$A:$A,0)),"")</f>
        <v/>
      </c>
      <c r="C194">
        <f>IFERROR(INDEX(Catch!$E:$BV,MATCH($A194,Catch!$A:$A,0),MATCH($B$4,Catch!$E$1:$BV$1,0)),0)</f>
        <v/>
      </c>
      <c r="D194">
        <f>IFERROR(IF(ISNUMBER(INDEX(SPPR!$E:$Z,MATCH($A194,SPPR!$A:$A,0),1)),$C194*INDEX(SPPR!$E:$Z,MATCH($A194,SPPR!$A:$A,0),1),""),"")</f>
        <v/>
      </c>
      <c r="E194">
        <f>IFERROR(IF(ISNUMBER(INDEX(SPPR!$E:$Z,MATCH($A194,SPPR!$A:$A,0),2)),$C194*INDEX(SPPR!$E:$Z,MATCH($A194,SPPR!$A:$A,0),2),""),"")</f>
        <v/>
      </c>
      <c r="F194">
        <f>IFERROR(IF(ISNUMBER(INDEX(SPPR!$E:$Z,MATCH($A194,SPPR!$A:$A,0),3)),$C194*INDEX(SPPR!$E:$Z,MATCH($A194,SPPR!$A:$A,0),3),""),"")</f>
        <v/>
      </c>
      <c r="G194">
        <f>IFERROR(IF(ISNUMBER(INDEX(SPPR!$E:$Z,MATCH($A194,SPPR!$A:$A,0),4)),$C194*INDEX(SPPR!$E:$Z,MATCH($A194,SPPR!$A:$A,0),4),""),"")</f>
        <v/>
      </c>
      <c r="H194">
        <f>IFERROR(IF(ISNUMBER(INDEX(SPPR!$E:$Z,MATCH($A194,SPPR!$A:$A,0),5)),$C194*INDEX(SPPR!$E:$Z,MATCH($A194,SPPR!$A:$A,0),5),""),"")</f>
        <v/>
      </c>
      <c r="I194">
        <f>IFERROR(IF(ISNUMBER(INDEX(SPPR!$E:$Z,MATCH($A194,SPPR!$A:$A,0),6)),$C194*INDEX(SPPR!$E:$Z,MATCH($A194,SPPR!$A:$A,0),6),""),"")</f>
        <v/>
      </c>
      <c r="J194">
        <f>IFERROR(IF(ISNUMBER(INDEX(SPPR!$E:$Z,MATCH($A194,SPPR!$A:$A,0),7)),$C194*INDEX(SPPR!$E:$Z,MATCH($A194,SPPR!$A:$A,0),7),""),"")</f>
        <v/>
      </c>
      <c r="K194">
        <f>IFERROR(IF(ISNUMBER(INDEX(SPPR!$E:$Z,MATCH($A194,SPPR!$A:$A,0),8)),$C194*INDEX(SPPR!$E:$Z,MATCH($A194,SPPR!$A:$A,0),8),""),"")</f>
        <v/>
      </c>
      <c r="L194">
        <f>IFERROR(IF(ISNUMBER(INDEX(SPPR!$E:$Z,MATCH($A194,SPPR!$A:$A,0),9)),$C194*INDEX(SPPR!$E:$Z,MATCH($A194,SPPR!$A:$A,0),9),""),"")</f>
        <v/>
      </c>
      <c r="M194">
        <f>IFERROR(IF(ISNUMBER(INDEX(SPPR!$E:$Z,MATCH($A194,SPPR!$A:$A,0),10)),$C194*INDEX(SPPR!$E:$Z,MATCH($A194,SPPR!$A:$A,0),10),""),"")</f>
        <v/>
      </c>
      <c r="N194">
        <f>IFERROR(IF(ISNUMBER(INDEX(SPPR!$E:$Z,MATCH($A194,SPPR!$A:$A,0),11)),$C194*INDEX(SPPR!$E:$Z,MATCH($A194,SPPR!$A:$A,0),11),""),"")</f>
        <v/>
      </c>
      <c r="O194">
        <f>IFERROR(IF(ISNUMBER(INDEX(SPPR!$E:$Z,MATCH($A194,SPPR!$A:$A,0),12)),$C194*INDEX(SPPR!$E:$Z,MATCH($A194,SPPR!$A:$A,0),12),""),"")</f>
        <v/>
      </c>
      <c r="P194">
        <f>IFERROR(IF(ISNUMBER(INDEX(SPPR!$E:$Z,MATCH($A194,SPPR!$A:$A,0),13)),$C194*INDEX(SPPR!$E:$Z,MATCH($A194,SPPR!$A:$A,0),13),""),"")</f>
        <v/>
      </c>
      <c r="Q194">
        <f>IFERROR(IF(ISNUMBER(INDEX(SPPR!$E:$Z,MATCH($A194,SPPR!$A:$A,0),14)),$C194*INDEX(SPPR!$E:$Z,MATCH($A194,SPPR!$A:$A,0),14),""),"")</f>
        <v/>
      </c>
      <c r="R194">
        <f>IFERROR(IF(ISNUMBER(INDEX(SPPR!$E:$Z,MATCH($A194,SPPR!$A:$A,0),15)),$C194*INDEX(SPPR!$E:$Z,MATCH($A194,SPPR!$A:$A,0),15),""),"")</f>
        <v/>
      </c>
      <c r="S194">
        <f>IFERROR(IF(ISNUMBER(INDEX(SPPR!$E:$Z,MATCH($A194,SPPR!$A:$A,0),16)),$C194*INDEX(SPPR!$E:$Z,MATCH($A194,SPPR!$A:$A,0),16),""),"")</f>
        <v/>
      </c>
      <c r="T194">
        <f>IFERROR(IF(ISNUMBER(INDEX(SPPR!$E:$Z,MATCH($A194,SPPR!$A:$A,0),17)),$C194*INDEX(SPPR!$E:$Z,MATCH($A194,SPPR!$A:$A,0),17),""),"")</f>
        <v/>
      </c>
      <c r="U194">
        <f>IFERROR(IF(ISNUMBER(INDEX(SPPR!$E:$Z,MATCH($A194,SPPR!$A:$A,0),18)),$C194*INDEX(SPPR!$E:$Z,MATCH($A194,SPPR!$A:$A,0),18),""),"")</f>
        <v/>
      </c>
      <c r="V194">
        <f>IFERROR(IF(ISNUMBER(INDEX(SPPR!$E:$Z,MATCH($A194,SPPR!$A:$A,0),19)),$C194*INDEX(SPPR!$E:$Z,MATCH($A194,SPPR!$A:$A,0),19),""),"")</f>
        <v/>
      </c>
      <c r="W194">
        <f>IFERROR(IF(ISNUMBER(INDEX(SPPR!$E:$Z,MATCH($A194,SPPR!$A:$A,0),20)),$C194*INDEX(SPPR!$E:$Z,MATCH($A194,SPPR!$A:$A,0),20),""),"")</f>
        <v/>
      </c>
      <c r="X194">
        <f>IFERROR(IF(ISNUMBER(INDEX(SPPR!$E:$Z,MATCH($A194,SPPR!$A:$A,0),21)),$C194*INDEX(SPPR!$E:$Z,MATCH($A194,SPPR!$A:$A,0),21),""),"")</f>
        <v/>
      </c>
      <c r="Y194">
        <f>IFERROR(IF(ISNUMBER(INDEX(SPPR!$E:$Z,MATCH($A194,SPPR!$A:$A,0),22)),$C194*INDEX(SPPR!$E:$Z,MATCH($A194,SPPR!$A:$A,0),22),""),"")</f>
        <v/>
      </c>
    </row>
    <row r="195">
      <c r="A195" t="inlineStr">
        <is>
          <t>Modiolus</t>
        </is>
      </c>
      <c r="B195">
        <f>IFERROR(INDEX(SPPR!$D:$D,MATCH($A195,SPPR!$A:$A,0)),"")</f>
        <v/>
      </c>
      <c r="C195">
        <f>IFERROR(INDEX(Catch!$E:$BV,MATCH($A195,Catch!$A:$A,0),MATCH($B$4,Catch!$E$1:$BV$1,0)),0)</f>
        <v/>
      </c>
      <c r="D195">
        <f>IFERROR(IF(ISNUMBER(INDEX(SPPR!$E:$Z,MATCH($A195,SPPR!$A:$A,0),1)),$C195*INDEX(SPPR!$E:$Z,MATCH($A195,SPPR!$A:$A,0),1),""),"")</f>
        <v/>
      </c>
      <c r="E195">
        <f>IFERROR(IF(ISNUMBER(INDEX(SPPR!$E:$Z,MATCH($A195,SPPR!$A:$A,0),2)),$C195*INDEX(SPPR!$E:$Z,MATCH($A195,SPPR!$A:$A,0),2),""),"")</f>
        <v/>
      </c>
      <c r="F195">
        <f>IFERROR(IF(ISNUMBER(INDEX(SPPR!$E:$Z,MATCH($A195,SPPR!$A:$A,0),3)),$C195*INDEX(SPPR!$E:$Z,MATCH($A195,SPPR!$A:$A,0),3),""),"")</f>
        <v/>
      </c>
      <c r="G195">
        <f>IFERROR(IF(ISNUMBER(INDEX(SPPR!$E:$Z,MATCH($A195,SPPR!$A:$A,0),4)),$C195*INDEX(SPPR!$E:$Z,MATCH($A195,SPPR!$A:$A,0),4),""),"")</f>
        <v/>
      </c>
      <c r="H195">
        <f>IFERROR(IF(ISNUMBER(INDEX(SPPR!$E:$Z,MATCH($A195,SPPR!$A:$A,0),5)),$C195*INDEX(SPPR!$E:$Z,MATCH($A195,SPPR!$A:$A,0),5),""),"")</f>
        <v/>
      </c>
      <c r="I195">
        <f>IFERROR(IF(ISNUMBER(INDEX(SPPR!$E:$Z,MATCH($A195,SPPR!$A:$A,0),6)),$C195*INDEX(SPPR!$E:$Z,MATCH($A195,SPPR!$A:$A,0),6),""),"")</f>
        <v/>
      </c>
      <c r="J195">
        <f>IFERROR(IF(ISNUMBER(INDEX(SPPR!$E:$Z,MATCH($A195,SPPR!$A:$A,0),7)),$C195*INDEX(SPPR!$E:$Z,MATCH($A195,SPPR!$A:$A,0),7),""),"")</f>
        <v/>
      </c>
      <c r="K195">
        <f>IFERROR(IF(ISNUMBER(INDEX(SPPR!$E:$Z,MATCH($A195,SPPR!$A:$A,0),8)),$C195*INDEX(SPPR!$E:$Z,MATCH($A195,SPPR!$A:$A,0),8),""),"")</f>
        <v/>
      </c>
      <c r="L195">
        <f>IFERROR(IF(ISNUMBER(INDEX(SPPR!$E:$Z,MATCH($A195,SPPR!$A:$A,0),9)),$C195*INDEX(SPPR!$E:$Z,MATCH($A195,SPPR!$A:$A,0),9),""),"")</f>
        <v/>
      </c>
      <c r="M195">
        <f>IFERROR(IF(ISNUMBER(INDEX(SPPR!$E:$Z,MATCH($A195,SPPR!$A:$A,0),10)),$C195*INDEX(SPPR!$E:$Z,MATCH($A195,SPPR!$A:$A,0),10),""),"")</f>
        <v/>
      </c>
      <c r="N195">
        <f>IFERROR(IF(ISNUMBER(INDEX(SPPR!$E:$Z,MATCH($A195,SPPR!$A:$A,0),11)),$C195*INDEX(SPPR!$E:$Z,MATCH($A195,SPPR!$A:$A,0),11),""),"")</f>
        <v/>
      </c>
      <c r="O195">
        <f>IFERROR(IF(ISNUMBER(INDEX(SPPR!$E:$Z,MATCH($A195,SPPR!$A:$A,0),12)),$C195*INDEX(SPPR!$E:$Z,MATCH($A195,SPPR!$A:$A,0),12),""),"")</f>
        <v/>
      </c>
      <c r="P195">
        <f>IFERROR(IF(ISNUMBER(INDEX(SPPR!$E:$Z,MATCH($A195,SPPR!$A:$A,0),13)),$C195*INDEX(SPPR!$E:$Z,MATCH($A195,SPPR!$A:$A,0),13),""),"")</f>
        <v/>
      </c>
      <c r="Q195">
        <f>IFERROR(IF(ISNUMBER(INDEX(SPPR!$E:$Z,MATCH($A195,SPPR!$A:$A,0),14)),$C195*INDEX(SPPR!$E:$Z,MATCH($A195,SPPR!$A:$A,0),14),""),"")</f>
        <v/>
      </c>
      <c r="R195">
        <f>IFERROR(IF(ISNUMBER(INDEX(SPPR!$E:$Z,MATCH($A195,SPPR!$A:$A,0),15)),$C195*INDEX(SPPR!$E:$Z,MATCH($A195,SPPR!$A:$A,0),15),""),"")</f>
        <v/>
      </c>
      <c r="S195">
        <f>IFERROR(IF(ISNUMBER(INDEX(SPPR!$E:$Z,MATCH($A195,SPPR!$A:$A,0),16)),$C195*INDEX(SPPR!$E:$Z,MATCH($A195,SPPR!$A:$A,0),16),""),"")</f>
        <v/>
      </c>
      <c r="T195">
        <f>IFERROR(IF(ISNUMBER(INDEX(SPPR!$E:$Z,MATCH($A195,SPPR!$A:$A,0),17)),$C195*INDEX(SPPR!$E:$Z,MATCH($A195,SPPR!$A:$A,0),17),""),"")</f>
        <v/>
      </c>
      <c r="U195">
        <f>IFERROR(IF(ISNUMBER(INDEX(SPPR!$E:$Z,MATCH($A195,SPPR!$A:$A,0),18)),$C195*INDEX(SPPR!$E:$Z,MATCH($A195,SPPR!$A:$A,0),18),""),"")</f>
        <v/>
      </c>
      <c r="V195">
        <f>IFERROR(IF(ISNUMBER(INDEX(SPPR!$E:$Z,MATCH($A195,SPPR!$A:$A,0),19)),$C195*INDEX(SPPR!$E:$Z,MATCH($A195,SPPR!$A:$A,0),19),""),"")</f>
        <v/>
      </c>
      <c r="W195">
        <f>IFERROR(IF(ISNUMBER(INDEX(SPPR!$E:$Z,MATCH($A195,SPPR!$A:$A,0),20)),$C195*INDEX(SPPR!$E:$Z,MATCH($A195,SPPR!$A:$A,0),20),""),"")</f>
        <v/>
      </c>
      <c r="X195">
        <f>IFERROR(IF(ISNUMBER(INDEX(SPPR!$E:$Z,MATCH($A195,SPPR!$A:$A,0),21)),$C195*INDEX(SPPR!$E:$Z,MATCH($A195,SPPR!$A:$A,0),21),""),"")</f>
        <v/>
      </c>
      <c r="Y195">
        <f>IFERROR(IF(ISNUMBER(INDEX(SPPR!$E:$Z,MATCH($A195,SPPR!$A:$A,0),22)),$C195*INDEX(SPPR!$E:$Z,MATCH($A195,SPPR!$A:$A,0),22),""),"")</f>
        <v/>
      </c>
    </row>
    <row r="196">
      <c r="A196" t="inlineStr">
        <is>
          <t>Scomberoides</t>
        </is>
      </c>
      <c r="B196">
        <f>IFERROR(INDEX(SPPR!$D:$D,MATCH($A196,SPPR!$A:$A,0)),"")</f>
        <v/>
      </c>
      <c r="C196">
        <f>IFERROR(INDEX(Catch!$E:$BV,MATCH($A196,Catch!$A:$A,0),MATCH($B$4,Catch!$E$1:$BV$1,0)),0)</f>
        <v/>
      </c>
      <c r="D196">
        <f>IFERROR(IF(ISNUMBER(INDEX(SPPR!$E:$Z,MATCH($A196,SPPR!$A:$A,0),1)),$C196*INDEX(SPPR!$E:$Z,MATCH($A196,SPPR!$A:$A,0),1),""),"")</f>
        <v/>
      </c>
      <c r="E196">
        <f>IFERROR(IF(ISNUMBER(INDEX(SPPR!$E:$Z,MATCH($A196,SPPR!$A:$A,0),2)),$C196*INDEX(SPPR!$E:$Z,MATCH($A196,SPPR!$A:$A,0),2),""),"")</f>
        <v/>
      </c>
      <c r="F196">
        <f>IFERROR(IF(ISNUMBER(INDEX(SPPR!$E:$Z,MATCH($A196,SPPR!$A:$A,0),3)),$C196*INDEX(SPPR!$E:$Z,MATCH($A196,SPPR!$A:$A,0),3),""),"")</f>
        <v/>
      </c>
      <c r="G196">
        <f>IFERROR(IF(ISNUMBER(INDEX(SPPR!$E:$Z,MATCH($A196,SPPR!$A:$A,0),4)),$C196*INDEX(SPPR!$E:$Z,MATCH($A196,SPPR!$A:$A,0),4),""),"")</f>
        <v/>
      </c>
      <c r="H196">
        <f>IFERROR(IF(ISNUMBER(INDEX(SPPR!$E:$Z,MATCH($A196,SPPR!$A:$A,0),5)),$C196*INDEX(SPPR!$E:$Z,MATCH($A196,SPPR!$A:$A,0),5),""),"")</f>
        <v/>
      </c>
      <c r="I196">
        <f>IFERROR(IF(ISNUMBER(INDEX(SPPR!$E:$Z,MATCH($A196,SPPR!$A:$A,0),6)),$C196*INDEX(SPPR!$E:$Z,MATCH($A196,SPPR!$A:$A,0),6),""),"")</f>
        <v/>
      </c>
      <c r="J196">
        <f>IFERROR(IF(ISNUMBER(INDEX(SPPR!$E:$Z,MATCH($A196,SPPR!$A:$A,0),7)),$C196*INDEX(SPPR!$E:$Z,MATCH($A196,SPPR!$A:$A,0),7),""),"")</f>
        <v/>
      </c>
      <c r="K196">
        <f>IFERROR(IF(ISNUMBER(INDEX(SPPR!$E:$Z,MATCH($A196,SPPR!$A:$A,0),8)),$C196*INDEX(SPPR!$E:$Z,MATCH($A196,SPPR!$A:$A,0),8),""),"")</f>
        <v/>
      </c>
      <c r="L196">
        <f>IFERROR(IF(ISNUMBER(INDEX(SPPR!$E:$Z,MATCH($A196,SPPR!$A:$A,0),9)),$C196*INDEX(SPPR!$E:$Z,MATCH($A196,SPPR!$A:$A,0),9),""),"")</f>
        <v/>
      </c>
      <c r="M196">
        <f>IFERROR(IF(ISNUMBER(INDEX(SPPR!$E:$Z,MATCH($A196,SPPR!$A:$A,0),10)),$C196*INDEX(SPPR!$E:$Z,MATCH($A196,SPPR!$A:$A,0),10),""),"")</f>
        <v/>
      </c>
      <c r="N196">
        <f>IFERROR(IF(ISNUMBER(INDEX(SPPR!$E:$Z,MATCH($A196,SPPR!$A:$A,0),11)),$C196*INDEX(SPPR!$E:$Z,MATCH($A196,SPPR!$A:$A,0),11),""),"")</f>
        <v/>
      </c>
      <c r="O196">
        <f>IFERROR(IF(ISNUMBER(INDEX(SPPR!$E:$Z,MATCH($A196,SPPR!$A:$A,0),12)),$C196*INDEX(SPPR!$E:$Z,MATCH($A196,SPPR!$A:$A,0),12),""),"")</f>
        <v/>
      </c>
      <c r="P196">
        <f>IFERROR(IF(ISNUMBER(INDEX(SPPR!$E:$Z,MATCH($A196,SPPR!$A:$A,0),13)),$C196*INDEX(SPPR!$E:$Z,MATCH($A196,SPPR!$A:$A,0),13),""),"")</f>
        <v/>
      </c>
      <c r="Q196">
        <f>IFERROR(IF(ISNUMBER(INDEX(SPPR!$E:$Z,MATCH($A196,SPPR!$A:$A,0),14)),$C196*INDEX(SPPR!$E:$Z,MATCH($A196,SPPR!$A:$A,0),14),""),"")</f>
        <v/>
      </c>
      <c r="R196">
        <f>IFERROR(IF(ISNUMBER(INDEX(SPPR!$E:$Z,MATCH($A196,SPPR!$A:$A,0),15)),$C196*INDEX(SPPR!$E:$Z,MATCH($A196,SPPR!$A:$A,0),15),""),"")</f>
        <v/>
      </c>
      <c r="S196">
        <f>IFERROR(IF(ISNUMBER(INDEX(SPPR!$E:$Z,MATCH($A196,SPPR!$A:$A,0),16)),$C196*INDEX(SPPR!$E:$Z,MATCH($A196,SPPR!$A:$A,0),16),""),"")</f>
        <v/>
      </c>
      <c r="T196">
        <f>IFERROR(IF(ISNUMBER(INDEX(SPPR!$E:$Z,MATCH($A196,SPPR!$A:$A,0),17)),$C196*INDEX(SPPR!$E:$Z,MATCH($A196,SPPR!$A:$A,0),17),""),"")</f>
        <v/>
      </c>
      <c r="U196">
        <f>IFERROR(IF(ISNUMBER(INDEX(SPPR!$E:$Z,MATCH($A196,SPPR!$A:$A,0),18)),$C196*INDEX(SPPR!$E:$Z,MATCH($A196,SPPR!$A:$A,0),18),""),"")</f>
        <v/>
      </c>
      <c r="V196">
        <f>IFERROR(IF(ISNUMBER(INDEX(SPPR!$E:$Z,MATCH($A196,SPPR!$A:$A,0),19)),$C196*INDEX(SPPR!$E:$Z,MATCH($A196,SPPR!$A:$A,0),19),""),"")</f>
        <v/>
      </c>
      <c r="W196">
        <f>IFERROR(IF(ISNUMBER(INDEX(SPPR!$E:$Z,MATCH($A196,SPPR!$A:$A,0),20)),$C196*INDEX(SPPR!$E:$Z,MATCH($A196,SPPR!$A:$A,0),20),""),"")</f>
        <v/>
      </c>
      <c r="X196">
        <f>IFERROR(IF(ISNUMBER(INDEX(SPPR!$E:$Z,MATCH($A196,SPPR!$A:$A,0),21)),$C196*INDEX(SPPR!$E:$Z,MATCH($A196,SPPR!$A:$A,0),21),""),"")</f>
        <v/>
      </c>
      <c r="Y196">
        <f>IFERROR(IF(ISNUMBER(INDEX(SPPR!$E:$Z,MATCH($A196,SPPR!$A:$A,0),22)),$C196*INDEX(SPPR!$E:$Z,MATCH($A196,SPPR!$A:$A,0),22),""),"")</f>
        <v/>
      </c>
    </row>
    <row r="197">
      <c r="A197" t="inlineStr">
        <is>
          <t>Octopus</t>
        </is>
      </c>
      <c r="B197">
        <f>IFERROR(INDEX(SPPR!$D:$D,MATCH($A197,SPPR!$A:$A,0)),"")</f>
        <v/>
      </c>
      <c r="C197">
        <f>IFERROR(INDEX(Catch!$E:$BV,MATCH($A197,Catch!$A:$A,0),MATCH($B$4,Catch!$E$1:$BV$1,0)),0)</f>
        <v/>
      </c>
      <c r="D197">
        <f>IFERROR(IF(ISNUMBER(INDEX(SPPR!$E:$Z,MATCH($A197,SPPR!$A:$A,0),1)),$C197*INDEX(SPPR!$E:$Z,MATCH($A197,SPPR!$A:$A,0),1),""),"")</f>
        <v/>
      </c>
      <c r="E197">
        <f>IFERROR(IF(ISNUMBER(INDEX(SPPR!$E:$Z,MATCH($A197,SPPR!$A:$A,0),2)),$C197*INDEX(SPPR!$E:$Z,MATCH($A197,SPPR!$A:$A,0),2),""),"")</f>
        <v/>
      </c>
      <c r="F197">
        <f>IFERROR(IF(ISNUMBER(INDEX(SPPR!$E:$Z,MATCH($A197,SPPR!$A:$A,0),3)),$C197*INDEX(SPPR!$E:$Z,MATCH($A197,SPPR!$A:$A,0),3),""),"")</f>
        <v/>
      </c>
      <c r="G197">
        <f>IFERROR(IF(ISNUMBER(INDEX(SPPR!$E:$Z,MATCH($A197,SPPR!$A:$A,0),4)),$C197*INDEX(SPPR!$E:$Z,MATCH($A197,SPPR!$A:$A,0),4),""),"")</f>
        <v/>
      </c>
      <c r="H197">
        <f>IFERROR(IF(ISNUMBER(INDEX(SPPR!$E:$Z,MATCH($A197,SPPR!$A:$A,0),5)),$C197*INDEX(SPPR!$E:$Z,MATCH($A197,SPPR!$A:$A,0),5),""),"")</f>
        <v/>
      </c>
      <c r="I197">
        <f>IFERROR(IF(ISNUMBER(INDEX(SPPR!$E:$Z,MATCH($A197,SPPR!$A:$A,0),6)),$C197*INDEX(SPPR!$E:$Z,MATCH($A197,SPPR!$A:$A,0),6),""),"")</f>
        <v/>
      </c>
      <c r="J197">
        <f>IFERROR(IF(ISNUMBER(INDEX(SPPR!$E:$Z,MATCH($A197,SPPR!$A:$A,0),7)),$C197*INDEX(SPPR!$E:$Z,MATCH($A197,SPPR!$A:$A,0),7),""),"")</f>
        <v/>
      </c>
      <c r="K197">
        <f>IFERROR(IF(ISNUMBER(INDEX(SPPR!$E:$Z,MATCH($A197,SPPR!$A:$A,0),8)),$C197*INDEX(SPPR!$E:$Z,MATCH($A197,SPPR!$A:$A,0),8),""),"")</f>
        <v/>
      </c>
      <c r="L197">
        <f>IFERROR(IF(ISNUMBER(INDEX(SPPR!$E:$Z,MATCH($A197,SPPR!$A:$A,0),9)),$C197*INDEX(SPPR!$E:$Z,MATCH($A197,SPPR!$A:$A,0),9),""),"")</f>
        <v/>
      </c>
      <c r="M197">
        <f>IFERROR(IF(ISNUMBER(INDEX(SPPR!$E:$Z,MATCH($A197,SPPR!$A:$A,0),10)),$C197*INDEX(SPPR!$E:$Z,MATCH($A197,SPPR!$A:$A,0),10),""),"")</f>
        <v/>
      </c>
      <c r="N197">
        <f>IFERROR(IF(ISNUMBER(INDEX(SPPR!$E:$Z,MATCH($A197,SPPR!$A:$A,0),11)),$C197*INDEX(SPPR!$E:$Z,MATCH($A197,SPPR!$A:$A,0),11),""),"")</f>
        <v/>
      </c>
      <c r="O197">
        <f>IFERROR(IF(ISNUMBER(INDEX(SPPR!$E:$Z,MATCH($A197,SPPR!$A:$A,0),12)),$C197*INDEX(SPPR!$E:$Z,MATCH($A197,SPPR!$A:$A,0),12),""),"")</f>
        <v/>
      </c>
      <c r="P197">
        <f>IFERROR(IF(ISNUMBER(INDEX(SPPR!$E:$Z,MATCH($A197,SPPR!$A:$A,0),13)),$C197*INDEX(SPPR!$E:$Z,MATCH($A197,SPPR!$A:$A,0),13),""),"")</f>
        <v/>
      </c>
      <c r="Q197">
        <f>IFERROR(IF(ISNUMBER(INDEX(SPPR!$E:$Z,MATCH($A197,SPPR!$A:$A,0),14)),$C197*INDEX(SPPR!$E:$Z,MATCH($A197,SPPR!$A:$A,0),14),""),"")</f>
        <v/>
      </c>
      <c r="R197">
        <f>IFERROR(IF(ISNUMBER(INDEX(SPPR!$E:$Z,MATCH($A197,SPPR!$A:$A,0),15)),$C197*INDEX(SPPR!$E:$Z,MATCH($A197,SPPR!$A:$A,0),15),""),"")</f>
        <v/>
      </c>
      <c r="S197">
        <f>IFERROR(IF(ISNUMBER(INDEX(SPPR!$E:$Z,MATCH($A197,SPPR!$A:$A,0),16)),$C197*INDEX(SPPR!$E:$Z,MATCH($A197,SPPR!$A:$A,0),16),""),"")</f>
        <v/>
      </c>
      <c r="T197">
        <f>IFERROR(IF(ISNUMBER(INDEX(SPPR!$E:$Z,MATCH($A197,SPPR!$A:$A,0),17)),$C197*INDEX(SPPR!$E:$Z,MATCH($A197,SPPR!$A:$A,0),17),""),"")</f>
        <v/>
      </c>
      <c r="U197">
        <f>IFERROR(IF(ISNUMBER(INDEX(SPPR!$E:$Z,MATCH($A197,SPPR!$A:$A,0),18)),$C197*INDEX(SPPR!$E:$Z,MATCH($A197,SPPR!$A:$A,0),18),""),"")</f>
        <v/>
      </c>
      <c r="V197">
        <f>IFERROR(IF(ISNUMBER(INDEX(SPPR!$E:$Z,MATCH($A197,SPPR!$A:$A,0),19)),$C197*INDEX(SPPR!$E:$Z,MATCH($A197,SPPR!$A:$A,0),19),""),"")</f>
        <v/>
      </c>
      <c r="W197">
        <f>IFERROR(IF(ISNUMBER(INDEX(SPPR!$E:$Z,MATCH($A197,SPPR!$A:$A,0),20)),$C197*INDEX(SPPR!$E:$Z,MATCH($A197,SPPR!$A:$A,0),20),""),"")</f>
        <v/>
      </c>
      <c r="X197">
        <f>IFERROR(IF(ISNUMBER(INDEX(SPPR!$E:$Z,MATCH($A197,SPPR!$A:$A,0),21)),$C197*INDEX(SPPR!$E:$Z,MATCH($A197,SPPR!$A:$A,0),21),""),"")</f>
        <v/>
      </c>
      <c r="Y197">
        <f>IFERROR(IF(ISNUMBER(INDEX(SPPR!$E:$Z,MATCH($A197,SPPR!$A:$A,0),22)),$C197*INDEX(SPPR!$E:$Z,MATCH($A197,SPPR!$A:$A,0),22),""),"")</f>
        <v/>
      </c>
    </row>
    <row r="198">
      <c r="A198" t="inlineStr">
        <is>
          <t>Penaeus japonicus</t>
        </is>
      </c>
      <c r="B198">
        <f>IFERROR(INDEX(SPPR!$D:$D,MATCH($A198,SPPR!$A:$A,0)),"")</f>
        <v/>
      </c>
      <c r="C198">
        <f>IFERROR(INDEX(Catch!$E:$BV,MATCH($A198,Catch!$A:$A,0),MATCH($B$4,Catch!$E$1:$BV$1,0)),0)</f>
        <v/>
      </c>
      <c r="D198">
        <f>IFERROR(IF(ISNUMBER(INDEX(SPPR!$E:$Z,MATCH($A198,SPPR!$A:$A,0),1)),$C198*INDEX(SPPR!$E:$Z,MATCH($A198,SPPR!$A:$A,0),1),""),"")</f>
        <v/>
      </c>
      <c r="E198">
        <f>IFERROR(IF(ISNUMBER(INDEX(SPPR!$E:$Z,MATCH($A198,SPPR!$A:$A,0),2)),$C198*INDEX(SPPR!$E:$Z,MATCH($A198,SPPR!$A:$A,0),2),""),"")</f>
        <v/>
      </c>
      <c r="F198">
        <f>IFERROR(IF(ISNUMBER(INDEX(SPPR!$E:$Z,MATCH($A198,SPPR!$A:$A,0),3)),$C198*INDEX(SPPR!$E:$Z,MATCH($A198,SPPR!$A:$A,0),3),""),"")</f>
        <v/>
      </c>
      <c r="G198">
        <f>IFERROR(IF(ISNUMBER(INDEX(SPPR!$E:$Z,MATCH($A198,SPPR!$A:$A,0),4)),$C198*INDEX(SPPR!$E:$Z,MATCH($A198,SPPR!$A:$A,0),4),""),"")</f>
        <v/>
      </c>
      <c r="H198">
        <f>IFERROR(IF(ISNUMBER(INDEX(SPPR!$E:$Z,MATCH($A198,SPPR!$A:$A,0),5)),$C198*INDEX(SPPR!$E:$Z,MATCH($A198,SPPR!$A:$A,0),5),""),"")</f>
        <v/>
      </c>
      <c r="I198">
        <f>IFERROR(IF(ISNUMBER(INDEX(SPPR!$E:$Z,MATCH($A198,SPPR!$A:$A,0),6)),$C198*INDEX(SPPR!$E:$Z,MATCH($A198,SPPR!$A:$A,0),6),""),"")</f>
        <v/>
      </c>
      <c r="J198">
        <f>IFERROR(IF(ISNUMBER(INDEX(SPPR!$E:$Z,MATCH($A198,SPPR!$A:$A,0),7)),$C198*INDEX(SPPR!$E:$Z,MATCH($A198,SPPR!$A:$A,0),7),""),"")</f>
        <v/>
      </c>
      <c r="K198">
        <f>IFERROR(IF(ISNUMBER(INDEX(SPPR!$E:$Z,MATCH($A198,SPPR!$A:$A,0),8)),$C198*INDEX(SPPR!$E:$Z,MATCH($A198,SPPR!$A:$A,0),8),""),"")</f>
        <v/>
      </c>
      <c r="L198">
        <f>IFERROR(IF(ISNUMBER(INDEX(SPPR!$E:$Z,MATCH($A198,SPPR!$A:$A,0),9)),$C198*INDEX(SPPR!$E:$Z,MATCH($A198,SPPR!$A:$A,0),9),""),"")</f>
        <v/>
      </c>
      <c r="M198">
        <f>IFERROR(IF(ISNUMBER(INDEX(SPPR!$E:$Z,MATCH($A198,SPPR!$A:$A,0),10)),$C198*INDEX(SPPR!$E:$Z,MATCH($A198,SPPR!$A:$A,0),10),""),"")</f>
        <v/>
      </c>
      <c r="N198">
        <f>IFERROR(IF(ISNUMBER(INDEX(SPPR!$E:$Z,MATCH($A198,SPPR!$A:$A,0),11)),$C198*INDEX(SPPR!$E:$Z,MATCH($A198,SPPR!$A:$A,0),11),""),"")</f>
        <v/>
      </c>
      <c r="O198">
        <f>IFERROR(IF(ISNUMBER(INDEX(SPPR!$E:$Z,MATCH($A198,SPPR!$A:$A,0),12)),$C198*INDEX(SPPR!$E:$Z,MATCH($A198,SPPR!$A:$A,0),12),""),"")</f>
        <v/>
      </c>
      <c r="P198">
        <f>IFERROR(IF(ISNUMBER(INDEX(SPPR!$E:$Z,MATCH($A198,SPPR!$A:$A,0),13)),$C198*INDEX(SPPR!$E:$Z,MATCH($A198,SPPR!$A:$A,0),13),""),"")</f>
        <v/>
      </c>
      <c r="Q198">
        <f>IFERROR(IF(ISNUMBER(INDEX(SPPR!$E:$Z,MATCH($A198,SPPR!$A:$A,0),14)),$C198*INDEX(SPPR!$E:$Z,MATCH($A198,SPPR!$A:$A,0),14),""),"")</f>
        <v/>
      </c>
      <c r="R198">
        <f>IFERROR(IF(ISNUMBER(INDEX(SPPR!$E:$Z,MATCH($A198,SPPR!$A:$A,0),15)),$C198*INDEX(SPPR!$E:$Z,MATCH($A198,SPPR!$A:$A,0),15),""),"")</f>
        <v/>
      </c>
      <c r="S198">
        <f>IFERROR(IF(ISNUMBER(INDEX(SPPR!$E:$Z,MATCH($A198,SPPR!$A:$A,0),16)),$C198*INDEX(SPPR!$E:$Z,MATCH($A198,SPPR!$A:$A,0),16),""),"")</f>
        <v/>
      </c>
      <c r="T198">
        <f>IFERROR(IF(ISNUMBER(INDEX(SPPR!$E:$Z,MATCH($A198,SPPR!$A:$A,0),17)),$C198*INDEX(SPPR!$E:$Z,MATCH($A198,SPPR!$A:$A,0),17),""),"")</f>
        <v/>
      </c>
      <c r="U198">
        <f>IFERROR(IF(ISNUMBER(INDEX(SPPR!$E:$Z,MATCH($A198,SPPR!$A:$A,0),18)),$C198*INDEX(SPPR!$E:$Z,MATCH($A198,SPPR!$A:$A,0),18),""),"")</f>
        <v/>
      </c>
      <c r="V198">
        <f>IFERROR(IF(ISNUMBER(INDEX(SPPR!$E:$Z,MATCH($A198,SPPR!$A:$A,0),19)),$C198*INDEX(SPPR!$E:$Z,MATCH($A198,SPPR!$A:$A,0),19),""),"")</f>
        <v/>
      </c>
      <c r="W198">
        <f>IFERROR(IF(ISNUMBER(INDEX(SPPR!$E:$Z,MATCH($A198,SPPR!$A:$A,0),20)),$C198*INDEX(SPPR!$E:$Z,MATCH($A198,SPPR!$A:$A,0),20),""),"")</f>
        <v/>
      </c>
      <c r="X198">
        <f>IFERROR(IF(ISNUMBER(INDEX(SPPR!$E:$Z,MATCH($A198,SPPR!$A:$A,0),21)),$C198*INDEX(SPPR!$E:$Z,MATCH($A198,SPPR!$A:$A,0),21),""),"")</f>
        <v/>
      </c>
      <c r="Y198">
        <f>IFERROR(IF(ISNUMBER(INDEX(SPPR!$E:$Z,MATCH($A198,SPPR!$A:$A,0),22)),$C198*INDEX(SPPR!$E:$Z,MATCH($A198,SPPR!$A:$A,0),22),""),"")</f>
        <v/>
      </c>
    </row>
    <row r="199">
      <c r="A199" t="inlineStr">
        <is>
          <t>Anchoviella</t>
        </is>
      </c>
      <c r="B199">
        <f>IFERROR(INDEX(SPPR!$D:$D,MATCH($A199,SPPR!$A:$A,0)),"")</f>
        <v/>
      </c>
      <c r="C199">
        <f>IFERROR(INDEX(Catch!$E:$BV,MATCH($A199,Catch!$A:$A,0),MATCH($B$4,Catch!$E$1:$BV$1,0)),0)</f>
        <v/>
      </c>
      <c r="D199">
        <f>IFERROR(IF(ISNUMBER(INDEX(SPPR!$E:$Z,MATCH($A199,SPPR!$A:$A,0),1)),$C199*INDEX(SPPR!$E:$Z,MATCH($A199,SPPR!$A:$A,0),1),""),"")</f>
        <v/>
      </c>
      <c r="E199">
        <f>IFERROR(IF(ISNUMBER(INDEX(SPPR!$E:$Z,MATCH($A199,SPPR!$A:$A,0),2)),$C199*INDEX(SPPR!$E:$Z,MATCH($A199,SPPR!$A:$A,0),2),""),"")</f>
        <v/>
      </c>
      <c r="F199">
        <f>IFERROR(IF(ISNUMBER(INDEX(SPPR!$E:$Z,MATCH($A199,SPPR!$A:$A,0),3)),$C199*INDEX(SPPR!$E:$Z,MATCH($A199,SPPR!$A:$A,0),3),""),"")</f>
        <v/>
      </c>
      <c r="G199">
        <f>IFERROR(IF(ISNUMBER(INDEX(SPPR!$E:$Z,MATCH($A199,SPPR!$A:$A,0),4)),$C199*INDEX(SPPR!$E:$Z,MATCH($A199,SPPR!$A:$A,0),4),""),"")</f>
        <v/>
      </c>
      <c r="H199">
        <f>IFERROR(IF(ISNUMBER(INDEX(SPPR!$E:$Z,MATCH($A199,SPPR!$A:$A,0),5)),$C199*INDEX(SPPR!$E:$Z,MATCH($A199,SPPR!$A:$A,0),5),""),"")</f>
        <v/>
      </c>
      <c r="I199">
        <f>IFERROR(IF(ISNUMBER(INDEX(SPPR!$E:$Z,MATCH($A199,SPPR!$A:$A,0),6)),$C199*INDEX(SPPR!$E:$Z,MATCH($A199,SPPR!$A:$A,0),6),""),"")</f>
        <v/>
      </c>
      <c r="J199">
        <f>IFERROR(IF(ISNUMBER(INDEX(SPPR!$E:$Z,MATCH($A199,SPPR!$A:$A,0),7)),$C199*INDEX(SPPR!$E:$Z,MATCH($A199,SPPR!$A:$A,0),7),""),"")</f>
        <v/>
      </c>
      <c r="K199">
        <f>IFERROR(IF(ISNUMBER(INDEX(SPPR!$E:$Z,MATCH($A199,SPPR!$A:$A,0),8)),$C199*INDEX(SPPR!$E:$Z,MATCH($A199,SPPR!$A:$A,0),8),""),"")</f>
        <v/>
      </c>
      <c r="L199">
        <f>IFERROR(IF(ISNUMBER(INDEX(SPPR!$E:$Z,MATCH($A199,SPPR!$A:$A,0),9)),$C199*INDEX(SPPR!$E:$Z,MATCH($A199,SPPR!$A:$A,0),9),""),"")</f>
        <v/>
      </c>
      <c r="M199">
        <f>IFERROR(IF(ISNUMBER(INDEX(SPPR!$E:$Z,MATCH($A199,SPPR!$A:$A,0),10)),$C199*INDEX(SPPR!$E:$Z,MATCH($A199,SPPR!$A:$A,0),10),""),"")</f>
        <v/>
      </c>
      <c r="N199">
        <f>IFERROR(IF(ISNUMBER(INDEX(SPPR!$E:$Z,MATCH($A199,SPPR!$A:$A,0),11)),$C199*INDEX(SPPR!$E:$Z,MATCH($A199,SPPR!$A:$A,0),11),""),"")</f>
        <v/>
      </c>
      <c r="O199">
        <f>IFERROR(IF(ISNUMBER(INDEX(SPPR!$E:$Z,MATCH($A199,SPPR!$A:$A,0),12)),$C199*INDEX(SPPR!$E:$Z,MATCH($A199,SPPR!$A:$A,0),12),""),"")</f>
        <v/>
      </c>
      <c r="P199">
        <f>IFERROR(IF(ISNUMBER(INDEX(SPPR!$E:$Z,MATCH($A199,SPPR!$A:$A,0),13)),$C199*INDEX(SPPR!$E:$Z,MATCH($A199,SPPR!$A:$A,0),13),""),"")</f>
        <v/>
      </c>
      <c r="Q199">
        <f>IFERROR(IF(ISNUMBER(INDEX(SPPR!$E:$Z,MATCH($A199,SPPR!$A:$A,0),14)),$C199*INDEX(SPPR!$E:$Z,MATCH($A199,SPPR!$A:$A,0),14),""),"")</f>
        <v/>
      </c>
      <c r="R199">
        <f>IFERROR(IF(ISNUMBER(INDEX(SPPR!$E:$Z,MATCH($A199,SPPR!$A:$A,0),15)),$C199*INDEX(SPPR!$E:$Z,MATCH($A199,SPPR!$A:$A,0),15),""),"")</f>
        <v/>
      </c>
      <c r="S199">
        <f>IFERROR(IF(ISNUMBER(INDEX(SPPR!$E:$Z,MATCH($A199,SPPR!$A:$A,0),16)),$C199*INDEX(SPPR!$E:$Z,MATCH($A199,SPPR!$A:$A,0),16),""),"")</f>
        <v/>
      </c>
      <c r="T199">
        <f>IFERROR(IF(ISNUMBER(INDEX(SPPR!$E:$Z,MATCH($A199,SPPR!$A:$A,0),17)),$C199*INDEX(SPPR!$E:$Z,MATCH($A199,SPPR!$A:$A,0),17),""),"")</f>
        <v/>
      </c>
      <c r="U199">
        <f>IFERROR(IF(ISNUMBER(INDEX(SPPR!$E:$Z,MATCH($A199,SPPR!$A:$A,0),18)),$C199*INDEX(SPPR!$E:$Z,MATCH($A199,SPPR!$A:$A,0),18),""),"")</f>
        <v/>
      </c>
      <c r="V199">
        <f>IFERROR(IF(ISNUMBER(INDEX(SPPR!$E:$Z,MATCH($A199,SPPR!$A:$A,0),19)),$C199*INDEX(SPPR!$E:$Z,MATCH($A199,SPPR!$A:$A,0),19),""),"")</f>
        <v/>
      </c>
      <c r="W199">
        <f>IFERROR(IF(ISNUMBER(INDEX(SPPR!$E:$Z,MATCH($A199,SPPR!$A:$A,0),20)),$C199*INDEX(SPPR!$E:$Z,MATCH($A199,SPPR!$A:$A,0),20),""),"")</f>
        <v/>
      </c>
      <c r="X199">
        <f>IFERROR(IF(ISNUMBER(INDEX(SPPR!$E:$Z,MATCH($A199,SPPR!$A:$A,0),21)),$C199*INDEX(SPPR!$E:$Z,MATCH($A199,SPPR!$A:$A,0),21),""),"")</f>
        <v/>
      </c>
      <c r="Y199">
        <f>IFERROR(IF(ISNUMBER(INDEX(SPPR!$E:$Z,MATCH($A199,SPPR!$A:$A,0),22)),$C199*INDEX(SPPR!$E:$Z,MATCH($A199,SPPR!$A:$A,0),22),""),"")</f>
        <v/>
      </c>
    </row>
    <row r="200">
      <c r="A200" t="inlineStr">
        <is>
          <t>Mierspenaeopsis sculptilis</t>
        </is>
      </c>
      <c r="B200">
        <f>IFERROR(INDEX(SPPR!$D:$D,MATCH($A200,SPPR!$A:$A,0)),"")</f>
        <v/>
      </c>
      <c r="C200">
        <f>IFERROR(INDEX(Catch!$E:$BV,MATCH($A200,Catch!$A:$A,0),MATCH($B$4,Catch!$E$1:$BV$1,0)),0)</f>
        <v/>
      </c>
      <c r="D200">
        <f>IFERROR(IF(ISNUMBER(INDEX(SPPR!$E:$Z,MATCH($A200,SPPR!$A:$A,0),1)),$C200*INDEX(SPPR!$E:$Z,MATCH($A200,SPPR!$A:$A,0),1),""),"")</f>
        <v/>
      </c>
      <c r="E200">
        <f>IFERROR(IF(ISNUMBER(INDEX(SPPR!$E:$Z,MATCH($A200,SPPR!$A:$A,0),2)),$C200*INDEX(SPPR!$E:$Z,MATCH($A200,SPPR!$A:$A,0),2),""),"")</f>
        <v/>
      </c>
      <c r="F200">
        <f>IFERROR(IF(ISNUMBER(INDEX(SPPR!$E:$Z,MATCH($A200,SPPR!$A:$A,0),3)),$C200*INDEX(SPPR!$E:$Z,MATCH($A200,SPPR!$A:$A,0),3),""),"")</f>
        <v/>
      </c>
      <c r="G200">
        <f>IFERROR(IF(ISNUMBER(INDEX(SPPR!$E:$Z,MATCH($A200,SPPR!$A:$A,0),4)),$C200*INDEX(SPPR!$E:$Z,MATCH($A200,SPPR!$A:$A,0),4),""),"")</f>
        <v/>
      </c>
      <c r="H200">
        <f>IFERROR(IF(ISNUMBER(INDEX(SPPR!$E:$Z,MATCH($A200,SPPR!$A:$A,0),5)),$C200*INDEX(SPPR!$E:$Z,MATCH($A200,SPPR!$A:$A,0),5),""),"")</f>
        <v/>
      </c>
      <c r="I200">
        <f>IFERROR(IF(ISNUMBER(INDEX(SPPR!$E:$Z,MATCH($A200,SPPR!$A:$A,0),6)),$C200*INDEX(SPPR!$E:$Z,MATCH($A200,SPPR!$A:$A,0),6),""),"")</f>
        <v/>
      </c>
      <c r="J200">
        <f>IFERROR(IF(ISNUMBER(INDEX(SPPR!$E:$Z,MATCH($A200,SPPR!$A:$A,0),7)),$C200*INDEX(SPPR!$E:$Z,MATCH($A200,SPPR!$A:$A,0),7),""),"")</f>
        <v/>
      </c>
      <c r="K200">
        <f>IFERROR(IF(ISNUMBER(INDEX(SPPR!$E:$Z,MATCH($A200,SPPR!$A:$A,0),8)),$C200*INDEX(SPPR!$E:$Z,MATCH($A200,SPPR!$A:$A,0),8),""),"")</f>
        <v/>
      </c>
      <c r="L200">
        <f>IFERROR(IF(ISNUMBER(INDEX(SPPR!$E:$Z,MATCH($A200,SPPR!$A:$A,0),9)),$C200*INDEX(SPPR!$E:$Z,MATCH($A200,SPPR!$A:$A,0),9),""),"")</f>
        <v/>
      </c>
      <c r="M200">
        <f>IFERROR(IF(ISNUMBER(INDEX(SPPR!$E:$Z,MATCH($A200,SPPR!$A:$A,0),10)),$C200*INDEX(SPPR!$E:$Z,MATCH($A200,SPPR!$A:$A,0),10),""),"")</f>
        <v/>
      </c>
      <c r="N200">
        <f>IFERROR(IF(ISNUMBER(INDEX(SPPR!$E:$Z,MATCH($A200,SPPR!$A:$A,0),11)),$C200*INDEX(SPPR!$E:$Z,MATCH($A200,SPPR!$A:$A,0),11),""),"")</f>
        <v/>
      </c>
      <c r="O200">
        <f>IFERROR(IF(ISNUMBER(INDEX(SPPR!$E:$Z,MATCH($A200,SPPR!$A:$A,0),12)),$C200*INDEX(SPPR!$E:$Z,MATCH($A200,SPPR!$A:$A,0),12),""),"")</f>
        <v/>
      </c>
      <c r="P200">
        <f>IFERROR(IF(ISNUMBER(INDEX(SPPR!$E:$Z,MATCH($A200,SPPR!$A:$A,0),13)),$C200*INDEX(SPPR!$E:$Z,MATCH($A200,SPPR!$A:$A,0),13),""),"")</f>
        <v/>
      </c>
      <c r="Q200">
        <f>IFERROR(IF(ISNUMBER(INDEX(SPPR!$E:$Z,MATCH($A200,SPPR!$A:$A,0),14)),$C200*INDEX(SPPR!$E:$Z,MATCH($A200,SPPR!$A:$A,0),14),""),"")</f>
        <v/>
      </c>
      <c r="R200">
        <f>IFERROR(IF(ISNUMBER(INDEX(SPPR!$E:$Z,MATCH($A200,SPPR!$A:$A,0),15)),$C200*INDEX(SPPR!$E:$Z,MATCH($A200,SPPR!$A:$A,0),15),""),"")</f>
        <v/>
      </c>
      <c r="S200">
        <f>IFERROR(IF(ISNUMBER(INDEX(SPPR!$E:$Z,MATCH($A200,SPPR!$A:$A,0),16)),$C200*INDEX(SPPR!$E:$Z,MATCH($A200,SPPR!$A:$A,0),16),""),"")</f>
        <v/>
      </c>
      <c r="T200">
        <f>IFERROR(IF(ISNUMBER(INDEX(SPPR!$E:$Z,MATCH($A200,SPPR!$A:$A,0),17)),$C200*INDEX(SPPR!$E:$Z,MATCH($A200,SPPR!$A:$A,0),17),""),"")</f>
        <v/>
      </c>
      <c r="U200">
        <f>IFERROR(IF(ISNUMBER(INDEX(SPPR!$E:$Z,MATCH($A200,SPPR!$A:$A,0),18)),$C200*INDEX(SPPR!$E:$Z,MATCH($A200,SPPR!$A:$A,0),18),""),"")</f>
        <v/>
      </c>
      <c r="V200">
        <f>IFERROR(IF(ISNUMBER(INDEX(SPPR!$E:$Z,MATCH($A200,SPPR!$A:$A,0),19)),$C200*INDEX(SPPR!$E:$Z,MATCH($A200,SPPR!$A:$A,0),19),""),"")</f>
        <v/>
      </c>
      <c r="W200">
        <f>IFERROR(IF(ISNUMBER(INDEX(SPPR!$E:$Z,MATCH($A200,SPPR!$A:$A,0),20)),$C200*INDEX(SPPR!$E:$Z,MATCH($A200,SPPR!$A:$A,0),20),""),"")</f>
        <v/>
      </c>
      <c r="X200">
        <f>IFERROR(IF(ISNUMBER(INDEX(SPPR!$E:$Z,MATCH($A200,SPPR!$A:$A,0),21)),$C200*INDEX(SPPR!$E:$Z,MATCH($A200,SPPR!$A:$A,0),21),""),"")</f>
        <v/>
      </c>
      <c r="Y200">
        <f>IFERROR(IF(ISNUMBER(INDEX(SPPR!$E:$Z,MATCH($A200,SPPR!$A:$A,0),22)),$C200*INDEX(SPPR!$E:$Z,MATCH($A200,SPPR!$A:$A,0),22),""),"")</f>
        <v/>
      </c>
    </row>
    <row r="201">
      <c r="A201" t="inlineStr">
        <is>
          <t>Holothuroidea</t>
        </is>
      </c>
      <c r="B201">
        <f>IFERROR(INDEX(SPPR!$D:$D,MATCH($A201,SPPR!$A:$A,0)),"")</f>
        <v/>
      </c>
      <c r="C201">
        <f>IFERROR(INDEX(Catch!$E:$BV,MATCH($A201,Catch!$A:$A,0),MATCH($B$4,Catch!$E$1:$BV$1,0)),0)</f>
        <v/>
      </c>
      <c r="D201">
        <f>IFERROR(IF(ISNUMBER(INDEX(SPPR!$E:$Z,MATCH($A201,SPPR!$A:$A,0),1)),$C201*INDEX(SPPR!$E:$Z,MATCH($A201,SPPR!$A:$A,0),1),""),"")</f>
        <v/>
      </c>
      <c r="E201">
        <f>IFERROR(IF(ISNUMBER(INDEX(SPPR!$E:$Z,MATCH($A201,SPPR!$A:$A,0),2)),$C201*INDEX(SPPR!$E:$Z,MATCH($A201,SPPR!$A:$A,0),2),""),"")</f>
        <v/>
      </c>
      <c r="F201">
        <f>IFERROR(IF(ISNUMBER(INDEX(SPPR!$E:$Z,MATCH($A201,SPPR!$A:$A,0),3)),$C201*INDEX(SPPR!$E:$Z,MATCH($A201,SPPR!$A:$A,0),3),""),"")</f>
        <v/>
      </c>
      <c r="G201">
        <f>IFERROR(IF(ISNUMBER(INDEX(SPPR!$E:$Z,MATCH($A201,SPPR!$A:$A,0),4)),$C201*INDEX(SPPR!$E:$Z,MATCH($A201,SPPR!$A:$A,0),4),""),"")</f>
        <v/>
      </c>
      <c r="H201">
        <f>IFERROR(IF(ISNUMBER(INDEX(SPPR!$E:$Z,MATCH($A201,SPPR!$A:$A,0),5)),$C201*INDEX(SPPR!$E:$Z,MATCH($A201,SPPR!$A:$A,0),5),""),"")</f>
        <v/>
      </c>
      <c r="I201">
        <f>IFERROR(IF(ISNUMBER(INDEX(SPPR!$E:$Z,MATCH($A201,SPPR!$A:$A,0),6)),$C201*INDEX(SPPR!$E:$Z,MATCH($A201,SPPR!$A:$A,0),6),""),"")</f>
        <v/>
      </c>
      <c r="J201">
        <f>IFERROR(IF(ISNUMBER(INDEX(SPPR!$E:$Z,MATCH($A201,SPPR!$A:$A,0),7)),$C201*INDEX(SPPR!$E:$Z,MATCH($A201,SPPR!$A:$A,0),7),""),"")</f>
        <v/>
      </c>
      <c r="K201">
        <f>IFERROR(IF(ISNUMBER(INDEX(SPPR!$E:$Z,MATCH($A201,SPPR!$A:$A,0),8)),$C201*INDEX(SPPR!$E:$Z,MATCH($A201,SPPR!$A:$A,0),8),""),"")</f>
        <v/>
      </c>
      <c r="L201">
        <f>IFERROR(IF(ISNUMBER(INDEX(SPPR!$E:$Z,MATCH($A201,SPPR!$A:$A,0),9)),$C201*INDEX(SPPR!$E:$Z,MATCH($A201,SPPR!$A:$A,0),9),""),"")</f>
        <v/>
      </c>
      <c r="M201">
        <f>IFERROR(IF(ISNUMBER(INDEX(SPPR!$E:$Z,MATCH($A201,SPPR!$A:$A,0),10)),$C201*INDEX(SPPR!$E:$Z,MATCH($A201,SPPR!$A:$A,0),10),""),"")</f>
        <v/>
      </c>
      <c r="N201">
        <f>IFERROR(IF(ISNUMBER(INDEX(SPPR!$E:$Z,MATCH($A201,SPPR!$A:$A,0),11)),$C201*INDEX(SPPR!$E:$Z,MATCH($A201,SPPR!$A:$A,0),11),""),"")</f>
        <v/>
      </c>
      <c r="O201">
        <f>IFERROR(IF(ISNUMBER(INDEX(SPPR!$E:$Z,MATCH($A201,SPPR!$A:$A,0),12)),$C201*INDEX(SPPR!$E:$Z,MATCH($A201,SPPR!$A:$A,0),12),""),"")</f>
        <v/>
      </c>
      <c r="P201">
        <f>IFERROR(IF(ISNUMBER(INDEX(SPPR!$E:$Z,MATCH($A201,SPPR!$A:$A,0),13)),$C201*INDEX(SPPR!$E:$Z,MATCH($A201,SPPR!$A:$A,0),13),""),"")</f>
        <v/>
      </c>
      <c r="Q201">
        <f>IFERROR(IF(ISNUMBER(INDEX(SPPR!$E:$Z,MATCH($A201,SPPR!$A:$A,0),14)),$C201*INDEX(SPPR!$E:$Z,MATCH($A201,SPPR!$A:$A,0),14),""),"")</f>
        <v/>
      </c>
      <c r="R201">
        <f>IFERROR(IF(ISNUMBER(INDEX(SPPR!$E:$Z,MATCH($A201,SPPR!$A:$A,0),15)),$C201*INDEX(SPPR!$E:$Z,MATCH($A201,SPPR!$A:$A,0),15),""),"")</f>
        <v/>
      </c>
      <c r="S201">
        <f>IFERROR(IF(ISNUMBER(INDEX(SPPR!$E:$Z,MATCH($A201,SPPR!$A:$A,0),16)),$C201*INDEX(SPPR!$E:$Z,MATCH($A201,SPPR!$A:$A,0),16),""),"")</f>
        <v/>
      </c>
      <c r="T201">
        <f>IFERROR(IF(ISNUMBER(INDEX(SPPR!$E:$Z,MATCH($A201,SPPR!$A:$A,0),17)),$C201*INDEX(SPPR!$E:$Z,MATCH($A201,SPPR!$A:$A,0),17),""),"")</f>
        <v/>
      </c>
      <c r="U201">
        <f>IFERROR(IF(ISNUMBER(INDEX(SPPR!$E:$Z,MATCH($A201,SPPR!$A:$A,0),18)),$C201*INDEX(SPPR!$E:$Z,MATCH($A201,SPPR!$A:$A,0),18),""),"")</f>
        <v/>
      </c>
      <c r="V201">
        <f>IFERROR(IF(ISNUMBER(INDEX(SPPR!$E:$Z,MATCH($A201,SPPR!$A:$A,0),19)),$C201*INDEX(SPPR!$E:$Z,MATCH($A201,SPPR!$A:$A,0),19),""),"")</f>
        <v/>
      </c>
      <c r="W201">
        <f>IFERROR(IF(ISNUMBER(INDEX(SPPR!$E:$Z,MATCH($A201,SPPR!$A:$A,0),20)),$C201*INDEX(SPPR!$E:$Z,MATCH($A201,SPPR!$A:$A,0),20),""),"")</f>
        <v/>
      </c>
      <c r="X201">
        <f>IFERROR(IF(ISNUMBER(INDEX(SPPR!$E:$Z,MATCH($A201,SPPR!$A:$A,0),21)),$C201*INDEX(SPPR!$E:$Z,MATCH($A201,SPPR!$A:$A,0),21),""),"")</f>
        <v/>
      </c>
      <c r="Y201">
        <f>IFERROR(IF(ISNUMBER(INDEX(SPPR!$E:$Z,MATCH($A201,SPPR!$A:$A,0),22)),$C201*INDEX(SPPR!$E:$Z,MATCH($A201,SPPR!$A:$A,0),22),""),"")</f>
        <v/>
      </c>
    </row>
    <row r="202">
      <c r="A202" t="inlineStr">
        <is>
          <t>Octopoda</t>
        </is>
      </c>
      <c r="B202">
        <f>IFERROR(INDEX(SPPR!$D:$D,MATCH($A202,SPPR!$A:$A,0)),"")</f>
        <v/>
      </c>
      <c r="C202">
        <f>IFERROR(INDEX(Catch!$E:$BV,MATCH($A202,Catch!$A:$A,0),MATCH($B$4,Catch!$E$1:$BV$1,0)),0)</f>
        <v/>
      </c>
      <c r="D202">
        <f>IFERROR(IF(ISNUMBER(INDEX(SPPR!$E:$Z,MATCH($A202,SPPR!$A:$A,0),1)),$C202*INDEX(SPPR!$E:$Z,MATCH($A202,SPPR!$A:$A,0),1),""),"")</f>
        <v/>
      </c>
      <c r="E202">
        <f>IFERROR(IF(ISNUMBER(INDEX(SPPR!$E:$Z,MATCH($A202,SPPR!$A:$A,0),2)),$C202*INDEX(SPPR!$E:$Z,MATCH($A202,SPPR!$A:$A,0),2),""),"")</f>
        <v/>
      </c>
      <c r="F202">
        <f>IFERROR(IF(ISNUMBER(INDEX(SPPR!$E:$Z,MATCH($A202,SPPR!$A:$A,0),3)),$C202*INDEX(SPPR!$E:$Z,MATCH($A202,SPPR!$A:$A,0),3),""),"")</f>
        <v/>
      </c>
      <c r="G202">
        <f>IFERROR(IF(ISNUMBER(INDEX(SPPR!$E:$Z,MATCH($A202,SPPR!$A:$A,0),4)),$C202*INDEX(SPPR!$E:$Z,MATCH($A202,SPPR!$A:$A,0),4),""),"")</f>
        <v/>
      </c>
      <c r="H202">
        <f>IFERROR(IF(ISNUMBER(INDEX(SPPR!$E:$Z,MATCH($A202,SPPR!$A:$A,0),5)),$C202*INDEX(SPPR!$E:$Z,MATCH($A202,SPPR!$A:$A,0),5),""),"")</f>
        <v/>
      </c>
      <c r="I202">
        <f>IFERROR(IF(ISNUMBER(INDEX(SPPR!$E:$Z,MATCH($A202,SPPR!$A:$A,0),6)),$C202*INDEX(SPPR!$E:$Z,MATCH($A202,SPPR!$A:$A,0),6),""),"")</f>
        <v/>
      </c>
      <c r="J202">
        <f>IFERROR(IF(ISNUMBER(INDEX(SPPR!$E:$Z,MATCH($A202,SPPR!$A:$A,0),7)),$C202*INDEX(SPPR!$E:$Z,MATCH($A202,SPPR!$A:$A,0),7),""),"")</f>
        <v/>
      </c>
      <c r="K202">
        <f>IFERROR(IF(ISNUMBER(INDEX(SPPR!$E:$Z,MATCH($A202,SPPR!$A:$A,0),8)),$C202*INDEX(SPPR!$E:$Z,MATCH($A202,SPPR!$A:$A,0),8),""),"")</f>
        <v/>
      </c>
      <c r="L202">
        <f>IFERROR(IF(ISNUMBER(INDEX(SPPR!$E:$Z,MATCH($A202,SPPR!$A:$A,0),9)),$C202*INDEX(SPPR!$E:$Z,MATCH($A202,SPPR!$A:$A,0),9),""),"")</f>
        <v/>
      </c>
      <c r="M202">
        <f>IFERROR(IF(ISNUMBER(INDEX(SPPR!$E:$Z,MATCH($A202,SPPR!$A:$A,0),10)),$C202*INDEX(SPPR!$E:$Z,MATCH($A202,SPPR!$A:$A,0),10),""),"")</f>
        <v/>
      </c>
      <c r="N202">
        <f>IFERROR(IF(ISNUMBER(INDEX(SPPR!$E:$Z,MATCH($A202,SPPR!$A:$A,0),11)),$C202*INDEX(SPPR!$E:$Z,MATCH($A202,SPPR!$A:$A,0),11),""),"")</f>
        <v/>
      </c>
      <c r="O202">
        <f>IFERROR(IF(ISNUMBER(INDEX(SPPR!$E:$Z,MATCH($A202,SPPR!$A:$A,0),12)),$C202*INDEX(SPPR!$E:$Z,MATCH($A202,SPPR!$A:$A,0),12),""),"")</f>
        <v/>
      </c>
      <c r="P202">
        <f>IFERROR(IF(ISNUMBER(INDEX(SPPR!$E:$Z,MATCH($A202,SPPR!$A:$A,0),13)),$C202*INDEX(SPPR!$E:$Z,MATCH($A202,SPPR!$A:$A,0),13),""),"")</f>
        <v/>
      </c>
      <c r="Q202">
        <f>IFERROR(IF(ISNUMBER(INDEX(SPPR!$E:$Z,MATCH($A202,SPPR!$A:$A,0),14)),$C202*INDEX(SPPR!$E:$Z,MATCH($A202,SPPR!$A:$A,0),14),""),"")</f>
        <v/>
      </c>
      <c r="R202">
        <f>IFERROR(IF(ISNUMBER(INDEX(SPPR!$E:$Z,MATCH($A202,SPPR!$A:$A,0),15)),$C202*INDEX(SPPR!$E:$Z,MATCH($A202,SPPR!$A:$A,0),15),""),"")</f>
        <v/>
      </c>
      <c r="S202">
        <f>IFERROR(IF(ISNUMBER(INDEX(SPPR!$E:$Z,MATCH($A202,SPPR!$A:$A,0),16)),$C202*INDEX(SPPR!$E:$Z,MATCH($A202,SPPR!$A:$A,0),16),""),"")</f>
        <v/>
      </c>
      <c r="T202">
        <f>IFERROR(IF(ISNUMBER(INDEX(SPPR!$E:$Z,MATCH($A202,SPPR!$A:$A,0),17)),$C202*INDEX(SPPR!$E:$Z,MATCH($A202,SPPR!$A:$A,0),17),""),"")</f>
        <v/>
      </c>
      <c r="U202">
        <f>IFERROR(IF(ISNUMBER(INDEX(SPPR!$E:$Z,MATCH($A202,SPPR!$A:$A,0),18)),$C202*INDEX(SPPR!$E:$Z,MATCH($A202,SPPR!$A:$A,0),18),""),"")</f>
        <v/>
      </c>
      <c r="V202">
        <f>IFERROR(IF(ISNUMBER(INDEX(SPPR!$E:$Z,MATCH($A202,SPPR!$A:$A,0),19)),$C202*INDEX(SPPR!$E:$Z,MATCH($A202,SPPR!$A:$A,0),19),""),"")</f>
        <v/>
      </c>
      <c r="W202">
        <f>IFERROR(IF(ISNUMBER(INDEX(SPPR!$E:$Z,MATCH($A202,SPPR!$A:$A,0),20)),$C202*INDEX(SPPR!$E:$Z,MATCH($A202,SPPR!$A:$A,0),20),""),"")</f>
        <v/>
      </c>
      <c r="X202">
        <f>IFERROR(IF(ISNUMBER(INDEX(SPPR!$E:$Z,MATCH($A202,SPPR!$A:$A,0),21)),$C202*INDEX(SPPR!$E:$Z,MATCH($A202,SPPR!$A:$A,0),21),""),"")</f>
        <v/>
      </c>
      <c r="Y202">
        <f>IFERROR(IF(ISNUMBER(INDEX(SPPR!$E:$Z,MATCH($A202,SPPR!$A:$A,0),22)),$C202*INDEX(SPPR!$E:$Z,MATCH($A202,SPPR!$A:$A,0),22),""),"")</f>
        <v/>
      </c>
    </row>
    <row r="203">
      <c r="A203" t="inlineStr">
        <is>
          <t>Scyphozoa</t>
        </is>
      </c>
      <c r="B203">
        <f>IFERROR(INDEX(SPPR!$D:$D,MATCH($A203,SPPR!$A:$A,0)),"")</f>
        <v/>
      </c>
      <c r="C203">
        <f>IFERROR(INDEX(Catch!$E:$BV,MATCH($A203,Catch!$A:$A,0),MATCH($B$4,Catch!$E$1:$BV$1,0)),0)</f>
        <v/>
      </c>
      <c r="D203">
        <f>IFERROR(IF(ISNUMBER(INDEX(SPPR!$E:$Z,MATCH($A203,SPPR!$A:$A,0),1)),$C203*INDEX(SPPR!$E:$Z,MATCH($A203,SPPR!$A:$A,0),1),""),"")</f>
        <v/>
      </c>
      <c r="E203">
        <f>IFERROR(IF(ISNUMBER(INDEX(SPPR!$E:$Z,MATCH($A203,SPPR!$A:$A,0),2)),$C203*INDEX(SPPR!$E:$Z,MATCH($A203,SPPR!$A:$A,0),2),""),"")</f>
        <v/>
      </c>
      <c r="F203">
        <f>IFERROR(IF(ISNUMBER(INDEX(SPPR!$E:$Z,MATCH($A203,SPPR!$A:$A,0),3)),$C203*INDEX(SPPR!$E:$Z,MATCH($A203,SPPR!$A:$A,0),3),""),"")</f>
        <v/>
      </c>
      <c r="G203">
        <f>IFERROR(IF(ISNUMBER(INDEX(SPPR!$E:$Z,MATCH($A203,SPPR!$A:$A,0),4)),$C203*INDEX(SPPR!$E:$Z,MATCH($A203,SPPR!$A:$A,0),4),""),"")</f>
        <v/>
      </c>
      <c r="H203">
        <f>IFERROR(IF(ISNUMBER(INDEX(SPPR!$E:$Z,MATCH($A203,SPPR!$A:$A,0),5)),$C203*INDEX(SPPR!$E:$Z,MATCH($A203,SPPR!$A:$A,0),5),""),"")</f>
        <v/>
      </c>
      <c r="I203">
        <f>IFERROR(IF(ISNUMBER(INDEX(SPPR!$E:$Z,MATCH($A203,SPPR!$A:$A,0),6)),$C203*INDEX(SPPR!$E:$Z,MATCH($A203,SPPR!$A:$A,0),6),""),"")</f>
        <v/>
      </c>
      <c r="J203">
        <f>IFERROR(IF(ISNUMBER(INDEX(SPPR!$E:$Z,MATCH($A203,SPPR!$A:$A,0),7)),$C203*INDEX(SPPR!$E:$Z,MATCH($A203,SPPR!$A:$A,0),7),""),"")</f>
        <v/>
      </c>
      <c r="K203">
        <f>IFERROR(IF(ISNUMBER(INDEX(SPPR!$E:$Z,MATCH($A203,SPPR!$A:$A,0),8)),$C203*INDEX(SPPR!$E:$Z,MATCH($A203,SPPR!$A:$A,0),8),""),"")</f>
        <v/>
      </c>
      <c r="L203">
        <f>IFERROR(IF(ISNUMBER(INDEX(SPPR!$E:$Z,MATCH($A203,SPPR!$A:$A,0),9)),$C203*INDEX(SPPR!$E:$Z,MATCH($A203,SPPR!$A:$A,0),9),""),"")</f>
        <v/>
      </c>
      <c r="M203">
        <f>IFERROR(IF(ISNUMBER(INDEX(SPPR!$E:$Z,MATCH($A203,SPPR!$A:$A,0),10)),$C203*INDEX(SPPR!$E:$Z,MATCH($A203,SPPR!$A:$A,0),10),""),"")</f>
        <v/>
      </c>
      <c r="N203">
        <f>IFERROR(IF(ISNUMBER(INDEX(SPPR!$E:$Z,MATCH($A203,SPPR!$A:$A,0),11)),$C203*INDEX(SPPR!$E:$Z,MATCH($A203,SPPR!$A:$A,0),11),""),"")</f>
        <v/>
      </c>
      <c r="O203">
        <f>IFERROR(IF(ISNUMBER(INDEX(SPPR!$E:$Z,MATCH($A203,SPPR!$A:$A,0),12)),$C203*INDEX(SPPR!$E:$Z,MATCH($A203,SPPR!$A:$A,0),12),""),"")</f>
        <v/>
      </c>
      <c r="P203">
        <f>IFERROR(IF(ISNUMBER(INDEX(SPPR!$E:$Z,MATCH($A203,SPPR!$A:$A,0),13)),$C203*INDEX(SPPR!$E:$Z,MATCH($A203,SPPR!$A:$A,0),13),""),"")</f>
        <v/>
      </c>
      <c r="Q203">
        <f>IFERROR(IF(ISNUMBER(INDEX(SPPR!$E:$Z,MATCH($A203,SPPR!$A:$A,0),14)),$C203*INDEX(SPPR!$E:$Z,MATCH($A203,SPPR!$A:$A,0),14),""),"")</f>
        <v/>
      </c>
      <c r="R203">
        <f>IFERROR(IF(ISNUMBER(INDEX(SPPR!$E:$Z,MATCH($A203,SPPR!$A:$A,0),15)),$C203*INDEX(SPPR!$E:$Z,MATCH($A203,SPPR!$A:$A,0),15),""),"")</f>
        <v/>
      </c>
      <c r="S203">
        <f>IFERROR(IF(ISNUMBER(INDEX(SPPR!$E:$Z,MATCH($A203,SPPR!$A:$A,0),16)),$C203*INDEX(SPPR!$E:$Z,MATCH($A203,SPPR!$A:$A,0),16),""),"")</f>
        <v/>
      </c>
      <c r="T203">
        <f>IFERROR(IF(ISNUMBER(INDEX(SPPR!$E:$Z,MATCH($A203,SPPR!$A:$A,0),17)),$C203*INDEX(SPPR!$E:$Z,MATCH($A203,SPPR!$A:$A,0),17),""),"")</f>
        <v/>
      </c>
      <c r="U203">
        <f>IFERROR(IF(ISNUMBER(INDEX(SPPR!$E:$Z,MATCH($A203,SPPR!$A:$A,0),18)),$C203*INDEX(SPPR!$E:$Z,MATCH($A203,SPPR!$A:$A,0),18),""),"")</f>
        <v/>
      </c>
      <c r="V203">
        <f>IFERROR(IF(ISNUMBER(INDEX(SPPR!$E:$Z,MATCH($A203,SPPR!$A:$A,0),19)),$C203*INDEX(SPPR!$E:$Z,MATCH($A203,SPPR!$A:$A,0),19),""),"")</f>
        <v/>
      </c>
      <c r="W203">
        <f>IFERROR(IF(ISNUMBER(INDEX(SPPR!$E:$Z,MATCH($A203,SPPR!$A:$A,0),20)),$C203*INDEX(SPPR!$E:$Z,MATCH($A203,SPPR!$A:$A,0),20),""),"")</f>
        <v/>
      </c>
      <c r="X203">
        <f>IFERROR(IF(ISNUMBER(INDEX(SPPR!$E:$Z,MATCH($A203,SPPR!$A:$A,0),21)),$C203*INDEX(SPPR!$E:$Z,MATCH($A203,SPPR!$A:$A,0),21),""),"")</f>
        <v/>
      </c>
      <c r="Y203">
        <f>IFERROR(IF(ISNUMBER(INDEX(SPPR!$E:$Z,MATCH($A203,SPPR!$A:$A,0),22)),$C203*INDEX(SPPR!$E:$Z,MATCH($A203,SPPR!$A:$A,0),22),""),"")</f>
        <v/>
      </c>
    </row>
    <row r="204">
      <c r="A204" t="inlineStr">
        <is>
          <t>Siganus canaliculatus</t>
        </is>
      </c>
      <c r="B204">
        <f>IFERROR(INDEX(SPPR!$D:$D,MATCH($A204,SPPR!$A:$A,0)),"")</f>
        <v/>
      </c>
      <c r="C204">
        <f>IFERROR(INDEX(Catch!$E:$BV,MATCH($A204,Catch!$A:$A,0),MATCH($B$4,Catch!$E$1:$BV$1,0)),0)</f>
        <v/>
      </c>
      <c r="D204">
        <f>IFERROR(IF(ISNUMBER(INDEX(SPPR!$E:$Z,MATCH($A204,SPPR!$A:$A,0),1)),$C204*INDEX(SPPR!$E:$Z,MATCH($A204,SPPR!$A:$A,0),1),""),"")</f>
        <v/>
      </c>
      <c r="E204">
        <f>IFERROR(IF(ISNUMBER(INDEX(SPPR!$E:$Z,MATCH($A204,SPPR!$A:$A,0),2)),$C204*INDEX(SPPR!$E:$Z,MATCH($A204,SPPR!$A:$A,0),2),""),"")</f>
        <v/>
      </c>
      <c r="F204">
        <f>IFERROR(IF(ISNUMBER(INDEX(SPPR!$E:$Z,MATCH($A204,SPPR!$A:$A,0),3)),$C204*INDEX(SPPR!$E:$Z,MATCH($A204,SPPR!$A:$A,0),3),""),"")</f>
        <v/>
      </c>
      <c r="G204">
        <f>IFERROR(IF(ISNUMBER(INDEX(SPPR!$E:$Z,MATCH($A204,SPPR!$A:$A,0),4)),$C204*INDEX(SPPR!$E:$Z,MATCH($A204,SPPR!$A:$A,0),4),""),"")</f>
        <v/>
      </c>
      <c r="H204">
        <f>IFERROR(IF(ISNUMBER(INDEX(SPPR!$E:$Z,MATCH($A204,SPPR!$A:$A,0),5)),$C204*INDEX(SPPR!$E:$Z,MATCH($A204,SPPR!$A:$A,0),5),""),"")</f>
        <v/>
      </c>
      <c r="I204">
        <f>IFERROR(IF(ISNUMBER(INDEX(SPPR!$E:$Z,MATCH($A204,SPPR!$A:$A,0),6)),$C204*INDEX(SPPR!$E:$Z,MATCH($A204,SPPR!$A:$A,0),6),""),"")</f>
        <v/>
      </c>
      <c r="J204">
        <f>IFERROR(IF(ISNUMBER(INDEX(SPPR!$E:$Z,MATCH($A204,SPPR!$A:$A,0),7)),$C204*INDEX(SPPR!$E:$Z,MATCH($A204,SPPR!$A:$A,0),7),""),"")</f>
        <v/>
      </c>
      <c r="K204">
        <f>IFERROR(IF(ISNUMBER(INDEX(SPPR!$E:$Z,MATCH($A204,SPPR!$A:$A,0),8)),$C204*INDEX(SPPR!$E:$Z,MATCH($A204,SPPR!$A:$A,0),8),""),"")</f>
        <v/>
      </c>
      <c r="L204">
        <f>IFERROR(IF(ISNUMBER(INDEX(SPPR!$E:$Z,MATCH($A204,SPPR!$A:$A,0),9)),$C204*INDEX(SPPR!$E:$Z,MATCH($A204,SPPR!$A:$A,0),9),""),"")</f>
        <v/>
      </c>
      <c r="M204">
        <f>IFERROR(IF(ISNUMBER(INDEX(SPPR!$E:$Z,MATCH($A204,SPPR!$A:$A,0),10)),$C204*INDEX(SPPR!$E:$Z,MATCH($A204,SPPR!$A:$A,0),10),""),"")</f>
        <v/>
      </c>
      <c r="N204">
        <f>IFERROR(IF(ISNUMBER(INDEX(SPPR!$E:$Z,MATCH($A204,SPPR!$A:$A,0),11)),$C204*INDEX(SPPR!$E:$Z,MATCH($A204,SPPR!$A:$A,0),11),""),"")</f>
        <v/>
      </c>
      <c r="O204">
        <f>IFERROR(IF(ISNUMBER(INDEX(SPPR!$E:$Z,MATCH($A204,SPPR!$A:$A,0),12)),$C204*INDEX(SPPR!$E:$Z,MATCH($A204,SPPR!$A:$A,0),12),""),"")</f>
        <v/>
      </c>
      <c r="P204">
        <f>IFERROR(IF(ISNUMBER(INDEX(SPPR!$E:$Z,MATCH($A204,SPPR!$A:$A,0),13)),$C204*INDEX(SPPR!$E:$Z,MATCH($A204,SPPR!$A:$A,0),13),""),"")</f>
        <v/>
      </c>
      <c r="Q204">
        <f>IFERROR(IF(ISNUMBER(INDEX(SPPR!$E:$Z,MATCH($A204,SPPR!$A:$A,0),14)),$C204*INDEX(SPPR!$E:$Z,MATCH($A204,SPPR!$A:$A,0),14),""),"")</f>
        <v/>
      </c>
      <c r="R204">
        <f>IFERROR(IF(ISNUMBER(INDEX(SPPR!$E:$Z,MATCH($A204,SPPR!$A:$A,0),15)),$C204*INDEX(SPPR!$E:$Z,MATCH($A204,SPPR!$A:$A,0),15),""),"")</f>
        <v/>
      </c>
      <c r="S204">
        <f>IFERROR(IF(ISNUMBER(INDEX(SPPR!$E:$Z,MATCH($A204,SPPR!$A:$A,0),16)),$C204*INDEX(SPPR!$E:$Z,MATCH($A204,SPPR!$A:$A,0),16),""),"")</f>
        <v/>
      </c>
      <c r="T204">
        <f>IFERROR(IF(ISNUMBER(INDEX(SPPR!$E:$Z,MATCH($A204,SPPR!$A:$A,0),17)),$C204*INDEX(SPPR!$E:$Z,MATCH($A204,SPPR!$A:$A,0),17),""),"")</f>
        <v/>
      </c>
      <c r="U204">
        <f>IFERROR(IF(ISNUMBER(INDEX(SPPR!$E:$Z,MATCH($A204,SPPR!$A:$A,0),18)),$C204*INDEX(SPPR!$E:$Z,MATCH($A204,SPPR!$A:$A,0),18),""),"")</f>
        <v/>
      </c>
      <c r="V204">
        <f>IFERROR(IF(ISNUMBER(INDEX(SPPR!$E:$Z,MATCH($A204,SPPR!$A:$A,0),19)),$C204*INDEX(SPPR!$E:$Z,MATCH($A204,SPPR!$A:$A,0),19),""),"")</f>
        <v/>
      </c>
      <c r="W204">
        <f>IFERROR(IF(ISNUMBER(INDEX(SPPR!$E:$Z,MATCH($A204,SPPR!$A:$A,0),20)),$C204*INDEX(SPPR!$E:$Z,MATCH($A204,SPPR!$A:$A,0),20),""),"")</f>
        <v/>
      </c>
      <c r="X204">
        <f>IFERROR(IF(ISNUMBER(INDEX(SPPR!$E:$Z,MATCH($A204,SPPR!$A:$A,0),21)),$C204*INDEX(SPPR!$E:$Z,MATCH($A204,SPPR!$A:$A,0),21),""),"")</f>
        <v/>
      </c>
      <c r="Y204">
        <f>IFERROR(IF(ISNUMBER(INDEX(SPPR!$E:$Z,MATCH($A204,SPPR!$A:$A,0),22)),$C204*INDEX(SPPR!$E:$Z,MATCH($A204,SPPR!$A:$A,0),22),""),"")</f>
        <v/>
      </c>
    </row>
    <row r="205">
      <c r="A205" t="inlineStr">
        <is>
          <t>Chirocentrus nudus</t>
        </is>
      </c>
      <c r="B205">
        <f>IFERROR(INDEX(SPPR!$D:$D,MATCH($A205,SPPR!$A:$A,0)),"")</f>
        <v/>
      </c>
      <c r="C205">
        <f>IFERROR(INDEX(Catch!$E:$BV,MATCH($A205,Catch!$A:$A,0),MATCH($B$4,Catch!$E$1:$BV$1,0)),0)</f>
        <v/>
      </c>
      <c r="D205">
        <f>IFERROR(IF(ISNUMBER(INDEX(SPPR!$E:$Z,MATCH($A205,SPPR!$A:$A,0),1)),$C205*INDEX(SPPR!$E:$Z,MATCH($A205,SPPR!$A:$A,0),1),""),"")</f>
        <v/>
      </c>
      <c r="E205">
        <f>IFERROR(IF(ISNUMBER(INDEX(SPPR!$E:$Z,MATCH($A205,SPPR!$A:$A,0),2)),$C205*INDEX(SPPR!$E:$Z,MATCH($A205,SPPR!$A:$A,0),2),""),"")</f>
        <v/>
      </c>
      <c r="F205">
        <f>IFERROR(IF(ISNUMBER(INDEX(SPPR!$E:$Z,MATCH($A205,SPPR!$A:$A,0),3)),$C205*INDEX(SPPR!$E:$Z,MATCH($A205,SPPR!$A:$A,0),3),""),"")</f>
        <v/>
      </c>
      <c r="G205">
        <f>IFERROR(IF(ISNUMBER(INDEX(SPPR!$E:$Z,MATCH($A205,SPPR!$A:$A,0),4)),$C205*INDEX(SPPR!$E:$Z,MATCH($A205,SPPR!$A:$A,0),4),""),"")</f>
        <v/>
      </c>
      <c r="H205">
        <f>IFERROR(IF(ISNUMBER(INDEX(SPPR!$E:$Z,MATCH($A205,SPPR!$A:$A,0),5)),$C205*INDEX(SPPR!$E:$Z,MATCH($A205,SPPR!$A:$A,0),5),""),"")</f>
        <v/>
      </c>
      <c r="I205">
        <f>IFERROR(IF(ISNUMBER(INDEX(SPPR!$E:$Z,MATCH($A205,SPPR!$A:$A,0),6)),$C205*INDEX(SPPR!$E:$Z,MATCH($A205,SPPR!$A:$A,0),6),""),"")</f>
        <v/>
      </c>
      <c r="J205">
        <f>IFERROR(IF(ISNUMBER(INDEX(SPPR!$E:$Z,MATCH($A205,SPPR!$A:$A,0),7)),$C205*INDEX(SPPR!$E:$Z,MATCH($A205,SPPR!$A:$A,0),7),""),"")</f>
        <v/>
      </c>
      <c r="K205">
        <f>IFERROR(IF(ISNUMBER(INDEX(SPPR!$E:$Z,MATCH($A205,SPPR!$A:$A,0),8)),$C205*INDEX(SPPR!$E:$Z,MATCH($A205,SPPR!$A:$A,0),8),""),"")</f>
        <v/>
      </c>
      <c r="L205">
        <f>IFERROR(IF(ISNUMBER(INDEX(SPPR!$E:$Z,MATCH($A205,SPPR!$A:$A,0),9)),$C205*INDEX(SPPR!$E:$Z,MATCH($A205,SPPR!$A:$A,0),9),""),"")</f>
        <v/>
      </c>
      <c r="M205">
        <f>IFERROR(IF(ISNUMBER(INDEX(SPPR!$E:$Z,MATCH($A205,SPPR!$A:$A,0),10)),$C205*INDEX(SPPR!$E:$Z,MATCH($A205,SPPR!$A:$A,0),10),""),"")</f>
        <v/>
      </c>
      <c r="N205">
        <f>IFERROR(IF(ISNUMBER(INDEX(SPPR!$E:$Z,MATCH($A205,SPPR!$A:$A,0),11)),$C205*INDEX(SPPR!$E:$Z,MATCH($A205,SPPR!$A:$A,0),11),""),"")</f>
        <v/>
      </c>
      <c r="O205">
        <f>IFERROR(IF(ISNUMBER(INDEX(SPPR!$E:$Z,MATCH($A205,SPPR!$A:$A,0),12)),$C205*INDEX(SPPR!$E:$Z,MATCH($A205,SPPR!$A:$A,0),12),""),"")</f>
        <v/>
      </c>
      <c r="P205">
        <f>IFERROR(IF(ISNUMBER(INDEX(SPPR!$E:$Z,MATCH($A205,SPPR!$A:$A,0),13)),$C205*INDEX(SPPR!$E:$Z,MATCH($A205,SPPR!$A:$A,0),13),""),"")</f>
        <v/>
      </c>
      <c r="Q205">
        <f>IFERROR(IF(ISNUMBER(INDEX(SPPR!$E:$Z,MATCH($A205,SPPR!$A:$A,0),14)),$C205*INDEX(SPPR!$E:$Z,MATCH($A205,SPPR!$A:$A,0),14),""),"")</f>
        <v/>
      </c>
      <c r="R205">
        <f>IFERROR(IF(ISNUMBER(INDEX(SPPR!$E:$Z,MATCH($A205,SPPR!$A:$A,0),15)),$C205*INDEX(SPPR!$E:$Z,MATCH($A205,SPPR!$A:$A,0),15),""),"")</f>
        <v/>
      </c>
      <c r="S205">
        <f>IFERROR(IF(ISNUMBER(INDEX(SPPR!$E:$Z,MATCH($A205,SPPR!$A:$A,0),16)),$C205*INDEX(SPPR!$E:$Z,MATCH($A205,SPPR!$A:$A,0),16),""),"")</f>
        <v/>
      </c>
      <c r="T205">
        <f>IFERROR(IF(ISNUMBER(INDEX(SPPR!$E:$Z,MATCH($A205,SPPR!$A:$A,0),17)),$C205*INDEX(SPPR!$E:$Z,MATCH($A205,SPPR!$A:$A,0),17),""),"")</f>
        <v/>
      </c>
      <c r="U205">
        <f>IFERROR(IF(ISNUMBER(INDEX(SPPR!$E:$Z,MATCH($A205,SPPR!$A:$A,0),18)),$C205*INDEX(SPPR!$E:$Z,MATCH($A205,SPPR!$A:$A,0),18),""),"")</f>
        <v/>
      </c>
      <c r="V205">
        <f>IFERROR(IF(ISNUMBER(INDEX(SPPR!$E:$Z,MATCH($A205,SPPR!$A:$A,0),19)),$C205*INDEX(SPPR!$E:$Z,MATCH($A205,SPPR!$A:$A,0),19),""),"")</f>
        <v/>
      </c>
      <c r="W205">
        <f>IFERROR(IF(ISNUMBER(INDEX(SPPR!$E:$Z,MATCH($A205,SPPR!$A:$A,0),20)),$C205*INDEX(SPPR!$E:$Z,MATCH($A205,SPPR!$A:$A,0),20),""),"")</f>
        <v/>
      </c>
      <c r="X205">
        <f>IFERROR(IF(ISNUMBER(INDEX(SPPR!$E:$Z,MATCH($A205,SPPR!$A:$A,0),21)),$C205*INDEX(SPPR!$E:$Z,MATCH($A205,SPPR!$A:$A,0),21),""),"")</f>
        <v/>
      </c>
      <c r="Y205">
        <f>IFERROR(IF(ISNUMBER(INDEX(SPPR!$E:$Z,MATCH($A205,SPPR!$A:$A,0),22)),$C205*INDEX(SPPR!$E:$Z,MATCH($A205,SPPR!$A:$A,0),22),""),"")</f>
        <v/>
      </c>
    </row>
    <row r="206">
      <c r="A206" t="inlineStr">
        <is>
          <t>Pleuronectiformes</t>
        </is>
      </c>
      <c r="B206">
        <f>IFERROR(INDEX(SPPR!$D:$D,MATCH($A206,SPPR!$A:$A,0)),"")</f>
        <v/>
      </c>
      <c r="C206">
        <f>IFERROR(INDEX(Catch!$E:$BV,MATCH($A206,Catch!$A:$A,0),MATCH($B$4,Catch!$E$1:$BV$1,0)),0)</f>
        <v/>
      </c>
      <c r="D206">
        <f>IFERROR(IF(ISNUMBER(INDEX(SPPR!$E:$Z,MATCH($A206,SPPR!$A:$A,0),1)),$C206*INDEX(SPPR!$E:$Z,MATCH($A206,SPPR!$A:$A,0),1),""),"")</f>
        <v/>
      </c>
      <c r="E206">
        <f>IFERROR(IF(ISNUMBER(INDEX(SPPR!$E:$Z,MATCH($A206,SPPR!$A:$A,0),2)),$C206*INDEX(SPPR!$E:$Z,MATCH($A206,SPPR!$A:$A,0),2),""),"")</f>
        <v/>
      </c>
      <c r="F206">
        <f>IFERROR(IF(ISNUMBER(INDEX(SPPR!$E:$Z,MATCH($A206,SPPR!$A:$A,0),3)),$C206*INDEX(SPPR!$E:$Z,MATCH($A206,SPPR!$A:$A,0),3),""),"")</f>
        <v/>
      </c>
      <c r="G206">
        <f>IFERROR(IF(ISNUMBER(INDEX(SPPR!$E:$Z,MATCH($A206,SPPR!$A:$A,0),4)),$C206*INDEX(SPPR!$E:$Z,MATCH($A206,SPPR!$A:$A,0),4),""),"")</f>
        <v/>
      </c>
      <c r="H206">
        <f>IFERROR(IF(ISNUMBER(INDEX(SPPR!$E:$Z,MATCH($A206,SPPR!$A:$A,0),5)),$C206*INDEX(SPPR!$E:$Z,MATCH($A206,SPPR!$A:$A,0),5),""),"")</f>
        <v/>
      </c>
      <c r="I206">
        <f>IFERROR(IF(ISNUMBER(INDEX(SPPR!$E:$Z,MATCH($A206,SPPR!$A:$A,0),6)),$C206*INDEX(SPPR!$E:$Z,MATCH($A206,SPPR!$A:$A,0),6),""),"")</f>
        <v/>
      </c>
      <c r="J206">
        <f>IFERROR(IF(ISNUMBER(INDEX(SPPR!$E:$Z,MATCH($A206,SPPR!$A:$A,0),7)),$C206*INDEX(SPPR!$E:$Z,MATCH($A206,SPPR!$A:$A,0),7),""),"")</f>
        <v/>
      </c>
      <c r="K206">
        <f>IFERROR(IF(ISNUMBER(INDEX(SPPR!$E:$Z,MATCH($A206,SPPR!$A:$A,0),8)),$C206*INDEX(SPPR!$E:$Z,MATCH($A206,SPPR!$A:$A,0),8),""),"")</f>
        <v/>
      </c>
      <c r="L206">
        <f>IFERROR(IF(ISNUMBER(INDEX(SPPR!$E:$Z,MATCH($A206,SPPR!$A:$A,0),9)),$C206*INDEX(SPPR!$E:$Z,MATCH($A206,SPPR!$A:$A,0),9),""),"")</f>
        <v/>
      </c>
      <c r="M206">
        <f>IFERROR(IF(ISNUMBER(INDEX(SPPR!$E:$Z,MATCH($A206,SPPR!$A:$A,0),10)),$C206*INDEX(SPPR!$E:$Z,MATCH($A206,SPPR!$A:$A,0),10),""),"")</f>
        <v/>
      </c>
      <c r="N206">
        <f>IFERROR(IF(ISNUMBER(INDEX(SPPR!$E:$Z,MATCH($A206,SPPR!$A:$A,0),11)),$C206*INDEX(SPPR!$E:$Z,MATCH($A206,SPPR!$A:$A,0),11),""),"")</f>
        <v/>
      </c>
      <c r="O206">
        <f>IFERROR(IF(ISNUMBER(INDEX(SPPR!$E:$Z,MATCH($A206,SPPR!$A:$A,0),12)),$C206*INDEX(SPPR!$E:$Z,MATCH($A206,SPPR!$A:$A,0),12),""),"")</f>
        <v/>
      </c>
      <c r="P206">
        <f>IFERROR(IF(ISNUMBER(INDEX(SPPR!$E:$Z,MATCH($A206,SPPR!$A:$A,0),13)),$C206*INDEX(SPPR!$E:$Z,MATCH($A206,SPPR!$A:$A,0),13),""),"")</f>
        <v/>
      </c>
      <c r="Q206">
        <f>IFERROR(IF(ISNUMBER(INDEX(SPPR!$E:$Z,MATCH($A206,SPPR!$A:$A,0),14)),$C206*INDEX(SPPR!$E:$Z,MATCH($A206,SPPR!$A:$A,0),14),""),"")</f>
        <v/>
      </c>
      <c r="R206">
        <f>IFERROR(IF(ISNUMBER(INDEX(SPPR!$E:$Z,MATCH($A206,SPPR!$A:$A,0),15)),$C206*INDEX(SPPR!$E:$Z,MATCH($A206,SPPR!$A:$A,0),15),""),"")</f>
        <v/>
      </c>
      <c r="S206">
        <f>IFERROR(IF(ISNUMBER(INDEX(SPPR!$E:$Z,MATCH($A206,SPPR!$A:$A,0),16)),$C206*INDEX(SPPR!$E:$Z,MATCH($A206,SPPR!$A:$A,0),16),""),"")</f>
        <v/>
      </c>
      <c r="T206">
        <f>IFERROR(IF(ISNUMBER(INDEX(SPPR!$E:$Z,MATCH($A206,SPPR!$A:$A,0),17)),$C206*INDEX(SPPR!$E:$Z,MATCH($A206,SPPR!$A:$A,0),17),""),"")</f>
        <v/>
      </c>
      <c r="U206">
        <f>IFERROR(IF(ISNUMBER(INDEX(SPPR!$E:$Z,MATCH($A206,SPPR!$A:$A,0),18)),$C206*INDEX(SPPR!$E:$Z,MATCH($A206,SPPR!$A:$A,0),18),""),"")</f>
        <v/>
      </c>
      <c r="V206">
        <f>IFERROR(IF(ISNUMBER(INDEX(SPPR!$E:$Z,MATCH($A206,SPPR!$A:$A,0),19)),$C206*INDEX(SPPR!$E:$Z,MATCH($A206,SPPR!$A:$A,0),19),""),"")</f>
        <v/>
      </c>
      <c r="W206">
        <f>IFERROR(IF(ISNUMBER(INDEX(SPPR!$E:$Z,MATCH($A206,SPPR!$A:$A,0),20)),$C206*INDEX(SPPR!$E:$Z,MATCH($A206,SPPR!$A:$A,0),20),""),"")</f>
        <v/>
      </c>
      <c r="X206">
        <f>IFERROR(IF(ISNUMBER(INDEX(SPPR!$E:$Z,MATCH($A206,SPPR!$A:$A,0),21)),$C206*INDEX(SPPR!$E:$Z,MATCH($A206,SPPR!$A:$A,0),21),""),"")</f>
        <v/>
      </c>
      <c r="Y206">
        <f>IFERROR(IF(ISNUMBER(INDEX(SPPR!$E:$Z,MATCH($A206,SPPR!$A:$A,0),22)),$C206*INDEX(SPPR!$E:$Z,MATCH($A206,SPPR!$A:$A,0),22),""),"")</f>
        <v/>
      </c>
    </row>
    <row r="207">
      <c r="A207" t="inlineStr">
        <is>
          <t>Elagatis bipinnulata</t>
        </is>
      </c>
      <c r="B207">
        <f>IFERROR(INDEX(SPPR!$D:$D,MATCH($A207,SPPR!$A:$A,0)),"")</f>
        <v/>
      </c>
      <c r="C207">
        <f>IFERROR(INDEX(Catch!$E:$BV,MATCH($A207,Catch!$A:$A,0),MATCH($B$4,Catch!$E$1:$BV$1,0)),0)</f>
        <v/>
      </c>
      <c r="D207">
        <f>IFERROR(IF(ISNUMBER(INDEX(SPPR!$E:$Z,MATCH($A207,SPPR!$A:$A,0),1)),$C207*INDEX(SPPR!$E:$Z,MATCH($A207,SPPR!$A:$A,0),1),""),"")</f>
        <v/>
      </c>
      <c r="E207">
        <f>IFERROR(IF(ISNUMBER(INDEX(SPPR!$E:$Z,MATCH($A207,SPPR!$A:$A,0),2)),$C207*INDEX(SPPR!$E:$Z,MATCH($A207,SPPR!$A:$A,0),2),""),"")</f>
        <v/>
      </c>
      <c r="F207">
        <f>IFERROR(IF(ISNUMBER(INDEX(SPPR!$E:$Z,MATCH($A207,SPPR!$A:$A,0),3)),$C207*INDEX(SPPR!$E:$Z,MATCH($A207,SPPR!$A:$A,0),3),""),"")</f>
        <v/>
      </c>
      <c r="G207">
        <f>IFERROR(IF(ISNUMBER(INDEX(SPPR!$E:$Z,MATCH($A207,SPPR!$A:$A,0),4)),$C207*INDEX(SPPR!$E:$Z,MATCH($A207,SPPR!$A:$A,0),4),""),"")</f>
        <v/>
      </c>
      <c r="H207">
        <f>IFERROR(IF(ISNUMBER(INDEX(SPPR!$E:$Z,MATCH($A207,SPPR!$A:$A,0),5)),$C207*INDEX(SPPR!$E:$Z,MATCH($A207,SPPR!$A:$A,0),5),""),"")</f>
        <v/>
      </c>
      <c r="I207">
        <f>IFERROR(IF(ISNUMBER(INDEX(SPPR!$E:$Z,MATCH($A207,SPPR!$A:$A,0),6)),$C207*INDEX(SPPR!$E:$Z,MATCH($A207,SPPR!$A:$A,0),6),""),"")</f>
        <v/>
      </c>
      <c r="J207">
        <f>IFERROR(IF(ISNUMBER(INDEX(SPPR!$E:$Z,MATCH($A207,SPPR!$A:$A,0),7)),$C207*INDEX(SPPR!$E:$Z,MATCH($A207,SPPR!$A:$A,0),7),""),"")</f>
        <v/>
      </c>
      <c r="K207">
        <f>IFERROR(IF(ISNUMBER(INDEX(SPPR!$E:$Z,MATCH($A207,SPPR!$A:$A,0),8)),$C207*INDEX(SPPR!$E:$Z,MATCH($A207,SPPR!$A:$A,0),8),""),"")</f>
        <v/>
      </c>
      <c r="L207">
        <f>IFERROR(IF(ISNUMBER(INDEX(SPPR!$E:$Z,MATCH($A207,SPPR!$A:$A,0),9)),$C207*INDEX(SPPR!$E:$Z,MATCH($A207,SPPR!$A:$A,0),9),""),"")</f>
        <v/>
      </c>
      <c r="M207">
        <f>IFERROR(IF(ISNUMBER(INDEX(SPPR!$E:$Z,MATCH($A207,SPPR!$A:$A,0),10)),$C207*INDEX(SPPR!$E:$Z,MATCH($A207,SPPR!$A:$A,0),10),""),"")</f>
        <v/>
      </c>
      <c r="N207">
        <f>IFERROR(IF(ISNUMBER(INDEX(SPPR!$E:$Z,MATCH($A207,SPPR!$A:$A,0),11)),$C207*INDEX(SPPR!$E:$Z,MATCH($A207,SPPR!$A:$A,0),11),""),"")</f>
        <v/>
      </c>
      <c r="O207">
        <f>IFERROR(IF(ISNUMBER(INDEX(SPPR!$E:$Z,MATCH($A207,SPPR!$A:$A,0),12)),$C207*INDEX(SPPR!$E:$Z,MATCH($A207,SPPR!$A:$A,0),12),""),"")</f>
        <v/>
      </c>
      <c r="P207">
        <f>IFERROR(IF(ISNUMBER(INDEX(SPPR!$E:$Z,MATCH($A207,SPPR!$A:$A,0),13)),$C207*INDEX(SPPR!$E:$Z,MATCH($A207,SPPR!$A:$A,0),13),""),"")</f>
        <v/>
      </c>
      <c r="Q207">
        <f>IFERROR(IF(ISNUMBER(INDEX(SPPR!$E:$Z,MATCH($A207,SPPR!$A:$A,0),14)),$C207*INDEX(SPPR!$E:$Z,MATCH($A207,SPPR!$A:$A,0),14),""),"")</f>
        <v/>
      </c>
      <c r="R207">
        <f>IFERROR(IF(ISNUMBER(INDEX(SPPR!$E:$Z,MATCH($A207,SPPR!$A:$A,0),15)),$C207*INDEX(SPPR!$E:$Z,MATCH($A207,SPPR!$A:$A,0),15),""),"")</f>
        <v/>
      </c>
      <c r="S207">
        <f>IFERROR(IF(ISNUMBER(INDEX(SPPR!$E:$Z,MATCH($A207,SPPR!$A:$A,0),16)),$C207*INDEX(SPPR!$E:$Z,MATCH($A207,SPPR!$A:$A,0),16),""),"")</f>
        <v/>
      </c>
      <c r="T207">
        <f>IFERROR(IF(ISNUMBER(INDEX(SPPR!$E:$Z,MATCH($A207,SPPR!$A:$A,0),17)),$C207*INDEX(SPPR!$E:$Z,MATCH($A207,SPPR!$A:$A,0),17),""),"")</f>
        <v/>
      </c>
      <c r="U207">
        <f>IFERROR(IF(ISNUMBER(INDEX(SPPR!$E:$Z,MATCH($A207,SPPR!$A:$A,0),18)),$C207*INDEX(SPPR!$E:$Z,MATCH($A207,SPPR!$A:$A,0),18),""),"")</f>
        <v/>
      </c>
      <c r="V207">
        <f>IFERROR(IF(ISNUMBER(INDEX(SPPR!$E:$Z,MATCH($A207,SPPR!$A:$A,0),19)),$C207*INDEX(SPPR!$E:$Z,MATCH($A207,SPPR!$A:$A,0),19),""),"")</f>
        <v/>
      </c>
      <c r="W207">
        <f>IFERROR(IF(ISNUMBER(INDEX(SPPR!$E:$Z,MATCH($A207,SPPR!$A:$A,0),20)),$C207*INDEX(SPPR!$E:$Z,MATCH($A207,SPPR!$A:$A,0),20),""),"")</f>
        <v/>
      </c>
      <c r="X207">
        <f>IFERROR(IF(ISNUMBER(INDEX(SPPR!$E:$Z,MATCH($A207,SPPR!$A:$A,0),21)),$C207*INDEX(SPPR!$E:$Z,MATCH($A207,SPPR!$A:$A,0),21),""),"")</f>
        <v/>
      </c>
      <c r="Y207">
        <f>IFERROR(IF(ISNUMBER(INDEX(SPPR!$E:$Z,MATCH($A207,SPPR!$A:$A,0),22)),$C207*INDEX(SPPR!$E:$Z,MATCH($A207,SPPR!$A:$A,0),22),""),"")</f>
        <v/>
      </c>
    </row>
    <row r="208">
      <c r="A208" t="inlineStr">
        <is>
          <t>Gerres</t>
        </is>
      </c>
      <c r="B208">
        <f>IFERROR(INDEX(SPPR!$D:$D,MATCH($A208,SPPR!$A:$A,0)),"")</f>
        <v/>
      </c>
      <c r="C208">
        <f>IFERROR(INDEX(Catch!$E:$BV,MATCH($A208,Catch!$A:$A,0),MATCH($B$4,Catch!$E$1:$BV$1,0)),0)</f>
        <v/>
      </c>
      <c r="D208">
        <f>IFERROR(IF(ISNUMBER(INDEX(SPPR!$E:$Z,MATCH($A208,SPPR!$A:$A,0),1)),$C208*INDEX(SPPR!$E:$Z,MATCH($A208,SPPR!$A:$A,0),1),""),"")</f>
        <v/>
      </c>
      <c r="E208">
        <f>IFERROR(IF(ISNUMBER(INDEX(SPPR!$E:$Z,MATCH($A208,SPPR!$A:$A,0),2)),$C208*INDEX(SPPR!$E:$Z,MATCH($A208,SPPR!$A:$A,0),2),""),"")</f>
        <v/>
      </c>
      <c r="F208">
        <f>IFERROR(IF(ISNUMBER(INDEX(SPPR!$E:$Z,MATCH($A208,SPPR!$A:$A,0),3)),$C208*INDEX(SPPR!$E:$Z,MATCH($A208,SPPR!$A:$A,0),3),""),"")</f>
        <v/>
      </c>
      <c r="G208">
        <f>IFERROR(IF(ISNUMBER(INDEX(SPPR!$E:$Z,MATCH($A208,SPPR!$A:$A,0),4)),$C208*INDEX(SPPR!$E:$Z,MATCH($A208,SPPR!$A:$A,0),4),""),"")</f>
        <v/>
      </c>
      <c r="H208">
        <f>IFERROR(IF(ISNUMBER(INDEX(SPPR!$E:$Z,MATCH($A208,SPPR!$A:$A,0),5)),$C208*INDEX(SPPR!$E:$Z,MATCH($A208,SPPR!$A:$A,0),5),""),"")</f>
        <v/>
      </c>
      <c r="I208">
        <f>IFERROR(IF(ISNUMBER(INDEX(SPPR!$E:$Z,MATCH($A208,SPPR!$A:$A,0),6)),$C208*INDEX(SPPR!$E:$Z,MATCH($A208,SPPR!$A:$A,0),6),""),"")</f>
        <v/>
      </c>
      <c r="J208">
        <f>IFERROR(IF(ISNUMBER(INDEX(SPPR!$E:$Z,MATCH($A208,SPPR!$A:$A,0),7)),$C208*INDEX(SPPR!$E:$Z,MATCH($A208,SPPR!$A:$A,0),7),""),"")</f>
        <v/>
      </c>
      <c r="K208">
        <f>IFERROR(IF(ISNUMBER(INDEX(SPPR!$E:$Z,MATCH($A208,SPPR!$A:$A,0),8)),$C208*INDEX(SPPR!$E:$Z,MATCH($A208,SPPR!$A:$A,0),8),""),"")</f>
        <v/>
      </c>
      <c r="L208">
        <f>IFERROR(IF(ISNUMBER(INDEX(SPPR!$E:$Z,MATCH($A208,SPPR!$A:$A,0),9)),$C208*INDEX(SPPR!$E:$Z,MATCH($A208,SPPR!$A:$A,0),9),""),"")</f>
        <v/>
      </c>
      <c r="M208">
        <f>IFERROR(IF(ISNUMBER(INDEX(SPPR!$E:$Z,MATCH($A208,SPPR!$A:$A,0),10)),$C208*INDEX(SPPR!$E:$Z,MATCH($A208,SPPR!$A:$A,0),10),""),"")</f>
        <v/>
      </c>
      <c r="N208">
        <f>IFERROR(IF(ISNUMBER(INDEX(SPPR!$E:$Z,MATCH($A208,SPPR!$A:$A,0),11)),$C208*INDEX(SPPR!$E:$Z,MATCH($A208,SPPR!$A:$A,0),11),""),"")</f>
        <v/>
      </c>
      <c r="O208">
        <f>IFERROR(IF(ISNUMBER(INDEX(SPPR!$E:$Z,MATCH($A208,SPPR!$A:$A,0),12)),$C208*INDEX(SPPR!$E:$Z,MATCH($A208,SPPR!$A:$A,0),12),""),"")</f>
        <v/>
      </c>
      <c r="P208">
        <f>IFERROR(IF(ISNUMBER(INDEX(SPPR!$E:$Z,MATCH($A208,SPPR!$A:$A,0),13)),$C208*INDEX(SPPR!$E:$Z,MATCH($A208,SPPR!$A:$A,0),13),""),"")</f>
        <v/>
      </c>
      <c r="Q208">
        <f>IFERROR(IF(ISNUMBER(INDEX(SPPR!$E:$Z,MATCH($A208,SPPR!$A:$A,0),14)),$C208*INDEX(SPPR!$E:$Z,MATCH($A208,SPPR!$A:$A,0),14),""),"")</f>
        <v/>
      </c>
      <c r="R208">
        <f>IFERROR(IF(ISNUMBER(INDEX(SPPR!$E:$Z,MATCH($A208,SPPR!$A:$A,0),15)),$C208*INDEX(SPPR!$E:$Z,MATCH($A208,SPPR!$A:$A,0),15),""),"")</f>
        <v/>
      </c>
      <c r="S208">
        <f>IFERROR(IF(ISNUMBER(INDEX(SPPR!$E:$Z,MATCH($A208,SPPR!$A:$A,0),16)),$C208*INDEX(SPPR!$E:$Z,MATCH($A208,SPPR!$A:$A,0),16),""),"")</f>
        <v/>
      </c>
      <c r="T208">
        <f>IFERROR(IF(ISNUMBER(INDEX(SPPR!$E:$Z,MATCH($A208,SPPR!$A:$A,0),17)),$C208*INDEX(SPPR!$E:$Z,MATCH($A208,SPPR!$A:$A,0),17),""),"")</f>
        <v/>
      </c>
      <c r="U208">
        <f>IFERROR(IF(ISNUMBER(INDEX(SPPR!$E:$Z,MATCH($A208,SPPR!$A:$A,0),18)),$C208*INDEX(SPPR!$E:$Z,MATCH($A208,SPPR!$A:$A,0),18),""),"")</f>
        <v/>
      </c>
      <c r="V208">
        <f>IFERROR(IF(ISNUMBER(INDEX(SPPR!$E:$Z,MATCH($A208,SPPR!$A:$A,0),19)),$C208*INDEX(SPPR!$E:$Z,MATCH($A208,SPPR!$A:$A,0),19),""),"")</f>
        <v/>
      </c>
      <c r="W208">
        <f>IFERROR(IF(ISNUMBER(INDEX(SPPR!$E:$Z,MATCH($A208,SPPR!$A:$A,0),20)),$C208*INDEX(SPPR!$E:$Z,MATCH($A208,SPPR!$A:$A,0),20),""),"")</f>
        <v/>
      </c>
      <c r="X208">
        <f>IFERROR(IF(ISNUMBER(INDEX(SPPR!$E:$Z,MATCH($A208,SPPR!$A:$A,0),21)),$C208*INDEX(SPPR!$E:$Z,MATCH($A208,SPPR!$A:$A,0),21),""),"")</f>
        <v/>
      </c>
      <c r="Y208">
        <f>IFERROR(IF(ISNUMBER(INDEX(SPPR!$E:$Z,MATCH($A208,SPPR!$A:$A,0),22)),$C208*INDEX(SPPR!$E:$Z,MATCH($A208,SPPR!$A:$A,0),22),""),"")</f>
        <v/>
      </c>
    </row>
    <row r="209">
      <c r="A209" t="inlineStr">
        <is>
          <t>Perna viridis</t>
        </is>
      </c>
      <c r="B209">
        <f>IFERROR(INDEX(SPPR!$D:$D,MATCH($A209,SPPR!$A:$A,0)),"")</f>
        <v/>
      </c>
      <c r="C209">
        <f>IFERROR(INDEX(Catch!$E:$BV,MATCH($A209,Catch!$A:$A,0),MATCH($B$4,Catch!$E$1:$BV$1,0)),0)</f>
        <v/>
      </c>
      <c r="D209">
        <f>IFERROR(IF(ISNUMBER(INDEX(SPPR!$E:$Z,MATCH($A209,SPPR!$A:$A,0),1)),$C209*INDEX(SPPR!$E:$Z,MATCH($A209,SPPR!$A:$A,0),1),""),"")</f>
        <v/>
      </c>
      <c r="E209">
        <f>IFERROR(IF(ISNUMBER(INDEX(SPPR!$E:$Z,MATCH($A209,SPPR!$A:$A,0),2)),$C209*INDEX(SPPR!$E:$Z,MATCH($A209,SPPR!$A:$A,0),2),""),"")</f>
        <v/>
      </c>
      <c r="F209">
        <f>IFERROR(IF(ISNUMBER(INDEX(SPPR!$E:$Z,MATCH($A209,SPPR!$A:$A,0),3)),$C209*INDEX(SPPR!$E:$Z,MATCH($A209,SPPR!$A:$A,0),3),""),"")</f>
        <v/>
      </c>
      <c r="G209">
        <f>IFERROR(IF(ISNUMBER(INDEX(SPPR!$E:$Z,MATCH($A209,SPPR!$A:$A,0),4)),$C209*INDEX(SPPR!$E:$Z,MATCH($A209,SPPR!$A:$A,0),4),""),"")</f>
        <v/>
      </c>
      <c r="H209">
        <f>IFERROR(IF(ISNUMBER(INDEX(SPPR!$E:$Z,MATCH($A209,SPPR!$A:$A,0),5)),$C209*INDEX(SPPR!$E:$Z,MATCH($A209,SPPR!$A:$A,0),5),""),"")</f>
        <v/>
      </c>
      <c r="I209">
        <f>IFERROR(IF(ISNUMBER(INDEX(SPPR!$E:$Z,MATCH($A209,SPPR!$A:$A,0),6)),$C209*INDEX(SPPR!$E:$Z,MATCH($A209,SPPR!$A:$A,0),6),""),"")</f>
        <v/>
      </c>
      <c r="J209">
        <f>IFERROR(IF(ISNUMBER(INDEX(SPPR!$E:$Z,MATCH($A209,SPPR!$A:$A,0),7)),$C209*INDEX(SPPR!$E:$Z,MATCH($A209,SPPR!$A:$A,0),7),""),"")</f>
        <v/>
      </c>
      <c r="K209">
        <f>IFERROR(IF(ISNUMBER(INDEX(SPPR!$E:$Z,MATCH($A209,SPPR!$A:$A,0),8)),$C209*INDEX(SPPR!$E:$Z,MATCH($A209,SPPR!$A:$A,0),8),""),"")</f>
        <v/>
      </c>
      <c r="L209">
        <f>IFERROR(IF(ISNUMBER(INDEX(SPPR!$E:$Z,MATCH($A209,SPPR!$A:$A,0),9)),$C209*INDEX(SPPR!$E:$Z,MATCH($A209,SPPR!$A:$A,0),9),""),"")</f>
        <v/>
      </c>
      <c r="M209">
        <f>IFERROR(IF(ISNUMBER(INDEX(SPPR!$E:$Z,MATCH($A209,SPPR!$A:$A,0),10)),$C209*INDEX(SPPR!$E:$Z,MATCH($A209,SPPR!$A:$A,0),10),""),"")</f>
        <v/>
      </c>
      <c r="N209">
        <f>IFERROR(IF(ISNUMBER(INDEX(SPPR!$E:$Z,MATCH($A209,SPPR!$A:$A,0),11)),$C209*INDEX(SPPR!$E:$Z,MATCH($A209,SPPR!$A:$A,0),11),""),"")</f>
        <v/>
      </c>
      <c r="O209">
        <f>IFERROR(IF(ISNUMBER(INDEX(SPPR!$E:$Z,MATCH($A209,SPPR!$A:$A,0),12)),$C209*INDEX(SPPR!$E:$Z,MATCH($A209,SPPR!$A:$A,0),12),""),"")</f>
        <v/>
      </c>
      <c r="P209">
        <f>IFERROR(IF(ISNUMBER(INDEX(SPPR!$E:$Z,MATCH($A209,SPPR!$A:$A,0),13)),$C209*INDEX(SPPR!$E:$Z,MATCH($A209,SPPR!$A:$A,0),13),""),"")</f>
        <v/>
      </c>
      <c r="Q209">
        <f>IFERROR(IF(ISNUMBER(INDEX(SPPR!$E:$Z,MATCH($A209,SPPR!$A:$A,0),14)),$C209*INDEX(SPPR!$E:$Z,MATCH($A209,SPPR!$A:$A,0),14),""),"")</f>
        <v/>
      </c>
      <c r="R209">
        <f>IFERROR(IF(ISNUMBER(INDEX(SPPR!$E:$Z,MATCH($A209,SPPR!$A:$A,0),15)),$C209*INDEX(SPPR!$E:$Z,MATCH($A209,SPPR!$A:$A,0),15),""),"")</f>
        <v/>
      </c>
      <c r="S209">
        <f>IFERROR(IF(ISNUMBER(INDEX(SPPR!$E:$Z,MATCH($A209,SPPR!$A:$A,0),16)),$C209*INDEX(SPPR!$E:$Z,MATCH($A209,SPPR!$A:$A,0),16),""),"")</f>
        <v/>
      </c>
      <c r="T209">
        <f>IFERROR(IF(ISNUMBER(INDEX(SPPR!$E:$Z,MATCH($A209,SPPR!$A:$A,0),17)),$C209*INDEX(SPPR!$E:$Z,MATCH($A209,SPPR!$A:$A,0),17),""),"")</f>
        <v/>
      </c>
      <c r="U209">
        <f>IFERROR(IF(ISNUMBER(INDEX(SPPR!$E:$Z,MATCH($A209,SPPR!$A:$A,0),18)),$C209*INDEX(SPPR!$E:$Z,MATCH($A209,SPPR!$A:$A,0),18),""),"")</f>
        <v/>
      </c>
      <c r="V209">
        <f>IFERROR(IF(ISNUMBER(INDEX(SPPR!$E:$Z,MATCH($A209,SPPR!$A:$A,0),19)),$C209*INDEX(SPPR!$E:$Z,MATCH($A209,SPPR!$A:$A,0),19),""),"")</f>
        <v/>
      </c>
      <c r="W209">
        <f>IFERROR(IF(ISNUMBER(INDEX(SPPR!$E:$Z,MATCH($A209,SPPR!$A:$A,0),20)),$C209*INDEX(SPPR!$E:$Z,MATCH($A209,SPPR!$A:$A,0),20),""),"")</f>
        <v/>
      </c>
      <c r="X209">
        <f>IFERROR(IF(ISNUMBER(INDEX(SPPR!$E:$Z,MATCH($A209,SPPR!$A:$A,0),21)),$C209*INDEX(SPPR!$E:$Z,MATCH($A209,SPPR!$A:$A,0),21),""),"")</f>
        <v/>
      </c>
      <c r="Y209">
        <f>IFERROR(IF(ISNUMBER(INDEX(SPPR!$E:$Z,MATCH($A209,SPPR!$A:$A,0),22)),$C209*INDEX(SPPR!$E:$Z,MATCH($A209,SPPR!$A:$A,0),22),""),"")</f>
        <v/>
      </c>
    </row>
    <row r="210">
      <c r="A210" t="inlineStr">
        <is>
          <t>Solenocera crassicornis</t>
        </is>
      </c>
      <c r="B210">
        <f>IFERROR(INDEX(SPPR!$D:$D,MATCH($A210,SPPR!$A:$A,0)),"")</f>
        <v/>
      </c>
      <c r="C210">
        <f>IFERROR(INDEX(Catch!$E:$BV,MATCH($A210,Catch!$A:$A,0),MATCH($B$4,Catch!$E$1:$BV$1,0)),0)</f>
        <v/>
      </c>
      <c r="D210">
        <f>IFERROR(IF(ISNUMBER(INDEX(SPPR!$E:$Z,MATCH($A210,SPPR!$A:$A,0),1)),$C210*INDEX(SPPR!$E:$Z,MATCH($A210,SPPR!$A:$A,0),1),""),"")</f>
        <v/>
      </c>
      <c r="E210">
        <f>IFERROR(IF(ISNUMBER(INDEX(SPPR!$E:$Z,MATCH($A210,SPPR!$A:$A,0),2)),$C210*INDEX(SPPR!$E:$Z,MATCH($A210,SPPR!$A:$A,0),2),""),"")</f>
        <v/>
      </c>
      <c r="F210">
        <f>IFERROR(IF(ISNUMBER(INDEX(SPPR!$E:$Z,MATCH($A210,SPPR!$A:$A,0),3)),$C210*INDEX(SPPR!$E:$Z,MATCH($A210,SPPR!$A:$A,0),3),""),"")</f>
        <v/>
      </c>
      <c r="G210">
        <f>IFERROR(IF(ISNUMBER(INDEX(SPPR!$E:$Z,MATCH($A210,SPPR!$A:$A,0),4)),$C210*INDEX(SPPR!$E:$Z,MATCH($A210,SPPR!$A:$A,0),4),""),"")</f>
        <v/>
      </c>
      <c r="H210">
        <f>IFERROR(IF(ISNUMBER(INDEX(SPPR!$E:$Z,MATCH($A210,SPPR!$A:$A,0),5)),$C210*INDEX(SPPR!$E:$Z,MATCH($A210,SPPR!$A:$A,0),5),""),"")</f>
        <v/>
      </c>
      <c r="I210">
        <f>IFERROR(IF(ISNUMBER(INDEX(SPPR!$E:$Z,MATCH($A210,SPPR!$A:$A,0),6)),$C210*INDEX(SPPR!$E:$Z,MATCH($A210,SPPR!$A:$A,0),6),""),"")</f>
        <v/>
      </c>
      <c r="J210">
        <f>IFERROR(IF(ISNUMBER(INDEX(SPPR!$E:$Z,MATCH($A210,SPPR!$A:$A,0),7)),$C210*INDEX(SPPR!$E:$Z,MATCH($A210,SPPR!$A:$A,0),7),""),"")</f>
        <v/>
      </c>
      <c r="K210">
        <f>IFERROR(IF(ISNUMBER(INDEX(SPPR!$E:$Z,MATCH($A210,SPPR!$A:$A,0),8)),$C210*INDEX(SPPR!$E:$Z,MATCH($A210,SPPR!$A:$A,0),8),""),"")</f>
        <v/>
      </c>
      <c r="L210">
        <f>IFERROR(IF(ISNUMBER(INDEX(SPPR!$E:$Z,MATCH($A210,SPPR!$A:$A,0),9)),$C210*INDEX(SPPR!$E:$Z,MATCH($A210,SPPR!$A:$A,0),9),""),"")</f>
        <v/>
      </c>
      <c r="M210">
        <f>IFERROR(IF(ISNUMBER(INDEX(SPPR!$E:$Z,MATCH($A210,SPPR!$A:$A,0),10)),$C210*INDEX(SPPR!$E:$Z,MATCH($A210,SPPR!$A:$A,0),10),""),"")</f>
        <v/>
      </c>
      <c r="N210">
        <f>IFERROR(IF(ISNUMBER(INDEX(SPPR!$E:$Z,MATCH($A210,SPPR!$A:$A,0),11)),$C210*INDEX(SPPR!$E:$Z,MATCH($A210,SPPR!$A:$A,0),11),""),"")</f>
        <v/>
      </c>
      <c r="O210">
        <f>IFERROR(IF(ISNUMBER(INDEX(SPPR!$E:$Z,MATCH($A210,SPPR!$A:$A,0),12)),$C210*INDEX(SPPR!$E:$Z,MATCH($A210,SPPR!$A:$A,0),12),""),"")</f>
        <v/>
      </c>
      <c r="P210">
        <f>IFERROR(IF(ISNUMBER(INDEX(SPPR!$E:$Z,MATCH($A210,SPPR!$A:$A,0),13)),$C210*INDEX(SPPR!$E:$Z,MATCH($A210,SPPR!$A:$A,0),13),""),"")</f>
        <v/>
      </c>
      <c r="Q210">
        <f>IFERROR(IF(ISNUMBER(INDEX(SPPR!$E:$Z,MATCH($A210,SPPR!$A:$A,0),14)),$C210*INDEX(SPPR!$E:$Z,MATCH($A210,SPPR!$A:$A,0),14),""),"")</f>
        <v/>
      </c>
      <c r="R210">
        <f>IFERROR(IF(ISNUMBER(INDEX(SPPR!$E:$Z,MATCH($A210,SPPR!$A:$A,0),15)),$C210*INDEX(SPPR!$E:$Z,MATCH($A210,SPPR!$A:$A,0),15),""),"")</f>
        <v/>
      </c>
      <c r="S210">
        <f>IFERROR(IF(ISNUMBER(INDEX(SPPR!$E:$Z,MATCH($A210,SPPR!$A:$A,0),16)),$C210*INDEX(SPPR!$E:$Z,MATCH($A210,SPPR!$A:$A,0),16),""),"")</f>
        <v/>
      </c>
      <c r="T210">
        <f>IFERROR(IF(ISNUMBER(INDEX(SPPR!$E:$Z,MATCH($A210,SPPR!$A:$A,0),17)),$C210*INDEX(SPPR!$E:$Z,MATCH($A210,SPPR!$A:$A,0),17),""),"")</f>
        <v/>
      </c>
      <c r="U210">
        <f>IFERROR(IF(ISNUMBER(INDEX(SPPR!$E:$Z,MATCH($A210,SPPR!$A:$A,0),18)),$C210*INDEX(SPPR!$E:$Z,MATCH($A210,SPPR!$A:$A,0),18),""),"")</f>
        <v/>
      </c>
      <c r="V210">
        <f>IFERROR(IF(ISNUMBER(INDEX(SPPR!$E:$Z,MATCH($A210,SPPR!$A:$A,0),19)),$C210*INDEX(SPPR!$E:$Z,MATCH($A210,SPPR!$A:$A,0),19),""),"")</f>
        <v/>
      </c>
      <c r="W210">
        <f>IFERROR(IF(ISNUMBER(INDEX(SPPR!$E:$Z,MATCH($A210,SPPR!$A:$A,0),20)),$C210*INDEX(SPPR!$E:$Z,MATCH($A210,SPPR!$A:$A,0),20),""),"")</f>
        <v/>
      </c>
      <c r="X210">
        <f>IFERROR(IF(ISNUMBER(INDEX(SPPR!$E:$Z,MATCH($A210,SPPR!$A:$A,0),21)),$C210*INDEX(SPPR!$E:$Z,MATCH($A210,SPPR!$A:$A,0),21),""),"")</f>
        <v/>
      </c>
      <c r="Y210">
        <f>IFERROR(IF(ISNUMBER(INDEX(SPPR!$E:$Z,MATCH($A210,SPPR!$A:$A,0),22)),$C210*INDEX(SPPR!$E:$Z,MATCH($A210,SPPR!$A:$A,0),22),""),"")</f>
        <v/>
      </c>
    </row>
    <row r="211">
      <c r="A211" t="inlineStr">
        <is>
          <t>Platycephalus indicus</t>
        </is>
      </c>
      <c r="B211">
        <f>IFERROR(INDEX(SPPR!$D:$D,MATCH($A211,SPPR!$A:$A,0)),"")</f>
        <v/>
      </c>
      <c r="C211">
        <f>IFERROR(INDEX(Catch!$E:$BV,MATCH($A211,Catch!$A:$A,0),MATCH($B$4,Catch!$E$1:$BV$1,0)),0)</f>
        <v/>
      </c>
      <c r="D211">
        <f>IFERROR(IF(ISNUMBER(INDEX(SPPR!$E:$Z,MATCH($A211,SPPR!$A:$A,0),1)),$C211*INDEX(SPPR!$E:$Z,MATCH($A211,SPPR!$A:$A,0),1),""),"")</f>
        <v/>
      </c>
      <c r="E211">
        <f>IFERROR(IF(ISNUMBER(INDEX(SPPR!$E:$Z,MATCH($A211,SPPR!$A:$A,0),2)),$C211*INDEX(SPPR!$E:$Z,MATCH($A211,SPPR!$A:$A,0),2),""),"")</f>
        <v/>
      </c>
      <c r="F211">
        <f>IFERROR(IF(ISNUMBER(INDEX(SPPR!$E:$Z,MATCH($A211,SPPR!$A:$A,0),3)),$C211*INDEX(SPPR!$E:$Z,MATCH($A211,SPPR!$A:$A,0),3),""),"")</f>
        <v/>
      </c>
      <c r="G211">
        <f>IFERROR(IF(ISNUMBER(INDEX(SPPR!$E:$Z,MATCH($A211,SPPR!$A:$A,0),4)),$C211*INDEX(SPPR!$E:$Z,MATCH($A211,SPPR!$A:$A,0),4),""),"")</f>
        <v/>
      </c>
      <c r="H211">
        <f>IFERROR(IF(ISNUMBER(INDEX(SPPR!$E:$Z,MATCH($A211,SPPR!$A:$A,0),5)),$C211*INDEX(SPPR!$E:$Z,MATCH($A211,SPPR!$A:$A,0),5),""),"")</f>
        <v/>
      </c>
      <c r="I211">
        <f>IFERROR(IF(ISNUMBER(INDEX(SPPR!$E:$Z,MATCH($A211,SPPR!$A:$A,0),6)),$C211*INDEX(SPPR!$E:$Z,MATCH($A211,SPPR!$A:$A,0),6),""),"")</f>
        <v/>
      </c>
      <c r="J211">
        <f>IFERROR(IF(ISNUMBER(INDEX(SPPR!$E:$Z,MATCH($A211,SPPR!$A:$A,0),7)),$C211*INDEX(SPPR!$E:$Z,MATCH($A211,SPPR!$A:$A,0),7),""),"")</f>
        <v/>
      </c>
      <c r="K211">
        <f>IFERROR(IF(ISNUMBER(INDEX(SPPR!$E:$Z,MATCH($A211,SPPR!$A:$A,0),8)),$C211*INDEX(SPPR!$E:$Z,MATCH($A211,SPPR!$A:$A,0),8),""),"")</f>
        <v/>
      </c>
      <c r="L211">
        <f>IFERROR(IF(ISNUMBER(INDEX(SPPR!$E:$Z,MATCH($A211,SPPR!$A:$A,0),9)),$C211*INDEX(SPPR!$E:$Z,MATCH($A211,SPPR!$A:$A,0),9),""),"")</f>
        <v/>
      </c>
      <c r="M211">
        <f>IFERROR(IF(ISNUMBER(INDEX(SPPR!$E:$Z,MATCH($A211,SPPR!$A:$A,0),10)),$C211*INDEX(SPPR!$E:$Z,MATCH($A211,SPPR!$A:$A,0),10),""),"")</f>
        <v/>
      </c>
      <c r="N211">
        <f>IFERROR(IF(ISNUMBER(INDEX(SPPR!$E:$Z,MATCH($A211,SPPR!$A:$A,0),11)),$C211*INDEX(SPPR!$E:$Z,MATCH($A211,SPPR!$A:$A,0),11),""),"")</f>
        <v/>
      </c>
      <c r="O211">
        <f>IFERROR(IF(ISNUMBER(INDEX(SPPR!$E:$Z,MATCH($A211,SPPR!$A:$A,0),12)),$C211*INDEX(SPPR!$E:$Z,MATCH($A211,SPPR!$A:$A,0),12),""),"")</f>
        <v/>
      </c>
      <c r="P211">
        <f>IFERROR(IF(ISNUMBER(INDEX(SPPR!$E:$Z,MATCH($A211,SPPR!$A:$A,0),13)),$C211*INDEX(SPPR!$E:$Z,MATCH($A211,SPPR!$A:$A,0),13),""),"")</f>
        <v/>
      </c>
      <c r="Q211">
        <f>IFERROR(IF(ISNUMBER(INDEX(SPPR!$E:$Z,MATCH($A211,SPPR!$A:$A,0),14)),$C211*INDEX(SPPR!$E:$Z,MATCH($A211,SPPR!$A:$A,0),14),""),"")</f>
        <v/>
      </c>
      <c r="R211">
        <f>IFERROR(IF(ISNUMBER(INDEX(SPPR!$E:$Z,MATCH($A211,SPPR!$A:$A,0),15)),$C211*INDEX(SPPR!$E:$Z,MATCH($A211,SPPR!$A:$A,0),15),""),"")</f>
        <v/>
      </c>
      <c r="S211">
        <f>IFERROR(IF(ISNUMBER(INDEX(SPPR!$E:$Z,MATCH($A211,SPPR!$A:$A,0),16)),$C211*INDEX(SPPR!$E:$Z,MATCH($A211,SPPR!$A:$A,0),16),""),"")</f>
        <v/>
      </c>
      <c r="T211">
        <f>IFERROR(IF(ISNUMBER(INDEX(SPPR!$E:$Z,MATCH($A211,SPPR!$A:$A,0),17)),$C211*INDEX(SPPR!$E:$Z,MATCH($A211,SPPR!$A:$A,0),17),""),"")</f>
        <v/>
      </c>
      <c r="U211">
        <f>IFERROR(IF(ISNUMBER(INDEX(SPPR!$E:$Z,MATCH($A211,SPPR!$A:$A,0),18)),$C211*INDEX(SPPR!$E:$Z,MATCH($A211,SPPR!$A:$A,0),18),""),"")</f>
        <v/>
      </c>
      <c r="V211">
        <f>IFERROR(IF(ISNUMBER(INDEX(SPPR!$E:$Z,MATCH($A211,SPPR!$A:$A,0),19)),$C211*INDEX(SPPR!$E:$Z,MATCH($A211,SPPR!$A:$A,0),19),""),"")</f>
        <v/>
      </c>
      <c r="W211">
        <f>IFERROR(IF(ISNUMBER(INDEX(SPPR!$E:$Z,MATCH($A211,SPPR!$A:$A,0),20)),$C211*INDEX(SPPR!$E:$Z,MATCH($A211,SPPR!$A:$A,0),20),""),"")</f>
        <v/>
      </c>
      <c r="X211">
        <f>IFERROR(IF(ISNUMBER(INDEX(SPPR!$E:$Z,MATCH($A211,SPPR!$A:$A,0),21)),$C211*INDEX(SPPR!$E:$Z,MATCH($A211,SPPR!$A:$A,0),21),""),"")</f>
        <v/>
      </c>
      <c r="Y211">
        <f>IFERROR(IF(ISNUMBER(INDEX(SPPR!$E:$Z,MATCH($A211,SPPR!$A:$A,0),22)),$C211*INDEX(SPPR!$E:$Z,MATCH($A211,SPPR!$A:$A,0),22),""),"")</f>
        <v/>
      </c>
    </row>
    <row r="212">
      <c r="A212" t="inlineStr">
        <is>
          <t>Scombroidei</t>
        </is>
      </c>
      <c r="B212">
        <f>IFERROR(INDEX(SPPR!$D:$D,MATCH($A212,SPPR!$A:$A,0)),"")</f>
        <v/>
      </c>
      <c r="C212">
        <f>IFERROR(INDEX(Catch!$E:$BV,MATCH($A212,Catch!$A:$A,0),MATCH($B$4,Catch!$E$1:$BV$1,0)),0)</f>
        <v/>
      </c>
      <c r="D212">
        <f>IFERROR(IF(ISNUMBER(INDEX(SPPR!$E:$Z,MATCH($A212,SPPR!$A:$A,0),1)),$C212*INDEX(SPPR!$E:$Z,MATCH($A212,SPPR!$A:$A,0),1),""),"")</f>
        <v/>
      </c>
      <c r="E212">
        <f>IFERROR(IF(ISNUMBER(INDEX(SPPR!$E:$Z,MATCH($A212,SPPR!$A:$A,0),2)),$C212*INDEX(SPPR!$E:$Z,MATCH($A212,SPPR!$A:$A,0),2),""),"")</f>
        <v/>
      </c>
      <c r="F212">
        <f>IFERROR(IF(ISNUMBER(INDEX(SPPR!$E:$Z,MATCH($A212,SPPR!$A:$A,0),3)),$C212*INDEX(SPPR!$E:$Z,MATCH($A212,SPPR!$A:$A,0),3),""),"")</f>
        <v/>
      </c>
      <c r="G212">
        <f>IFERROR(IF(ISNUMBER(INDEX(SPPR!$E:$Z,MATCH($A212,SPPR!$A:$A,0),4)),$C212*INDEX(SPPR!$E:$Z,MATCH($A212,SPPR!$A:$A,0),4),""),"")</f>
        <v/>
      </c>
      <c r="H212">
        <f>IFERROR(IF(ISNUMBER(INDEX(SPPR!$E:$Z,MATCH($A212,SPPR!$A:$A,0),5)),$C212*INDEX(SPPR!$E:$Z,MATCH($A212,SPPR!$A:$A,0),5),""),"")</f>
        <v/>
      </c>
      <c r="I212">
        <f>IFERROR(IF(ISNUMBER(INDEX(SPPR!$E:$Z,MATCH($A212,SPPR!$A:$A,0),6)),$C212*INDEX(SPPR!$E:$Z,MATCH($A212,SPPR!$A:$A,0),6),""),"")</f>
        <v/>
      </c>
      <c r="J212">
        <f>IFERROR(IF(ISNUMBER(INDEX(SPPR!$E:$Z,MATCH($A212,SPPR!$A:$A,0),7)),$C212*INDEX(SPPR!$E:$Z,MATCH($A212,SPPR!$A:$A,0),7),""),"")</f>
        <v/>
      </c>
      <c r="K212">
        <f>IFERROR(IF(ISNUMBER(INDEX(SPPR!$E:$Z,MATCH($A212,SPPR!$A:$A,0),8)),$C212*INDEX(SPPR!$E:$Z,MATCH($A212,SPPR!$A:$A,0),8),""),"")</f>
        <v/>
      </c>
      <c r="L212">
        <f>IFERROR(IF(ISNUMBER(INDEX(SPPR!$E:$Z,MATCH($A212,SPPR!$A:$A,0),9)),$C212*INDEX(SPPR!$E:$Z,MATCH($A212,SPPR!$A:$A,0),9),""),"")</f>
        <v/>
      </c>
      <c r="M212">
        <f>IFERROR(IF(ISNUMBER(INDEX(SPPR!$E:$Z,MATCH($A212,SPPR!$A:$A,0),10)),$C212*INDEX(SPPR!$E:$Z,MATCH($A212,SPPR!$A:$A,0),10),""),"")</f>
        <v/>
      </c>
      <c r="N212">
        <f>IFERROR(IF(ISNUMBER(INDEX(SPPR!$E:$Z,MATCH($A212,SPPR!$A:$A,0),11)),$C212*INDEX(SPPR!$E:$Z,MATCH($A212,SPPR!$A:$A,0),11),""),"")</f>
        <v/>
      </c>
      <c r="O212">
        <f>IFERROR(IF(ISNUMBER(INDEX(SPPR!$E:$Z,MATCH($A212,SPPR!$A:$A,0),12)),$C212*INDEX(SPPR!$E:$Z,MATCH($A212,SPPR!$A:$A,0),12),""),"")</f>
        <v/>
      </c>
      <c r="P212">
        <f>IFERROR(IF(ISNUMBER(INDEX(SPPR!$E:$Z,MATCH($A212,SPPR!$A:$A,0),13)),$C212*INDEX(SPPR!$E:$Z,MATCH($A212,SPPR!$A:$A,0),13),""),"")</f>
        <v/>
      </c>
      <c r="Q212">
        <f>IFERROR(IF(ISNUMBER(INDEX(SPPR!$E:$Z,MATCH($A212,SPPR!$A:$A,0),14)),$C212*INDEX(SPPR!$E:$Z,MATCH($A212,SPPR!$A:$A,0),14),""),"")</f>
        <v/>
      </c>
      <c r="R212">
        <f>IFERROR(IF(ISNUMBER(INDEX(SPPR!$E:$Z,MATCH($A212,SPPR!$A:$A,0),15)),$C212*INDEX(SPPR!$E:$Z,MATCH($A212,SPPR!$A:$A,0),15),""),"")</f>
        <v/>
      </c>
      <c r="S212">
        <f>IFERROR(IF(ISNUMBER(INDEX(SPPR!$E:$Z,MATCH($A212,SPPR!$A:$A,0),16)),$C212*INDEX(SPPR!$E:$Z,MATCH($A212,SPPR!$A:$A,0),16),""),"")</f>
        <v/>
      </c>
      <c r="T212">
        <f>IFERROR(IF(ISNUMBER(INDEX(SPPR!$E:$Z,MATCH($A212,SPPR!$A:$A,0),17)),$C212*INDEX(SPPR!$E:$Z,MATCH($A212,SPPR!$A:$A,0),17),""),"")</f>
        <v/>
      </c>
      <c r="U212">
        <f>IFERROR(IF(ISNUMBER(INDEX(SPPR!$E:$Z,MATCH($A212,SPPR!$A:$A,0),18)),$C212*INDEX(SPPR!$E:$Z,MATCH($A212,SPPR!$A:$A,0),18),""),"")</f>
        <v/>
      </c>
      <c r="V212">
        <f>IFERROR(IF(ISNUMBER(INDEX(SPPR!$E:$Z,MATCH($A212,SPPR!$A:$A,0),19)),$C212*INDEX(SPPR!$E:$Z,MATCH($A212,SPPR!$A:$A,0),19),""),"")</f>
        <v/>
      </c>
      <c r="W212">
        <f>IFERROR(IF(ISNUMBER(INDEX(SPPR!$E:$Z,MATCH($A212,SPPR!$A:$A,0),20)),$C212*INDEX(SPPR!$E:$Z,MATCH($A212,SPPR!$A:$A,0),20),""),"")</f>
        <v/>
      </c>
      <c r="X212">
        <f>IFERROR(IF(ISNUMBER(INDEX(SPPR!$E:$Z,MATCH($A212,SPPR!$A:$A,0),21)),$C212*INDEX(SPPR!$E:$Z,MATCH($A212,SPPR!$A:$A,0),21),""),"")</f>
        <v/>
      </c>
      <c r="Y212">
        <f>IFERROR(IF(ISNUMBER(INDEX(SPPR!$E:$Z,MATCH($A212,SPPR!$A:$A,0),22)),$C212*INDEX(SPPR!$E:$Z,MATCH($A212,SPPR!$A:$A,0),22),""),"")</f>
        <v/>
      </c>
    </row>
    <row r="213">
      <c r="A213" t="inlineStr">
        <is>
          <t>Dasyatidae</t>
        </is>
      </c>
      <c r="B213">
        <f>IFERROR(INDEX(SPPR!$D:$D,MATCH($A213,SPPR!$A:$A,0)),"")</f>
        <v/>
      </c>
      <c r="C213">
        <f>IFERROR(INDEX(Catch!$E:$BV,MATCH($A213,Catch!$A:$A,0),MATCH($B$4,Catch!$E$1:$BV$1,0)),0)</f>
        <v/>
      </c>
      <c r="D213">
        <f>IFERROR(IF(ISNUMBER(INDEX(SPPR!$E:$Z,MATCH($A213,SPPR!$A:$A,0),1)),$C213*INDEX(SPPR!$E:$Z,MATCH($A213,SPPR!$A:$A,0),1),""),"")</f>
        <v/>
      </c>
      <c r="E213">
        <f>IFERROR(IF(ISNUMBER(INDEX(SPPR!$E:$Z,MATCH($A213,SPPR!$A:$A,0),2)),$C213*INDEX(SPPR!$E:$Z,MATCH($A213,SPPR!$A:$A,0),2),""),"")</f>
        <v/>
      </c>
      <c r="F213">
        <f>IFERROR(IF(ISNUMBER(INDEX(SPPR!$E:$Z,MATCH($A213,SPPR!$A:$A,0),3)),$C213*INDEX(SPPR!$E:$Z,MATCH($A213,SPPR!$A:$A,0),3),""),"")</f>
        <v/>
      </c>
      <c r="G213">
        <f>IFERROR(IF(ISNUMBER(INDEX(SPPR!$E:$Z,MATCH($A213,SPPR!$A:$A,0),4)),$C213*INDEX(SPPR!$E:$Z,MATCH($A213,SPPR!$A:$A,0),4),""),"")</f>
        <v/>
      </c>
      <c r="H213">
        <f>IFERROR(IF(ISNUMBER(INDEX(SPPR!$E:$Z,MATCH($A213,SPPR!$A:$A,0),5)),$C213*INDEX(SPPR!$E:$Z,MATCH($A213,SPPR!$A:$A,0),5),""),"")</f>
        <v/>
      </c>
      <c r="I213">
        <f>IFERROR(IF(ISNUMBER(INDEX(SPPR!$E:$Z,MATCH($A213,SPPR!$A:$A,0),6)),$C213*INDEX(SPPR!$E:$Z,MATCH($A213,SPPR!$A:$A,0),6),""),"")</f>
        <v/>
      </c>
      <c r="J213">
        <f>IFERROR(IF(ISNUMBER(INDEX(SPPR!$E:$Z,MATCH($A213,SPPR!$A:$A,0),7)),$C213*INDEX(SPPR!$E:$Z,MATCH($A213,SPPR!$A:$A,0),7),""),"")</f>
        <v/>
      </c>
      <c r="K213">
        <f>IFERROR(IF(ISNUMBER(INDEX(SPPR!$E:$Z,MATCH($A213,SPPR!$A:$A,0),8)),$C213*INDEX(SPPR!$E:$Z,MATCH($A213,SPPR!$A:$A,0),8),""),"")</f>
        <v/>
      </c>
      <c r="L213">
        <f>IFERROR(IF(ISNUMBER(INDEX(SPPR!$E:$Z,MATCH($A213,SPPR!$A:$A,0),9)),$C213*INDEX(SPPR!$E:$Z,MATCH($A213,SPPR!$A:$A,0),9),""),"")</f>
        <v/>
      </c>
      <c r="M213">
        <f>IFERROR(IF(ISNUMBER(INDEX(SPPR!$E:$Z,MATCH($A213,SPPR!$A:$A,0),10)),$C213*INDEX(SPPR!$E:$Z,MATCH($A213,SPPR!$A:$A,0),10),""),"")</f>
        <v/>
      </c>
      <c r="N213">
        <f>IFERROR(IF(ISNUMBER(INDEX(SPPR!$E:$Z,MATCH($A213,SPPR!$A:$A,0),11)),$C213*INDEX(SPPR!$E:$Z,MATCH($A213,SPPR!$A:$A,0),11),""),"")</f>
        <v/>
      </c>
      <c r="O213">
        <f>IFERROR(IF(ISNUMBER(INDEX(SPPR!$E:$Z,MATCH($A213,SPPR!$A:$A,0),12)),$C213*INDEX(SPPR!$E:$Z,MATCH($A213,SPPR!$A:$A,0),12),""),"")</f>
        <v/>
      </c>
      <c r="P213">
        <f>IFERROR(IF(ISNUMBER(INDEX(SPPR!$E:$Z,MATCH($A213,SPPR!$A:$A,0),13)),$C213*INDEX(SPPR!$E:$Z,MATCH($A213,SPPR!$A:$A,0),13),""),"")</f>
        <v/>
      </c>
      <c r="Q213">
        <f>IFERROR(IF(ISNUMBER(INDEX(SPPR!$E:$Z,MATCH($A213,SPPR!$A:$A,0),14)),$C213*INDEX(SPPR!$E:$Z,MATCH($A213,SPPR!$A:$A,0),14),""),"")</f>
        <v/>
      </c>
      <c r="R213">
        <f>IFERROR(IF(ISNUMBER(INDEX(SPPR!$E:$Z,MATCH($A213,SPPR!$A:$A,0),15)),$C213*INDEX(SPPR!$E:$Z,MATCH($A213,SPPR!$A:$A,0),15),""),"")</f>
        <v/>
      </c>
      <c r="S213">
        <f>IFERROR(IF(ISNUMBER(INDEX(SPPR!$E:$Z,MATCH($A213,SPPR!$A:$A,0),16)),$C213*INDEX(SPPR!$E:$Z,MATCH($A213,SPPR!$A:$A,0),16),""),"")</f>
        <v/>
      </c>
      <c r="T213">
        <f>IFERROR(IF(ISNUMBER(INDEX(SPPR!$E:$Z,MATCH($A213,SPPR!$A:$A,0),17)),$C213*INDEX(SPPR!$E:$Z,MATCH($A213,SPPR!$A:$A,0),17),""),"")</f>
        <v/>
      </c>
      <c r="U213">
        <f>IFERROR(IF(ISNUMBER(INDEX(SPPR!$E:$Z,MATCH($A213,SPPR!$A:$A,0),18)),$C213*INDEX(SPPR!$E:$Z,MATCH($A213,SPPR!$A:$A,0),18),""),"")</f>
        <v/>
      </c>
      <c r="V213">
        <f>IFERROR(IF(ISNUMBER(INDEX(SPPR!$E:$Z,MATCH($A213,SPPR!$A:$A,0),19)),$C213*INDEX(SPPR!$E:$Z,MATCH($A213,SPPR!$A:$A,0),19),""),"")</f>
        <v/>
      </c>
      <c r="W213">
        <f>IFERROR(IF(ISNUMBER(INDEX(SPPR!$E:$Z,MATCH($A213,SPPR!$A:$A,0),20)),$C213*INDEX(SPPR!$E:$Z,MATCH($A213,SPPR!$A:$A,0),20),""),"")</f>
        <v/>
      </c>
      <c r="X213">
        <f>IFERROR(IF(ISNUMBER(INDEX(SPPR!$E:$Z,MATCH($A213,SPPR!$A:$A,0),21)),$C213*INDEX(SPPR!$E:$Z,MATCH($A213,SPPR!$A:$A,0),21),""),"")</f>
        <v/>
      </c>
      <c r="Y213">
        <f>IFERROR(IF(ISNUMBER(INDEX(SPPR!$E:$Z,MATCH($A213,SPPR!$A:$A,0),22)),$C213*INDEX(SPPR!$E:$Z,MATCH($A213,SPPR!$A:$A,0),22),""),"")</f>
        <v/>
      </c>
    </row>
    <row r="214">
      <c r="A214" t="inlineStr">
        <is>
          <t>Carcharhinidae</t>
        </is>
      </c>
      <c r="B214">
        <f>IFERROR(INDEX(SPPR!$D:$D,MATCH($A214,SPPR!$A:$A,0)),"")</f>
        <v/>
      </c>
      <c r="C214">
        <f>IFERROR(INDEX(Catch!$E:$BV,MATCH($A214,Catch!$A:$A,0),MATCH($B$4,Catch!$E$1:$BV$1,0)),0)</f>
        <v/>
      </c>
      <c r="D214">
        <f>IFERROR(IF(ISNUMBER(INDEX(SPPR!$E:$Z,MATCH($A214,SPPR!$A:$A,0),1)),$C214*INDEX(SPPR!$E:$Z,MATCH($A214,SPPR!$A:$A,0),1),""),"")</f>
        <v/>
      </c>
      <c r="E214">
        <f>IFERROR(IF(ISNUMBER(INDEX(SPPR!$E:$Z,MATCH($A214,SPPR!$A:$A,0),2)),$C214*INDEX(SPPR!$E:$Z,MATCH($A214,SPPR!$A:$A,0),2),""),"")</f>
        <v/>
      </c>
      <c r="F214">
        <f>IFERROR(IF(ISNUMBER(INDEX(SPPR!$E:$Z,MATCH($A214,SPPR!$A:$A,0),3)),$C214*INDEX(SPPR!$E:$Z,MATCH($A214,SPPR!$A:$A,0),3),""),"")</f>
        <v/>
      </c>
      <c r="G214">
        <f>IFERROR(IF(ISNUMBER(INDEX(SPPR!$E:$Z,MATCH($A214,SPPR!$A:$A,0),4)),$C214*INDEX(SPPR!$E:$Z,MATCH($A214,SPPR!$A:$A,0),4),""),"")</f>
        <v/>
      </c>
      <c r="H214">
        <f>IFERROR(IF(ISNUMBER(INDEX(SPPR!$E:$Z,MATCH($A214,SPPR!$A:$A,0),5)),$C214*INDEX(SPPR!$E:$Z,MATCH($A214,SPPR!$A:$A,0),5),""),"")</f>
        <v/>
      </c>
      <c r="I214">
        <f>IFERROR(IF(ISNUMBER(INDEX(SPPR!$E:$Z,MATCH($A214,SPPR!$A:$A,0),6)),$C214*INDEX(SPPR!$E:$Z,MATCH($A214,SPPR!$A:$A,0),6),""),"")</f>
        <v/>
      </c>
      <c r="J214">
        <f>IFERROR(IF(ISNUMBER(INDEX(SPPR!$E:$Z,MATCH($A214,SPPR!$A:$A,0),7)),$C214*INDEX(SPPR!$E:$Z,MATCH($A214,SPPR!$A:$A,0),7),""),"")</f>
        <v/>
      </c>
      <c r="K214">
        <f>IFERROR(IF(ISNUMBER(INDEX(SPPR!$E:$Z,MATCH($A214,SPPR!$A:$A,0),8)),$C214*INDEX(SPPR!$E:$Z,MATCH($A214,SPPR!$A:$A,0),8),""),"")</f>
        <v/>
      </c>
      <c r="L214">
        <f>IFERROR(IF(ISNUMBER(INDEX(SPPR!$E:$Z,MATCH($A214,SPPR!$A:$A,0),9)),$C214*INDEX(SPPR!$E:$Z,MATCH($A214,SPPR!$A:$A,0),9),""),"")</f>
        <v/>
      </c>
      <c r="M214">
        <f>IFERROR(IF(ISNUMBER(INDEX(SPPR!$E:$Z,MATCH($A214,SPPR!$A:$A,0),10)),$C214*INDEX(SPPR!$E:$Z,MATCH($A214,SPPR!$A:$A,0),10),""),"")</f>
        <v/>
      </c>
      <c r="N214">
        <f>IFERROR(IF(ISNUMBER(INDEX(SPPR!$E:$Z,MATCH($A214,SPPR!$A:$A,0),11)),$C214*INDEX(SPPR!$E:$Z,MATCH($A214,SPPR!$A:$A,0),11),""),"")</f>
        <v/>
      </c>
      <c r="O214">
        <f>IFERROR(IF(ISNUMBER(INDEX(SPPR!$E:$Z,MATCH($A214,SPPR!$A:$A,0),12)),$C214*INDEX(SPPR!$E:$Z,MATCH($A214,SPPR!$A:$A,0),12),""),"")</f>
        <v/>
      </c>
      <c r="P214">
        <f>IFERROR(IF(ISNUMBER(INDEX(SPPR!$E:$Z,MATCH($A214,SPPR!$A:$A,0),13)),$C214*INDEX(SPPR!$E:$Z,MATCH($A214,SPPR!$A:$A,0),13),""),"")</f>
        <v/>
      </c>
      <c r="Q214">
        <f>IFERROR(IF(ISNUMBER(INDEX(SPPR!$E:$Z,MATCH($A214,SPPR!$A:$A,0),14)),$C214*INDEX(SPPR!$E:$Z,MATCH($A214,SPPR!$A:$A,0),14),""),"")</f>
        <v/>
      </c>
      <c r="R214">
        <f>IFERROR(IF(ISNUMBER(INDEX(SPPR!$E:$Z,MATCH($A214,SPPR!$A:$A,0),15)),$C214*INDEX(SPPR!$E:$Z,MATCH($A214,SPPR!$A:$A,0),15),""),"")</f>
        <v/>
      </c>
      <c r="S214">
        <f>IFERROR(IF(ISNUMBER(INDEX(SPPR!$E:$Z,MATCH($A214,SPPR!$A:$A,0),16)),$C214*INDEX(SPPR!$E:$Z,MATCH($A214,SPPR!$A:$A,0),16),""),"")</f>
        <v/>
      </c>
      <c r="T214">
        <f>IFERROR(IF(ISNUMBER(INDEX(SPPR!$E:$Z,MATCH($A214,SPPR!$A:$A,0),17)),$C214*INDEX(SPPR!$E:$Z,MATCH($A214,SPPR!$A:$A,0),17),""),"")</f>
        <v/>
      </c>
      <c r="U214">
        <f>IFERROR(IF(ISNUMBER(INDEX(SPPR!$E:$Z,MATCH($A214,SPPR!$A:$A,0),18)),$C214*INDEX(SPPR!$E:$Z,MATCH($A214,SPPR!$A:$A,0),18),""),"")</f>
        <v/>
      </c>
      <c r="V214">
        <f>IFERROR(IF(ISNUMBER(INDEX(SPPR!$E:$Z,MATCH($A214,SPPR!$A:$A,0),19)),$C214*INDEX(SPPR!$E:$Z,MATCH($A214,SPPR!$A:$A,0),19),""),"")</f>
        <v/>
      </c>
      <c r="W214">
        <f>IFERROR(IF(ISNUMBER(INDEX(SPPR!$E:$Z,MATCH($A214,SPPR!$A:$A,0),20)),$C214*INDEX(SPPR!$E:$Z,MATCH($A214,SPPR!$A:$A,0),20),""),"")</f>
        <v/>
      </c>
      <c r="X214">
        <f>IFERROR(IF(ISNUMBER(INDEX(SPPR!$E:$Z,MATCH($A214,SPPR!$A:$A,0),21)),$C214*INDEX(SPPR!$E:$Z,MATCH($A214,SPPR!$A:$A,0),21),""),"")</f>
        <v/>
      </c>
      <c r="Y214">
        <f>IFERROR(IF(ISNUMBER(INDEX(SPPR!$E:$Z,MATCH($A214,SPPR!$A:$A,0),22)),$C214*INDEX(SPPR!$E:$Z,MATCH($A214,SPPR!$A:$A,0),22),""),"")</f>
        <v/>
      </c>
    </row>
    <row r="215">
      <c r="A215" t="inlineStr">
        <is>
          <t>Holocentridae</t>
        </is>
      </c>
      <c r="B215">
        <f>IFERROR(INDEX(SPPR!$D:$D,MATCH($A215,SPPR!$A:$A,0)),"")</f>
        <v/>
      </c>
      <c r="C215">
        <f>IFERROR(INDEX(Catch!$E:$BV,MATCH($A215,Catch!$A:$A,0),MATCH($B$4,Catch!$E$1:$BV$1,0)),0)</f>
        <v/>
      </c>
      <c r="D215">
        <f>IFERROR(IF(ISNUMBER(INDEX(SPPR!$E:$Z,MATCH($A215,SPPR!$A:$A,0),1)),$C215*INDEX(SPPR!$E:$Z,MATCH($A215,SPPR!$A:$A,0),1),""),"")</f>
        <v/>
      </c>
      <c r="E215">
        <f>IFERROR(IF(ISNUMBER(INDEX(SPPR!$E:$Z,MATCH($A215,SPPR!$A:$A,0),2)),$C215*INDEX(SPPR!$E:$Z,MATCH($A215,SPPR!$A:$A,0),2),""),"")</f>
        <v/>
      </c>
      <c r="F215">
        <f>IFERROR(IF(ISNUMBER(INDEX(SPPR!$E:$Z,MATCH($A215,SPPR!$A:$A,0),3)),$C215*INDEX(SPPR!$E:$Z,MATCH($A215,SPPR!$A:$A,0),3),""),"")</f>
        <v/>
      </c>
      <c r="G215">
        <f>IFERROR(IF(ISNUMBER(INDEX(SPPR!$E:$Z,MATCH($A215,SPPR!$A:$A,0),4)),$C215*INDEX(SPPR!$E:$Z,MATCH($A215,SPPR!$A:$A,0),4),""),"")</f>
        <v/>
      </c>
      <c r="H215">
        <f>IFERROR(IF(ISNUMBER(INDEX(SPPR!$E:$Z,MATCH($A215,SPPR!$A:$A,0),5)),$C215*INDEX(SPPR!$E:$Z,MATCH($A215,SPPR!$A:$A,0),5),""),"")</f>
        <v/>
      </c>
      <c r="I215">
        <f>IFERROR(IF(ISNUMBER(INDEX(SPPR!$E:$Z,MATCH($A215,SPPR!$A:$A,0),6)),$C215*INDEX(SPPR!$E:$Z,MATCH($A215,SPPR!$A:$A,0),6),""),"")</f>
        <v/>
      </c>
      <c r="J215">
        <f>IFERROR(IF(ISNUMBER(INDEX(SPPR!$E:$Z,MATCH($A215,SPPR!$A:$A,0),7)),$C215*INDEX(SPPR!$E:$Z,MATCH($A215,SPPR!$A:$A,0),7),""),"")</f>
        <v/>
      </c>
      <c r="K215">
        <f>IFERROR(IF(ISNUMBER(INDEX(SPPR!$E:$Z,MATCH($A215,SPPR!$A:$A,0),8)),$C215*INDEX(SPPR!$E:$Z,MATCH($A215,SPPR!$A:$A,0),8),""),"")</f>
        <v/>
      </c>
      <c r="L215">
        <f>IFERROR(IF(ISNUMBER(INDEX(SPPR!$E:$Z,MATCH($A215,SPPR!$A:$A,0),9)),$C215*INDEX(SPPR!$E:$Z,MATCH($A215,SPPR!$A:$A,0),9),""),"")</f>
        <v/>
      </c>
      <c r="M215">
        <f>IFERROR(IF(ISNUMBER(INDEX(SPPR!$E:$Z,MATCH($A215,SPPR!$A:$A,0),10)),$C215*INDEX(SPPR!$E:$Z,MATCH($A215,SPPR!$A:$A,0),10),""),"")</f>
        <v/>
      </c>
      <c r="N215">
        <f>IFERROR(IF(ISNUMBER(INDEX(SPPR!$E:$Z,MATCH($A215,SPPR!$A:$A,0),11)),$C215*INDEX(SPPR!$E:$Z,MATCH($A215,SPPR!$A:$A,0),11),""),"")</f>
        <v/>
      </c>
      <c r="O215">
        <f>IFERROR(IF(ISNUMBER(INDEX(SPPR!$E:$Z,MATCH($A215,SPPR!$A:$A,0),12)),$C215*INDEX(SPPR!$E:$Z,MATCH($A215,SPPR!$A:$A,0),12),""),"")</f>
        <v/>
      </c>
      <c r="P215">
        <f>IFERROR(IF(ISNUMBER(INDEX(SPPR!$E:$Z,MATCH($A215,SPPR!$A:$A,0),13)),$C215*INDEX(SPPR!$E:$Z,MATCH($A215,SPPR!$A:$A,0),13),""),"")</f>
        <v/>
      </c>
      <c r="Q215">
        <f>IFERROR(IF(ISNUMBER(INDEX(SPPR!$E:$Z,MATCH($A215,SPPR!$A:$A,0),14)),$C215*INDEX(SPPR!$E:$Z,MATCH($A215,SPPR!$A:$A,0),14),""),"")</f>
        <v/>
      </c>
      <c r="R215">
        <f>IFERROR(IF(ISNUMBER(INDEX(SPPR!$E:$Z,MATCH($A215,SPPR!$A:$A,0),15)),$C215*INDEX(SPPR!$E:$Z,MATCH($A215,SPPR!$A:$A,0),15),""),"")</f>
        <v/>
      </c>
      <c r="S215">
        <f>IFERROR(IF(ISNUMBER(INDEX(SPPR!$E:$Z,MATCH($A215,SPPR!$A:$A,0),16)),$C215*INDEX(SPPR!$E:$Z,MATCH($A215,SPPR!$A:$A,0),16),""),"")</f>
        <v/>
      </c>
      <c r="T215">
        <f>IFERROR(IF(ISNUMBER(INDEX(SPPR!$E:$Z,MATCH($A215,SPPR!$A:$A,0),17)),$C215*INDEX(SPPR!$E:$Z,MATCH($A215,SPPR!$A:$A,0),17),""),"")</f>
        <v/>
      </c>
      <c r="U215">
        <f>IFERROR(IF(ISNUMBER(INDEX(SPPR!$E:$Z,MATCH($A215,SPPR!$A:$A,0),18)),$C215*INDEX(SPPR!$E:$Z,MATCH($A215,SPPR!$A:$A,0),18),""),"")</f>
        <v/>
      </c>
      <c r="V215">
        <f>IFERROR(IF(ISNUMBER(INDEX(SPPR!$E:$Z,MATCH($A215,SPPR!$A:$A,0),19)),$C215*INDEX(SPPR!$E:$Z,MATCH($A215,SPPR!$A:$A,0),19),""),"")</f>
        <v/>
      </c>
      <c r="W215">
        <f>IFERROR(IF(ISNUMBER(INDEX(SPPR!$E:$Z,MATCH($A215,SPPR!$A:$A,0),20)),$C215*INDEX(SPPR!$E:$Z,MATCH($A215,SPPR!$A:$A,0),20),""),"")</f>
        <v/>
      </c>
      <c r="X215">
        <f>IFERROR(IF(ISNUMBER(INDEX(SPPR!$E:$Z,MATCH($A215,SPPR!$A:$A,0),21)),$C215*INDEX(SPPR!$E:$Z,MATCH($A215,SPPR!$A:$A,0),21),""),"")</f>
        <v/>
      </c>
      <c r="Y215">
        <f>IFERROR(IF(ISNUMBER(INDEX(SPPR!$E:$Z,MATCH($A215,SPPR!$A:$A,0),22)),$C215*INDEX(SPPR!$E:$Z,MATCH($A215,SPPR!$A:$A,0),22),""),"")</f>
        <v/>
      </c>
    </row>
    <row r="216">
      <c r="A216" t="inlineStr">
        <is>
          <t>Scolopsis</t>
        </is>
      </c>
      <c r="B216">
        <f>IFERROR(INDEX(SPPR!$D:$D,MATCH($A216,SPPR!$A:$A,0)),"")</f>
        <v/>
      </c>
      <c r="C216">
        <f>IFERROR(INDEX(Catch!$E:$BV,MATCH($A216,Catch!$A:$A,0),MATCH($B$4,Catch!$E$1:$BV$1,0)),0)</f>
        <v/>
      </c>
      <c r="D216">
        <f>IFERROR(IF(ISNUMBER(INDEX(SPPR!$E:$Z,MATCH($A216,SPPR!$A:$A,0),1)),$C216*INDEX(SPPR!$E:$Z,MATCH($A216,SPPR!$A:$A,0),1),""),"")</f>
        <v/>
      </c>
      <c r="E216">
        <f>IFERROR(IF(ISNUMBER(INDEX(SPPR!$E:$Z,MATCH($A216,SPPR!$A:$A,0),2)),$C216*INDEX(SPPR!$E:$Z,MATCH($A216,SPPR!$A:$A,0),2),""),"")</f>
        <v/>
      </c>
      <c r="F216">
        <f>IFERROR(IF(ISNUMBER(INDEX(SPPR!$E:$Z,MATCH($A216,SPPR!$A:$A,0),3)),$C216*INDEX(SPPR!$E:$Z,MATCH($A216,SPPR!$A:$A,0),3),""),"")</f>
        <v/>
      </c>
      <c r="G216">
        <f>IFERROR(IF(ISNUMBER(INDEX(SPPR!$E:$Z,MATCH($A216,SPPR!$A:$A,0),4)),$C216*INDEX(SPPR!$E:$Z,MATCH($A216,SPPR!$A:$A,0),4),""),"")</f>
        <v/>
      </c>
      <c r="H216">
        <f>IFERROR(IF(ISNUMBER(INDEX(SPPR!$E:$Z,MATCH($A216,SPPR!$A:$A,0),5)),$C216*INDEX(SPPR!$E:$Z,MATCH($A216,SPPR!$A:$A,0),5),""),"")</f>
        <v/>
      </c>
      <c r="I216">
        <f>IFERROR(IF(ISNUMBER(INDEX(SPPR!$E:$Z,MATCH($A216,SPPR!$A:$A,0),6)),$C216*INDEX(SPPR!$E:$Z,MATCH($A216,SPPR!$A:$A,0),6),""),"")</f>
        <v/>
      </c>
      <c r="J216">
        <f>IFERROR(IF(ISNUMBER(INDEX(SPPR!$E:$Z,MATCH($A216,SPPR!$A:$A,0),7)),$C216*INDEX(SPPR!$E:$Z,MATCH($A216,SPPR!$A:$A,0),7),""),"")</f>
        <v/>
      </c>
      <c r="K216">
        <f>IFERROR(IF(ISNUMBER(INDEX(SPPR!$E:$Z,MATCH($A216,SPPR!$A:$A,0),8)),$C216*INDEX(SPPR!$E:$Z,MATCH($A216,SPPR!$A:$A,0),8),""),"")</f>
        <v/>
      </c>
      <c r="L216">
        <f>IFERROR(IF(ISNUMBER(INDEX(SPPR!$E:$Z,MATCH($A216,SPPR!$A:$A,0),9)),$C216*INDEX(SPPR!$E:$Z,MATCH($A216,SPPR!$A:$A,0),9),""),"")</f>
        <v/>
      </c>
      <c r="M216">
        <f>IFERROR(IF(ISNUMBER(INDEX(SPPR!$E:$Z,MATCH($A216,SPPR!$A:$A,0),10)),$C216*INDEX(SPPR!$E:$Z,MATCH($A216,SPPR!$A:$A,0),10),""),"")</f>
        <v/>
      </c>
      <c r="N216">
        <f>IFERROR(IF(ISNUMBER(INDEX(SPPR!$E:$Z,MATCH($A216,SPPR!$A:$A,0),11)),$C216*INDEX(SPPR!$E:$Z,MATCH($A216,SPPR!$A:$A,0),11),""),"")</f>
        <v/>
      </c>
      <c r="O216">
        <f>IFERROR(IF(ISNUMBER(INDEX(SPPR!$E:$Z,MATCH($A216,SPPR!$A:$A,0),12)),$C216*INDEX(SPPR!$E:$Z,MATCH($A216,SPPR!$A:$A,0),12),""),"")</f>
        <v/>
      </c>
      <c r="P216">
        <f>IFERROR(IF(ISNUMBER(INDEX(SPPR!$E:$Z,MATCH($A216,SPPR!$A:$A,0),13)),$C216*INDEX(SPPR!$E:$Z,MATCH($A216,SPPR!$A:$A,0),13),""),"")</f>
        <v/>
      </c>
      <c r="Q216">
        <f>IFERROR(IF(ISNUMBER(INDEX(SPPR!$E:$Z,MATCH($A216,SPPR!$A:$A,0),14)),$C216*INDEX(SPPR!$E:$Z,MATCH($A216,SPPR!$A:$A,0),14),""),"")</f>
        <v/>
      </c>
      <c r="R216">
        <f>IFERROR(IF(ISNUMBER(INDEX(SPPR!$E:$Z,MATCH($A216,SPPR!$A:$A,0),15)),$C216*INDEX(SPPR!$E:$Z,MATCH($A216,SPPR!$A:$A,0),15),""),"")</f>
        <v/>
      </c>
      <c r="S216">
        <f>IFERROR(IF(ISNUMBER(INDEX(SPPR!$E:$Z,MATCH($A216,SPPR!$A:$A,0),16)),$C216*INDEX(SPPR!$E:$Z,MATCH($A216,SPPR!$A:$A,0),16),""),"")</f>
        <v/>
      </c>
      <c r="T216">
        <f>IFERROR(IF(ISNUMBER(INDEX(SPPR!$E:$Z,MATCH($A216,SPPR!$A:$A,0),17)),$C216*INDEX(SPPR!$E:$Z,MATCH($A216,SPPR!$A:$A,0),17),""),"")</f>
        <v/>
      </c>
      <c r="U216">
        <f>IFERROR(IF(ISNUMBER(INDEX(SPPR!$E:$Z,MATCH($A216,SPPR!$A:$A,0),18)),$C216*INDEX(SPPR!$E:$Z,MATCH($A216,SPPR!$A:$A,0),18),""),"")</f>
        <v/>
      </c>
      <c r="V216">
        <f>IFERROR(IF(ISNUMBER(INDEX(SPPR!$E:$Z,MATCH($A216,SPPR!$A:$A,0),19)),$C216*INDEX(SPPR!$E:$Z,MATCH($A216,SPPR!$A:$A,0),19),""),"")</f>
        <v/>
      </c>
      <c r="W216">
        <f>IFERROR(IF(ISNUMBER(INDEX(SPPR!$E:$Z,MATCH($A216,SPPR!$A:$A,0),20)),$C216*INDEX(SPPR!$E:$Z,MATCH($A216,SPPR!$A:$A,0),20),""),"")</f>
        <v/>
      </c>
      <c r="X216">
        <f>IFERROR(IF(ISNUMBER(INDEX(SPPR!$E:$Z,MATCH($A216,SPPR!$A:$A,0),21)),$C216*INDEX(SPPR!$E:$Z,MATCH($A216,SPPR!$A:$A,0),21),""),"")</f>
        <v/>
      </c>
      <c r="Y216">
        <f>IFERROR(IF(ISNUMBER(INDEX(SPPR!$E:$Z,MATCH($A216,SPPR!$A:$A,0),22)),$C216*INDEX(SPPR!$E:$Z,MATCH($A216,SPPR!$A:$A,0),22),""),"")</f>
        <v/>
      </c>
    </row>
    <row r="217">
      <c r="A217" t="inlineStr">
        <is>
          <t>Paphia</t>
        </is>
      </c>
      <c r="B217">
        <f>IFERROR(INDEX(SPPR!$D:$D,MATCH($A217,SPPR!$A:$A,0)),"")</f>
        <v/>
      </c>
      <c r="C217">
        <f>IFERROR(INDEX(Catch!$E:$BV,MATCH($A217,Catch!$A:$A,0),MATCH($B$4,Catch!$E$1:$BV$1,0)),0)</f>
        <v/>
      </c>
      <c r="D217">
        <f>IFERROR(IF(ISNUMBER(INDEX(SPPR!$E:$Z,MATCH($A217,SPPR!$A:$A,0),1)),$C217*INDEX(SPPR!$E:$Z,MATCH($A217,SPPR!$A:$A,0),1),""),"")</f>
        <v/>
      </c>
      <c r="E217">
        <f>IFERROR(IF(ISNUMBER(INDEX(SPPR!$E:$Z,MATCH($A217,SPPR!$A:$A,0),2)),$C217*INDEX(SPPR!$E:$Z,MATCH($A217,SPPR!$A:$A,0),2),""),"")</f>
        <v/>
      </c>
      <c r="F217">
        <f>IFERROR(IF(ISNUMBER(INDEX(SPPR!$E:$Z,MATCH($A217,SPPR!$A:$A,0),3)),$C217*INDEX(SPPR!$E:$Z,MATCH($A217,SPPR!$A:$A,0),3),""),"")</f>
        <v/>
      </c>
      <c r="G217">
        <f>IFERROR(IF(ISNUMBER(INDEX(SPPR!$E:$Z,MATCH($A217,SPPR!$A:$A,0),4)),$C217*INDEX(SPPR!$E:$Z,MATCH($A217,SPPR!$A:$A,0),4),""),"")</f>
        <v/>
      </c>
      <c r="H217">
        <f>IFERROR(IF(ISNUMBER(INDEX(SPPR!$E:$Z,MATCH($A217,SPPR!$A:$A,0),5)),$C217*INDEX(SPPR!$E:$Z,MATCH($A217,SPPR!$A:$A,0),5),""),"")</f>
        <v/>
      </c>
      <c r="I217">
        <f>IFERROR(IF(ISNUMBER(INDEX(SPPR!$E:$Z,MATCH($A217,SPPR!$A:$A,0),6)),$C217*INDEX(SPPR!$E:$Z,MATCH($A217,SPPR!$A:$A,0),6),""),"")</f>
        <v/>
      </c>
      <c r="J217">
        <f>IFERROR(IF(ISNUMBER(INDEX(SPPR!$E:$Z,MATCH($A217,SPPR!$A:$A,0),7)),$C217*INDEX(SPPR!$E:$Z,MATCH($A217,SPPR!$A:$A,0),7),""),"")</f>
        <v/>
      </c>
      <c r="K217">
        <f>IFERROR(IF(ISNUMBER(INDEX(SPPR!$E:$Z,MATCH($A217,SPPR!$A:$A,0),8)),$C217*INDEX(SPPR!$E:$Z,MATCH($A217,SPPR!$A:$A,0),8),""),"")</f>
        <v/>
      </c>
      <c r="L217">
        <f>IFERROR(IF(ISNUMBER(INDEX(SPPR!$E:$Z,MATCH($A217,SPPR!$A:$A,0),9)),$C217*INDEX(SPPR!$E:$Z,MATCH($A217,SPPR!$A:$A,0),9),""),"")</f>
        <v/>
      </c>
      <c r="M217">
        <f>IFERROR(IF(ISNUMBER(INDEX(SPPR!$E:$Z,MATCH($A217,SPPR!$A:$A,0),10)),$C217*INDEX(SPPR!$E:$Z,MATCH($A217,SPPR!$A:$A,0),10),""),"")</f>
        <v/>
      </c>
      <c r="N217">
        <f>IFERROR(IF(ISNUMBER(INDEX(SPPR!$E:$Z,MATCH($A217,SPPR!$A:$A,0),11)),$C217*INDEX(SPPR!$E:$Z,MATCH($A217,SPPR!$A:$A,0),11),""),"")</f>
        <v/>
      </c>
      <c r="O217">
        <f>IFERROR(IF(ISNUMBER(INDEX(SPPR!$E:$Z,MATCH($A217,SPPR!$A:$A,0),12)),$C217*INDEX(SPPR!$E:$Z,MATCH($A217,SPPR!$A:$A,0),12),""),"")</f>
        <v/>
      </c>
      <c r="P217">
        <f>IFERROR(IF(ISNUMBER(INDEX(SPPR!$E:$Z,MATCH($A217,SPPR!$A:$A,0),13)),$C217*INDEX(SPPR!$E:$Z,MATCH($A217,SPPR!$A:$A,0),13),""),"")</f>
        <v/>
      </c>
      <c r="Q217">
        <f>IFERROR(IF(ISNUMBER(INDEX(SPPR!$E:$Z,MATCH($A217,SPPR!$A:$A,0),14)),$C217*INDEX(SPPR!$E:$Z,MATCH($A217,SPPR!$A:$A,0),14),""),"")</f>
        <v/>
      </c>
      <c r="R217">
        <f>IFERROR(IF(ISNUMBER(INDEX(SPPR!$E:$Z,MATCH($A217,SPPR!$A:$A,0),15)),$C217*INDEX(SPPR!$E:$Z,MATCH($A217,SPPR!$A:$A,0),15),""),"")</f>
        <v/>
      </c>
      <c r="S217">
        <f>IFERROR(IF(ISNUMBER(INDEX(SPPR!$E:$Z,MATCH($A217,SPPR!$A:$A,0),16)),$C217*INDEX(SPPR!$E:$Z,MATCH($A217,SPPR!$A:$A,0),16),""),"")</f>
        <v/>
      </c>
      <c r="T217">
        <f>IFERROR(IF(ISNUMBER(INDEX(SPPR!$E:$Z,MATCH($A217,SPPR!$A:$A,0),17)),$C217*INDEX(SPPR!$E:$Z,MATCH($A217,SPPR!$A:$A,0),17),""),"")</f>
        <v/>
      </c>
      <c r="U217">
        <f>IFERROR(IF(ISNUMBER(INDEX(SPPR!$E:$Z,MATCH($A217,SPPR!$A:$A,0),18)),$C217*INDEX(SPPR!$E:$Z,MATCH($A217,SPPR!$A:$A,0),18),""),"")</f>
        <v/>
      </c>
      <c r="V217">
        <f>IFERROR(IF(ISNUMBER(INDEX(SPPR!$E:$Z,MATCH($A217,SPPR!$A:$A,0),19)),$C217*INDEX(SPPR!$E:$Z,MATCH($A217,SPPR!$A:$A,0),19),""),"")</f>
        <v/>
      </c>
      <c r="W217">
        <f>IFERROR(IF(ISNUMBER(INDEX(SPPR!$E:$Z,MATCH($A217,SPPR!$A:$A,0),20)),$C217*INDEX(SPPR!$E:$Z,MATCH($A217,SPPR!$A:$A,0),20),""),"")</f>
        <v/>
      </c>
      <c r="X217">
        <f>IFERROR(IF(ISNUMBER(INDEX(SPPR!$E:$Z,MATCH($A217,SPPR!$A:$A,0),21)),$C217*INDEX(SPPR!$E:$Z,MATCH($A217,SPPR!$A:$A,0),21),""),"")</f>
        <v/>
      </c>
      <c r="Y217">
        <f>IFERROR(IF(ISNUMBER(INDEX(SPPR!$E:$Z,MATCH($A217,SPPR!$A:$A,0),22)),$C217*INDEX(SPPR!$E:$Z,MATCH($A217,SPPR!$A:$A,0),22),""),"")</f>
        <v/>
      </c>
    </row>
    <row r="218">
      <c r="A218" t="inlineStr">
        <is>
          <t>Mytilidae</t>
        </is>
      </c>
      <c r="B218">
        <f>IFERROR(INDEX(SPPR!$D:$D,MATCH($A218,SPPR!$A:$A,0)),"")</f>
        <v/>
      </c>
      <c r="C218">
        <f>IFERROR(INDEX(Catch!$E:$BV,MATCH($A218,Catch!$A:$A,0),MATCH($B$4,Catch!$E$1:$BV$1,0)),0)</f>
        <v/>
      </c>
      <c r="D218">
        <f>IFERROR(IF(ISNUMBER(INDEX(SPPR!$E:$Z,MATCH($A218,SPPR!$A:$A,0),1)),$C218*INDEX(SPPR!$E:$Z,MATCH($A218,SPPR!$A:$A,0),1),""),"")</f>
        <v/>
      </c>
      <c r="E218">
        <f>IFERROR(IF(ISNUMBER(INDEX(SPPR!$E:$Z,MATCH($A218,SPPR!$A:$A,0),2)),$C218*INDEX(SPPR!$E:$Z,MATCH($A218,SPPR!$A:$A,0),2),""),"")</f>
        <v/>
      </c>
      <c r="F218">
        <f>IFERROR(IF(ISNUMBER(INDEX(SPPR!$E:$Z,MATCH($A218,SPPR!$A:$A,0),3)),$C218*INDEX(SPPR!$E:$Z,MATCH($A218,SPPR!$A:$A,0),3),""),"")</f>
        <v/>
      </c>
      <c r="G218">
        <f>IFERROR(IF(ISNUMBER(INDEX(SPPR!$E:$Z,MATCH($A218,SPPR!$A:$A,0),4)),$C218*INDEX(SPPR!$E:$Z,MATCH($A218,SPPR!$A:$A,0),4),""),"")</f>
        <v/>
      </c>
      <c r="H218">
        <f>IFERROR(IF(ISNUMBER(INDEX(SPPR!$E:$Z,MATCH($A218,SPPR!$A:$A,0),5)),$C218*INDEX(SPPR!$E:$Z,MATCH($A218,SPPR!$A:$A,0),5),""),"")</f>
        <v/>
      </c>
      <c r="I218">
        <f>IFERROR(IF(ISNUMBER(INDEX(SPPR!$E:$Z,MATCH($A218,SPPR!$A:$A,0),6)),$C218*INDEX(SPPR!$E:$Z,MATCH($A218,SPPR!$A:$A,0),6),""),"")</f>
        <v/>
      </c>
      <c r="J218">
        <f>IFERROR(IF(ISNUMBER(INDEX(SPPR!$E:$Z,MATCH($A218,SPPR!$A:$A,0),7)),$C218*INDEX(SPPR!$E:$Z,MATCH($A218,SPPR!$A:$A,0),7),""),"")</f>
        <v/>
      </c>
      <c r="K218">
        <f>IFERROR(IF(ISNUMBER(INDEX(SPPR!$E:$Z,MATCH($A218,SPPR!$A:$A,0),8)),$C218*INDEX(SPPR!$E:$Z,MATCH($A218,SPPR!$A:$A,0),8),""),"")</f>
        <v/>
      </c>
      <c r="L218">
        <f>IFERROR(IF(ISNUMBER(INDEX(SPPR!$E:$Z,MATCH($A218,SPPR!$A:$A,0),9)),$C218*INDEX(SPPR!$E:$Z,MATCH($A218,SPPR!$A:$A,0),9),""),"")</f>
        <v/>
      </c>
      <c r="M218">
        <f>IFERROR(IF(ISNUMBER(INDEX(SPPR!$E:$Z,MATCH($A218,SPPR!$A:$A,0),10)),$C218*INDEX(SPPR!$E:$Z,MATCH($A218,SPPR!$A:$A,0),10),""),"")</f>
        <v/>
      </c>
      <c r="N218">
        <f>IFERROR(IF(ISNUMBER(INDEX(SPPR!$E:$Z,MATCH($A218,SPPR!$A:$A,0),11)),$C218*INDEX(SPPR!$E:$Z,MATCH($A218,SPPR!$A:$A,0),11),""),"")</f>
        <v/>
      </c>
      <c r="O218">
        <f>IFERROR(IF(ISNUMBER(INDEX(SPPR!$E:$Z,MATCH($A218,SPPR!$A:$A,0),12)),$C218*INDEX(SPPR!$E:$Z,MATCH($A218,SPPR!$A:$A,0),12),""),"")</f>
        <v/>
      </c>
      <c r="P218">
        <f>IFERROR(IF(ISNUMBER(INDEX(SPPR!$E:$Z,MATCH($A218,SPPR!$A:$A,0),13)),$C218*INDEX(SPPR!$E:$Z,MATCH($A218,SPPR!$A:$A,0),13),""),"")</f>
        <v/>
      </c>
      <c r="Q218">
        <f>IFERROR(IF(ISNUMBER(INDEX(SPPR!$E:$Z,MATCH($A218,SPPR!$A:$A,0),14)),$C218*INDEX(SPPR!$E:$Z,MATCH($A218,SPPR!$A:$A,0),14),""),"")</f>
        <v/>
      </c>
      <c r="R218">
        <f>IFERROR(IF(ISNUMBER(INDEX(SPPR!$E:$Z,MATCH($A218,SPPR!$A:$A,0),15)),$C218*INDEX(SPPR!$E:$Z,MATCH($A218,SPPR!$A:$A,0),15),""),"")</f>
        <v/>
      </c>
      <c r="S218">
        <f>IFERROR(IF(ISNUMBER(INDEX(SPPR!$E:$Z,MATCH($A218,SPPR!$A:$A,0),16)),$C218*INDEX(SPPR!$E:$Z,MATCH($A218,SPPR!$A:$A,0),16),""),"")</f>
        <v/>
      </c>
      <c r="T218">
        <f>IFERROR(IF(ISNUMBER(INDEX(SPPR!$E:$Z,MATCH($A218,SPPR!$A:$A,0),17)),$C218*INDEX(SPPR!$E:$Z,MATCH($A218,SPPR!$A:$A,0),17),""),"")</f>
        <v/>
      </c>
      <c r="U218">
        <f>IFERROR(IF(ISNUMBER(INDEX(SPPR!$E:$Z,MATCH($A218,SPPR!$A:$A,0),18)),$C218*INDEX(SPPR!$E:$Z,MATCH($A218,SPPR!$A:$A,0),18),""),"")</f>
        <v/>
      </c>
      <c r="V218">
        <f>IFERROR(IF(ISNUMBER(INDEX(SPPR!$E:$Z,MATCH($A218,SPPR!$A:$A,0),19)),$C218*INDEX(SPPR!$E:$Z,MATCH($A218,SPPR!$A:$A,0),19),""),"")</f>
        <v/>
      </c>
      <c r="W218">
        <f>IFERROR(IF(ISNUMBER(INDEX(SPPR!$E:$Z,MATCH($A218,SPPR!$A:$A,0),20)),$C218*INDEX(SPPR!$E:$Z,MATCH($A218,SPPR!$A:$A,0),20),""),"")</f>
        <v/>
      </c>
      <c r="X218">
        <f>IFERROR(IF(ISNUMBER(INDEX(SPPR!$E:$Z,MATCH($A218,SPPR!$A:$A,0),21)),$C218*INDEX(SPPR!$E:$Z,MATCH($A218,SPPR!$A:$A,0),21),""),"")</f>
        <v/>
      </c>
      <c r="Y218">
        <f>IFERROR(IF(ISNUMBER(INDEX(SPPR!$E:$Z,MATCH($A218,SPPR!$A:$A,0),22)),$C218*INDEX(SPPR!$E:$Z,MATCH($A218,SPPR!$A:$A,0),22),""),"")</f>
        <v/>
      </c>
    </row>
    <row r="219">
      <c r="A219" t="inlineStr">
        <is>
          <t>Gastropoda</t>
        </is>
      </c>
      <c r="B219">
        <f>IFERROR(INDEX(SPPR!$D:$D,MATCH($A219,SPPR!$A:$A,0)),"")</f>
        <v/>
      </c>
      <c r="C219">
        <f>IFERROR(INDEX(Catch!$E:$BV,MATCH($A219,Catch!$A:$A,0),MATCH($B$4,Catch!$E$1:$BV$1,0)),0)</f>
        <v/>
      </c>
      <c r="D219">
        <f>IFERROR(IF(ISNUMBER(INDEX(SPPR!$E:$Z,MATCH($A219,SPPR!$A:$A,0),1)),$C219*INDEX(SPPR!$E:$Z,MATCH($A219,SPPR!$A:$A,0),1),""),"")</f>
        <v/>
      </c>
      <c r="E219">
        <f>IFERROR(IF(ISNUMBER(INDEX(SPPR!$E:$Z,MATCH($A219,SPPR!$A:$A,0),2)),$C219*INDEX(SPPR!$E:$Z,MATCH($A219,SPPR!$A:$A,0),2),""),"")</f>
        <v/>
      </c>
      <c r="F219">
        <f>IFERROR(IF(ISNUMBER(INDEX(SPPR!$E:$Z,MATCH($A219,SPPR!$A:$A,0),3)),$C219*INDEX(SPPR!$E:$Z,MATCH($A219,SPPR!$A:$A,0),3),""),"")</f>
        <v/>
      </c>
      <c r="G219">
        <f>IFERROR(IF(ISNUMBER(INDEX(SPPR!$E:$Z,MATCH($A219,SPPR!$A:$A,0),4)),$C219*INDEX(SPPR!$E:$Z,MATCH($A219,SPPR!$A:$A,0),4),""),"")</f>
        <v/>
      </c>
      <c r="H219">
        <f>IFERROR(IF(ISNUMBER(INDEX(SPPR!$E:$Z,MATCH($A219,SPPR!$A:$A,0),5)),$C219*INDEX(SPPR!$E:$Z,MATCH($A219,SPPR!$A:$A,0),5),""),"")</f>
        <v/>
      </c>
      <c r="I219">
        <f>IFERROR(IF(ISNUMBER(INDEX(SPPR!$E:$Z,MATCH($A219,SPPR!$A:$A,0),6)),$C219*INDEX(SPPR!$E:$Z,MATCH($A219,SPPR!$A:$A,0),6),""),"")</f>
        <v/>
      </c>
      <c r="J219">
        <f>IFERROR(IF(ISNUMBER(INDEX(SPPR!$E:$Z,MATCH($A219,SPPR!$A:$A,0),7)),$C219*INDEX(SPPR!$E:$Z,MATCH($A219,SPPR!$A:$A,0),7),""),"")</f>
        <v/>
      </c>
      <c r="K219">
        <f>IFERROR(IF(ISNUMBER(INDEX(SPPR!$E:$Z,MATCH($A219,SPPR!$A:$A,0),8)),$C219*INDEX(SPPR!$E:$Z,MATCH($A219,SPPR!$A:$A,0),8),""),"")</f>
        <v/>
      </c>
      <c r="L219">
        <f>IFERROR(IF(ISNUMBER(INDEX(SPPR!$E:$Z,MATCH($A219,SPPR!$A:$A,0),9)),$C219*INDEX(SPPR!$E:$Z,MATCH($A219,SPPR!$A:$A,0),9),""),"")</f>
        <v/>
      </c>
      <c r="M219">
        <f>IFERROR(IF(ISNUMBER(INDEX(SPPR!$E:$Z,MATCH($A219,SPPR!$A:$A,0),10)),$C219*INDEX(SPPR!$E:$Z,MATCH($A219,SPPR!$A:$A,0),10),""),"")</f>
        <v/>
      </c>
      <c r="N219">
        <f>IFERROR(IF(ISNUMBER(INDEX(SPPR!$E:$Z,MATCH($A219,SPPR!$A:$A,0),11)),$C219*INDEX(SPPR!$E:$Z,MATCH($A219,SPPR!$A:$A,0),11),""),"")</f>
        <v/>
      </c>
      <c r="O219">
        <f>IFERROR(IF(ISNUMBER(INDEX(SPPR!$E:$Z,MATCH($A219,SPPR!$A:$A,0),12)),$C219*INDEX(SPPR!$E:$Z,MATCH($A219,SPPR!$A:$A,0),12),""),"")</f>
        <v/>
      </c>
      <c r="P219">
        <f>IFERROR(IF(ISNUMBER(INDEX(SPPR!$E:$Z,MATCH($A219,SPPR!$A:$A,0),13)),$C219*INDEX(SPPR!$E:$Z,MATCH($A219,SPPR!$A:$A,0),13),""),"")</f>
        <v/>
      </c>
      <c r="Q219">
        <f>IFERROR(IF(ISNUMBER(INDEX(SPPR!$E:$Z,MATCH($A219,SPPR!$A:$A,0),14)),$C219*INDEX(SPPR!$E:$Z,MATCH($A219,SPPR!$A:$A,0),14),""),"")</f>
        <v/>
      </c>
      <c r="R219">
        <f>IFERROR(IF(ISNUMBER(INDEX(SPPR!$E:$Z,MATCH($A219,SPPR!$A:$A,0),15)),$C219*INDEX(SPPR!$E:$Z,MATCH($A219,SPPR!$A:$A,0),15),""),"")</f>
        <v/>
      </c>
      <c r="S219">
        <f>IFERROR(IF(ISNUMBER(INDEX(SPPR!$E:$Z,MATCH($A219,SPPR!$A:$A,0),16)),$C219*INDEX(SPPR!$E:$Z,MATCH($A219,SPPR!$A:$A,0),16),""),"")</f>
        <v/>
      </c>
      <c r="T219">
        <f>IFERROR(IF(ISNUMBER(INDEX(SPPR!$E:$Z,MATCH($A219,SPPR!$A:$A,0),17)),$C219*INDEX(SPPR!$E:$Z,MATCH($A219,SPPR!$A:$A,0),17),""),"")</f>
        <v/>
      </c>
      <c r="U219">
        <f>IFERROR(IF(ISNUMBER(INDEX(SPPR!$E:$Z,MATCH($A219,SPPR!$A:$A,0),18)),$C219*INDEX(SPPR!$E:$Z,MATCH($A219,SPPR!$A:$A,0),18),""),"")</f>
        <v/>
      </c>
      <c r="V219">
        <f>IFERROR(IF(ISNUMBER(INDEX(SPPR!$E:$Z,MATCH($A219,SPPR!$A:$A,0),19)),$C219*INDEX(SPPR!$E:$Z,MATCH($A219,SPPR!$A:$A,0),19),""),"")</f>
        <v/>
      </c>
      <c r="W219">
        <f>IFERROR(IF(ISNUMBER(INDEX(SPPR!$E:$Z,MATCH($A219,SPPR!$A:$A,0),20)),$C219*INDEX(SPPR!$E:$Z,MATCH($A219,SPPR!$A:$A,0),20),""),"")</f>
        <v/>
      </c>
      <c r="X219">
        <f>IFERROR(IF(ISNUMBER(INDEX(SPPR!$E:$Z,MATCH($A219,SPPR!$A:$A,0),21)),$C219*INDEX(SPPR!$E:$Z,MATCH($A219,SPPR!$A:$A,0),21),""),"")</f>
        <v/>
      </c>
      <c r="Y219">
        <f>IFERROR(IF(ISNUMBER(INDEX(SPPR!$E:$Z,MATCH($A219,SPPR!$A:$A,0),22)),$C219*INDEX(SPPR!$E:$Z,MATCH($A219,SPPR!$A:$A,0),22),""),"")</f>
        <v/>
      </c>
    </row>
    <row r="220">
      <c r="A220" t="inlineStr">
        <is>
          <t>Eleutheronema tetradactylum</t>
        </is>
      </c>
      <c r="B220">
        <f>IFERROR(INDEX(SPPR!$D:$D,MATCH($A220,SPPR!$A:$A,0)),"")</f>
        <v/>
      </c>
      <c r="C220">
        <f>IFERROR(INDEX(Catch!$E:$BV,MATCH($A220,Catch!$A:$A,0),MATCH($B$4,Catch!$E$1:$BV$1,0)),0)</f>
        <v/>
      </c>
      <c r="D220">
        <f>IFERROR(IF(ISNUMBER(INDEX(SPPR!$E:$Z,MATCH($A220,SPPR!$A:$A,0),1)),$C220*INDEX(SPPR!$E:$Z,MATCH($A220,SPPR!$A:$A,0),1),""),"")</f>
        <v/>
      </c>
      <c r="E220">
        <f>IFERROR(IF(ISNUMBER(INDEX(SPPR!$E:$Z,MATCH($A220,SPPR!$A:$A,0),2)),$C220*INDEX(SPPR!$E:$Z,MATCH($A220,SPPR!$A:$A,0),2),""),"")</f>
        <v/>
      </c>
      <c r="F220">
        <f>IFERROR(IF(ISNUMBER(INDEX(SPPR!$E:$Z,MATCH($A220,SPPR!$A:$A,0),3)),$C220*INDEX(SPPR!$E:$Z,MATCH($A220,SPPR!$A:$A,0),3),""),"")</f>
        <v/>
      </c>
      <c r="G220">
        <f>IFERROR(IF(ISNUMBER(INDEX(SPPR!$E:$Z,MATCH($A220,SPPR!$A:$A,0),4)),$C220*INDEX(SPPR!$E:$Z,MATCH($A220,SPPR!$A:$A,0),4),""),"")</f>
        <v/>
      </c>
      <c r="H220">
        <f>IFERROR(IF(ISNUMBER(INDEX(SPPR!$E:$Z,MATCH($A220,SPPR!$A:$A,0),5)),$C220*INDEX(SPPR!$E:$Z,MATCH($A220,SPPR!$A:$A,0),5),""),"")</f>
        <v/>
      </c>
      <c r="I220">
        <f>IFERROR(IF(ISNUMBER(INDEX(SPPR!$E:$Z,MATCH($A220,SPPR!$A:$A,0),6)),$C220*INDEX(SPPR!$E:$Z,MATCH($A220,SPPR!$A:$A,0),6),""),"")</f>
        <v/>
      </c>
      <c r="J220">
        <f>IFERROR(IF(ISNUMBER(INDEX(SPPR!$E:$Z,MATCH($A220,SPPR!$A:$A,0),7)),$C220*INDEX(SPPR!$E:$Z,MATCH($A220,SPPR!$A:$A,0),7),""),"")</f>
        <v/>
      </c>
      <c r="K220">
        <f>IFERROR(IF(ISNUMBER(INDEX(SPPR!$E:$Z,MATCH($A220,SPPR!$A:$A,0),8)),$C220*INDEX(SPPR!$E:$Z,MATCH($A220,SPPR!$A:$A,0),8),""),"")</f>
        <v/>
      </c>
      <c r="L220">
        <f>IFERROR(IF(ISNUMBER(INDEX(SPPR!$E:$Z,MATCH($A220,SPPR!$A:$A,0),9)),$C220*INDEX(SPPR!$E:$Z,MATCH($A220,SPPR!$A:$A,0),9),""),"")</f>
        <v/>
      </c>
      <c r="M220">
        <f>IFERROR(IF(ISNUMBER(INDEX(SPPR!$E:$Z,MATCH($A220,SPPR!$A:$A,0),10)),$C220*INDEX(SPPR!$E:$Z,MATCH($A220,SPPR!$A:$A,0),10),""),"")</f>
        <v/>
      </c>
      <c r="N220">
        <f>IFERROR(IF(ISNUMBER(INDEX(SPPR!$E:$Z,MATCH($A220,SPPR!$A:$A,0),11)),$C220*INDEX(SPPR!$E:$Z,MATCH($A220,SPPR!$A:$A,0),11),""),"")</f>
        <v/>
      </c>
      <c r="O220">
        <f>IFERROR(IF(ISNUMBER(INDEX(SPPR!$E:$Z,MATCH($A220,SPPR!$A:$A,0),12)),$C220*INDEX(SPPR!$E:$Z,MATCH($A220,SPPR!$A:$A,0),12),""),"")</f>
        <v/>
      </c>
      <c r="P220">
        <f>IFERROR(IF(ISNUMBER(INDEX(SPPR!$E:$Z,MATCH($A220,SPPR!$A:$A,0),13)),$C220*INDEX(SPPR!$E:$Z,MATCH($A220,SPPR!$A:$A,0),13),""),"")</f>
        <v/>
      </c>
      <c r="Q220">
        <f>IFERROR(IF(ISNUMBER(INDEX(SPPR!$E:$Z,MATCH($A220,SPPR!$A:$A,0),14)),$C220*INDEX(SPPR!$E:$Z,MATCH($A220,SPPR!$A:$A,0),14),""),"")</f>
        <v/>
      </c>
      <c r="R220">
        <f>IFERROR(IF(ISNUMBER(INDEX(SPPR!$E:$Z,MATCH($A220,SPPR!$A:$A,0),15)),$C220*INDEX(SPPR!$E:$Z,MATCH($A220,SPPR!$A:$A,0),15),""),"")</f>
        <v/>
      </c>
      <c r="S220">
        <f>IFERROR(IF(ISNUMBER(INDEX(SPPR!$E:$Z,MATCH($A220,SPPR!$A:$A,0),16)),$C220*INDEX(SPPR!$E:$Z,MATCH($A220,SPPR!$A:$A,0),16),""),"")</f>
        <v/>
      </c>
      <c r="T220">
        <f>IFERROR(IF(ISNUMBER(INDEX(SPPR!$E:$Z,MATCH($A220,SPPR!$A:$A,0),17)),$C220*INDEX(SPPR!$E:$Z,MATCH($A220,SPPR!$A:$A,0),17),""),"")</f>
        <v/>
      </c>
      <c r="U220">
        <f>IFERROR(IF(ISNUMBER(INDEX(SPPR!$E:$Z,MATCH($A220,SPPR!$A:$A,0),18)),$C220*INDEX(SPPR!$E:$Z,MATCH($A220,SPPR!$A:$A,0),18),""),"")</f>
        <v/>
      </c>
      <c r="V220">
        <f>IFERROR(IF(ISNUMBER(INDEX(SPPR!$E:$Z,MATCH($A220,SPPR!$A:$A,0),19)),$C220*INDEX(SPPR!$E:$Z,MATCH($A220,SPPR!$A:$A,0),19),""),"")</f>
        <v/>
      </c>
      <c r="W220">
        <f>IFERROR(IF(ISNUMBER(INDEX(SPPR!$E:$Z,MATCH($A220,SPPR!$A:$A,0),20)),$C220*INDEX(SPPR!$E:$Z,MATCH($A220,SPPR!$A:$A,0),20),""),"")</f>
        <v/>
      </c>
      <c r="X220">
        <f>IFERROR(IF(ISNUMBER(INDEX(SPPR!$E:$Z,MATCH($A220,SPPR!$A:$A,0),21)),$C220*INDEX(SPPR!$E:$Z,MATCH($A220,SPPR!$A:$A,0),21),""),"")</f>
        <v/>
      </c>
      <c r="Y220">
        <f>IFERROR(IF(ISNUMBER(INDEX(SPPR!$E:$Z,MATCH($A220,SPPR!$A:$A,0),22)),$C220*INDEX(SPPR!$E:$Z,MATCH($A220,SPPR!$A:$A,0),22),""),"")</f>
        <v/>
      </c>
    </row>
    <row r="221">
      <c r="A221" t="inlineStr">
        <is>
          <t>Sphyrna</t>
        </is>
      </c>
      <c r="B221">
        <f>IFERROR(INDEX(SPPR!$D:$D,MATCH($A221,SPPR!$A:$A,0)),"")</f>
        <v/>
      </c>
      <c r="C221">
        <f>IFERROR(INDEX(Catch!$E:$BV,MATCH($A221,Catch!$A:$A,0),MATCH($B$4,Catch!$E$1:$BV$1,0)),0)</f>
        <v/>
      </c>
      <c r="D221">
        <f>IFERROR(IF(ISNUMBER(INDEX(SPPR!$E:$Z,MATCH($A221,SPPR!$A:$A,0),1)),$C221*INDEX(SPPR!$E:$Z,MATCH($A221,SPPR!$A:$A,0),1),""),"")</f>
        <v/>
      </c>
      <c r="E221">
        <f>IFERROR(IF(ISNUMBER(INDEX(SPPR!$E:$Z,MATCH($A221,SPPR!$A:$A,0),2)),$C221*INDEX(SPPR!$E:$Z,MATCH($A221,SPPR!$A:$A,0),2),""),"")</f>
        <v/>
      </c>
      <c r="F221">
        <f>IFERROR(IF(ISNUMBER(INDEX(SPPR!$E:$Z,MATCH($A221,SPPR!$A:$A,0),3)),$C221*INDEX(SPPR!$E:$Z,MATCH($A221,SPPR!$A:$A,0),3),""),"")</f>
        <v/>
      </c>
      <c r="G221">
        <f>IFERROR(IF(ISNUMBER(INDEX(SPPR!$E:$Z,MATCH($A221,SPPR!$A:$A,0),4)),$C221*INDEX(SPPR!$E:$Z,MATCH($A221,SPPR!$A:$A,0),4),""),"")</f>
        <v/>
      </c>
      <c r="H221">
        <f>IFERROR(IF(ISNUMBER(INDEX(SPPR!$E:$Z,MATCH($A221,SPPR!$A:$A,0),5)),$C221*INDEX(SPPR!$E:$Z,MATCH($A221,SPPR!$A:$A,0),5),""),"")</f>
        <v/>
      </c>
      <c r="I221">
        <f>IFERROR(IF(ISNUMBER(INDEX(SPPR!$E:$Z,MATCH($A221,SPPR!$A:$A,0),6)),$C221*INDEX(SPPR!$E:$Z,MATCH($A221,SPPR!$A:$A,0),6),""),"")</f>
        <v/>
      </c>
      <c r="J221">
        <f>IFERROR(IF(ISNUMBER(INDEX(SPPR!$E:$Z,MATCH($A221,SPPR!$A:$A,0),7)),$C221*INDEX(SPPR!$E:$Z,MATCH($A221,SPPR!$A:$A,0),7),""),"")</f>
        <v/>
      </c>
      <c r="K221">
        <f>IFERROR(IF(ISNUMBER(INDEX(SPPR!$E:$Z,MATCH($A221,SPPR!$A:$A,0),8)),$C221*INDEX(SPPR!$E:$Z,MATCH($A221,SPPR!$A:$A,0),8),""),"")</f>
        <v/>
      </c>
      <c r="L221">
        <f>IFERROR(IF(ISNUMBER(INDEX(SPPR!$E:$Z,MATCH($A221,SPPR!$A:$A,0),9)),$C221*INDEX(SPPR!$E:$Z,MATCH($A221,SPPR!$A:$A,0),9),""),"")</f>
        <v/>
      </c>
      <c r="M221">
        <f>IFERROR(IF(ISNUMBER(INDEX(SPPR!$E:$Z,MATCH($A221,SPPR!$A:$A,0),10)),$C221*INDEX(SPPR!$E:$Z,MATCH($A221,SPPR!$A:$A,0),10),""),"")</f>
        <v/>
      </c>
      <c r="N221">
        <f>IFERROR(IF(ISNUMBER(INDEX(SPPR!$E:$Z,MATCH($A221,SPPR!$A:$A,0),11)),$C221*INDEX(SPPR!$E:$Z,MATCH($A221,SPPR!$A:$A,0),11),""),"")</f>
        <v/>
      </c>
      <c r="O221">
        <f>IFERROR(IF(ISNUMBER(INDEX(SPPR!$E:$Z,MATCH($A221,SPPR!$A:$A,0),12)),$C221*INDEX(SPPR!$E:$Z,MATCH($A221,SPPR!$A:$A,0),12),""),"")</f>
        <v/>
      </c>
      <c r="P221">
        <f>IFERROR(IF(ISNUMBER(INDEX(SPPR!$E:$Z,MATCH($A221,SPPR!$A:$A,0),13)),$C221*INDEX(SPPR!$E:$Z,MATCH($A221,SPPR!$A:$A,0),13),""),"")</f>
        <v/>
      </c>
      <c r="Q221">
        <f>IFERROR(IF(ISNUMBER(INDEX(SPPR!$E:$Z,MATCH($A221,SPPR!$A:$A,0),14)),$C221*INDEX(SPPR!$E:$Z,MATCH($A221,SPPR!$A:$A,0),14),""),"")</f>
        <v/>
      </c>
      <c r="R221">
        <f>IFERROR(IF(ISNUMBER(INDEX(SPPR!$E:$Z,MATCH($A221,SPPR!$A:$A,0),15)),$C221*INDEX(SPPR!$E:$Z,MATCH($A221,SPPR!$A:$A,0),15),""),"")</f>
        <v/>
      </c>
      <c r="S221">
        <f>IFERROR(IF(ISNUMBER(INDEX(SPPR!$E:$Z,MATCH($A221,SPPR!$A:$A,0),16)),$C221*INDEX(SPPR!$E:$Z,MATCH($A221,SPPR!$A:$A,0),16),""),"")</f>
        <v/>
      </c>
      <c r="T221">
        <f>IFERROR(IF(ISNUMBER(INDEX(SPPR!$E:$Z,MATCH($A221,SPPR!$A:$A,0),17)),$C221*INDEX(SPPR!$E:$Z,MATCH($A221,SPPR!$A:$A,0),17),""),"")</f>
        <v/>
      </c>
      <c r="U221">
        <f>IFERROR(IF(ISNUMBER(INDEX(SPPR!$E:$Z,MATCH($A221,SPPR!$A:$A,0),18)),$C221*INDEX(SPPR!$E:$Z,MATCH($A221,SPPR!$A:$A,0),18),""),"")</f>
        <v/>
      </c>
      <c r="V221">
        <f>IFERROR(IF(ISNUMBER(INDEX(SPPR!$E:$Z,MATCH($A221,SPPR!$A:$A,0),19)),$C221*INDEX(SPPR!$E:$Z,MATCH($A221,SPPR!$A:$A,0),19),""),"")</f>
        <v/>
      </c>
      <c r="W221">
        <f>IFERROR(IF(ISNUMBER(INDEX(SPPR!$E:$Z,MATCH($A221,SPPR!$A:$A,0),20)),$C221*INDEX(SPPR!$E:$Z,MATCH($A221,SPPR!$A:$A,0),20),""),"")</f>
        <v/>
      </c>
      <c r="X221">
        <f>IFERROR(IF(ISNUMBER(INDEX(SPPR!$E:$Z,MATCH($A221,SPPR!$A:$A,0),21)),$C221*INDEX(SPPR!$E:$Z,MATCH($A221,SPPR!$A:$A,0),21),""),"")</f>
        <v/>
      </c>
      <c r="Y221">
        <f>IFERROR(IF(ISNUMBER(INDEX(SPPR!$E:$Z,MATCH($A221,SPPR!$A:$A,0),22)),$C221*INDEX(SPPR!$E:$Z,MATCH($A221,SPPR!$A:$A,0),22),""),"")</f>
        <v/>
      </c>
    </row>
    <row r="222">
      <c r="A222" t="inlineStr">
        <is>
          <t>Thunnus alalunga</t>
        </is>
      </c>
      <c r="B222">
        <f>IFERROR(INDEX(SPPR!$D:$D,MATCH($A222,SPPR!$A:$A,0)),"")</f>
        <v/>
      </c>
      <c r="C222">
        <f>IFERROR(INDEX(Catch!$E:$BV,MATCH($A222,Catch!$A:$A,0),MATCH($B$4,Catch!$E$1:$BV$1,0)),0)</f>
        <v/>
      </c>
      <c r="D222">
        <f>IFERROR(IF(ISNUMBER(INDEX(SPPR!$E:$Z,MATCH($A222,SPPR!$A:$A,0),1)),$C222*INDEX(SPPR!$E:$Z,MATCH($A222,SPPR!$A:$A,0),1),""),"")</f>
        <v/>
      </c>
      <c r="E222">
        <f>IFERROR(IF(ISNUMBER(INDEX(SPPR!$E:$Z,MATCH($A222,SPPR!$A:$A,0),2)),$C222*INDEX(SPPR!$E:$Z,MATCH($A222,SPPR!$A:$A,0),2),""),"")</f>
        <v/>
      </c>
      <c r="F222">
        <f>IFERROR(IF(ISNUMBER(INDEX(SPPR!$E:$Z,MATCH($A222,SPPR!$A:$A,0),3)),$C222*INDEX(SPPR!$E:$Z,MATCH($A222,SPPR!$A:$A,0),3),""),"")</f>
        <v/>
      </c>
      <c r="G222">
        <f>IFERROR(IF(ISNUMBER(INDEX(SPPR!$E:$Z,MATCH($A222,SPPR!$A:$A,0),4)),$C222*INDEX(SPPR!$E:$Z,MATCH($A222,SPPR!$A:$A,0),4),""),"")</f>
        <v/>
      </c>
      <c r="H222">
        <f>IFERROR(IF(ISNUMBER(INDEX(SPPR!$E:$Z,MATCH($A222,SPPR!$A:$A,0),5)),$C222*INDEX(SPPR!$E:$Z,MATCH($A222,SPPR!$A:$A,0),5),""),"")</f>
        <v/>
      </c>
      <c r="I222">
        <f>IFERROR(IF(ISNUMBER(INDEX(SPPR!$E:$Z,MATCH($A222,SPPR!$A:$A,0),6)),$C222*INDEX(SPPR!$E:$Z,MATCH($A222,SPPR!$A:$A,0),6),""),"")</f>
        <v/>
      </c>
      <c r="J222">
        <f>IFERROR(IF(ISNUMBER(INDEX(SPPR!$E:$Z,MATCH($A222,SPPR!$A:$A,0),7)),$C222*INDEX(SPPR!$E:$Z,MATCH($A222,SPPR!$A:$A,0),7),""),"")</f>
        <v/>
      </c>
      <c r="K222">
        <f>IFERROR(IF(ISNUMBER(INDEX(SPPR!$E:$Z,MATCH($A222,SPPR!$A:$A,0),8)),$C222*INDEX(SPPR!$E:$Z,MATCH($A222,SPPR!$A:$A,0),8),""),"")</f>
        <v/>
      </c>
      <c r="L222">
        <f>IFERROR(IF(ISNUMBER(INDEX(SPPR!$E:$Z,MATCH($A222,SPPR!$A:$A,0),9)),$C222*INDEX(SPPR!$E:$Z,MATCH($A222,SPPR!$A:$A,0),9),""),"")</f>
        <v/>
      </c>
      <c r="M222">
        <f>IFERROR(IF(ISNUMBER(INDEX(SPPR!$E:$Z,MATCH($A222,SPPR!$A:$A,0),10)),$C222*INDEX(SPPR!$E:$Z,MATCH($A222,SPPR!$A:$A,0),10),""),"")</f>
        <v/>
      </c>
      <c r="N222">
        <f>IFERROR(IF(ISNUMBER(INDEX(SPPR!$E:$Z,MATCH($A222,SPPR!$A:$A,0),11)),$C222*INDEX(SPPR!$E:$Z,MATCH($A222,SPPR!$A:$A,0),11),""),"")</f>
        <v/>
      </c>
      <c r="O222">
        <f>IFERROR(IF(ISNUMBER(INDEX(SPPR!$E:$Z,MATCH($A222,SPPR!$A:$A,0),12)),$C222*INDEX(SPPR!$E:$Z,MATCH($A222,SPPR!$A:$A,0),12),""),"")</f>
        <v/>
      </c>
      <c r="P222">
        <f>IFERROR(IF(ISNUMBER(INDEX(SPPR!$E:$Z,MATCH($A222,SPPR!$A:$A,0),13)),$C222*INDEX(SPPR!$E:$Z,MATCH($A222,SPPR!$A:$A,0),13),""),"")</f>
        <v/>
      </c>
      <c r="Q222">
        <f>IFERROR(IF(ISNUMBER(INDEX(SPPR!$E:$Z,MATCH($A222,SPPR!$A:$A,0),14)),$C222*INDEX(SPPR!$E:$Z,MATCH($A222,SPPR!$A:$A,0),14),""),"")</f>
        <v/>
      </c>
      <c r="R222">
        <f>IFERROR(IF(ISNUMBER(INDEX(SPPR!$E:$Z,MATCH($A222,SPPR!$A:$A,0),15)),$C222*INDEX(SPPR!$E:$Z,MATCH($A222,SPPR!$A:$A,0),15),""),"")</f>
        <v/>
      </c>
      <c r="S222">
        <f>IFERROR(IF(ISNUMBER(INDEX(SPPR!$E:$Z,MATCH($A222,SPPR!$A:$A,0),16)),$C222*INDEX(SPPR!$E:$Z,MATCH($A222,SPPR!$A:$A,0),16),""),"")</f>
        <v/>
      </c>
      <c r="T222">
        <f>IFERROR(IF(ISNUMBER(INDEX(SPPR!$E:$Z,MATCH($A222,SPPR!$A:$A,0),17)),$C222*INDEX(SPPR!$E:$Z,MATCH($A222,SPPR!$A:$A,0),17),""),"")</f>
        <v/>
      </c>
      <c r="U222">
        <f>IFERROR(IF(ISNUMBER(INDEX(SPPR!$E:$Z,MATCH($A222,SPPR!$A:$A,0),18)),$C222*INDEX(SPPR!$E:$Z,MATCH($A222,SPPR!$A:$A,0),18),""),"")</f>
        <v/>
      </c>
      <c r="V222">
        <f>IFERROR(IF(ISNUMBER(INDEX(SPPR!$E:$Z,MATCH($A222,SPPR!$A:$A,0),19)),$C222*INDEX(SPPR!$E:$Z,MATCH($A222,SPPR!$A:$A,0),19),""),"")</f>
        <v/>
      </c>
      <c r="W222">
        <f>IFERROR(IF(ISNUMBER(INDEX(SPPR!$E:$Z,MATCH($A222,SPPR!$A:$A,0),20)),$C222*INDEX(SPPR!$E:$Z,MATCH($A222,SPPR!$A:$A,0),20),""),"")</f>
        <v/>
      </c>
      <c r="X222">
        <f>IFERROR(IF(ISNUMBER(INDEX(SPPR!$E:$Z,MATCH($A222,SPPR!$A:$A,0),21)),$C222*INDEX(SPPR!$E:$Z,MATCH($A222,SPPR!$A:$A,0),21),""),"")</f>
        <v/>
      </c>
      <c r="Y222">
        <f>IFERROR(IF(ISNUMBER(INDEX(SPPR!$E:$Z,MATCH($A222,SPPR!$A:$A,0),22)),$C222*INDEX(SPPR!$E:$Z,MATCH($A222,SPPR!$A:$A,0),22),""),"")</f>
        <v/>
      </c>
    </row>
    <row r="223">
      <c r="A223" t="inlineStr">
        <is>
          <t>Caesio</t>
        </is>
      </c>
      <c r="B223">
        <f>IFERROR(INDEX(SPPR!$D:$D,MATCH($A223,SPPR!$A:$A,0)),"")</f>
        <v/>
      </c>
      <c r="C223">
        <f>IFERROR(INDEX(Catch!$E:$BV,MATCH($A223,Catch!$A:$A,0),MATCH($B$4,Catch!$E$1:$BV$1,0)),0)</f>
        <v/>
      </c>
      <c r="D223">
        <f>IFERROR(IF(ISNUMBER(INDEX(SPPR!$E:$Z,MATCH($A223,SPPR!$A:$A,0),1)),$C223*INDEX(SPPR!$E:$Z,MATCH($A223,SPPR!$A:$A,0),1),""),"")</f>
        <v/>
      </c>
      <c r="E223">
        <f>IFERROR(IF(ISNUMBER(INDEX(SPPR!$E:$Z,MATCH($A223,SPPR!$A:$A,0),2)),$C223*INDEX(SPPR!$E:$Z,MATCH($A223,SPPR!$A:$A,0),2),""),"")</f>
        <v/>
      </c>
      <c r="F223">
        <f>IFERROR(IF(ISNUMBER(INDEX(SPPR!$E:$Z,MATCH($A223,SPPR!$A:$A,0),3)),$C223*INDEX(SPPR!$E:$Z,MATCH($A223,SPPR!$A:$A,0),3),""),"")</f>
        <v/>
      </c>
      <c r="G223">
        <f>IFERROR(IF(ISNUMBER(INDEX(SPPR!$E:$Z,MATCH($A223,SPPR!$A:$A,0),4)),$C223*INDEX(SPPR!$E:$Z,MATCH($A223,SPPR!$A:$A,0),4),""),"")</f>
        <v/>
      </c>
      <c r="H223">
        <f>IFERROR(IF(ISNUMBER(INDEX(SPPR!$E:$Z,MATCH($A223,SPPR!$A:$A,0),5)),$C223*INDEX(SPPR!$E:$Z,MATCH($A223,SPPR!$A:$A,0),5),""),"")</f>
        <v/>
      </c>
      <c r="I223">
        <f>IFERROR(IF(ISNUMBER(INDEX(SPPR!$E:$Z,MATCH($A223,SPPR!$A:$A,0),6)),$C223*INDEX(SPPR!$E:$Z,MATCH($A223,SPPR!$A:$A,0),6),""),"")</f>
        <v/>
      </c>
      <c r="J223">
        <f>IFERROR(IF(ISNUMBER(INDEX(SPPR!$E:$Z,MATCH($A223,SPPR!$A:$A,0),7)),$C223*INDEX(SPPR!$E:$Z,MATCH($A223,SPPR!$A:$A,0),7),""),"")</f>
        <v/>
      </c>
      <c r="K223">
        <f>IFERROR(IF(ISNUMBER(INDEX(SPPR!$E:$Z,MATCH($A223,SPPR!$A:$A,0),8)),$C223*INDEX(SPPR!$E:$Z,MATCH($A223,SPPR!$A:$A,0),8),""),"")</f>
        <v/>
      </c>
      <c r="L223">
        <f>IFERROR(IF(ISNUMBER(INDEX(SPPR!$E:$Z,MATCH($A223,SPPR!$A:$A,0),9)),$C223*INDEX(SPPR!$E:$Z,MATCH($A223,SPPR!$A:$A,0),9),""),"")</f>
        <v/>
      </c>
      <c r="M223">
        <f>IFERROR(IF(ISNUMBER(INDEX(SPPR!$E:$Z,MATCH($A223,SPPR!$A:$A,0),10)),$C223*INDEX(SPPR!$E:$Z,MATCH($A223,SPPR!$A:$A,0),10),""),"")</f>
        <v/>
      </c>
      <c r="N223">
        <f>IFERROR(IF(ISNUMBER(INDEX(SPPR!$E:$Z,MATCH($A223,SPPR!$A:$A,0),11)),$C223*INDEX(SPPR!$E:$Z,MATCH($A223,SPPR!$A:$A,0),11),""),"")</f>
        <v/>
      </c>
      <c r="O223">
        <f>IFERROR(IF(ISNUMBER(INDEX(SPPR!$E:$Z,MATCH($A223,SPPR!$A:$A,0),12)),$C223*INDEX(SPPR!$E:$Z,MATCH($A223,SPPR!$A:$A,0),12),""),"")</f>
        <v/>
      </c>
      <c r="P223">
        <f>IFERROR(IF(ISNUMBER(INDEX(SPPR!$E:$Z,MATCH($A223,SPPR!$A:$A,0),13)),$C223*INDEX(SPPR!$E:$Z,MATCH($A223,SPPR!$A:$A,0),13),""),"")</f>
        <v/>
      </c>
      <c r="Q223">
        <f>IFERROR(IF(ISNUMBER(INDEX(SPPR!$E:$Z,MATCH($A223,SPPR!$A:$A,0),14)),$C223*INDEX(SPPR!$E:$Z,MATCH($A223,SPPR!$A:$A,0),14),""),"")</f>
        <v/>
      </c>
      <c r="R223">
        <f>IFERROR(IF(ISNUMBER(INDEX(SPPR!$E:$Z,MATCH($A223,SPPR!$A:$A,0),15)),$C223*INDEX(SPPR!$E:$Z,MATCH($A223,SPPR!$A:$A,0),15),""),"")</f>
        <v/>
      </c>
      <c r="S223">
        <f>IFERROR(IF(ISNUMBER(INDEX(SPPR!$E:$Z,MATCH($A223,SPPR!$A:$A,0),16)),$C223*INDEX(SPPR!$E:$Z,MATCH($A223,SPPR!$A:$A,0),16),""),"")</f>
        <v/>
      </c>
      <c r="T223">
        <f>IFERROR(IF(ISNUMBER(INDEX(SPPR!$E:$Z,MATCH($A223,SPPR!$A:$A,0),17)),$C223*INDEX(SPPR!$E:$Z,MATCH($A223,SPPR!$A:$A,0),17),""),"")</f>
        <v/>
      </c>
      <c r="U223">
        <f>IFERROR(IF(ISNUMBER(INDEX(SPPR!$E:$Z,MATCH($A223,SPPR!$A:$A,0),18)),$C223*INDEX(SPPR!$E:$Z,MATCH($A223,SPPR!$A:$A,0),18),""),"")</f>
        <v/>
      </c>
      <c r="V223">
        <f>IFERROR(IF(ISNUMBER(INDEX(SPPR!$E:$Z,MATCH($A223,SPPR!$A:$A,0),19)),$C223*INDEX(SPPR!$E:$Z,MATCH($A223,SPPR!$A:$A,0),19),""),"")</f>
        <v/>
      </c>
      <c r="W223">
        <f>IFERROR(IF(ISNUMBER(INDEX(SPPR!$E:$Z,MATCH($A223,SPPR!$A:$A,0),20)),$C223*INDEX(SPPR!$E:$Z,MATCH($A223,SPPR!$A:$A,0),20),""),"")</f>
        <v/>
      </c>
      <c r="X223">
        <f>IFERROR(IF(ISNUMBER(INDEX(SPPR!$E:$Z,MATCH($A223,SPPR!$A:$A,0),21)),$C223*INDEX(SPPR!$E:$Z,MATCH($A223,SPPR!$A:$A,0),21),""),"")</f>
        <v/>
      </c>
      <c r="Y223">
        <f>IFERROR(IF(ISNUMBER(INDEX(SPPR!$E:$Z,MATCH($A223,SPPR!$A:$A,0),22)),$C223*INDEX(SPPR!$E:$Z,MATCH($A223,SPPR!$A:$A,0),22),""),"")</f>
        <v/>
      </c>
    </row>
    <row r="224">
      <c r="A224" t="inlineStr">
        <is>
          <t>Plectorhinchus</t>
        </is>
      </c>
      <c r="B224">
        <f>IFERROR(INDEX(SPPR!$D:$D,MATCH($A224,SPPR!$A:$A,0)),"")</f>
        <v/>
      </c>
      <c r="C224">
        <f>IFERROR(INDEX(Catch!$E:$BV,MATCH($A224,Catch!$A:$A,0),MATCH($B$4,Catch!$E$1:$BV$1,0)),0)</f>
        <v/>
      </c>
      <c r="D224">
        <f>IFERROR(IF(ISNUMBER(INDEX(SPPR!$E:$Z,MATCH($A224,SPPR!$A:$A,0),1)),$C224*INDEX(SPPR!$E:$Z,MATCH($A224,SPPR!$A:$A,0),1),""),"")</f>
        <v/>
      </c>
      <c r="E224">
        <f>IFERROR(IF(ISNUMBER(INDEX(SPPR!$E:$Z,MATCH($A224,SPPR!$A:$A,0),2)),$C224*INDEX(SPPR!$E:$Z,MATCH($A224,SPPR!$A:$A,0),2),""),"")</f>
        <v/>
      </c>
      <c r="F224">
        <f>IFERROR(IF(ISNUMBER(INDEX(SPPR!$E:$Z,MATCH($A224,SPPR!$A:$A,0),3)),$C224*INDEX(SPPR!$E:$Z,MATCH($A224,SPPR!$A:$A,0),3),""),"")</f>
        <v/>
      </c>
      <c r="G224">
        <f>IFERROR(IF(ISNUMBER(INDEX(SPPR!$E:$Z,MATCH($A224,SPPR!$A:$A,0),4)),$C224*INDEX(SPPR!$E:$Z,MATCH($A224,SPPR!$A:$A,0),4),""),"")</f>
        <v/>
      </c>
      <c r="H224">
        <f>IFERROR(IF(ISNUMBER(INDEX(SPPR!$E:$Z,MATCH($A224,SPPR!$A:$A,0),5)),$C224*INDEX(SPPR!$E:$Z,MATCH($A224,SPPR!$A:$A,0),5),""),"")</f>
        <v/>
      </c>
      <c r="I224">
        <f>IFERROR(IF(ISNUMBER(INDEX(SPPR!$E:$Z,MATCH($A224,SPPR!$A:$A,0),6)),$C224*INDEX(SPPR!$E:$Z,MATCH($A224,SPPR!$A:$A,0),6),""),"")</f>
        <v/>
      </c>
      <c r="J224">
        <f>IFERROR(IF(ISNUMBER(INDEX(SPPR!$E:$Z,MATCH($A224,SPPR!$A:$A,0),7)),$C224*INDEX(SPPR!$E:$Z,MATCH($A224,SPPR!$A:$A,0),7),""),"")</f>
        <v/>
      </c>
      <c r="K224">
        <f>IFERROR(IF(ISNUMBER(INDEX(SPPR!$E:$Z,MATCH($A224,SPPR!$A:$A,0),8)),$C224*INDEX(SPPR!$E:$Z,MATCH($A224,SPPR!$A:$A,0),8),""),"")</f>
        <v/>
      </c>
      <c r="L224">
        <f>IFERROR(IF(ISNUMBER(INDEX(SPPR!$E:$Z,MATCH($A224,SPPR!$A:$A,0),9)),$C224*INDEX(SPPR!$E:$Z,MATCH($A224,SPPR!$A:$A,0),9),""),"")</f>
        <v/>
      </c>
      <c r="M224">
        <f>IFERROR(IF(ISNUMBER(INDEX(SPPR!$E:$Z,MATCH($A224,SPPR!$A:$A,0),10)),$C224*INDEX(SPPR!$E:$Z,MATCH($A224,SPPR!$A:$A,0),10),""),"")</f>
        <v/>
      </c>
      <c r="N224">
        <f>IFERROR(IF(ISNUMBER(INDEX(SPPR!$E:$Z,MATCH($A224,SPPR!$A:$A,0),11)),$C224*INDEX(SPPR!$E:$Z,MATCH($A224,SPPR!$A:$A,0),11),""),"")</f>
        <v/>
      </c>
      <c r="O224">
        <f>IFERROR(IF(ISNUMBER(INDEX(SPPR!$E:$Z,MATCH($A224,SPPR!$A:$A,0),12)),$C224*INDEX(SPPR!$E:$Z,MATCH($A224,SPPR!$A:$A,0),12),""),"")</f>
        <v/>
      </c>
      <c r="P224">
        <f>IFERROR(IF(ISNUMBER(INDEX(SPPR!$E:$Z,MATCH($A224,SPPR!$A:$A,0),13)),$C224*INDEX(SPPR!$E:$Z,MATCH($A224,SPPR!$A:$A,0),13),""),"")</f>
        <v/>
      </c>
      <c r="Q224">
        <f>IFERROR(IF(ISNUMBER(INDEX(SPPR!$E:$Z,MATCH($A224,SPPR!$A:$A,0),14)),$C224*INDEX(SPPR!$E:$Z,MATCH($A224,SPPR!$A:$A,0),14),""),"")</f>
        <v/>
      </c>
      <c r="R224">
        <f>IFERROR(IF(ISNUMBER(INDEX(SPPR!$E:$Z,MATCH($A224,SPPR!$A:$A,0),15)),$C224*INDEX(SPPR!$E:$Z,MATCH($A224,SPPR!$A:$A,0),15),""),"")</f>
        <v/>
      </c>
      <c r="S224">
        <f>IFERROR(IF(ISNUMBER(INDEX(SPPR!$E:$Z,MATCH($A224,SPPR!$A:$A,0),16)),$C224*INDEX(SPPR!$E:$Z,MATCH($A224,SPPR!$A:$A,0),16),""),"")</f>
        <v/>
      </c>
      <c r="T224">
        <f>IFERROR(IF(ISNUMBER(INDEX(SPPR!$E:$Z,MATCH($A224,SPPR!$A:$A,0),17)),$C224*INDEX(SPPR!$E:$Z,MATCH($A224,SPPR!$A:$A,0),17),""),"")</f>
        <v/>
      </c>
      <c r="U224">
        <f>IFERROR(IF(ISNUMBER(INDEX(SPPR!$E:$Z,MATCH($A224,SPPR!$A:$A,0),18)),$C224*INDEX(SPPR!$E:$Z,MATCH($A224,SPPR!$A:$A,0),18),""),"")</f>
        <v/>
      </c>
      <c r="V224">
        <f>IFERROR(IF(ISNUMBER(INDEX(SPPR!$E:$Z,MATCH($A224,SPPR!$A:$A,0),19)),$C224*INDEX(SPPR!$E:$Z,MATCH($A224,SPPR!$A:$A,0),19),""),"")</f>
        <v/>
      </c>
      <c r="W224">
        <f>IFERROR(IF(ISNUMBER(INDEX(SPPR!$E:$Z,MATCH($A224,SPPR!$A:$A,0),20)),$C224*INDEX(SPPR!$E:$Z,MATCH($A224,SPPR!$A:$A,0),20),""),"")</f>
        <v/>
      </c>
      <c r="X224">
        <f>IFERROR(IF(ISNUMBER(INDEX(SPPR!$E:$Z,MATCH($A224,SPPR!$A:$A,0),21)),$C224*INDEX(SPPR!$E:$Z,MATCH($A224,SPPR!$A:$A,0),21),""),"")</f>
        <v/>
      </c>
      <c r="Y224">
        <f>IFERROR(IF(ISNUMBER(INDEX(SPPR!$E:$Z,MATCH($A224,SPPR!$A:$A,0),22)),$C224*INDEX(SPPR!$E:$Z,MATCH($A224,SPPR!$A:$A,0),22),""),"")</f>
        <v/>
      </c>
    </row>
    <row r="225">
      <c r="A225" t="inlineStr">
        <is>
          <t>Dussumieria elopsoides</t>
        </is>
      </c>
      <c r="B225">
        <f>IFERROR(INDEX(SPPR!$D:$D,MATCH($A225,SPPR!$A:$A,0)),"")</f>
        <v/>
      </c>
      <c r="C225">
        <f>IFERROR(INDEX(Catch!$E:$BV,MATCH($A225,Catch!$A:$A,0),MATCH($B$4,Catch!$E$1:$BV$1,0)),0)</f>
        <v/>
      </c>
      <c r="D225">
        <f>IFERROR(IF(ISNUMBER(INDEX(SPPR!$E:$Z,MATCH($A225,SPPR!$A:$A,0),1)),$C225*INDEX(SPPR!$E:$Z,MATCH($A225,SPPR!$A:$A,0),1),""),"")</f>
        <v/>
      </c>
      <c r="E225">
        <f>IFERROR(IF(ISNUMBER(INDEX(SPPR!$E:$Z,MATCH($A225,SPPR!$A:$A,0),2)),$C225*INDEX(SPPR!$E:$Z,MATCH($A225,SPPR!$A:$A,0),2),""),"")</f>
        <v/>
      </c>
      <c r="F225">
        <f>IFERROR(IF(ISNUMBER(INDEX(SPPR!$E:$Z,MATCH($A225,SPPR!$A:$A,0),3)),$C225*INDEX(SPPR!$E:$Z,MATCH($A225,SPPR!$A:$A,0),3),""),"")</f>
        <v/>
      </c>
      <c r="G225">
        <f>IFERROR(IF(ISNUMBER(INDEX(SPPR!$E:$Z,MATCH($A225,SPPR!$A:$A,0),4)),$C225*INDEX(SPPR!$E:$Z,MATCH($A225,SPPR!$A:$A,0),4),""),"")</f>
        <v/>
      </c>
      <c r="H225">
        <f>IFERROR(IF(ISNUMBER(INDEX(SPPR!$E:$Z,MATCH($A225,SPPR!$A:$A,0),5)),$C225*INDEX(SPPR!$E:$Z,MATCH($A225,SPPR!$A:$A,0),5),""),"")</f>
        <v/>
      </c>
      <c r="I225">
        <f>IFERROR(IF(ISNUMBER(INDEX(SPPR!$E:$Z,MATCH($A225,SPPR!$A:$A,0),6)),$C225*INDEX(SPPR!$E:$Z,MATCH($A225,SPPR!$A:$A,0),6),""),"")</f>
        <v/>
      </c>
      <c r="J225">
        <f>IFERROR(IF(ISNUMBER(INDEX(SPPR!$E:$Z,MATCH($A225,SPPR!$A:$A,0),7)),$C225*INDEX(SPPR!$E:$Z,MATCH($A225,SPPR!$A:$A,0),7),""),"")</f>
        <v/>
      </c>
      <c r="K225">
        <f>IFERROR(IF(ISNUMBER(INDEX(SPPR!$E:$Z,MATCH($A225,SPPR!$A:$A,0),8)),$C225*INDEX(SPPR!$E:$Z,MATCH($A225,SPPR!$A:$A,0),8),""),"")</f>
        <v/>
      </c>
      <c r="L225">
        <f>IFERROR(IF(ISNUMBER(INDEX(SPPR!$E:$Z,MATCH($A225,SPPR!$A:$A,0),9)),$C225*INDEX(SPPR!$E:$Z,MATCH($A225,SPPR!$A:$A,0),9),""),"")</f>
        <v/>
      </c>
      <c r="M225">
        <f>IFERROR(IF(ISNUMBER(INDEX(SPPR!$E:$Z,MATCH($A225,SPPR!$A:$A,0),10)),$C225*INDEX(SPPR!$E:$Z,MATCH($A225,SPPR!$A:$A,0),10),""),"")</f>
        <v/>
      </c>
      <c r="N225">
        <f>IFERROR(IF(ISNUMBER(INDEX(SPPR!$E:$Z,MATCH($A225,SPPR!$A:$A,0),11)),$C225*INDEX(SPPR!$E:$Z,MATCH($A225,SPPR!$A:$A,0),11),""),"")</f>
        <v/>
      </c>
      <c r="O225">
        <f>IFERROR(IF(ISNUMBER(INDEX(SPPR!$E:$Z,MATCH($A225,SPPR!$A:$A,0),12)),$C225*INDEX(SPPR!$E:$Z,MATCH($A225,SPPR!$A:$A,0),12),""),"")</f>
        <v/>
      </c>
      <c r="P225">
        <f>IFERROR(IF(ISNUMBER(INDEX(SPPR!$E:$Z,MATCH($A225,SPPR!$A:$A,0),13)),$C225*INDEX(SPPR!$E:$Z,MATCH($A225,SPPR!$A:$A,0),13),""),"")</f>
        <v/>
      </c>
      <c r="Q225">
        <f>IFERROR(IF(ISNUMBER(INDEX(SPPR!$E:$Z,MATCH($A225,SPPR!$A:$A,0),14)),$C225*INDEX(SPPR!$E:$Z,MATCH($A225,SPPR!$A:$A,0),14),""),"")</f>
        <v/>
      </c>
      <c r="R225">
        <f>IFERROR(IF(ISNUMBER(INDEX(SPPR!$E:$Z,MATCH($A225,SPPR!$A:$A,0),15)),$C225*INDEX(SPPR!$E:$Z,MATCH($A225,SPPR!$A:$A,0),15),""),"")</f>
        <v/>
      </c>
      <c r="S225">
        <f>IFERROR(IF(ISNUMBER(INDEX(SPPR!$E:$Z,MATCH($A225,SPPR!$A:$A,0),16)),$C225*INDEX(SPPR!$E:$Z,MATCH($A225,SPPR!$A:$A,0),16),""),"")</f>
        <v/>
      </c>
      <c r="T225">
        <f>IFERROR(IF(ISNUMBER(INDEX(SPPR!$E:$Z,MATCH($A225,SPPR!$A:$A,0),17)),$C225*INDEX(SPPR!$E:$Z,MATCH($A225,SPPR!$A:$A,0),17),""),"")</f>
        <v/>
      </c>
      <c r="U225">
        <f>IFERROR(IF(ISNUMBER(INDEX(SPPR!$E:$Z,MATCH($A225,SPPR!$A:$A,0),18)),$C225*INDEX(SPPR!$E:$Z,MATCH($A225,SPPR!$A:$A,0),18),""),"")</f>
        <v/>
      </c>
      <c r="V225">
        <f>IFERROR(IF(ISNUMBER(INDEX(SPPR!$E:$Z,MATCH($A225,SPPR!$A:$A,0),19)),$C225*INDEX(SPPR!$E:$Z,MATCH($A225,SPPR!$A:$A,0),19),""),"")</f>
        <v/>
      </c>
      <c r="W225">
        <f>IFERROR(IF(ISNUMBER(INDEX(SPPR!$E:$Z,MATCH($A225,SPPR!$A:$A,0),20)),$C225*INDEX(SPPR!$E:$Z,MATCH($A225,SPPR!$A:$A,0),20),""),"")</f>
        <v/>
      </c>
      <c r="X225">
        <f>IFERROR(IF(ISNUMBER(INDEX(SPPR!$E:$Z,MATCH($A225,SPPR!$A:$A,0),21)),$C225*INDEX(SPPR!$E:$Z,MATCH($A225,SPPR!$A:$A,0),21),""),"")</f>
        <v/>
      </c>
      <c r="Y225">
        <f>IFERROR(IF(ISNUMBER(INDEX(SPPR!$E:$Z,MATCH($A225,SPPR!$A:$A,0),22)),$C225*INDEX(SPPR!$E:$Z,MATCH($A225,SPPR!$A:$A,0),22),""),"")</f>
        <v/>
      </c>
    </row>
    <row r="226">
      <c r="A226" t="inlineStr">
        <is>
          <t>Panulirus longipes</t>
        </is>
      </c>
      <c r="B226">
        <f>IFERROR(INDEX(SPPR!$D:$D,MATCH($A226,SPPR!$A:$A,0)),"")</f>
        <v/>
      </c>
      <c r="C226">
        <f>IFERROR(INDEX(Catch!$E:$BV,MATCH($A226,Catch!$A:$A,0),MATCH($B$4,Catch!$E$1:$BV$1,0)),0)</f>
        <v/>
      </c>
      <c r="D226">
        <f>IFERROR(IF(ISNUMBER(INDEX(SPPR!$E:$Z,MATCH($A226,SPPR!$A:$A,0),1)),$C226*INDEX(SPPR!$E:$Z,MATCH($A226,SPPR!$A:$A,0),1),""),"")</f>
        <v/>
      </c>
      <c r="E226">
        <f>IFERROR(IF(ISNUMBER(INDEX(SPPR!$E:$Z,MATCH($A226,SPPR!$A:$A,0),2)),$C226*INDEX(SPPR!$E:$Z,MATCH($A226,SPPR!$A:$A,0),2),""),"")</f>
        <v/>
      </c>
      <c r="F226">
        <f>IFERROR(IF(ISNUMBER(INDEX(SPPR!$E:$Z,MATCH($A226,SPPR!$A:$A,0),3)),$C226*INDEX(SPPR!$E:$Z,MATCH($A226,SPPR!$A:$A,0),3),""),"")</f>
        <v/>
      </c>
      <c r="G226">
        <f>IFERROR(IF(ISNUMBER(INDEX(SPPR!$E:$Z,MATCH($A226,SPPR!$A:$A,0),4)),$C226*INDEX(SPPR!$E:$Z,MATCH($A226,SPPR!$A:$A,0),4),""),"")</f>
        <v/>
      </c>
      <c r="H226">
        <f>IFERROR(IF(ISNUMBER(INDEX(SPPR!$E:$Z,MATCH($A226,SPPR!$A:$A,0),5)),$C226*INDEX(SPPR!$E:$Z,MATCH($A226,SPPR!$A:$A,0),5),""),"")</f>
        <v/>
      </c>
      <c r="I226">
        <f>IFERROR(IF(ISNUMBER(INDEX(SPPR!$E:$Z,MATCH($A226,SPPR!$A:$A,0),6)),$C226*INDEX(SPPR!$E:$Z,MATCH($A226,SPPR!$A:$A,0),6),""),"")</f>
        <v/>
      </c>
      <c r="J226">
        <f>IFERROR(IF(ISNUMBER(INDEX(SPPR!$E:$Z,MATCH($A226,SPPR!$A:$A,0),7)),$C226*INDEX(SPPR!$E:$Z,MATCH($A226,SPPR!$A:$A,0),7),""),"")</f>
        <v/>
      </c>
      <c r="K226">
        <f>IFERROR(IF(ISNUMBER(INDEX(SPPR!$E:$Z,MATCH($A226,SPPR!$A:$A,0),8)),$C226*INDEX(SPPR!$E:$Z,MATCH($A226,SPPR!$A:$A,0),8),""),"")</f>
        <v/>
      </c>
      <c r="L226">
        <f>IFERROR(IF(ISNUMBER(INDEX(SPPR!$E:$Z,MATCH($A226,SPPR!$A:$A,0),9)),$C226*INDEX(SPPR!$E:$Z,MATCH($A226,SPPR!$A:$A,0),9),""),"")</f>
        <v/>
      </c>
      <c r="M226">
        <f>IFERROR(IF(ISNUMBER(INDEX(SPPR!$E:$Z,MATCH($A226,SPPR!$A:$A,0),10)),$C226*INDEX(SPPR!$E:$Z,MATCH($A226,SPPR!$A:$A,0),10),""),"")</f>
        <v/>
      </c>
      <c r="N226">
        <f>IFERROR(IF(ISNUMBER(INDEX(SPPR!$E:$Z,MATCH($A226,SPPR!$A:$A,0),11)),$C226*INDEX(SPPR!$E:$Z,MATCH($A226,SPPR!$A:$A,0),11),""),"")</f>
        <v/>
      </c>
      <c r="O226">
        <f>IFERROR(IF(ISNUMBER(INDEX(SPPR!$E:$Z,MATCH($A226,SPPR!$A:$A,0),12)),$C226*INDEX(SPPR!$E:$Z,MATCH($A226,SPPR!$A:$A,0),12),""),"")</f>
        <v/>
      </c>
      <c r="P226">
        <f>IFERROR(IF(ISNUMBER(INDEX(SPPR!$E:$Z,MATCH($A226,SPPR!$A:$A,0),13)),$C226*INDEX(SPPR!$E:$Z,MATCH($A226,SPPR!$A:$A,0),13),""),"")</f>
        <v/>
      </c>
      <c r="Q226">
        <f>IFERROR(IF(ISNUMBER(INDEX(SPPR!$E:$Z,MATCH($A226,SPPR!$A:$A,0),14)),$C226*INDEX(SPPR!$E:$Z,MATCH($A226,SPPR!$A:$A,0),14),""),"")</f>
        <v/>
      </c>
      <c r="R226">
        <f>IFERROR(IF(ISNUMBER(INDEX(SPPR!$E:$Z,MATCH($A226,SPPR!$A:$A,0),15)),$C226*INDEX(SPPR!$E:$Z,MATCH($A226,SPPR!$A:$A,0),15),""),"")</f>
        <v/>
      </c>
      <c r="S226">
        <f>IFERROR(IF(ISNUMBER(INDEX(SPPR!$E:$Z,MATCH($A226,SPPR!$A:$A,0),16)),$C226*INDEX(SPPR!$E:$Z,MATCH($A226,SPPR!$A:$A,0),16),""),"")</f>
        <v/>
      </c>
      <c r="T226">
        <f>IFERROR(IF(ISNUMBER(INDEX(SPPR!$E:$Z,MATCH($A226,SPPR!$A:$A,0),17)),$C226*INDEX(SPPR!$E:$Z,MATCH($A226,SPPR!$A:$A,0),17),""),"")</f>
        <v/>
      </c>
      <c r="U226">
        <f>IFERROR(IF(ISNUMBER(INDEX(SPPR!$E:$Z,MATCH($A226,SPPR!$A:$A,0),18)),$C226*INDEX(SPPR!$E:$Z,MATCH($A226,SPPR!$A:$A,0),18),""),"")</f>
        <v/>
      </c>
      <c r="V226">
        <f>IFERROR(IF(ISNUMBER(INDEX(SPPR!$E:$Z,MATCH($A226,SPPR!$A:$A,0),19)),$C226*INDEX(SPPR!$E:$Z,MATCH($A226,SPPR!$A:$A,0),19),""),"")</f>
        <v/>
      </c>
      <c r="W226">
        <f>IFERROR(IF(ISNUMBER(INDEX(SPPR!$E:$Z,MATCH($A226,SPPR!$A:$A,0),20)),$C226*INDEX(SPPR!$E:$Z,MATCH($A226,SPPR!$A:$A,0),20),""),"")</f>
        <v/>
      </c>
      <c r="X226">
        <f>IFERROR(IF(ISNUMBER(INDEX(SPPR!$E:$Z,MATCH($A226,SPPR!$A:$A,0),21)),$C226*INDEX(SPPR!$E:$Z,MATCH($A226,SPPR!$A:$A,0),21),""),"")</f>
        <v/>
      </c>
      <c r="Y226">
        <f>IFERROR(IF(ISNUMBER(INDEX(SPPR!$E:$Z,MATCH($A226,SPPR!$A:$A,0),22)),$C226*INDEX(SPPR!$E:$Z,MATCH($A226,SPPR!$A:$A,0),22),""),"")</f>
        <v/>
      </c>
    </row>
    <row r="227">
      <c r="A227" t="inlineStr">
        <is>
          <t>Pteriomorphia</t>
        </is>
      </c>
      <c r="B227">
        <f>IFERROR(INDEX(SPPR!$D:$D,MATCH($A227,SPPR!$A:$A,0)),"")</f>
        <v/>
      </c>
      <c r="C227">
        <f>IFERROR(INDEX(Catch!$E:$BV,MATCH($A227,Catch!$A:$A,0),MATCH($B$4,Catch!$E$1:$BV$1,0)),0)</f>
        <v/>
      </c>
      <c r="D227">
        <f>IFERROR(IF(ISNUMBER(INDEX(SPPR!$E:$Z,MATCH($A227,SPPR!$A:$A,0),1)),$C227*INDEX(SPPR!$E:$Z,MATCH($A227,SPPR!$A:$A,0),1),""),"")</f>
        <v/>
      </c>
      <c r="E227">
        <f>IFERROR(IF(ISNUMBER(INDEX(SPPR!$E:$Z,MATCH($A227,SPPR!$A:$A,0),2)),$C227*INDEX(SPPR!$E:$Z,MATCH($A227,SPPR!$A:$A,0),2),""),"")</f>
        <v/>
      </c>
      <c r="F227">
        <f>IFERROR(IF(ISNUMBER(INDEX(SPPR!$E:$Z,MATCH($A227,SPPR!$A:$A,0),3)),$C227*INDEX(SPPR!$E:$Z,MATCH($A227,SPPR!$A:$A,0),3),""),"")</f>
        <v/>
      </c>
      <c r="G227">
        <f>IFERROR(IF(ISNUMBER(INDEX(SPPR!$E:$Z,MATCH($A227,SPPR!$A:$A,0),4)),$C227*INDEX(SPPR!$E:$Z,MATCH($A227,SPPR!$A:$A,0),4),""),"")</f>
        <v/>
      </c>
      <c r="H227">
        <f>IFERROR(IF(ISNUMBER(INDEX(SPPR!$E:$Z,MATCH($A227,SPPR!$A:$A,0),5)),$C227*INDEX(SPPR!$E:$Z,MATCH($A227,SPPR!$A:$A,0),5),""),"")</f>
        <v/>
      </c>
      <c r="I227">
        <f>IFERROR(IF(ISNUMBER(INDEX(SPPR!$E:$Z,MATCH($A227,SPPR!$A:$A,0),6)),$C227*INDEX(SPPR!$E:$Z,MATCH($A227,SPPR!$A:$A,0),6),""),"")</f>
        <v/>
      </c>
      <c r="J227">
        <f>IFERROR(IF(ISNUMBER(INDEX(SPPR!$E:$Z,MATCH($A227,SPPR!$A:$A,0),7)),$C227*INDEX(SPPR!$E:$Z,MATCH($A227,SPPR!$A:$A,0),7),""),"")</f>
        <v/>
      </c>
      <c r="K227">
        <f>IFERROR(IF(ISNUMBER(INDEX(SPPR!$E:$Z,MATCH($A227,SPPR!$A:$A,0),8)),$C227*INDEX(SPPR!$E:$Z,MATCH($A227,SPPR!$A:$A,0),8),""),"")</f>
        <v/>
      </c>
      <c r="L227">
        <f>IFERROR(IF(ISNUMBER(INDEX(SPPR!$E:$Z,MATCH($A227,SPPR!$A:$A,0),9)),$C227*INDEX(SPPR!$E:$Z,MATCH($A227,SPPR!$A:$A,0),9),""),"")</f>
        <v/>
      </c>
      <c r="M227">
        <f>IFERROR(IF(ISNUMBER(INDEX(SPPR!$E:$Z,MATCH($A227,SPPR!$A:$A,0),10)),$C227*INDEX(SPPR!$E:$Z,MATCH($A227,SPPR!$A:$A,0),10),""),"")</f>
        <v/>
      </c>
      <c r="N227">
        <f>IFERROR(IF(ISNUMBER(INDEX(SPPR!$E:$Z,MATCH($A227,SPPR!$A:$A,0),11)),$C227*INDEX(SPPR!$E:$Z,MATCH($A227,SPPR!$A:$A,0),11),""),"")</f>
        <v/>
      </c>
      <c r="O227">
        <f>IFERROR(IF(ISNUMBER(INDEX(SPPR!$E:$Z,MATCH($A227,SPPR!$A:$A,0),12)),$C227*INDEX(SPPR!$E:$Z,MATCH($A227,SPPR!$A:$A,0),12),""),"")</f>
        <v/>
      </c>
      <c r="P227">
        <f>IFERROR(IF(ISNUMBER(INDEX(SPPR!$E:$Z,MATCH($A227,SPPR!$A:$A,0),13)),$C227*INDEX(SPPR!$E:$Z,MATCH($A227,SPPR!$A:$A,0),13),""),"")</f>
        <v/>
      </c>
      <c r="Q227">
        <f>IFERROR(IF(ISNUMBER(INDEX(SPPR!$E:$Z,MATCH($A227,SPPR!$A:$A,0),14)),$C227*INDEX(SPPR!$E:$Z,MATCH($A227,SPPR!$A:$A,0),14),""),"")</f>
        <v/>
      </c>
      <c r="R227">
        <f>IFERROR(IF(ISNUMBER(INDEX(SPPR!$E:$Z,MATCH($A227,SPPR!$A:$A,0),15)),$C227*INDEX(SPPR!$E:$Z,MATCH($A227,SPPR!$A:$A,0),15),""),"")</f>
        <v/>
      </c>
      <c r="S227">
        <f>IFERROR(IF(ISNUMBER(INDEX(SPPR!$E:$Z,MATCH($A227,SPPR!$A:$A,0),16)),$C227*INDEX(SPPR!$E:$Z,MATCH($A227,SPPR!$A:$A,0),16),""),"")</f>
        <v/>
      </c>
      <c r="T227">
        <f>IFERROR(IF(ISNUMBER(INDEX(SPPR!$E:$Z,MATCH($A227,SPPR!$A:$A,0),17)),$C227*INDEX(SPPR!$E:$Z,MATCH($A227,SPPR!$A:$A,0),17),""),"")</f>
        <v/>
      </c>
      <c r="U227">
        <f>IFERROR(IF(ISNUMBER(INDEX(SPPR!$E:$Z,MATCH($A227,SPPR!$A:$A,0),18)),$C227*INDEX(SPPR!$E:$Z,MATCH($A227,SPPR!$A:$A,0),18),""),"")</f>
        <v/>
      </c>
      <c r="V227">
        <f>IFERROR(IF(ISNUMBER(INDEX(SPPR!$E:$Z,MATCH($A227,SPPR!$A:$A,0),19)),$C227*INDEX(SPPR!$E:$Z,MATCH($A227,SPPR!$A:$A,0),19),""),"")</f>
        <v/>
      </c>
      <c r="W227">
        <f>IFERROR(IF(ISNUMBER(INDEX(SPPR!$E:$Z,MATCH($A227,SPPR!$A:$A,0),20)),$C227*INDEX(SPPR!$E:$Z,MATCH($A227,SPPR!$A:$A,0),20),""),"")</f>
        <v/>
      </c>
      <c r="X227">
        <f>IFERROR(IF(ISNUMBER(INDEX(SPPR!$E:$Z,MATCH($A227,SPPR!$A:$A,0),21)),$C227*INDEX(SPPR!$E:$Z,MATCH($A227,SPPR!$A:$A,0),21),""),"")</f>
        <v/>
      </c>
      <c r="Y227">
        <f>IFERROR(IF(ISNUMBER(INDEX(SPPR!$E:$Z,MATCH($A227,SPPR!$A:$A,0),22)),$C227*INDEX(SPPR!$E:$Z,MATCH($A227,SPPR!$A:$A,0),22),""),"")</f>
        <v/>
      </c>
    </row>
    <row r="228">
      <c r="A228" t="inlineStr">
        <is>
          <t>Lutjanus quinquelineatus</t>
        </is>
      </c>
      <c r="B228">
        <f>IFERROR(INDEX(SPPR!$D:$D,MATCH($A228,SPPR!$A:$A,0)),"")</f>
        <v/>
      </c>
      <c r="C228">
        <f>IFERROR(INDEX(Catch!$E:$BV,MATCH($A228,Catch!$A:$A,0),MATCH($B$4,Catch!$E$1:$BV$1,0)),0)</f>
        <v/>
      </c>
      <c r="D228">
        <f>IFERROR(IF(ISNUMBER(INDEX(SPPR!$E:$Z,MATCH($A228,SPPR!$A:$A,0),1)),$C228*INDEX(SPPR!$E:$Z,MATCH($A228,SPPR!$A:$A,0),1),""),"")</f>
        <v/>
      </c>
      <c r="E228">
        <f>IFERROR(IF(ISNUMBER(INDEX(SPPR!$E:$Z,MATCH($A228,SPPR!$A:$A,0),2)),$C228*INDEX(SPPR!$E:$Z,MATCH($A228,SPPR!$A:$A,0),2),""),"")</f>
        <v/>
      </c>
      <c r="F228">
        <f>IFERROR(IF(ISNUMBER(INDEX(SPPR!$E:$Z,MATCH($A228,SPPR!$A:$A,0),3)),$C228*INDEX(SPPR!$E:$Z,MATCH($A228,SPPR!$A:$A,0),3),""),"")</f>
        <v/>
      </c>
      <c r="G228">
        <f>IFERROR(IF(ISNUMBER(INDEX(SPPR!$E:$Z,MATCH($A228,SPPR!$A:$A,0),4)),$C228*INDEX(SPPR!$E:$Z,MATCH($A228,SPPR!$A:$A,0),4),""),"")</f>
        <v/>
      </c>
      <c r="H228">
        <f>IFERROR(IF(ISNUMBER(INDEX(SPPR!$E:$Z,MATCH($A228,SPPR!$A:$A,0),5)),$C228*INDEX(SPPR!$E:$Z,MATCH($A228,SPPR!$A:$A,0),5),""),"")</f>
        <v/>
      </c>
      <c r="I228">
        <f>IFERROR(IF(ISNUMBER(INDEX(SPPR!$E:$Z,MATCH($A228,SPPR!$A:$A,0),6)),$C228*INDEX(SPPR!$E:$Z,MATCH($A228,SPPR!$A:$A,0),6),""),"")</f>
        <v/>
      </c>
      <c r="J228">
        <f>IFERROR(IF(ISNUMBER(INDEX(SPPR!$E:$Z,MATCH($A228,SPPR!$A:$A,0),7)),$C228*INDEX(SPPR!$E:$Z,MATCH($A228,SPPR!$A:$A,0),7),""),"")</f>
        <v/>
      </c>
      <c r="K228">
        <f>IFERROR(IF(ISNUMBER(INDEX(SPPR!$E:$Z,MATCH($A228,SPPR!$A:$A,0),8)),$C228*INDEX(SPPR!$E:$Z,MATCH($A228,SPPR!$A:$A,0),8),""),"")</f>
        <v/>
      </c>
      <c r="L228">
        <f>IFERROR(IF(ISNUMBER(INDEX(SPPR!$E:$Z,MATCH($A228,SPPR!$A:$A,0),9)),$C228*INDEX(SPPR!$E:$Z,MATCH($A228,SPPR!$A:$A,0),9),""),"")</f>
        <v/>
      </c>
      <c r="M228">
        <f>IFERROR(IF(ISNUMBER(INDEX(SPPR!$E:$Z,MATCH($A228,SPPR!$A:$A,0),10)),$C228*INDEX(SPPR!$E:$Z,MATCH($A228,SPPR!$A:$A,0),10),""),"")</f>
        <v/>
      </c>
      <c r="N228">
        <f>IFERROR(IF(ISNUMBER(INDEX(SPPR!$E:$Z,MATCH($A228,SPPR!$A:$A,0),11)),$C228*INDEX(SPPR!$E:$Z,MATCH($A228,SPPR!$A:$A,0),11),""),"")</f>
        <v/>
      </c>
      <c r="O228">
        <f>IFERROR(IF(ISNUMBER(INDEX(SPPR!$E:$Z,MATCH($A228,SPPR!$A:$A,0),12)),$C228*INDEX(SPPR!$E:$Z,MATCH($A228,SPPR!$A:$A,0),12),""),"")</f>
        <v/>
      </c>
      <c r="P228">
        <f>IFERROR(IF(ISNUMBER(INDEX(SPPR!$E:$Z,MATCH($A228,SPPR!$A:$A,0),13)),$C228*INDEX(SPPR!$E:$Z,MATCH($A228,SPPR!$A:$A,0),13),""),"")</f>
        <v/>
      </c>
      <c r="Q228">
        <f>IFERROR(IF(ISNUMBER(INDEX(SPPR!$E:$Z,MATCH($A228,SPPR!$A:$A,0),14)),$C228*INDEX(SPPR!$E:$Z,MATCH($A228,SPPR!$A:$A,0),14),""),"")</f>
        <v/>
      </c>
      <c r="R228">
        <f>IFERROR(IF(ISNUMBER(INDEX(SPPR!$E:$Z,MATCH($A228,SPPR!$A:$A,0),15)),$C228*INDEX(SPPR!$E:$Z,MATCH($A228,SPPR!$A:$A,0),15),""),"")</f>
        <v/>
      </c>
      <c r="S228">
        <f>IFERROR(IF(ISNUMBER(INDEX(SPPR!$E:$Z,MATCH($A228,SPPR!$A:$A,0),16)),$C228*INDEX(SPPR!$E:$Z,MATCH($A228,SPPR!$A:$A,0),16),""),"")</f>
        <v/>
      </c>
      <c r="T228">
        <f>IFERROR(IF(ISNUMBER(INDEX(SPPR!$E:$Z,MATCH($A228,SPPR!$A:$A,0),17)),$C228*INDEX(SPPR!$E:$Z,MATCH($A228,SPPR!$A:$A,0),17),""),"")</f>
        <v/>
      </c>
      <c r="U228">
        <f>IFERROR(IF(ISNUMBER(INDEX(SPPR!$E:$Z,MATCH($A228,SPPR!$A:$A,0),18)),$C228*INDEX(SPPR!$E:$Z,MATCH($A228,SPPR!$A:$A,0),18),""),"")</f>
        <v/>
      </c>
      <c r="V228">
        <f>IFERROR(IF(ISNUMBER(INDEX(SPPR!$E:$Z,MATCH($A228,SPPR!$A:$A,0),19)),$C228*INDEX(SPPR!$E:$Z,MATCH($A228,SPPR!$A:$A,0),19),""),"")</f>
        <v/>
      </c>
      <c r="W228">
        <f>IFERROR(IF(ISNUMBER(INDEX(SPPR!$E:$Z,MATCH($A228,SPPR!$A:$A,0),20)),$C228*INDEX(SPPR!$E:$Z,MATCH($A228,SPPR!$A:$A,0),20),""),"")</f>
        <v/>
      </c>
      <c r="X228">
        <f>IFERROR(IF(ISNUMBER(INDEX(SPPR!$E:$Z,MATCH($A228,SPPR!$A:$A,0),21)),$C228*INDEX(SPPR!$E:$Z,MATCH($A228,SPPR!$A:$A,0),21),""),"")</f>
        <v/>
      </c>
      <c r="Y228">
        <f>IFERROR(IF(ISNUMBER(INDEX(SPPR!$E:$Z,MATCH($A228,SPPR!$A:$A,0),22)),$C228*INDEX(SPPR!$E:$Z,MATCH($A228,SPPR!$A:$A,0),22),""),"")</f>
        <v/>
      </c>
    </row>
    <row r="229">
      <c r="A229" t="inlineStr">
        <is>
          <t>Arcidae</t>
        </is>
      </c>
      <c r="B229">
        <f>IFERROR(INDEX(SPPR!$D:$D,MATCH($A229,SPPR!$A:$A,0)),"")</f>
        <v/>
      </c>
      <c r="C229">
        <f>IFERROR(INDEX(Catch!$E:$BV,MATCH($A229,Catch!$A:$A,0),MATCH($B$4,Catch!$E$1:$BV$1,0)),0)</f>
        <v/>
      </c>
      <c r="D229">
        <f>IFERROR(IF(ISNUMBER(INDEX(SPPR!$E:$Z,MATCH($A229,SPPR!$A:$A,0),1)),$C229*INDEX(SPPR!$E:$Z,MATCH($A229,SPPR!$A:$A,0),1),""),"")</f>
        <v/>
      </c>
      <c r="E229">
        <f>IFERROR(IF(ISNUMBER(INDEX(SPPR!$E:$Z,MATCH($A229,SPPR!$A:$A,0),2)),$C229*INDEX(SPPR!$E:$Z,MATCH($A229,SPPR!$A:$A,0),2),""),"")</f>
        <v/>
      </c>
      <c r="F229">
        <f>IFERROR(IF(ISNUMBER(INDEX(SPPR!$E:$Z,MATCH($A229,SPPR!$A:$A,0),3)),$C229*INDEX(SPPR!$E:$Z,MATCH($A229,SPPR!$A:$A,0),3),""),"")</f>
        <v/>
      </c>
      <c r="G229">
        <f>IFERROR(IF(ISNUMBER(INDEX(SPPR!$E:$Z,MATCH($A229,SPPR!$A:$A,0),4)),$C229*INDEX(SPPR!$E:$Z,MATCH($A229,SPPR!$A:$A,0),4),""),"")</f>
        <v/>
      </c>
      <c r="H229">
        <f>IFERROR(IF(ISNUMBER(INDEX(SPPR!$E:$Z,MATCH($A229,SPPR!$A:$A,0),5)),$C229*INDEX(SPPR!$E:$Z,MATCH($A229,SPPR!$A:$A,0),5),""),"")</f>
        <v/>
      </c>
      <c r="I229">
        <f>IFERROR(IF(ISNUMBER(INDEX(SPPR!$E:$Z,MATCH($A229,SPPR!$A:$A,0),6)),$C229*INDEX(SPPR!$E:$Z,MATCH($A229,SPPR!$A:$A,0),6),""),"")</f>
        <v/>
      </c>
      <c r="J229">
        <f>IFERROR(IF(ISNUMBER(INDEX(SPPR!$E:$Z,MATCH($A229,SPPR!$A:$A,0),7)),$C229*INDEX(SPPR!$E:$Z,MATCH($A229,SPPR!$A:$A,0),7),""),"")</f>
        <v/>
      </c>
      <c r="K229">
        <f>IFERROR(IF(ISNUMBER(INDEX(SPPR!$E:$Z,MATCH($A229,SPPR!$A:$A,0),8)),$C229*INDEX(SPPR!$E:$Z,MATCH($A229,SPPR!$A:$A,0),8),""),"")</f>
        <v/>
      </c>
      <c r="L229">
        <f>IFERROR(IF(ISNUMBER(INDEX(SPPR!$E:$Z,MATCH($A229,SPPR!$A:$A,0),9)),$C229*INDEX(SPPR!$E:$Z,MATCH($A229,SPPR!$A:$A,0),9),""),"")</f>
        <v/>
      </c>
      <c r="M229">
        <f>IFERROR(IF(ISNUMBER(INDEX(SPPR!$E:$Z,MATCH($A229,SPPR!$A:$A,0),10)),$C229*INDEX(SPPR!$E:$Z,MATCH($A229,SPPR!$A:$A,0),10),""),"")</f>
        <v/>
      </c>
      <c r="N229">
        <f>IFERROR(IF(ISNUMBER(INDEX(SPPR!$E:$Z,MATCH($A229,SPPR!$A:$A,0),11)),$C229*INDEX(SPPR!$E:$Z,MATCH($A229,SPPR!$A:$A,0),11),""),"")</f>
        <v/>
      </c>
      <c r="O229">
        <f>IFERROR(IF(ISNUMBER(INDEX(SPPR!$E:$Z,MATCH($A229,SPPR!$A:$A,0),12)),$C229*INDEX(SPPR!$E:$Z,MATCH($A229,SPPR!$A:$A,0),12),""),"")</f>
        <v/>
      </c>
      <c r="P229">
        <f>IFERROR(IF(ISNUMBER(INDEX(SPPR!$E:$Z,MATCH($A229,SPPR!$A:$A,0),13)),$C229*INDEX(SPPR!$E:$Z,MATCH($A229,SPPR!$A:$A,0),13),""),"")</f>
        <v/>
      </c>
      <c r="Q229">
        <f>IFERROR(IF(ISNUMBER(INDEX(SPPR!$E:$Z,MATCH($A229,SPPR!$A:$A,0),14)),$C229*INDEX(SPPR!$E:$Z,MATCH($A229,SPPR!$A:$A,0),14),""),"")</f>
        <v/>
      </c>
      <c r="R229">
        <f>IFERROR(IF(ISNUMBER(INDEX(SPPR!$E:$Z,MATCH($A229,SPPR!$A:$A,0),15)),$C229*INDEX(SPPR!$E:$Z,MATCH($A229,SPPR!$A:$A,0),15),""),"")</f>
        <v/>
      </c>
      <c r="S229">
        <f>IFERROR(IF(ISNUMBER(INDEX(SPPR!$E:$Z,MATCH($A229,SPPR!$A:$A,0),16)),$C229*INDEX(SPPR!$E:$Z,MATCH($A229,SPPR!$A:$A,0),16),""),"")</f>
        <v/>
      </c>
      <c r="T229">
        <f>IFERROR(IF(ISNUMBER(INDEX(SPPR!$E:$Z,MATCH($A229,SPPR!$A:$A,0),17)),$C229*INDEX(SPPR!$E:$Z,MATCH($A229,SPPR!$A:$A,0),17),""),"")</f>
        <v/>
      </c>
      <c r="U229">
        <f>IFERROR(IF(ISNUMBER(INDEX(SPPR!$E:$Z,MATCH($A229,SPPR!$A:$A,0),18)),$C229*INDEX(SPPR!$E:$Z,MATCH($A229,SPPR!$A:$A,0),18),""),"")</f>
        <v/>
      </c>
      <c r="V229">
        <f>IFERROR(IF(ISNUMBER(INDEX(SPPR!$E:$Z,MATCH($A229,SPPR!$A:$A,0),19)),$C229*INDEX(SPPR!$E:$Z,MATCH($A229,SPPR!$A:$A,0),19),""),"")</f>
        <v/>
      </c>
      <c r="W229">
        <f>IFERROR(IF(ISNUMBER(INDEX(SPPR!$E:$Z,MATCH($A229,SPPR!$A:$A,0),20)),$C229*INDEX(SPPR!$E:$Z,MATCH($A229,SPPR!$A:$A,0),20),""),"")</f>
        <v/>
      </c>
      <c r="X229">
        <f>IFERROR(IF(ISNUMBER(INDEX(SPPR!$E:$Z,MATCH($A229,SPPR!$A:$A,0),21)),$C229*INDEX(SPPR!$E:$Z,MATCH($A229,SPPR!$A:$A,0),21),""),"")</f>
        <v/>
      </c>
      <c r="Y229">
        <f>IFERROR(IF(ISNUMBER(INDEX(SPPR!$E:$Z,MATCH($A229,SPPR!$A:$A,0),22)),$C229*INDEX(SPPR!$E:$Z,MATCH($A229,SPPR!$A:$A,0),22),""),"")</f>
        <v/>
      </c>
    </row>
    <row r="230">
      <c r="A230" t="inlineStr">
        <is>
          <t>Rachycentron canadum</t>
        </is>
      </c>
      <c r="B230">
        <f>IFERROR(INDEX(SPPR!$D:$D,MATCH($A230,SPPR!$A:$A,0)),"")</f>
        <v/>
      </c>
      <c r="C230">
        <f>IFERROR(INDEX(Catch!$E:$BV,MATCH($A230,Catch!$A:$A,0),MATCH($B$4,Catch!$E$1:$BV$1,0)),0)</f>
        <v/>
      </c>
      <c r="D230">
        <f>IFERROR(IF(ISNUMBER(INDEX(SPPR!$E:$Z,MATCH($A230,SPPR!$A:$A,0),1)),$C230*INDEX(SPPR!$E:$Z,MATCH($A230,SPPR!$A:$A,0),1),""),"")</f>
        <v/>
      </c>
      <c r="E230">
        <f>IFERROR(IF(ISNUMBER(INDEX(SPPR!$E:$Z,MATCH($A230,SPPR!$A:$A,0),2)),$C230*INDEX(SPPR!$E:$Z,MATCH($A230,SPPR!$A:$A,0),2),""),"")</f>
        <v/>
      </c>
      <c r="F230">
        <f>IFERROR(IF(ISNUMBER(INDEX(SPPR!$E:$Z,MATCH($A230,SPPR!$A:$A,0),3)),$C230*INDEX(SPPR!$E:$Z,MATCH($A230,SPPR!$A:$A,0),3),""),"")</f>
        <v/>
      </c>
      <c r="G230">
        <f>IFERROR(IF(ISNUMBER(INDEX(SPPR!$E:$Z,MATCH($A230,SPPR!$A:$A,0),4)),$C230*INDEX(SPPR!$E:$Z,MATCH($A230,SPPR!$A:$A,0),4),""),"")</f>
        <v/>
      </c>
      <c r="H230">
        <f>IFERROR(IF(ISNUMBER(INDEX(SPPR!$E:$Z,MATCH($A230,SPPR!$A:$A,0),5)),$C230*INDEX(SPPR!$E:$Z,MATCH($A230,SPPR!$A:$A,0),5),""),"")</f>
        <v/>
      </c>
      <c r="I230">
        <f>IFERROR(IF(ISNUMBER(INDEX(SPPR!$E:$Z,MATCH($A230,SPPR!$A:$A,0),6)),$C230*INDEX(SPPR!$E:$Z,MATCH($A230,SPPR!$A:$A,0),6),""),"")</f>
        <v/>
      </c>
      <c r="J230">
        <f>IFERROR(IF(ISNUMBER(INDEX(SPPR!$E:$Z,MATCH($A230,SPPR!$A:$A,0),7)),$C230*INDEX(SPPR!$E:$Z,MATCH($A230,SPPR!$A:$A,0),7),""),"")</f>
        <v/>
      </c>
      <c r="K230">
        <f>IFERROR(IF(ISNUMBER(INDEX(SPPR!$E:$Z,MATCH($A230,SPPR!$A:$A,0),8)),$C230*INDEX(SPPR!$E:$Z,MATCH($A230,SPPR!$A:$A,0),8),""),"")</f>
        <v/>
      </c>
      <c r="L230">
        <f>IFERROR(IF(ISNUMBER(INDEX(SPPR!$E:$Z,MATCH($A230,SPPR!$A:$A,0),9)),$C230*INDEX(SPPR!$E:$Z,MATCH($A230,SPPR!$A:$A,0),9),""),"")</f>
        <v/>
      </c>
      <c r="M230">
        <f>IFERROR(IF(ISNUMBER(INDEX(SPPR!$E:$Z,MATCH($A230,SPPR!$A:$A,0),10)),$C230*INDEX(SPPR!$E:$Z,MATCH($A230,SPPR!$A:$A,0),10),""),"")</f>
        <v/>
      </c>
      <c r="N230">
        <f>IFERROR(IF(ISNUMBER(INDEX(SPPR!$E:$Z,MATCH($A230,SPPR!$A:$A,0),11)),$C230*INDEX(SPPR!$E:$Z,MATCH($A230,SPPR!$A:$A,0),11),""),"")</f>
        <v/>
      </c>
      <c r="O230">
        <f>IFERROR(IF(ISNUMBER(INDEX(SPPR!$E:$Z,MATCH($A230,SPPR!$A:$A,0),12)),$C230*INDEX(SPPR!$E:$Z,MATCH($A230,SPPR!$A:$A,0),12),""),"")</f>
        <v/>
      </c>
      <c r="P230">
        <f>IFERROR(IF(ISNUMBER(INDEX(SPPR!$E:$Z,MATCH($A230,SPPR!$A:$A,0),13)),$C230*INDEX(SPPR!$E:$Z,MATCH($A230,SPPR!$A:$A,0),13),""),"")</f>
        <v/>
      </c>
      <c r="Q230">
        <f>IFERROR(IF(ISNUMBER(INDEX(SPPR!$E:$Z,MATCH($A230,SPPR!$A:$A,0),14)),$C230*INDEX(SPPR!$E:$Z,MATCH($A230,SPPR!$A:$A,0),14),""),"")</f>
        <v/>
      </c>
      <c r="R230">
        <f>IFERROR(IF(ISNUMBER(INDEX(SPPR!$E:$Z,MATCH($A230,SPPR!$A:$A,0),15)),$C230*INDEX(SPPR!$E:$Z,MATCH($A230,SPPR!$A:$A,0),15),""),"")</f>
        <v/>
      </c>
      <c r="S230">
        <f>IFERROR(IF(ISNUMBER(INDEX(SPPR!$E:$Z,MATCH($A230,SPPR!$A:$A,0),16)),$C230*INDEX(SPPR!$E:$Z,MATCH($A230,SPPR!$A:$A,0),16),""),"")</f>
        <v/>
      </c>
      <c r="T230">
        <f>IFERROR(IF(ISNUMBER(INDEX(SPPR!$E:$Z,MATCH($A230,SPPR!$A:$A,0),17)),$C230*INDEX(SPPR!$E:$Z,MATCH($A230,SPPR!$A:$A,0),17),""),"")</f>
        <v/>
      </c>
      <c r="U230">
        <f>IFERROR(IF(ISNUMBER(INDEX(SPPR!$E:$Z,MATCH($A230,SPPR!$A:$A,0),18)),$C230*INDEX(SPPR!$E:$Z,MATCH($A230,SPPR!$A:$A,0),18),""),"")</f>
        <v/>
      </c>
      <c r="V230">
        <f>IFERROR(IF(ISNUMBER(INDEX(SPPR!$E:$Z,MATCH($A230,SPPR!$A:$A,0),19)),$C230*INDEX(SPPR!$E:$Z,MATCH($A230,SPPR!$A:$A,0),19),""),"")</f>
        <v/>
      </c>
      <c r="W230">
        <f>IFERROR(IF(ISNUMBER(INDEX(SPPR!$E:$Z,MATCH($A230,SPPR!$A:$A,0),20)),$C230*INDEX(SPPR!$E:$Z,MATCH($A230,SPPR!$A:$A,0),20),""),"")</f>
        <v/>
      </c>
      <c r="X230">
        <f>IFERROR(IF(ISNUMBER(INDEX(SPPR!$E:$Z,MATCH($A230,SPPR!$A:$A,0),21)),$C230*INDEX(SPPR!$E:$Z,MATCH($A230,SPPR!$A:$A,0),21),""),"")</f>
        <v/>
      </c>
      <c r="Y230">
        <f>IFERROR(IF(ISNUMBER(INDEX(SPPR!$E:$Z,MATCH($A230,SPPR!$A:$A,0),22)),$C230*INDEX(SPPR!$E:$Z,MATCH($A230,SPPR!$A:$A,0),22),""),"")</f>
        <v/>
      </c>
    </row>
    <row r="231">
      <c r="A231" t="inlineStr">
        <is>
          <t>Istiompax indica</t>
        </is>
      </c>
      <c r="B231">
        <f>IFERROR(INDEX(SPPR!$D:$D,MATCH($A231,SPPR!$A:$A,0)),"")</f>
        <v/>
      </c>
      <c r="C231">
        <f>IFERROR(INDEX(Catch!$E:$BV,MATCH($A231,Catch!$A:$A,0),MATCH($B$4,Catch!$E$1:$BV$1,0)),0)</f>
        <v/>
      </c>
      <c r="D231">
        <f>IFERROR(IF(ISNUMBER(INDEX(SPPR!$E:$Z,MATCH($A231,SPPR!$A:$A,0),1)),$C231*INDEX(SPPR!$E:$Z,MATCH($A231,SPPR!$A:$A,0),1),""),"")</f>
        <v/>
      </c>
      <c r="E231">
        <f>IFERROR(IF(ISNUMBER(INDEX(SPPR!$E:$Z,MATCH($A231,SPPR!$A:$A,0),2)),$C231*INDEX(SPPR!$E:$Z,MATCH($A231,SPPR!$A:$A,0),2),""),"")</f>
        <v/>
      </c>
      <c r="F231">
        <f>IFERROR(IF(ISNUMBER(INDEX(SPPR!$E:$Z,MATCH($A231,SPPR!$A:$A,0),3)),$C231*INDEX(SPPR!$E:$Z,MATCH($A231,SPPR!$A:$A,0),3),""),"")</f>
        <v/>
      </c>
      <c r="G231">
        <f>IFERROR(IF(ISNUMBER(INDEX(SPPR!$E:$Z,MATCH($A231,SPPR!$A:$A,0),4)),$C231*INDEX(SPPR!$E:$Z,MATCH($A231,SPPR!$A:$A,0),4),""),"")</f>
        <v/>
      </c>
      <c r="H231">
        <f>IFERROR(IF(ISNUMBER(INDEX(SPPR!$E:$Z,MATCH($A231,SPPR!$A:$A,0),5)),$C231*INDEX(SPPR!$E:$Z,MATCH($A231,SPPR!$A:$A,0),5),""),"")</f>
        <v/>
      </c>
      <c r="I231">
        <f>IFERROR(IF(ISNUMBER(INDEX(SPPR!$E:$Z,MATCH($A231,SPPR!$A:$A,0),6)),$C231*INDEX(SPPR!$E:$Z,MATCH($A231,SPPR!$A:$A,0),6),""),"")</f>
        <v/>
      </c>
      <c r="J231">
        <f>IFERROR(IF(ISNUMBER(INDEX(SPPR!$E:$Z,MATCH($A231,SPPR!$A:$A,0),7)),$C231*INDEX(SPPR!$E:$Z,MATCH($A231,SPPR!$A:$A,0),7),""),"")</f>
        <v/>
      </c>
      <c r="K231">
        <f>IFERROR(IF(ISNUMBER(INDEX(SPPR!$E:$Z,MATCH($A231,SPPR!$A:$A,0),8)),$C231*INDEX(SPPR!$E:$Z,MATCH($A231,SPPR!$A:$A,0),8),""),"")</f>
        <v/>
      </c>
      <c r="L231">
        <f>IFERROR(IF(ISNUMBER(INDEX(SPPR!$E:$Z,MATCH($A231,SPPR!$A:$A,0),9)),$C231*INDEX(SPPR!$E:$Z,MATCH($A231,SPPR!$A:$A,0),9),""),"")</f>
        <v/>
      </c>
      <c r="M231">
        <f>IFERROR(IF(ISNUMBER(INDEX(SPPR!$E:$Z,MATCH($A231,SPPR!$A:$A,0),10)),$C231*INDEX(SPPR!$E:$Z,MATCH($A231,SPPR!$A:$A,0),10),""),"")</f>
        <v/>
      </c>
      <c r="N231">
        <f>IFERROR(IF(ISNUMBER(INDEX(SPPR!$E:$Z,MATCH($A231,SPPR!$A:$A,0),11)),$C231*INDEX(SPPR!$E:$Z,MATCH($A231,SPPR!$A:$A,0),11),""),"")</f>
        <v/>
      </c>
      <c r="O231">
        <f>IFERROR(IF(ISNUMBER(INDEX(SPPR!$E:$Z,MATCH($A231,SPPR!$A:$A,0),12)),$C231*INDEX(SPPR!$E:$Z,MATCH($A231,SPPR!$A:$A,0),12),""),"")</f>
        <v/>
      </c>
      <c r="P231">
        <f>IFERROR(IF(ISNUMBER(INDEX(SPPR!$E:$Z,MATCH($A231,SPPR!$A:$A,0),13)),$C231*INDEX(SPPR!$E:$Z,MATCH($A231,SPPR!$A:$A,0),13),""),"")</f>
        <v/>
      </c>
      <c r="Q231">
        <f>IFERROR(IF(ISNUMBER(INDEX(SPPR!$E:$Z,MATCH($A231,SPPR!$A:$A,0),14)),$C231*INDEX(SPPR!$E:$Z,MATCH($A231,SPPR!$A:$A,0),14),""),"")</f>
        <v/>
      </c>
      <c r="R231">
        <f>IFERROR(IF(ISNUMBER(INDEX(SPPR!$E:$Z,MATCH($A231,SPPR!$A:$A,0),15)),$C231*INDEX(SPPR!$E:$Z,MATCH($A231,SPPR!$A:$A,0),15),""),"")</f>
        <v/>
      </c>
      <c r="S231">
        <f>IFERROR(IF(ISNUMBER(INDEX(SPPR!$E:$Z,MATCH($A231,SPPR!$A:$A,0),16)),$C231*INDEX(SPPR!$E:$Z,MATCH($A231,SPPR!$A:$A,0),16),""),"")</f>
        <v/>
      </c>
      <c r="T231">
        <f>IFERROR(IF(ISNUMBER(INDEX(SPPR!$E:$Z,MATCH($A231,SPPR!$A:$A,0),17)),$C231*INDEX(SPPR!$E:$Z,MATCH($A231,SPPR!$A:$A,0),17),""),"")</f>
        <v/>
      </c>
      <c r="U231">
        <f>IFERROR(IF(ISNUMBER(INDEX(SPPR!$E:$Z,MATCH($A231,SPPR!$A:$A,0),18)),$C231*INDEX(SPPR!$E:$Z,MATCH($A231,SPPR!$A:$A,0),18),""),"")</f>
        <v/>
      </c>
      <c r="V231">
        <f>IFERROR(IF(ISNUMBER(INDEX(SPPR!$E:$Z,MATCH($A231,SPPR!$A:$A,0),19)),$C231*INDEX(SPPR!$E:$Z,MATCH($A231,SPPR!$A:$A,0),19),""),"")</f>
        <v/>
      </c>
      <c r="W231">
        <f>IFERROR(IF(ISNUMBER(INDEX(SPPR!$E:$Z,MATCH($A231,SPPR!$A:$A,0),20)),$C231*INDEX(SPPR!$E:$Z,MATCH($A231,SPPR!$A:$A,0),20),""),"")</f>
        <v/>
      </c>
      <c r="X231">
        <f>IFERROR(IF(ISNUMBER(INDEX(SPPR!$E:$Z,MATCH($A231,SPPR!$A:$A,0),21)),$C231*INDEX(SPPR!$E:$Z,MATCH($A231,SPPR!$A:$A,0),21),""),"")</f>
        <v/>
      </c>
      <c r="Y231">
        <f>IFERROR(IF(ISNUMBER(INDEX(SPPR!$E:$Z,MATCH($A231,SPPR!$A:$A,0),22)),$C231*INDEX(SPPR!$E:$Z,MATCH($A231,SPPR!$A:$A,0),22),""),"")</f>
        <v/>
      </c>
    </row>
    <row r="232">
      <c r="A232" t="inlineStr">
        <is>
          <t>Auxis rochei</t>
        </is>
      </c>
      <c r="B232">
        <f>IFERROR(INDEX(SPPR!$D:$D,MATCH($A232,SPPR!$A:$A,0)),"")</f>
        <v/>
      </c>
      <c r="C232">
        <f>IFERROR(INDEX(Catch!$E:$BV,MATCH($A232,Catch!$A:$A,0),MATCH($B$4,Catch!$E$1:$BV$1,0)),0)</f>
        <v/>
      </c>
      <c r="D232">
        <f>IFERROR(IF(ISNUMBER(INDEX(SPPR!$E:$Z,MATCH($A232,SPPR!$A:$A,0),1)),$C232*INDEX(SPPR!$E:$Z,MATCH($A232,SPPR!$A:$A,0),1),""),"")</f>
        <v/>
      </c>
      <c r="E232">
        <f>IFERROR(IF(ISNUMBER(INDEX(SPPR!$E:$Z,MATCH($A232,SPPR!$A:$A,0),2)),$C232*INDEX(SPPR!$E:$Z,MATCH($A232,SPPR!$A:$A,0),2),""),"")</f>
        <v/>
      </c>
      <c r="F232">
        <f>IFERROR(IF(ISNUMBER(INDEX(SPPR!$E:$Z,MATCH($A232,SPPR!$A:$A,0),3)),$C232*INDEX(SPPR!$E:$Z,MATCH($A232,SPPR!$A:$A,0),3),""),"")</f>
        <v/>
      </c>
      <c r="G232">
        <f>IFERROR(IF(ISNUMBER(INDEX(SPPR!$E:$Z,MATCH($A232,SPPR!$A:$A,0),4)),$C232*INDEX(SPPR!$E:$Z,MATCH($A232,SPPR!$A:$A,0),4),""),"")</f>
        <v/>
      </c>
      <c r="H232">
        <f>IFERROR(IF(ISNUMBER(INDEX(SPPR!$E:$Z,MATCH($A232,SPPR!$A:$A,0),5)),$C232*INDEX(SPPR!$E:$Z,MATCH($A232,SPPR!$A:$A,0),5),""),"")</f>
        <v/>
      </c>
      <c r="I232">
        <f>IFERROR(IF(ISNUMBER(INDEX(SPPR!$E:$Z,MATCH($A232,SPPR!$A:$A,0),6)),$C232*INDEX(SPPR!$E:$Z,MATCH($A232,SPPR!$A:$A,0),6),""),"")</f>
        <v/>
      </c>
      <c r="J232">
        <f>IFERROR(IF(ISNUMBER(INDEX(SPPR!$E:$Z,MATCH($A232,SPPR!$A:$A,0),7)),$C232*INDEX(SPPR!$E:$Z,MATCH($A232,SPPR!$A:$A,0),7),""),"")</f>
        <v/>
      </c>
      <c r="K232">
        <f>IFERROR(IF(ISNUMBER(INDEX(SPPR!$E:$Z,MATCH($A232,SPPR!$A:$A,0),8)),$C232*INDEX(SPPR!$E:$Z,MATCH($A232,SPPR!$A:$A,0),8),""),"")</f>
        <v/>
      </c>
      <c r="L232">
        <f>IFERROR(IF(ISNUMBER(INDEX(SPPR!$E:$Z,MATCH($A232,SPPR!$A:$A,0),9)),$C232*INDEX(SPPR!$E:$Z,MATCH($A232,SPPR!$A:$A,0),9),""),"")</f>
        <v/>
      </c>
      <c r="M232">
        <f>IFERROR(IF(ISNUMBER(INDEX(SPPR!$E:$Z,MATCH($A232,SPPR!$A:$A,0),10)),$C232*INDEX(SPPR!$E:$Z,MATCH($A232,SPPR!$A:$A,0),10),""),"")</f>
        <v/>
      </c>
      <c r="N232">
        <f>IFERROR(IF(ISNUMBER(INDEX(SPPR!$E:$Z,MATCH($A232,SPPR!$A:$A,0),11)),$C232*INDEX(SPPR!$E:$Z,MATCH($A232,SPPR!$A:$A,0),11),""),"")</f>
        <v/>
      </c>
      <c r="O232">
        <f>IFERROR(IF(ISNUMBER(INDEX(SPPR!$E:$Z,MATCH($A232,SPPR!$A:$A,0),12)),$C232*INDEX(SPPR!$E:$Z,MATCH($A232,SPPR!$A:$A,0),12),""),"")</f>
        <v/>
      </c>
      <c r="P232">
        <f>IFERROR(IF(ISNUMBER(INDEX(SPPR!$E:$Z,MATCH($A232,SPPR!$A:$A,0),13)),$C232*INDEX(SPPR!$E:$Z,MATCH($A232,SPPR!$A:$A,0),13),""),"")</f>
        <v/>
      </c>
      <c r="Q232">
        <f>IFERROR(IF(ISNUMBER(INDEX(SPPR!$E:$Z,MATCH($A232,SPPR!$A:$A,0),14)),$C232*INDEX(SPPR!$E:$Z,MATCH($A232,SPPR!$A:$A,0),14),""),"")</f>
        <v/>
      </c>
      <c r="R232">
        <f>IFERROR(IF(ISNUMBER(INDEX(SPPR!$E:$Z,MATCH($A232,SPPR!$A:$A,0),15)),$C232*INDEX(SPPR!$E:$Z,MATCH($A232,SPPR!$A:$A,0),15),""),"")</f>
        <v/>
      </c>
      <c r="S232">
        <f>IFERROR(IF(ISNUMBER(INDEX(SPPR!$E:$Z,MATCH($A232,SPPR!$A:$A,0),16)),$C232*INDEX(SPPR!$E:$Z,MATCH($A232,SPPR!$A:$A,0),16),""),"")</f>
        <v/>
      </c>
      <c r="T232">
        <f>IFERROR(IF(ISNUMBER(INDEX(SPPR!$E:$Z,MATCH($A232,SPPR!$A:$A,0),17)),$C232*INDEX(SPPR!$E:$Z,MATCH($A232,SPPR!$A:$A,0),17),""),"")</f>
        <v/>
      </c>
      <c r="U232">
        <f>IFERROR(IF(ISNUMBER(INDEX(SPPR!$E:$Z,MATCH($A232,SPPR!$A:$A,0),18)),$C232*INDEX(SPPR!$E:$Z,MATCH($A232,SPPR!$A:$A,0),18),""),"")</f>
        <v/>
      </c>
      <c r="V232">
        <f>IFERROR(IF(ISNUMBER(INDEX(SPPR!$E:$Z,MATCH($A232,SPPR!$A:$A,0),19)),$C232*INDEX(SPPR!$E:$Z,MATCH($A232,SPPR!$A:$A,0),19),""),"")</f>
        <v/>
      </c>
      <c r="W232">
        <f>IFERROR(IF(ISNUMBER(INDEX(SPPR!$E:$Z,MATCH($A232,SPPR!$A:$A,0),20)),$C232*INDEX(SPPR!$E:$Z,MATCH($A232,SPPR!$A:$A,0),20),""),"")</f>
        <v/>
      </c>
      <c r="X232">
        <f>IFERROR(IF(ISNUMBER(INDEX(SPPR!$E:$Z,MATCH($A232,SPPR!$A:$A,0),21)),$C232*INDEX(SPPR!$E:$Z,MATCH($A232,SPPR!$A:$A,0),21),""),"")</f>
        <v/>
      </c>
      <c r="Y232">
        <f>IFERROR(IF(ISNUMBER(INDEX(SPPR!$E:$Z,MATCH($A232,SPPR!$A:$A,0),22)),$C232*INDEX(SPPR!$E:$Z,MATCH($A232,SPPR!$A:$A,0),22),""),"")</f>
        <v/>
      </c>
    </row>
    <row r="233">
      <c r="A233" t="inlineStr">
        <is>
          <t>Acanthocybium solandri</t>
        </is>
      </c>
      <c r="B233">
        <f>IFERROR(INDEX(SPPR!$D:$D,MATCH($A233,SPPR!$A:$A,0)),"")</f>
        <v/>
      </c>
      <c r="C233">
        <f>IFERROR(INDEX(Catch!$E:$BV,MATCH($A233,Catch!$A:$A,0),MATCH($B$4,Catch!$E$1:$BV$1,0)),0)</f>
        <v/>
      </c>
      <c r="D233">
        <f>IFERROR(IF(ISNUMBER(INDEX(SPPR!$E:$Z,MATCH($A233,SPPR!$A:$A,0),1)),$C233*INDEX(SPPR!$E:$Z,MATCH($A233,SPPR!$A:$A,0),1),""),"")</f>
        <v/>
      </c>
      <c r="E233">
        <f>IFERROR(IF(ISNUMBER(INDEX(SPPR!$E:$Z,MATCH($A233,SPPR!$A:$A,0),2)),$C233*INDEX(SPPR!$E:$Z,MATCH($A233,SPPR!$A:$A,0),2),""),"")</f>
        <v/>
      </c>
      <c r="F233">
        <f>IFERROR(IF(ISNUMBER(INDEX(SPPR!$E:$Z,MATCH($A233,SPPR!$A:$A,0),3)),$C233*INDEX(SPPR!$E:$Z,MATCH($A233,SPPR!$A:$A,0),3),""),"")</f>
        <v/>
      </c>
      <c r="G233">
        <f>IFERROR(IF(ISNUMBER(INDEX(SPPR!$E:$Z,MATCH($A233,SPPR!$A:$A,0),4)),$C233*INDEX(SPPR!$E:$Z,MATCH($A233,SPPR!$A:$A,0),4),""),"")</f>
        <v/>
      </c>
      <c r="H233">
        <f>IFERROR(IF(ISNUMBER(INDEX(SPPR!$E:$Z,MATCH($A233,SPPR!$A:$A,0),5)),$C233*INDEX(SPPR!$E:$Z,MATCH($A233,SPPR!$A:$A,0),5),""),"")</f>
        <v/>
      </c>
      <c r="I233">
        <f>IFERROR(IF(ISNUMBER(INDEX(SPPR!$E:$Z,MATCH($A233,SPPR!$A:$A,0),6)),$C233*INDEX(SPPR!$E:$Z,MATCH($A233,SPPR!$A:$A,0),6),""),"")</f>
        <v/>
      </c>
      <c r="J233">
        <f>IFERROR(IF(ISNUMBER(INDEX(SPPR!$E:$Z,MATCH($A233,SPPR!$A:$A,0),7)),$C233*INDEX(SPPR!$E:$Z,MATCH($A233,SPPR!$A:$A,0),7),""),"")</f>
        <v/>
      </c>
      <c r="K233">
        <f>IFERROR(IF(ISNUMBER(INDEX(SPPR!$E:$Z,MATCH($A233,SPPR!$A:$A,0),8)),$C233*INDEX(SPPR!$E:$Z,MATCH($A233,SPPR!$A:$A,0),8),""),"")</f>
        <v/>
      </c>
      <c r="L233">
        <f>IFERROR(IF(ISNUMBER(INDEX(SPPR!$E:$Z,MATCH($A233,SPPR!$A:$A,0),9)),$C233*INDEX(SPPR!$E:$Z,MATCH($A233,SPPR!$A:$A,0),9),""),"")</f>
        <v/>
      </c>
      <c r="M233">
        <f>IFERROR(IF(ISNUMBER(INDEX(SPPR!$E:$Z,MATCH($A233,SPPR!$A:$A,0),10)),$C233*INDEX(SPPR!$E:$Z,MATCH($A233,SPPR!$A:$A,0),10),""),"")</f>
        <v/>
      </c>
      <c r="N233">
        <f>IFERROR(IF(ISNUMBER(INDEX(SPPR!$E:$Z,MATCH($A233,SPPR!$A:$A,0),11)),$C233*INDEX(SPPR!$E:$Z,MATCH($A233,SPPR!$A:$A,0),11),""),"")</f>
        <v/>
      </c>
      <c r="O233">
        <f>IFERROR(IF(ISNUMBER(INDEX(SPPR!$E:$Z,MATCH($A233,SPPR!$A:$A,0),12)),$C233*INDEX(SPPR!$E:$Z,MATCH($A233,SPPR!$A:$A,0),12),""),"")</f>
        <v/>
      </c>
      <c r="P233">
        <f>IFERROR(IF(ISNUMBER(INDEX(SPPR!$E:$Z,MATCH($A233,SPPR!$A:$A,0),13)),$C233*INDEX(SPPR!$E:$Z,MATCH($A233,SPPR!$A:$A,0),13),""),"")</f>
        <v/>
      </c>
      <c r="Q233">
        <f>IFERROR(IF(ISNUMBER(INDEX(SPPR!$E:$Z,MATCH($A233,SPPR!$A:$A,0),14)),$C233*INDEX(SPPR!$E:$Z,MATCH($A233,SPPR!$A:$A,0),14),""),"")</f>
        <v/>
      </c>
      <c r="R233">
        <f>IFERROR(IF(ISNUMBER(INDEX(SPPR!$E:$Z,MATCH($A233,SPPR!$A:$A,0),15)),$C233*INDEX(SPPR!$E:$Z,MATCH($A233,SPPR!$A:$A,0),15),""),"")</f>
        <v/>
      </c>
      <c r="S233">
        <f>IFERROR(IF(ISNUMBER(INDEX(SPPR!$E:$Z,MATCH($A233,SPPR!$A:$A,0),16)),$C233*INDEX(SPPR!$E:$Z,MATCH($A233,SPPR!$A:$A,0),16),""),"")</f>
        <v/>
      </c>
      <c r="T233">
        <f>IFERROR(IF(ISNUMBER(INDEX(SPPR!$E:$Z,MATCH($A233,SPPR!$A:$A,0),17)),$C233*INDEX(SPPR!$E:$Z,MATCH($A233,SPPR!$A:$A,0),17),""),"")</f>
        <v/>
      </c>
      <c r="U233">
        <f>IFERROR(IF(ISNUMBER(INDEX(SPPR!$E:$Z,MATCH($A233,SPPR!$A:$A,0),18)),$C233*INDEX(SPPR!$E:$Z,MATCH($A233,SPPR!$A:$A,0),18),""),"")</f>
        <v/>
      </c>
      <c r="V233">
        <f>IFERROR(IF(ISNUMBER(INDEX(SPPR!$E:$Z,MATCH($A233,SPPR!$A:$A,0),19)),$C233*INDEX(SPPR!$E:$Z,MATCH($A233,SPPR!$A:$A,0),19),""),"")</f>
        <v/>
      </c>
      <c r="W233">
        <f>IFERROR(IF(ISNUMBER(INDEX(SPPR!$E:$Z,MATCH($A233,SPPR!$A:$A,0),20)),$C233*INDEX(SPPR!$E:$Z,MATCH($A233,SPPR!$A:$A,0),20),""),"")</f>
        <v/>
      </c>
      <c r="X233">
        <f>IFERROR(IF(ISNUMBER(INDEX(SPPR!$E:$Z,MATCH($A233,SPPR!$A:$A,0),21)),$C233*INDEX(SPPR!$E:$Z,MATCH($A233,SPPR!$A:$A,0),21),""),"")</f>
        <v/>
      </c>
      <c r="Y233">
        <f>IFERROR(IF(ISNUMBER(INDEX(SPPR!$E:$Z,MATCH($A233,SPPR!$A:$A,0),22)),$C233*INDEX(SPPR!$E:$Z,MATCH($A233,SPPR!$A:$A,0),22),""),"")</f>
        <v/>
      </c>
    </row>
    <row r="234">
      <c r="A234" t="inlineStr">
        <is>
          <t>Sarda orientalis</t>
        </is>
      </c>
      <c r="B234">
        <f>IFERROR(INDEX(SPPR!$D:$D,MATCH($A234,SPPR!$A:$A,0)),"")</f>
        <v/>
      </c>
      <c r="C234">
        <f>IFERROR(INDEX(Catch!$E:$BV,MATCH($A234,Catch!$A:$A,0),MATCH($B$4,Catch!$E$1:$BV$1,0)),0)</f>
        <v/>
      </c>
      <c r="D234">
        <f>IFERROR(IF(ISNUMBER(INDEX(SPPR!$E:$Z,MATCH($A234,SPPR!$A:$A,0),1)),$C234*INDEX(SPPR!$E:$Z,MATCH($A234,SPPR!$A:$A,0),1),""),"")</f>
        <v/>
      </c>
      <c r="E234">
        <f>IFERROR(IF(ISNUMBER(INDEX(SPPR!$E:$Z,MATCH($A234,SPPR!$A:$A,0),2)),$C234*INDEX(SPPR!$E:$Z,MATCH($A234,SPPR!$A:$A,0),2),""),"")</f>
        <v/>
      </c>
      <c r="F234">
        <f>IFERROR(IF(ISNUMBER(INDEX(SPPR!$E:$Z,MATCH($A234,SPPR!$A:$A,0),3)),$C234*INDEX(SPPR!$E:$Z,MATCH($A234,SPPR!$A:$A,0),3),""),"")</f>
        <v/>
      </c>
      <c r="G234">
        <f>IFERROR(IF(ISNUMBER(INDEX(SPPR!$E:$Z,MATCH($A234,SPPR!$A:$A,0),4)),$C234*INDEX(SPPR!$E:$Z,MATCH($A234,SPPR!$A:$A,0),4),""),"")</f>
        <v/>
      </c>
      <c r="H234">
        <f>IFERROR(IF(ISNUMBER(INDEX(SPPR!$E:$Z,MATCH($A234,SPPR!$A:$A,0),5)),$C234*INDEX(SPPR!$E:$Z,MATCH($A234,SPPR!$A:$A,0),5),""),"")</f>
        <v/>
      </c>
      <c r="I234">
        <f>IFERROR(IF(ISNUMBER(INDEX(SPPR!$E:$Z,MATCH($A234,SPPR!$A:$A,0),6)),$C234*INDEX(SPPR!$E:$Z,MATCH($A234,SPPR!$A:$A,0),6),""),"")</f>
        <v/>
      </c>
      <c r="J234">
        <f>IFERROR(IF(ISNUMBER(INDEX(SPPR!$E:$Z,MATCH($A234,SPPR!$A:$A,0),7)),$C234*INDEX(SPPR!$E:$Z,MATCH($A234,SPPR!$A:$A,0),7),""),"")</f>
        <v/>
      </c>
      <c r="K234">
        <f>IFERROR(IF(ISNUMBER(INDEX(SPPR!$E:$Z,MATCH($A234,SPPR!$A:$A,0),8)),$C234*INDEX(SPPR!$E:$Z,MATCH($A234,SPPR!$A:$A,0),8),""),"")</f>
        <v/>
      </c>
      <c r="L234">
        <f>IFERROR(IF(ISNUMBER(INDEX(SPPR!$E:$Z,MATCH($A234,SPPR!$A:$A,0),9)),$C234*INDEX(SPPR!$E:$Z,MATCH($A234,SPPR!$A:$A,0),9),""),"")</f>
        <v/>
      </c>
      <c r="M234">
        <f>IFERROR(IF(ISNUMBER(INDEX(SPPR!$E:$Z,MATCH($A234,SPPR!$A:$A,0),10)),$C234*INDEX(SPPR!$E:$Z,MATCH($A234,SPPR!$A:$A,0),10),""),"")</f>
        <v/>
      </c>
      <c r="N234">
        <f>IFERROR(IF(ISNUMBER(INDEX(SPPR!$E:$Z,MATCH($A234,SPPR!$A:$A,0),11)),$C234*INDEX(SPPR!$E:$Z,MATCH($A234,SPPR!$A:$A,0),11),""),"")</f>
        <v/>
      </c>
      <c r="O234">
        <f>IFERROR(IF(ISNUMBER(INDEX(SPPR!$E:$Z,MATCH($A234,SPPR!$A:$A,0),12)),$C234*INDEX(SPPR!$E:$Z,MATCH($A234,SPPR!$A:$A,0),12),""),"")</f>
        <v/>
      </c>
      <c r="P234">
        <f>IFERROR(IF(ISNUMBER(INDEX(SPPR!$E:$Z,MATCH($A234,SPPR!$A:$A,0),13)),$C234*INDEX(SPPR!$E:$Z,MATCH($A234,SPPR!$A:$A,0),13),""),"")</f>
        <v/>
      </c>
      <c r="Q234">
        <f>IFERROR(IF(ISNUMBER(INDEX(SPPR!$E:$Z,MATCH($A234,SPPR!$A:$A,0),14)),$C234*INDEX(SPPR!$E:$Z,MATCH($A234,SPPR!$A:$A,0),14),""),"")</f>
        <v/>
      </c>
      <c r="R234">
        <f>IFERROR(IF(ISNUMBER(INDEX(SPPR!$E:$Z,MATCH($A234,SPPR!$A:$A,0),15)),$C234*INDEX(SPPR!$E:$Z,MATCH($A234,SPPR!$A:$A,0),15),""),"")</f>
        <v/>
      </c>
      <c r="S234">
        <f>IFERROR(IF(ISNUMBER(INDEX(SPPR!$E:$Z,MATCH($A234,SPPR!$A:$A,0),16)),$C234*INDEX(SPPR!$E:$Z,MATCH($A234,SPPR!$A:$A,0),16),""),"")</f>
        <v/>
      </c>
      <c r="T234">
        <f>IFERROR(IF(ISNUMBER(INDEX(SPPR!$E:$Z,MATCH($A234,SPPR!$A:$A,0),17)),$C234*INDEX(SPPR!$E:$Z,MATCH($A234,SPPR!$A:$A,0),17),""),"")</f>
        <v/>
      </c>
      <c r="U234">
        <f>IFERROR(IF(ISNUMBER(INDEX(SPPR!$E:$Z,MATCH($A234,SPPR!$A:$A,0),18)),$C234*INDEX(SPPR!$E:$Z,MATCH($A234,SPPR!$A:$A,0),18),""),"")</f>
        <v/>
      </c>
      <c r="V234">
        <f>IFERROR(IF(ISNUMBER(INDEX(SPPR!$E:$Z,MATCH($A234,SPPR!$A:$A,0),19)),$C234*INDEX(SPPR!$E:$Z,MATCH($A234,SPPR!$A:$A,0),19),""),"")</f>
        <v/>
      </c>
      <c r="W234">
        <f>IFERROR(IF(ISNUMBER(INDEX(SPPR!$E:$Z,MATCH($A234,SPPR!$A:$A,0),20)),$C234*INDEX(SPPR!$E:$Z,MATCH($A234,SPPR!$A:$A,0),20),""),"")</f>
        <v/>
      </c>
      <c r="X234">
        <f>IFERROR(IF(ISNUMBER(INDEX(SPPR!$E:$Z,MATCH($A234,SPPR!$A:$A,0),21)),$C234*INDEX(SPPR!$E:$Z,MATCH($A234,SPPR!$A:$A,0),21),""),"")</f>
        <v/>
      </c>
      <c r="Y234">
        <f>IFERROR(IF(ISNUMBER(INDEX(SPPR!$E:$Z,MATCH($A234,SPPR!$A:$A,0),22)),$C234*INDEX(SPPR!$E:$Z,MATCH($A234,SPPR!$A:$A,0),22),""),"")</f>
        <v/>
      </c>
    </row>
    <row r="235">
      <c r="A235" t="inlineStr">
        <is>
          <t>Sardinella fimbriata</t>
        </is>
      </c>
      <c r="B235">
        <f>IFERROR(INDEX(SPPR!$D:$D,MATCH($A235,SPPR!$A:$A,0)),"")</f>
        <v/>
      </c>
      <c r="C235">
        <f>IFERROR(INDEX(Catch!$E:$BV,MATCH($A235,Catch!$A:$A,0),MATCH($B$4,Catch!$E$1:$BV$1,0)),0)</f>
        <v/>
      </c>
      <c r="D235">
        <f>IFERROR(IF(ISNUMBER(INDEX(SPPR!$E:$Z,MATCH($A235,SPPR!$A:$A,0),1)),$C235*INDEX(SPPR!$E:$Z,MATCH($A235,SPPR!$A:$A,0),1),""),"")</f>
        <v/>
      </c>
      <c r="E235">
        <f>IFERROR(IF(ISNUMBER(INDEX(SPPR!$E:$Z,MATCH($A235,SPPR!$A:$A,0),2)),$C235*INDEX(SPPR!$E:$Z,MATCH($A235,SPPR!$A:$A,0),2),""),"")</f>
        <v/>
      </c>
      <c r="F235">
        <f>IFERROR(IF(ISNUMBER(INDEX(SPPR!$E:$Z,MATCH($A235,SPPR!$A:$A,0),3)),$C235*INDEX(SPPR!$E:$Z,MATCH($A235,SPPR!$A:$A,0),3),""),"")</f>
        <v/>
      </c>
      <c r="G235">
        <f>IFERROR(IF(ISNUMBER(INDEX(SPPR!$E:$Z,MATCH($A235,SPPR!$A:$A,0),4)),$C235*INDEX(SPPR!$E:$Z,MATCH($A235,SPPR!$A:$A,0),4),""),"")</f>
        <v/>
      </c>
      <c r="H235">
        <f>IFERROR(IF(ISNUMBER(INDEX(SPPR!$E:$Z,MATCH($A235,SPPR!$A:$A,0),5)),$C235*INDEX(SPPR!$E:$Z,MATCH($A235,SPPR!$A:$A,0),5),""),"")</f>
        <v/>
      </c>
      <c r="I235">
        <f>IFERROR(IF(ISNUMBER(INDEX(SPPR!$E:$Z,MATCH($A235,SPPR!$A:$A,0),6)),$C235*INDEX(SPPR!$E:$Z,MATCH($A235,SPPR!$A:$A,0),6),""),"")</f>
        <v/>
      </c>
      <c r="J235">
        <f>IFERROR(IF(ISNUMBER(INDEX(SPPR!$E:$Z,MATCH($A235,SPPR!$A:$A,0),7)),$C235*INDEX(SPPR!$E:$Z,MATCH($A235,SPPR!$A:$A,0),7),""),"")</f>
        <v/>
      </c>
      <c r="K235">
        <f>IFERROR(IF(ISNUMBER(INDEX(SPPR!$E:$Z,MATCH($A235,SPPR!$A:$A,0),8)),$C235*INDEX(SPPR!$E:$Z,MATCH($A235,SPPR!$A:$A,0),8),""),"")</f>
        <v/>
      </c>
      <c r="L235">
        <f>IFERROR(IF(ISNUMBER(INDEX(SPPR!$E:$Z,MATCH($A235,SPPR!$A:$A,0),9)),$C235*INDEX(SPPR!$E:$Z,MATCH($A235,SPPR!$A:$A,0),9),""),"")</f>
        <v/>
      </c>
      <c r="M235">
        <f>IFERROR(IF(ISNUMBER(INDEX(SPPR!$E:$Z,MATCH($A235,SPPR!$A:$A,0),10)),$C235*INDEX(SPPR!$E:$Z,MATCH($A235,SPPR!$A:$A,0),10),""),"")</f>
        <v/>
      </c>
      <c r="N235">
        <f>IFERROR(IF(ISNUMBER(INDEX(SPPR!$E:$Z,MATCH($A235,SPPR!$A:$A,0),11)),$C235*INDEX(SPPR!$E:$Z,MATCH($A235,SPPR!$A:$A,0),11),""),"")</f>
        <v/>
      </c>
      <c r="O235">
        <f>IFERROR(IF(ISNUMBER(INDEX(SPPR!$E:$Z,MATCH($A235,SPPR!$A:$A,0),12)),$C235*INDEX(SPPR!$E:$Z,MATCH($A235,SPPR!$A:$A,0),12),""),"")</f>
        <v/>
      </c>
      <c r="P235">
        <f>IFERROR(IF(ISNUMBER(INDEX(SPPR!$E:$Z,MATCH($A235,SPPR!$A:$A,0),13)),$C235*INDEX(SPPR!$E:$Z,MATCH($A235,SPPR!$A:$A,0),13),""),"")</f>
        <v/>
      </c>
      <c r="Q235">
        <f>IFERROR(IF(ISNUMBER(INDEX(SPPR!$E:$Z,MATCH($A235,SPPR!$A:$A,0),14)),$C235*INDEX(SPPR!$E:$Z,MATCH($A235,SPPR!$A:$A,0),14),""),"")</f>
        <v/>
      </c>
      <c r="R235">
        <f>IFERROR(IF(ISNUMBER(INDEX(SPPR!$E:$Z,MATCH($A235,SPPR!$A:$A,0),15)),$C235*INDEX(SPPR!$E:$Z,MATCH($A235,SPPR!$A:$A,0),15),""),"")</f>
        <v/>
      </c>
      <c r="S235">
        <f>IFERROR(IF(ISNUMBER(INDEX(SPPR!$E:$Z,MATCH($A235,SPPR!$A:$A,0),16)),$C235*INDEX(SPPR!$E:$Z,MATCH($A235,SPPR!$A:$A,0),16),""),"")</f>
        <v/>
      </c>
      <c r="T235">
        <f>IFERROR(IF(ISNUMBER(INDEX(SPPR!$E:$Z,MATCH($A235,SPPR!$A:$A,0),17)),$C235*INDEX(SPPR!$E:$Z,MATCH($A235,SPPR!$A:$A,0),17),""),"")</f>
        <v/>
      </c>
      <c r="U235">
        <f>IFERROR(IF(ISNUMBER(INDEX(SPPR!$E:$Z,MATCH($A235,SPPR!$A:$A,0),18)),$C235*INDEX(SPPR!$E:$Z,MATCH($A235,SPPR!$A:$A,0),18),""),"")</f>
        <v/>
      </c>
      <c r="V235">
        <f>IFERROR(IF(ISNUMBER(INDEX(SPPR!$E:$Z,MATCH($A235,SPPR!$A:$A,0),19)),$C235*INDEX(SPPR!$E:$Z,MATCH($A235,SPPR!$A:$A,0),19),""),"")</f>
        <v/>
      </c>
      <c r="W235">
        <f>IFERROR(IF(ISNUMBER(INDEX(SPPR!$E:$Z,MATCH($A235,SPPR!$A:$A,0),20)),$C235*INDEX(SPPR!$E:$Z,MATCH($A235,SPPR!$A:$A,0),20),""),"")</f>
        <v/>
      </c>
      <c r="X235">
        <f>IFERROR(IF(ISNUMBER(INDEX(SPPR!$E:$Z,MATCH($A235,SPPR!$A:$A,0),21)),$C235*INDEX(SPPR!$E:$Z,MATCH($A235,SPPR!$A:$A,0),21),""),"")</f>
        <v/>
      </c>
      <c r="Y235">
        <f>IFERROR(IF(ISNUMBER(INDEX(SPPR!$E:$Z,MATCH($A235,SPPR!$A:$A,0),22)),$C235*INDEX(SPPR!$E:$Z,MATCH($A235,SPPR!$A:$A,0),22),""),"")</f>
        <v/>
      </c>
    </row>
    <row r="236">
      <c r="A236" t="inlineStr">
        <is>
          <t>Gazza minuta</t>
        </is>
      </c>
      <c r="B236">
        <f>IFERROR(INDEX(SPPR!$D:$D,MATCH($A236,SPPR!$A:$A,0)),"")</f>
        <v/>
      </c>
      <c r="C236">
        <f>IFERROR(INDEX(Catch!$E:$BV,MATCH($A236,Catch!$A:$A,0),MATCH($B$4,Catch!$E$1:$BV$1,0)),0)</f>
        <v/>
      </c>
      <c r="D236">
        <f>IFERROR(IF(ISNUMBER(INDEX(SPPR!$E:$Z,MATCH($A236,SPPR!$A:$A,0),1)),$C236*INDEX(SPPR!$E:$Z,MATCH($A236,SPPR!$A:$A,0),1),""),"")</f>
        <v/>
      </c>
      <c r="E236">
        <f>IFERROR(IF(ISNUMBER(INDEX(SPPR!$E:$Z,MATCH($A236,SPPR!$A:$A,0),2)),$C236*INDEX(SPPR!$E:$Z,MATCH($A236,SPPR!$A:$A,0),2),""),"")</f>
        <v/>
      </c>
      <c r="F236">
        <f>IFERROR(IF(ISNUMBER(INDEX(SPPR!$E:$Z,MATCH($A236,SPPR!$A:$A,0),3)),$C236*INDEX(SPPR!$E:$Z,MATCH($A236,SPPR!$A:$A,0),3),""),"")</f>
        <v/>
      </c>
      <c r="G236">
        <f>IFERROR(IF(ISNUMBER(INDEX(SPPR!$E:$Z,MATCH($A236,SPPR!$A:$A,0),4)),$C236*INDEX(SPPR!$E:$Z,MATCH($A236,SPPR!$A:$A,0),4),""),"")</f>
        <v/>
      </c>
      <c r="H236">
        <f>IFERROR(IF(ISNUMBER(INDEX(SPPR!$E:$Z,MATCH($A236,SPPR!$A:$A,0),5)),$C236*INDEX(SPPR!$E:$Z,MATCH($A236,SPPR!$A:$A,0),5),""),"")</f>
        <v/>
      </c>
      <c r="I236">
        <f>IFERROR(IF(ISNUMBER(INDEX(SPPR!$E:$Z,MATCH($A236,SPPR!$A:$A,0),6)),$C236*INDEX(SPPR!$E:$Z,MATCH($A236,SPPR!$A:$A,0),6),""),"")</f>
        <v/>
      </c>
      <c r="J236">
        <f>IFERROR(IF(ISNUMBER(INDEX(SPPR!$E:$Z,MATCH($A236,SPPR!$A:$A,0),7)),$C236*INDEX(SPPR!$E:$Z,MATCH($A236,SPPR!$A:$A,0),7),""),"")</f>
        <v/>
      </c>
      <c r="K236">
        <f>IFERROR(IF(ISNUMBER(INDEX(SPPR!$E:$Z,MATCH($A236,SPPR!$A:$A,0),8)),$C236*INDEX(SPPR!$E:$Z,MATCH($A236,SPPR!$A:$A,0),8),""),"")</f>
        <v/>
      </c>
      <c r="L236">
        <f>IFERROR(IF(ISNUMBER(INDEX(SPPR!$E:$Z,MATCH($A236,SPPR!$A:$A,0),9)),$C236*INDEX(SPPR!$E:$Z,MATCH($A236,SPPR!$A:$A,0),9),""),"")</f>
        <v/>
      </c>
      <c r="M236">
        <f>IFERROR(IF(ISNUMBER(INDEX(SPPR!$E:$Z,MATCH($A236,SPPR!$A:$A,0),10)),$C236*INDEX(SPPR!$E:$Z,MATCH($A236,SPPR!$A:$A,0),10),""),"")</f>
        <v/>
      </c>
      <c r="N236">
        <f>IFERROR(IF(ISNUMBER(INDEX(SPPR!$E:$Z,MATCH($A236,SPPR!$A:$A,0),11)),$C236*INDEX(SPPR!$E:$Z,MATCH($A236,SPPR!$A:$A,0),11),""),"")</f>
        <v/>
      </c>
      <c r="O236">
        <f>IFERROR(IF(ISNUMBER(INDEX(SPPR!$E:$Z,MATCH($A236,SPPR!$A:$A,0),12)),$C236*INDEX(SPPR!$E:$Z,MATCH($A236,SPPR!$A:$A,0),12),""),"")</f>
        <v/>
      </c>
      <c r="P236">
        <f>IFERROR(IF(ISNUMBER(INDEX(SPPR!$E:$Z,MATCH($A236,SPPR!$A:$A,0),13)),$C236*INDEX(SPPR!$E:$Z,MATCH($A236,SPPR!$A:$A,0),13),""),"")</f>
        <v/>
      </c>
      <c r="Q236">
        <f>IFERROR(IF(ISNUMBER(INDEX(SPPR!$E:$Z,MATCH($A236,SPPR!$A:$A,0),14)),$C236*INDEX(SPPR!$E:$Z,MATCH($A236,SPPR!$A:$A,0),14),""),"")</f>
        <v/>
      </c>
      <c r="R236">
        <f>IFERROR(IF(ISNUMBER(INDEX(SPPR!$E:$Z,MATCH($A236,SPPR!$A:$A,0),15)),$C236*INDEX(SPPR!$E:$Z,MATCH($A236,SPPR!$A:$A,0),15),""),"")</f>
        <v/>
      </c>
      <c r="S236">
        <f>IFERROR(IF(ISNUMBER(INDEX(SPPR!$E:$Z,MATCH($A236,SPPR!$A:$A,0),16)),$C236*INDEX(SPPR!$E:$Z,MATCH($A236,SPPR!$A:$A,0),16),""),"")</f>
        <v/>
      </c>
      <c r="T236">
        <f>IFERROR(IF(ISNUMBER(INDEX(SPPR!$E:$Z,MATCH($A236,SPPR!$A:$A,0),17)),$C236*INDEX(SPPR!$E:$Z,MATCH($A236,SPPR!$A:$A,0),17),""),"")</f>
        <v/>
      </c>
      <c r="U236">
        <f>IFERROR(IF(ISNUMBER(INDEX(SPPR!$E:$Z,MATCH($A236,SPPR!$A:$A,0),18)),$C236*INDEX(SPPR!$E:$Z,MATCH($A236,SPPR!$A:$A,0),18),""),"")</f>
        <v/>
      </c>
      <c r="V236">
        <f>IFERROR(IF(ISNUMBER(INDEX(SPPR!$E:$Z,MATCH($A236,SPPR!$A:$A,0),19)),$C236*INDEX(SPPR!$E:$Z,MATCH($A236,SPPR!$A:$A,0),19),""),"")</f>
        <v/>
      </c>
      <c r="W236">
        <f>IFERROR(IF(ISNUMBER(INDEX(SPPR!$E:$Z,MATCH($A236,SPPR!$A:$A,0),20)),$C236*INDEX(SPPR!$E:$Z,MATCH($A236,SPPR!$A:$A,0),20),""),"")</f>
        <v/>
      </c>
      <c r="X236">
        <f>IFERROR(IF(ISNUMBER(INDEX(SPPR!$E:$Z,MATCH($A236,SPPR!$A:$A,0),21)),$C236*INDEX(SPPR!$E:$Z,MATCH($A236,SPPR!$A:$A,0),21),""),"")</f>
        <v/>
      </c>
      <c r="Y236">
        <f>IFERROR(IF(ISNUMBER(INDEX(SPPR!$E:$Z,MATCH($A236,SPPR!$A:$A,0),22)),$C236*INDEX(SPPR!$E:$Z,MATCH($A236,SPPR!$A:$A,0),22),""),"")</f>
        <v/>
      </c>
    </row>
    <row r="237">
      <c r="A237" t="inlineStr">
        <is>
          <t>Panulirus homarus</t>
        </is>
      </c>
      <c r="B237">
        <f>IFERROR(INDEX(SPPR!$D:$D,MATCH($A237,SPPR!$A:$A,0)),"")</f>
        <v/>
      </c>
      <c r="C237">
        <f>IFERROR(INDEX(Catch!$E:$BV,MATCH($A237,Catch!$A:$A,0),MATCH($B$4,Catch!$E$1:$BV$1,0)),0)</f>
        <v/>
      </c>
      <c r="D237">
        <f>IFERROR(IF(ISNUMBER(INDEX(SPPR!$E:$Z,MATCH($A237,SPPR!$A:$A,0),1)),$C237*INDEX(SPPR!$E:$Z,MATCH($A237,SPPR!$A:$A,0),1),""),"")</f>
        <v/>
      </c>
      <c r="E237">
        <f>IFERROR(IF(ISNUMBER(INDEX(SPPR!$E:$Z,MATCH($A237,SPPR!$A:$A,0),2)),$C237*INDEX(SPPR!$E:$Z,MATCH($A237,SPPR!$A:$A,0),2),""),"")</f>
        <v/>
      </c>
      <c r="F237">
        <f>IFERROR(IF(ISNUMBER(INDEX(SPPR!$E:$Z,MATCH($A237,SPPR!$A:$A,0),3)),$C237*INDEX(SPPR!$E:$Z,MATCH($A237,SPPR!$A:$A,0),3),""),"")</f>
        <v/>
      </c>
      <c r="G237">
        <f>IFERROR(IF(ISNUMBER(INDEX(SPPR!$E:$Z,MATCH($A237,SPPR!$A:$A,0),4)),$C237*INDEX(SPPR!$E:$Z,MATCH($A237,SPPR!$A:$A,0),4),""),"")</f>
        <v/>
      </c>
      <c r="H237">
        <f>IFERROR(IF(ISNUMBER(INDEX(SPPR!$E:$Z,MATCH($A237,SPPR!$A:$A,0),5)),$C237*INDEX(SPPR!$E:$Z,MATCH($A237,SPPR!$A:$A,0),5),""),"")</f>
        <v/>
      </c>
      <c r="I237">
        <f>IFERROR(IF(ISNUMBER(INDEX(SPPR!$E:$Z,MATCH($A237,SPPR!$A:$A,0),6)),$C237*INDEX(SPPR!$E:$Z,MATCH($A237,SPPR!$A:$A,0),6),""),"")</f>
        <v/>
      </c>
      <c r="J237">
        <f>IFERROR(IF(ISNUMBER(INDEX(SPPR!$E:$Z,MATCH($A237,SPPR!$A:$A,0),7)),$C237*INDEX(SPPR!$E:$Z,MATCH($A237,SPPR!$A:$A,0),7),""),"")</f>
        <v/>
      </c>
      <c r="K237">
        <f>IFERROR(IF(ISNUMBER(INDEX(SPPR!$E:$Z,MATCH($A237,SPPR!$A:$A,0),8)),$C237*INDEX(SPPR!$E:$Z,MATCH($A237,SPPR!$A:$A,0),8),""),"")</f>
        <v/>
      </c>
      <c r="L237">
        <f>IFERROR(IF(ISNUMBER(INDEX(SPPR!$E:$Z,MATCH($A237,SPPR!$A:$A,0),9)),$C237*INDEX(SPPR!$E:$Z,MATCH($A237,SPPR!$A:$A,0),9),""),"")</f>
        <v/>
      </c>
      <c r="M237">
        <f>IFERROR(IF(ISNUMBER(INDEX(SPPR!$E:$Z,MATCH($A237,SPPR!$A:$A,0),10)),$C237*INDEX(SPPR!$E:$Z,MATCH($A237,SPPR!$A:$A,0),10),""),"")</f>
        <v/>
      </c>
      <c r="N237">
        <f>IFERROR(IF(ISNUMBER(INDEX(SPPR!$E:$Z,MATCH($A237,SPPR!$A:$A,0),11)),$C237*INDEX(SPPR!$E:$Z,MATCH($A237,SPPR!$A:$A,0),11),""),"")</f>
        <v/>
      </c>
      <c r="O237">
        <f>IFERROR(IF(ISNUMBER(INDEX(SPPR!$E:$Z,MATCH($A237,SPPR!$A:$A,0),12)),$C237*INDEX(SPPR!$E:$Z,MATCH($A237,SPPR!$A:$A,0),12),""),"")</f>
        <v/>
      </c>
      <c r="P237">
        <f>IFERROR(IF(ISNUMBER(INDEX(SPPR!$E:$Z,MATCH($A237,SPPR!$A:$A,0),13)),$C237*INDEX(SPPR!$E:$Z,MATCH($A237,SPPR!$A:$A,0),13),""),"")</f>
        <v/>
      </c>
      <c r="Q237">
        <f>IFERROR(IF(ISNUMBER(INDEX(SPPR!$E:$Z,MATCH($A237,SPPR!$A:$A,0),14)),$C237*INDEX(SPPR!$E:$Z,MATCH($A237,SPPR!$A:$A,0),14),""),"")</f>
        <v/>
      </c>
      <c r="R237">
        <f>IFERROR(IF(ISNUMBER(INDEX(SPPR!$E:$Z,MATCH($A237,SPPR!$A:$A,0),15)),$C237*INDEX(SPPR!$E:$Z,MATCH($A237,SPPR!$A:$A,0),15),""),"")</f>
        <v/>
      </c>
      <c r="S237">
        <f>IFERROR(IF(ISNUMBER(INDEX(SPPR!$E:$Z,MATCH($A237,SPPR!$A:$A,0),16)),$C237*INDEX(SPPR!$E:$Z,MATCH($A237,SPPR!$A:$A,0),16),""),"")</f>
        <v/>
      </c>
      <c r="T237">
        <f>IFERROR(IF(ISNUMBER(INDEX(SPPR!$E:$Z,MATCH($A237,SPPR!$A:$A,0),17)),$C237*INDEX(SPPR!$E:$Z,MATCH($A237,SPPR!$A:$A,0),17),""),"")</f>
        <v/>
      </c>
      <c r="U237">
        <f>IFERROR(IF(ISNUMBER(INDEX(SPPR!$E:$Z,MATCH($A237,SPPR!$A:$A,0),18)),$C237*INDEX(SPPR!$E:$Z,MATCH($A237,SPPR!$A:$A,0),18),""),"")</f>
        <v/>
      </c>
      <c r="V237">
        <f>IFERROR(IF(ISNUMBER(INDEX(SPPR!$E:$Z,MATCH($A237,SPPR!$A:$A,0),19)),$C237*INDEX(SPPR!$E:$Z,MATCH($A237,SPPR!$A:$A,0),19),""),"")</f>
        <v/>
      </c>
      <c r="W237">
        <f>IFERROR(IF(ISNUMBER(INDEX(SPPR!$E:$Z,MATCH($A237,SPPR!$A:$A,0),20)),$C237*INDEX(SPPR!$E:$Z,MATCH($A237,SPPR!$A:$A,0),20),""),"")</f>
        <v/>
      </c>
      <c r="X237">
        <f>IFERROR(IF(ISNUMBER(INDEX(SPPR!$E:$Z,MATCH($A237,SPPR!$A:$A,0),21)),$C237*INDEX(SPPR!$E:$Z,MATCH($A237,SPPR!$A:$A,0),21),""),"")</f>
        <v/>
      </c>
      <c r="Y237">
        <f>IFERROR(IF(ISNUMBER(INDEX(SPPR!$E:$Z,MATCH($A237,SPPR!$A:$A,0),22)),$C237*INDEX(SPPR!$E:$Z,MATCH($A237,SPPR!$A:$A,0),22),""),"")</f>
        <v/>
      </c>
    </row>
    <row r="238">
      <c r="A238" t="inlineStr">
        <is>
          <t>Crassostrea</t>
        </is>
      </c>
      <c r="B238">
        <f>IFERROR(INDEX(SPPR!$D:$D,MATCH($A238,SPPR!$A:$A,0)),"")</f>
        <v/>
      </c>
      <c r="C238">
        <f>IFERROR(INDEX(Catch!$E:$BV,MATCH($A238,Catch!$A:$A,0),MATCH($B$4,Catch!$E$1:$BV$1,0)),0)</f>
        <v/>
      </c>
      <c r="D238">
        <f>IFERROR(IF(ISNUMBER(INDEX(SPPR!$E:$Z,MATCH($A238,SPPR!$A:$A,0),1)),$C238*INDEX(SPPR!$E:$Z,MATCH($A238,SPPR!$A:$A,0),1),""),"")</f>
        <v/>
      </c>
      <c r="E238">
        <f>IFERROR(IF(ISNUMBER(INDEX(SPPR!$E:$Z,MATCH($A238,SPPR!$A:$A,0),2)),$C238*INDEX(SPPR!$E:$Z,MATCH($A238,SPPR!$A:$A,0),2),""),"")</f>
        <v/>
      </c>
      <c r="F238">
        <f>IFERROR(IF(ISNUMBER(INDEX(SPPR!$E:$Z,MATCH($A238,SPPR!$A:$A,0),3)),$C238*INDEX(SPPR!$E:$Z,MATCH($A238,SPPR!$A:$A,0),3),""),"")</f>
        <v/>
      </c>
      <c r="G238">
        <f>IFERROR(IF(ISNUMBER(INDEX(SPPR!$E:$Z,MATCH($A238,SPPR!$A:$A,0),4)),$C238*INDEX(SPPR!$E:$Z,MATCH($A238,SPPR!$A:$A,0),4),""),"")</f>
        <v/>
      </c>
      <c r="H238">
        <f>IFERROR(IF(ISNUMBER(INDEX(SPPR!$E:$Z,MATCH($A238,SPPR!$A:$A,0),5)),$C238*INDEX(SPPR!$E:$Z,MATCH($A238,SPPR!$A:$A,0),5),""),"")</f>
        <v/>
      </c>
      <c r="I238">
        <f>IFERROR(IF(ISNUMBER(INDEX(SPPR!$E:$Z,MATCH($A238,SPPR!$A:$A,0),6)),$C238*INDEX(SPPR!$E:$Z,MATCH($A238,SPPR!$A:$A,0),6),""),"")</f>
        <v/>
      </c>
      <c r="J238">
        <f>IFERROR(IF(ISNUMBER(INDEX(SPPR!$E:$Z,MATCH($A238,SPPR!$A:$A,0),7)),$C238*INDEX(SPPR!$E:$Z,MATCH($A238,SPPR!$A:$A,0),7),""),"")</f>
        <v/>
      </c>
      <c r="K238">
        <f>IFERROR(IF(ISNUMBER(INDEX(SPPR!$E:$Z,MATCH($A238,SPPR!$A:$A,0),8)),$C238*INDEX(SPPR!$E:$Z,MATCH($A238,SPPR!$A:$A,0),8),""),"")</f>
        <v/>
      </c>
      <c r="L238">
        <f>IFERROR(IF(ISNUMBER(INDEX(SPPR!$E:$Z,MATCH($A238,SPPR!$A:$A,0),9)),$C238*INDEX(SPPR!$E:$Z,MATCH($A238,SPPR!$A:$A,0),9),""),"")</f>
        <v/>
      </c>
      <c r="M238">
        <f>IFERROR(IF(ISNUMBER(INDEX(SPPR!$E:$Z,MATCH($A238,SPPR!$A:$A,0),10)),$C238*INDEX(SPPR!$E:$Z,MATCH($A238,SPPR!$A:$A,0),10),""),"")</f>
        <v/>
      </c>
      <c r="N238">
        <f>IFERROR(IF(ISNUMBER(INDEX(SPPR!$E:$Z,MATCH($A238,SPPR!$A:$A,0),11)),$C238*INDEX(SPPR!$E:$Z,MATCH($A238,SPPR!$A:$A,0),11),""),"")</f>
        <v/>
      </c>
      <c r="O238">
        <f>IFERROR(IF(ISNUMBER(INDEX(SPPR!$E:$Z,MATCH($A238,SPPR!$A:$A,0),12)),$C238*INDEX(SPPR!$E:$Z,MATCH($A238,SPPR!$A:$A,0),12),""),"")</f>
        <v/>
      </c>
      <c r="P238">
        <f>IFERROR(IF(ISNUMBER(INDEX(SPPR!$E:$Z,MATCH($A238,SPPR!$A:$A,0),13)),$C238*INDEX(SPPR!$E:$Z,MATCH($A238,SPPR!$A:$A,0),13),""),"")</f>
        <v/>
      </c>
      <c r="Q238">
        <f>IFERROR(IF(ISNUMBER(INDEX(SPPR!$E:$Z,MATCH($A238,SPPR!$A:$A,0),14)),$C238*INDEX(SPPR!$E:$Z,MATCH($A238,SPPR!$A:$A,0),14),""),"")</f>
        <v/>
      </c>
      <c r="R238">
        <f>IFERROR(IF(ISNUMBER(INDEX(SPPR!$E:$Z,MATCH($A238,SPPR!$A:$A,0),15)),$C238*INDEX(SPPR!$E:$Z,MATCH($A238,SPPR!$A:$A,0),15),""),"")</f>
        <v/>
      </c>
      <c r="S238">
        <f>IFERROR(IF(ISNUMBER(INDEX(SPPR!$E:$Z,MATCH($A238,SPPR!$A:$A,0),16)),$C238*INDEX(SPPR!$E:$Z,MATCH($A238,SPPR!$A:$A,0),16),""),"")</f>
        <v/>
      </c>
      <c r="T238">
        <f>IFERROR(IF(ISNUMBER(INDEX(SPPR!$E:$Z,MATCH($A238,SPPR!$A:$A,0),17)),$C238*INDEX(SPPR!$E:$Z,MATCH($A238,SPPR!$A:$A,0),17),""),"")</f>
        <v/>
      </c>
      <c r="U238">
        <f>IFERROR(IF(ISNUMBER(INDEX(SPPR!$E:$Z,MATCH($A238,SPPR!$A:$A,0),18)),$C238*INDEX(SPPR!$E:$Z,MATCH($A238,SPPR!$A:$A,0),18),""),"")</f>
        <v/>
      </c>
      <c r="V238">
        <f>IFERROR(IF(ISNUMBER(INDEX(SPPR!$E:$Z,MATCH($A238,SPPR!$A:$A,0),19)),$C238*INDEX(SPPR!$E:$Z,MATCH($A238,SPPR!$A:$A,0),19),""),"")</f>
        <v/>
      </c>
      <c r="W238">
        <f>IFERROR(IF(ISNUMBER(INDEX(SPPR!$E:$Z,MATCH($A238,SPPR!$A:$A,0),20)),$C238*INDEX(SPPR!$E:$Z,MATCH($A238,SPPR!$A:$A,0),20),""),"")</f>
        <v/>
      </c>
      <c r="X238">
        <f>IFERROR(IF(ISNUMBER(INDEX(SPPR!$E:$Z,MATCH($A238,SPPR!$A:$A,0),21)),$C238*INDEX(SPPR!$E:$Z,MATCH($A238,SPPR!$A:$A,0),21),""),"")</f>
        <v/>
      </c>
      <c r="Y238">
        <f>IFERROR(IF(ISNUMBER(INDEX(SPPR!$E:$Z,MATCH($A238,SPPR!$A:$A,0),22)),$C238*INDEX(SPPR!$E:$Z,MATCH($A238,SPPR!$A:$A,0),22),""),"")</f>
        <v/>
      </c>
    </row>
    <row r="239">
      <c r="A239" t="inlineStr">
        <is>
          <t>Drepane</t>
        </is>
      </c>
      <c r="B239">
        <f>IFERROR(INDEX(SPPR!$D:$D,MATCH($A239,SPPR!$A:$A,0)),"")</f>
        <v/>
      </c>
      <c r="C239">
        <f>IFERROR(INDEX(Catch!$E:$BV,MATCH($A239,Catch!$A:$A,0),MATCH($B$4,Catch!$E$1:$BV$1,0)),0)</f>
        <v/>
      </c>
      <c r="D239">
        <f>IFERROR(IF(ISNUMBER(INDEX(SPPR!$E:$Z,MATCH($A239,SPPR!$A:$A,0),1)),$C239*INDEX(SPPR!$E:$Z,MATCH($A239,SPPR!$A:$A,0),1),""),"")</f>
        <v/>
      </c>
      <c r="E239">
        <f>IFERROR(IF(ISNUMBER(INDEX(SPPR!$E:$Z,MATCH($A239,SPPR!$A:$A,0),2)),$C239*INDEX(SPPR!$E:$Z,MATCH($A239,SPPR!$A:$A,0),2),""),"")</f>
        <v/>
      </c>
      <c r="F239">
        <f>IFERROR(IF(ISNUMBER(INDEX(SPPR!$E:$Z,MATCH($A239,SPPR!$A:$A,0),3)),$C239*INDEX(SPPR!$E:$Z,MATCH($A239,SPPR!$A:$A,0),3),""),"")</f>
        <v/>
      </c>
      <c r="G239">
        <f>IFERROR(IF(ISNUMBER(INDEX(SPPR!$E:$Z,MATCH($A239,SPPR!$A:$A,0),4)),$C239*INDEX(SPPR!$E:$Z,MATCH($A239,SPPR!$A:$A,0),4),""),"")</f>
        <v/>
      </c>
      <c r="H239">
        <f>IFERROR(IF(ISNUMBER(INDEX(SPPR!$E:$Z,MATCH($A239,SPPR!$A:$A,0),5)),$C239*INDEX(SPPR!$E:$Z,MATCH($A239,SPPR!$A:$A,0),5),""),"")</f>
        <v/>
      </c>
      <c r="I239">
        <f>IFERROR(IF(ISNUMBER(INDEX(SPPR!$E:$Z,MATCH($A239,SPPR!$A:$A,0),6)),$C239*INDEX(SPPR!$E:$Z,MATCH($A239,SPPR!$A:$A,0),6),""),"")</f>
        <v/>
      </c>
      <c r="J239">
        <f>IFERROR(IF(ISNUMBER(INDEX(SPPR!$E:$Z,MATCH($A239,SPPR!$A:$A,0),7)),$C239*INDEX(SPPR!$E:$Z,MATCH($A239,SPPR!$A:$A,0),7),""),"")</f>
        <v/>
      </c>
      <c r="K239">
        <f>IFERROR(IF(ISNUMBER(INDEX(SPPR!$E:$Z,MATCH($A239,SPPR!$A:$A,0),8)),$C239*INDEX(SPPR!$E:$Z,MATCH($A239,SPPR!$A:$A,0),8),""),"")</f>
        <v/>
      </c>
      <c r="L239">
        <f>IFERROR(IF(ISNUMBER(INDEX(SPPR!$E:$Z,MATCH($A239,SPPR!$A:$A,0),9)),$C239*INDEX(SPPR!$E:$Z,MATCH($A239,SPPR!$A:$A,0),9),""),"")</f>
        <v/>
      </c>
      <c r="M239">
        <f>IFERROR(IF(ISNUMBER(INDEX(SPPR!$E:$Z,MATCH($A239,SPPR!$A:$A,0),10)),$C239*INDEX(SPPR!$E:$Z,MATCH($A239,SPPR!$A:$A,0),10),""),"")</f>
        <v/>
      </c>
      <c r="N239">
        <f>IFERROR(IF(ISNUMBER(INDEX(SPPR!$E:$Z,MATCH($A239,SPPR!$A:$A,0),11)),$C239*INDEX(SPPR!$E:$Z,MATCH($A239,SPPR!$A:$A,0),11),""),"")</f>
        <v/>
      </c>
      <c r="O239">
        <f>IFERROR(IF(ISNUMBER(INDEX(SPPR!$E:$Z,MATCH($A239,SPPR!$A:$A,0),12)),$C239*INDEX(SPPR!$E:$Z,MATCH($A239,SPPR!$A:$A,0),12),""),"")</f>
        <v/>
      </c>
      <c r="P239">
        <f>IFERROR(IF(ISNUMBER(INDEX(SPPR!$E:$Z,MATCH($A239,SPPR!$A:$A,0),13)),$C239*INDEX(SPPR!$E:$Z,MATCH($A239,SPPR!$A:$A,0),13),""),"")</f>
        <v/>
      </c>
      <c r="Q239">
        <f>IFERROR(IF(ISNUMBER(INDEX(SPPR!$E:$Z,MATCH($A239,SPPR!$A:$A,0),14)),$C239*INDEX(SPPR!$E:$Z,MATCH($A239,SPPR!$A:$A,0),14),""),"")</f>
        <v/>
      </c>
      <c r="R239">
        <f>IFERROR(IF(ISNUMBER(INDEX(SPPR!$E:$Z,MATCH($A239,SPPR!$A:$A,0),15)),$C239*INDEX(SPPR!$E:$Z,MATCH($A239,SPPR!$A:$A,0),15),""),"")</f>
        <v/>
      </c>
      <c r="S239">
        <f>IFERROR(IF(ISNUMBER(INDEX(SPPR!$E:$Z,MATCH($A239,SPPR!$A:$A,0),16)),$C239*INDEX(SPPR!$E:$Z,MATCH($A239,SPPR!$A:$A,0),16),""),"")</f>
        <v/>
      </c>
      <c r="T239">
        <f>IFERROR(IF(ISNUMBER(INDEX(SPPR!$E:$Z,MATCH($A239,SPPR!$A:$A,0),17)),$C239*INDEX(SPPR!$E:$Z,MATCH($A239,SPPR!$A:$A,0),17),""),"")</f>
        <v/>
      </c>
      <c r="U239">
        <f>IFERROR(IF(ISNUMBER(INDEX(SPPR!$E:$Z,MATCH($A239,SPPR!$A:$A,0),18)),$C239*INDEX(SPPR!$E:$Z,MATCH($A239,SPPR!$A:$A,0),18),""),"")</f>
        <v/>
      </c>
      <c r="V239">
        <f>IFERROR(IF(ISNUMBER(INDEX(SPPR!$E:$Z,MATCH($A239,SPPR!$A:$A,0),19)),$C239*INDEX(SPPR!$E:$Z,MATCH($A239,SPPR!$A:$A,0),19),""),"")</f>
        <v/>
      </c>
      <c r="W239">
        <f>IFERROR(IF(ISNUMBER(INDEX(SPPR!$E:$Z,MATCH($A239,SPPR!$A:$A,0),20)),$C239*INDEX(SPPR!$E:$Z,MATCH($A239,SPPR!$A:$A,0),20),""),"")</f>
        <v/>
      </c>
      <c r="X239">
        <f>IFERROR(IF(ISNUMBER(INDEX(SPPR!$E:$Z,MATCH($A239,SPPR!$A:$A,0),21)),$C239*INDEX(SPPR!$E:$Z,MATCH($A239,SPPR!$A:$A,0),21),""),"")</f>
        <v/>
      </c>
      <c r="Y239">
        <f>IFERROR(IF(ISNUMBER(INDEX(SPPR!$E:$Z,MATCH($A239,SPPR!$A:$A,0),22)),$C239*INDEX(SPPR!$E:$Z,MATCH($A239,SPPR!$A:$A,0),22),""),"")</f>
        <v/>
      </c>
    </row>
    <row r="240">
      <c r="A240" t="inlineStr">
        <is>
          <t>Coryphaena hippurus</t>
        </is>
      </c>
      <c r="B240">
        <f>IFERROR(INDEX(SPPR!$D:$D,MATCH($A240,SPPR!$A:$A,0)),"")</f>
        <v/>
      </c>
      <c r="C240">
        <f>IFERROR(INDEX(Catch!$E:$BV,MATCH($A240,Catch!$A:$A,0),MATCH($B$4,Catch!$E$1:$BV$1,0)),0)</f>
        <v/>
      </c>
      <c r="D240">
        <f>IFERROR(IF(ISNUMBER(INDEX(SPPR!$E:$Z,MATCH($A240,SPPR!$A:$A,0),1)),$C240*INDEX(SPPR!$E:$Z,MATCH($A240,SPPR!$A:$A,0),1),""),"")</f>
        <v/>
      </c>
      <c r="E240">
        <f>IFERROR(IF(ISNUMBER(INDEX(SPPR!$E:$Z,MATCH($A240,SPPR!$A:$A,0),2)),$C240*INDEX(SPPR!$E:$Z,MATCH($A240,SPPR!$A:$A,0),2),""),"")</f>
        <v/>
      </c>
      <c r="F240">
        <f>IFERROR(IF(ISNUMBER(INDEX(SPPR!$E:$Z,MATCH($A240,SPPR!$A:$A,0),3)),$C240*INDEX(SPPR!$E:$Z,MATCH($A240,SPPR!$A:$A,0),3),""),"")</f>
        <v/>
      </c>
      <c r="G240">
        <f>IFERROR(IF(ISNUMBER(INDEX(SPPR!$E:$Z,MATCH($A240,SPPR!$A:$A,0),4)),$C240*INDEX(SPPR!$E:$Z,MATCH($A240,SPPR!$A:$A,0),4),""),"")</f>
        <v/>
      </c>
      <c r="H240">
        <f>IFERROR(IF(ISNUMBER(INDEX(SPPR!$E:$Z,MATCH($A240,SPPR!$A:$A,0),5)),$C240*INDEX(SPPR!$E:$Z,MATCH($A240,SPPR!$A:$A,0),5),""),"")</f>
        <v/>
      </c>
      <c r="I240">
        <f>IFERROR(IF(ISNUMBER(INDEX(SPPR!$E:$Z,MATCH($A240,SPPR!$A:$A,0),6)),$C240*INDEX(SPPR!$E:$Z,MATCH($A240,SPPR!$A:$A,0),6),""),"")</f>
        <v/>
      </c>
      <c r="J240">
        <f>IFERROR(IF(ISNUMBER(INDEX(SPPR!$E:$Z,MATCH($A240,SPPR!$A:$A,0),7)),$C240*INDEX(SPPR!$E:$Z,MATCH($A240,SPPR!$A:$A,0),7),""),"")</f>
        <v/>
      </c>
      <c r="K240">
        <f>IFERROR(IF(ISNUMBER(INDEX(SPPR!$E:$Z,MATCH($A240,SPPR!$A:$A,0),8)),$C240*INDEX(SPPR!$E:$Z,MATCH($A240,SPPR!$A:$A,0),8),""),"")</f>
        <v/>
      </c>
      <c r="L240">
        <f>IFERROR(IF(ISNUMBER(INDEX(SPPR!$E:$Z,MATCH($A240,SPPR!$A:$A,0),9)),$C240*INDEX(SPPR!$E:$Z,MATCH($A240,SPPR!$A:$A,0),9),""),"")</f>
        <v/>
      </c>
      <c r="M240">
        <f>IFERROR(IF(ISNUMBER(INDEX(SPPR!$E:$Z,MATCH($A240,SPPR!$A:$A,0),10)),$C240*INDEX(SPPR!$E:$Z,MATCH($A240,SPPR!$A:$A,0),10),""),"")</f>
        <v/>
      </c>
      <c r="N240">
        <f>IFERROR(IF(ISNUMBER(INDEX(SPPR!$E:$Z,MATCH($A240,SPPR!$A:$A,0),11)),$C240*INDEX(SPPR!$E:$Z,MATCH($A240,SPPR!$A:$A,0),11),""),"")</f>
        <v/>
      </c>
      <c r="O240">
        <f>IFERROR(IF(ISNUMBER(INDEX(SPPR!$E:$Z,MATCH($A240,SPPR!$A:$A,0),12)),$C240*INDEX(SPPR!$E:$Z,MATCH($A240,SPPR!$A:$A,0),12),""),"")</f>
        <v/>
      </c>
      <c r="P240">
        <f>IFERROR(IF(ISNUMBER(INDEX(SPPR!$E:$Z,MATCH($A240,SPPR!$A:$A,0),13)),$C240*INDEX(SPPR!$E:$Z,MATCH($A240,SPPR!$A:$A,0),13),""),"")</f>
        <v/>
      </c>
      <c r="Q240">
        <f>IFERROR(IF(ISNUMBER(INDEX(SPPR!$E:$Z,MATCH($A240,SPPR!$A:$A,0),14)),$C240*INDEX(SPPR!$E:$Z,MATCH($A240,SPPR!$A:$A,0),14),""),"")</f>
        <v/>
      </c>
      <c r="R240">
        <f>IFERROR(IF(ISNUMBER(INDEX(SPPR!$E:$Z,MATCH($A240,SPPR!$A:$A,0),15)),$C240*INDEX(SPPR!$E:$Z,MATCH($A240,SPPR!$A:$A,0),15),""),"")</f>
        <v/>
      </c>
      <c r="S240">
        <f>IFERROR(IF(ISNUMBER(INDEX(SPPR!$E:$Z,MATCH($A240,SPPR!$A:$A,0),16)),$C240*INDEX(SPPR!$E:$Z,MATCH($A240,SPPR!$A:$A,0),16),""),"")</f>
        <v/>
      </c>
      <c r="T240">
        <f>IFERROR(IF(ISNUMBER(INDEX(SPPR!$E:$Z,MATCH($A240,SPPR!$A:$A,0),17)),$C240*INDEX(SPPR!$E:$Z,MATCH($A240,SPPR!$A:$A,0),17),""),"")</f>
        <v/>
      </c>
      <c r="U240">
        <f>IFERROR(IF(ISNUMBER(INDEX(SPPR!$E:$Z,MATCH($A240,SPPR!$A:$A,0),18)),$C240*INDEX(SPPR!$E:$Z,MATCH($A240,SPPR!$A:$A,0),18),""),"")</f>
        <v/>
      </c>
      <c r="V240">
        <f>IFERROR(IF(ISNUMBER(INDEX(SPPR!$E:$Z,MATCH($A240,SPPR!$A:$A,0),19)),$C240*INDEX(SPPR!$E:$Z,MATCH($A240,SPPR!$A:$A,0),19),""),"")</f>
        <v/>
      </c>
      <c r="W240">
        <f>IFERROR(IF(ISNUMBER(INDEX(SPPR!$E:$Z,MATCH($A240,SPPR!$A:$A,0),20)),$C240*INDEX(SPPR!$E:$Z,MATCH($A240,SPPR!$A:$A,0),20),""),"")</f>
        <v/>
      </c>
      <c r="X240">
        <f>IFERROR(IF(ISNUMBER(INDEX(SPPR!$E:$Z,MATCH($A240,SPPR!$A:$A,0),21)),$C240*INDEX(SPPR!$E:$Z,MATCH($A240,SPPR!$A:$A,0),21),""),"")</f>
        <v/>
      </c>
      <c r="Y240">
        <f>IFERROR(IF(ISNUMBER(INDEX(SPPR!$E:$Z,MATCH($A240,SPPR!$A:$A,0),22)),$C240*INDEX(SPPR!$E:$Z,MATCH($A240,SPPR!$A:$A,0),22),""),"")</f>
        <v/>
      </c>
    </row>
    <row r="241">
      <c r="A241" t="inlineStr">
        <is>
          <t>Latidae</t>
        </is>
      </c>
      <c r="B241">
        <f>IFERROR(INDEX(SPPR!$D:$D,MATCH($A241,SPPR!$A:$A,0)),"")</f>
        <v/>
      </c>
      <c r="C241">
        <f>IFERROR(INDEX(Catch!$E:$BV,MATCH($A241,Catch!$A:$A,0),MATCH($B$4,Catch!$E$1:$BV$1,0)),0)</f>
        <v/>
      </c>
      <c r="D241">
        <f>IFERROR(IF(ISNUMBER(INDEX(SPPR!$E:$Z,MATCH($A241,SPPR!$A:$A,0),1)),$C241*INDEX(SPPR!$E:$Z,MATCH($A241,SPPR!$A:$A,0),1),""),"")</f>
        <v/>
      </c>
      <c r="E241">
        <f>IFERROR(IF(ISNUMBER(INDEX(SPPR!$E:$Z,MATCH($A241,SPPR!$A:$A,0),2)),$C241*INDEX(SPPR!$E:$Z,MATCH($A241,SPPR!$A:$A,0),2),""),"")</f>
        <v/>
      </c>
      <c r="F241">
        <f>IFERROR(IF(ISNUMBER(INDEX(SPPR!$E:$Z,MATCH($A241,SPPR!$A:$A,0),3)),$C241*INDEX(SPPR!$E:$Z,MATCH($A241,SPPR!$A:$A,0),3),""),"")</f>
        <v/>
      </c>
      <c r="G241">
        <f>IFERROR(IF(ISNUMBER(INDEX(SPPR!$E:$Z,MATCH($A241,SPPR!$A:$A,0),4)),$C241*INDEX(SPPR!$E:$Z,MATCH($A241,SPPR!$A:$A,0),4),""),"")</f>
        <v/>
      </c>
      <c r="H241">
        <f>IFERROR(IF(ISNUMBER(INDEX(SPPR!$E:$Z,MATCH($A241,SPPR!$A:$A,0),5)),$C241*INDEX(SPPR!$E:$Z,MATCH($A241,SPPR!$A:$A,0),5),""),"")</f>
        <v/>
      </c>
      <c r="I241">
        <f>IFERROR(IF(ISNUMBER(INDEX(SPPR!$E:$Z,MATCH($A241,SPPR!$A:$A,0),6)),$C241*INDEX(SPPR!$E:$Z,MATCH($A241,SPPR!$A:$A,0),6),""),"")</f>
        <v/>
      </c>
      <c r="J241">
        <f>IFERROR(IF(ISNUMBER(INDEX(SPPR!$E:$Z,MATCH($A241,SPPR!$A:$A,0),7)),$C241*INDEX(SPPR!$E:$Z,MATCH($A241,SPPR!$A:$A,0),7),""),"")</f>
        <v/>
      </c>
      <c r="K241">
        <f>IFERROR(IF(ISNUMBER(INDEX(SPPR!$E:$Z,MATCH($A241,SPPR!$A:$A,0),8)),$C241*INDEX(SPPR!$E:$Z,MATCH($A241,SPPR!$A:$A,0),8),""),"")</f>
        <v/>
      </c>
      <c r="L241">
        <f>IFERROR(IF(ISNUMBER(INDEX(SPPR!$E:$Z,MATCH($A241,SPPR!$A:$A,0),9)),$C241*INDEX(SPPR!$E:$Z,MATCH($A241,SPPR!$A:$A,0),9),""),"")</f>
        <v/>
      </c>
      <c r="M241">
        <f>IFERROR(IF(ISNUMBER(INDEX(SPPR!$E:$Z,MATCH($A241,SPPR!$A:$A,0),10)),$C241*INDEX(SPPR!$E:$Z,MATCH($A241,SPPR!$A:$A,0),10),""),"")</f>
        <v/>
      </c>
      <c r="N241">
        <f>IFERROR(IF(ISNUMBER(INDEX(SPPR!$E:$Z,MATCH($A241,SPPR!$A:$A,0),11)),$C241*INDEX(SPPR!$E:$Z,MATCH($A241,SPPR!$A:$A,0),11),""),"")</f>
        <v/>
      </c>
      <c r="O241">
        <f>IFERROR(IF(ISNUMBER(INDEX(SPPR!$E:$Z,MATCH($A241,SPPR!$A:$A,0),12)),$C241*INDEX(SPPR!$E:$Z,MATCH($A241,SPPR!$A:$A,0),12),""),"")</f>
        <v/>
      </c>
      <c r="P241">
        <f>IFERROR(IF(ISNUMBER(INDEX(SPPR!$E:$Z,MATCH($A241,SPPR!$A:$A,0),13)),$C241*INDEX(SPPR!$E:$Z,MATCH($A241,SPPR!$A:$A,0),13),""),"")</f>
        <v/>
      </c>
      <c r="Q241">
        <f>IFERROR(IF(ISNUMBER(INDEX(SPPR!$E:$Z,MATCH($A241,SPPR!$A:$A,0),14)),$C241*INDEX(SPPR!$E:$Z,MATCH($A241,SPPR!$A:$A,0),14),""),"")</f>
        <v/>
      </c>
      <c r="R241">
        <f>IFERROR(IF(ISNUMBER(INDEX(SPPR!$E:$Z,MATCH($A241,SPPR!$A:$A,0),15)),$C241*INDEX(SPPR!$E:$Z,MATCH($A241,SPPR!$A:$A,0),15),""),"")</f>
        <v/>
      </c>
      <c r="S241">
        <f>IFERROR(IF(ISNUMBER(INDEX(SPPR!$E:$Z,MATCH($A241,SPPR!$A:$A,0),16)),$C241*INDEX(SPPR!$E:$Z,MATCH($A241,SPPR!$A:$A,0),16),""),"")</f>
        <v/>
      </c>
      <c r="T241">
        <f>IFERROR(IF(ISNUMBER(INDEX(SPPR!$E:$Z,MATCH($A241,SPPR!$A:$A,0),17)),$C241*INDEX(SPPR!$E:$Z,MATCH($A241,SPPR!$A:$A,0),17),""),"")</f>
        <v/>
      </c>
      <c r="U241">
        <f>IFERROR(IF(ISNUMBER(INDEX(SPPR!$E:$Z,MATCH($A241,SPPR!$A:$A,0),18)),$C241*INDEX(SPPR!$E:$Z,MATCH($A241,SPPR!$A:$A,0),18),""),"")</f>
        <v/>
      </c>
      <c r="V241">
        <f>IFERROR(IF(ISNUMBER(INDEX(SPPR!$E:$Z,MATCH($A241,SPPR!$A:$A,0),19)),$C241*INDEX(SPPR!$E:$Z,MATCH($A241,SPPR!$A:$A,0),19),""),"")</f>
        <v/>
      </c>
      <c r="W241">
        <f>IFERROR(IF(ISNUMBER(INDEX(SPPR!$E:$Z,MATCH($A241,SPPR!$A:$A,0),20)),$C241*INDEX(SPPR!$E:$Z,MATCH($A241,SPPR!$A:$A,0),20),""),"")</f>
        <v/>
      </c>
      <c r="X241">
        <f>IFERROR(IF(ISNUMBER(INDEX(SPPR!$E:$Z,MATCH($A241,SPPR!$A:$A,0),21)),$C241*INDEX(SPPR!$E:$Z,MATCH($A241,SPPR!$A:$A,0),21),""),"")</f>
        <v/>
      </c>
      <c r="Y241">
        <f>IFERROR(IF(ISNUMBER(INDEX(SPPR!$E:$Z,MATCH($A241,SPPR!$A:$A,0),22)),$C241*INDEX(SPPR!$E:$Z,MATCH($A241,SPPR!$A:$A,0),22),""),"")</f>
        <v/>
      </c>
    </row>
    <row r="242">
      <c r="A242" t="inlineStr">
        <is>
          <t>Carcharhinus longimanus</t>
        </is>
      </c>
      <c r="B242">
        <f>IFERROR(INDEX(SPPR!$D:$D,MATCH($A242,SPPR!$A:$A,0)),"")</f>
        <v/>
      </c>
      <c r="C242">
        <f>IFERROR(INDEX(Catch!$E:$BV,MATCH($A242,Catch!$A:$A,0),MATCH($B$4,Catch!$E$1:$BV$1,0)),0)</f>
        <v/>
      </c>
      <c r="D242">
        <f>IFERROR(IF(ISNUMBER(INDEX(SPPR!$E:$Z,MATCH($A242,SPPR!$A:$A,0),1)),$C242*INDEX(SPPR!$E:$Z,MATCH($A242,SPPR!$A:$A,0),1),""),"")</f>
        <v/>
      </c>
      <c r="E242">
        <f>IFERROR(IF(ISNUMBER(INDEX(SPPR!$E:$Z,MATCH($A242,SPPR!$A:$A,0),2)),$C242*INDEX(SPPR!$E:$Z,MATCH($A242,SPPR!$A:$A,0),2),""),"")</f>
        <v/>
      </c>
      <c r="F242">
        <f>IFERROR(IF(ISNUMBER(INDEX(SPPR!$E:$Z,MATCH($A242,SPPR!$A:$A,0),3)),$C242*INDEX(SPPR!$E:$Z,MATCH($A242,SPPR!$A:$A,0),3),""),"")</f>
        <v/>
      </c>
      <c r="G242">
        <f>IFERROR(IF(ISNUMBER(INDEX(SPPR!$E:$Z,MATCH($A242,SPPR!$A:$A,0),4)),$C242*INDEX(SPPR!$E:$Z,MATCH($A242,SPPR!$A:$A,0),4),""),"")</f>
        <v/>
      </c>
      <c r="H242">
        <f>IFERROR(IF(ISNUMBER(INDEX(SPPR!$E:$Z,MATCH($A242,SPPR!$A:$A,0),5)),$C242*INDEX(SPPR!$E:$Z,MATCH($A242,SPPR!$A:$A,0),5),""),"")</f>
        <v/>
      </c>
      <c r="I242">
        <f>IFERROR(IF(ISNUMBER(INDEX(SPPR!$E:$Z,MATCH($A242,SPPR!$A:$A,0),6)),$C242*INDEX(SPPR!$E:$Z,MATCH($A242,SPPR!$A:$A,0),6),""),"")</f>
        <v/>
      </c>
      <c r="J242">
        <f>IFERROR(IF(ISNUMBER(INDEX(SPPR!$E:$Z,MATCH($A242,SPPR!$A:$A,0),7)),$C242*INDEX(SPPR!$E:$Z,MATCH($A242,SPPR!$A:$A,0),7),""),"")</f>
        <v/>
      </c>
      <c r="K242">
        <f>IFERROR(IF(ISNUMBER(INDEX(SPPR!$E:$Z,MATCH($A242,SPPR!$A:$A,0),8)),$C242*INDEX(SPPR!$E:$Z,MATCH($A242,SPPR!$A:$A,0),8),""),"")</f>
        <v/>
      </c>
      <c r="L242">
        <f>IFERROR(IF(ISNUMBER(INDEX(SPPR!$E:$Z,MATCH($A242,SPPR!$A:$A,0),9)),$C242*INDEX(SPPR!$E:$Z,MATCH($A242,SPPR!$A:$A,0),9),""),"")</f>
        <v/>
      </c>
      <c r="M242">
        <f>IFERROR(IF(ISNUMBER(INDEX(SPPR!$E:$Z,MATCH($A242,SPPR!$A:$A,0),10)),$C242*INDEX(SPPR!$E:$Z,MATCH($A242,SPPR!$A:$A,0),10),""),"")</f>
        <v/>
      </c>
      <c r="N242">
        <f>IFERROR(IF(ISNUMBER(INDEX(SPPR!$E:$Z,MATCH($A242,SPPR!$A:$A,0),11)),$C242*INDEX(SPPR!$E:$Z,MATCH($A242,SPPR!$A:$A,0),11),""),"")</f>
        <v/>
      </c>
      <c r="O242">
        <f>IFERROR(IF(ISNUMBER(INDEX(SPPR!$E:$Z,MATCH($A242,SPPR!$A:$A,0),12)),$C242*INDEX(SPPR!$E:$Z,MATCH($A242,SPPR!$A:$A,0),12),""),"")</f>
        <v/>
      </c>
      <c r="P242">
        <f>IFERROR(IF(ISNUMBER(INDEX(SPPR!$E:$Z,MATCH($A242,SPPR!$A:$A,0),13)),$C242*INDEX(SPPR!$E:$Z,MATCH($A242,SPPR!$A:$A,0),13),""),"")</f>
        <v/>
      </c>
      <c r="Q242">
        <f>IFERROR(IF(ISNUMBER(INDEX(SPPR!$E:$Z,MATCH($A242,SPPR!$A:$A,0),14)),$C242*INDEX(SPPR!$E:$Z,MATCH($A242,SPPR!$A:$A,0),14),""),"")</f>
        <v/>
      </c>
      <c r="R242">
        <f>IFERROR(IF(ISNUMBER(INDEX(SPPR!$E:$Z,MATCH($A242,SPPR!$A:$A,0),15)),$C242*INDEX(SPPR!$E:$Z,MATCH($A242,SPPR!$A:$A,0),15),""),"")</f>
        <v/>
      </c>
      <c r="S242">
        <f>IFERROR(IF(ISNUMBER(INDEX(SPPR!$E:$Z,MATCH($A242,SPPR!$A:$A,0),16)),$C242*INDEX(SPPR!$E:$Z,MATCH($A242,SPPR!$A:$A,0),16),""),"")</f>
        <v/>
      </c>
      <c r="T242">
        <f>IFERROR(IF(ISNUMBER(INDEX(SPPR!$E:$Z,MATCH($A242,SPPR!$A:$A,0),17)),$C242*INDEX(SPPR!$E:$Z,MATCH($A242,SPPR!$A:$A,0),17),""),"")</f>
        <v/>
      </c>
      <c r="U242">
        <f>IFERROR(IF(ISNUMBER(INDEX(SPPR!$E:$Z,MATCH($A242,SPPR!$A:$A,0),18)),$C242*INDEX(SPPR!$E:$Z,MATCH($A242,SPPR!$A:$A,0),18),""),"")</f>
        <v/>
      </c>
      <c r="V242">
        <f>IFERROR(IF(ISNUMBER(INDEX(SPPR!$E:$Z,MATCH($A242,SPPR!$A:$A,0),19)),$C242*INDEX(SPPR!$E:$Z,MATCH($A242,SPPR!$A:$A,0),19),""),"")</f>
        <v/>
      </c>
      <c r="W242">
        <f>IFERROR(IF(ISNUMBER(INDEX(SPPR!$E:$Z,MATCH($A242,SPPR!$A:$A,0),20)),$C242*INDEX(SPPR!$E:$Z,MATCH($A242,SPPR!$A:$A,0),20),""),"")</f>
        <v/>
      </c>
      <c r="X242">
        <f>IFERROR(IF(ISNUMBER(INDEX(SPPR!$E:$Z,MATCH($A242,SPPR!$A:$A,0),21)),$C242*INDEX(SPPR!$E:$Z,MATCH($A242,SPPR!$A:$A,0),21),""),"")</f>
        <v/>
      </c>
      <c r="Y242">
        <f>IFERROR(IF(ISNUMBER(INDEX(SPPR!$E:$Z,MATCH($A242,SPPR!$A:$A,0),22)),$C242*INDEX(SPPR!$E:$Z,MATCH($A242,SPPR!$A:$A,0),22),""),"")</f>
        <v/>
      </c>
    </row>
    <row r="243">
      <c r="A243" t="inlineStr">
        <is>
          <t>Thenus orientalis</t>
        </is>
      </c>
      <c r="B243">
        <f>IFERROR(INDEX(SPPR!$D:$D,MATCH($A243,SPPR!$A:$A,0)),"")</f>
        <v/>
      </c>
      <c r="C243">
        <f>IFERROR(INDEX(Catch!$E:$BV,MATCH($A243,Catch!$A:$A,0),MATCH($B$4,Catch!$E$1:$BV$1,0)),0)</f>
        <v/>
      </c>
      <c r="D243">
        <f>IFERROR(IF(ISNUMBER(INDEX(SPPR!$E:$Z,MATCH($A243,SPPR!$A:$A,0),1)),$C243*INDEX(SPPR!$E:$Z,MATCH($A243,SPPR!$A:$A,0),1),""),"")</f>
        <v/>
      </c>
      <c r="E243">
        <f>IFERROR(IF(ISNUMBER(INDEX(SPPR!$E:$Z,MATCH($A243,SPPR!$A:$A,0),2)),$C243*INDEX(SPPR!$E:$Z,MATCH($A243,SPPR!$A:$A,0),2),""),"")</f>
        <v/>
      </c>
      <c r="F243">
        <f>IFERROR(IF(ISNUMBER(INDEX(SPPR!$E:$Z,MATCH($A243,SPPR!$A:$A,0),3)),$C243*INDEX(SPPR!$E:$Z,MATCH($A243,SPPR!$A:$A,0),3),""),"")</f>
        <v/>
      </c>
      <c r="G243">
        <f>IFERROR(IF(ISNUMBER(INDEX(SPPR!$E:$Z,MATCH($A243,SPPR!$A:$A,0),4)),$C243*INDEX(SPPR!$E:$Z,MATCH($A243,SPPR!$A:$A,0),4),""),"")</f>
        <v/>
      </c>
      <c r="H243">
        <f>IFERROR(IF(ISNUMBER(INDEX(SPPR!$E:$Z,MATCH($A243,SPPR!$A:$A,0),5)),$C243*INDEX(SPPR!$E:$Z,MATCH($A243,SPPR!$A:$A,0),5),""),"")</f>
        <v/>
      </c>
      <c r="I243">
        <f>IFERROR(IF(ISNUMBER(INDEX(SPPR!$E:$Z,MATCH($A243,SPPR!$A:$A,0),6)),$C243*INDEX(SPPR!$E:$Z,MATCH($A243,SPPR!$A:$A,0),6),""),"")</f>
        <v/>
      </c>
      <c r="J243">
        <f>IFERROR(IF(ISNUMBER(INDEX(SPPR!$E:$Z,MATCH($A243,SPPR!$A:$A,0),7)),$C243*INDEX(SPPR!$E:$Z,MATCH($A243,SPPR!$A:$A,0),7),""),"")</f>
        <v/>
      </c>
      <c r="K243">
        <f>IFERROR(IF(ISNUMBER(INDEX(SPPR!$E:$Z,MATCH($A243,SPPR!$A:$A,0),8)),$C243*INDEX(SPPR!$E:$Z,MATCH($A243,SPPR!$A:$A,0),8),""),"")</f>
        <v/>
      </c>
      <c r="L243">
        <f>IFERROR(IF(ISNUMBER(INDEX(SPPR!$E:$Z,MATCH($A243,SPPR!$A:$A,0),9)),$C243*INDEX(SPPR!$E:$Z,MATCH($A243,SPPR!$A:$A,0),9),""),"")</f>
        <v/>
      </c>
      <c r="M243">
        <f>IFERROR(IF(ISNUMBER(INDEX(SPPR!$E:$Z,MATCH($A243,SPPR!$A:$A,0),10)),$C243*INDEX(SPPR!$E:$Z,MATCH($A243,SPPR!$A:$A,0),10),""),"")</f>
        <v/>
      </c>
      <c r="N243">
        <f>IFERROR(IF(ISNUMBER(INDEX(SPPR!$E:$Z,MATCH($A243,SPPR!$A:$A,0),11)),$C243*INDEX(SPPR!$E:$Z,MATCH($A243,SPPR!$A:$A,0),11),""),"")</f>
        <v/>
      </c>
      <c r="O243">
        <f>IFERROR(IF(ISNUMBER(INDEX(SPPR!$E:$Z,MATCH($A243,SPPR!$A:$A,0),12)),$C243*INDEX(SPPR!$E:$Z,MATCH($A243,SPPR!$A:$A,0),12),""),"")</f>
        <v/>
      </c>
      <c r="P243">
        <f>IFERROR(IF(ISNUMBER(INDEX(SPPR!$E:$Z,MATCH($A243,SPPR!$A:$A,0),13)),$C243*INDEX(SPPR!$E:$Z,MATCH($A243,SPPR!$A:$A,0),13),""),"")</f>
        <v/>
      </c>
      <c r="Q243">
        <f>IFERROR(IF(ISNUMBER(INDEX(SPPR!$E:$Z,MATCH($A243,SPPR!$A:$A,0),14)),$C243*INDEX(SPPR!$E:$Z,MATCH($A243,SPPR!$A:$A,0),14),""),"")</f>
        <v/>
      </c>
      <c r="R243">
        <f>IFERROR(IF(ISNUMBER(INDEX(SPPR!$E:$Z,MATCH($A243,SPPR!$A:$A,0),15)),$C243*INDEX(SPPR!$E:$Z,MATCH($A243,SPPR!$A:$A,0),15),""),"")</f>
        <v/>
      </c>
      <c r="S243">
        <f>IFERROR(IF(ISNUMBER(INDEX(SPPR!$E:$Z,MATCH($A243,SPPR!$A:$A,0),16)),$C243*INDEX(SPPR!$E:$Z,MATCH($A243,SPPR!$A:$A,0),16),""),"")</f>
        <v/>
      </c>
      <c r="T243">
        <f>IFERROR(IF(ISNUMBER(INDEX(SPPR!$E:$Z,MATCH($A243,SPPR!$A:$A,0),17)),$C243*INDEX(SPPR!$E:$Z,MATCH($A243,SPPR!$A:$A,0),17),""),"")</f>
        <v/>
      </c>
      <c r="U243">
        <f>IFERROR(IF(ISNUMBER(INDEX(SPPR!$E:$Z,MATCH($A243,SPPR!$A:$A,0),18)),$C243*INDEX(SPPR!$E:$Z,MATCH($A243,SPPR!$A:$A,0),18),""),"")</f>
        <v/>
      </c>
      <c r="V243">
        <f>IFERROR(IF(ISNUMBER(INDEX(SPPR!$E:$Z,MATCH($A243,SPPR!$A:$A,0),19)),$C243*INDEX(SPPR!$E:$Z,MATCH($A243,SPPR!$A:$A,0),19),""),"")</f>
        <v/>
      </c>
      <c r="W243">
        <f>IFERROR(IF(ISNUMBER(INDEX(SPPR!$E:$Z,MATCH($A243,SPPR!$A:$A,0),20)),$C243*INDEX(SPPR!$E:$Z,MATCH($A243,SPPR!$A:$A,0),20),""),"")</f>
        <v/>
      </c>
      <c r="X243">
        <f>IFERROR(IF(ISNUMBER(INDEX(SPPR!$E:$Z,MATCH($A243,SPPR!$A:$A,0),21)),$C243*INDEX(SPPR!$E:$Z,MATCH($A243,SPPR!$A:$A,0),21),""),"")</f>
        <v/>
      </c>
      <c r="Y243">
        <f>IFERROR(IF(ISNUMBER(INDEX(SPPR!$E:$Z,MATCH($A243,SPPR!$A:$A,0),22)),$C243*INDEX(SPPR!$E:$Z,MATCH($A243,SPPR!$A:$A,0),22),""),"")</f>
        <v/>
      </c>
    </row>
    <row r="244">
      <c r="A244" t="inlineStr">
        <is>
          <t>Istiophorus platypterus</t>
        </is>
      </c>
      <c r="B244">
        <f>IFERROR(INDEX(SPPR!$D:$D,MATCH($A244,SPPR!$A:$A,0)),"")</f>
        <v/>
      </c>
      <c r="C244">
        <f>IFERROR(INDEX(Catch!$E:$BV,MATCH($A244,Catch!$A:$A,0),MATCH($B$4,Catch!$E$1:$BV$1,0)),0)</f>
        <v/>
      </c>
      <c r="D244">
        <f>IFERROR(IF(ISNUMBER(INDEX(SPPR!$E:$Z,MATCH($A244,SPPR!$A:$A,0),1)),$C244*INDEX(SPPR!$E:$Z,MATCH($A244,SPPR!$A:$A,0),1),""),"")</f>
        <v/>
      </c>
      <c r="E244">
        <f>IFERROR(IF(ISNUMBER(INDEX(SPPR!$E:$Z,MATCH($A244,SPPR!$A:$A,0),2)),$C244*INDEX(SPPR!$E:$Z,MATCH($A244,SPPR!$A:$A,0),2),""),"")</f>
        <v/>
      </c>
      <c r="F244">
        <f>IFERROR(IF(ISNUMBER(INDEX(SPPR!$E:$Z,MATCH($A244,SPPR!$A:$A,0),3)),$C244*INDEX(SPPR!$E:$Z,MATCH($A244,SPPR!$A:$A,0),3),""),"")</f>
        <v/>
      </c>
      <c r="G244">
        <f>IFERROR(IF(ISNUMBER(INDEX(SPPR!$E:$Z,MATCH($A244,SPPR!$A:$A,0),4)),$C244*INDEX(SPPR!$E:$Z,MATCH($A244,SPPR!$A:$A,0),4),""),"")</f>
        <v/>
      </c>
      <c r="H244">
        <f>IFERROR(IF(ISNUMBER(INDEX(SPPR!$E:$Z,MATCH($A244,SPPR!$A:$A,0),5)),$C244*INDEX(SPPR!$E:$Z,MATCH($A244,SPPR!$A:$A,0),5),""),"")</f>
        <v/>
      </c>
      <c r="I244">
        <f>IFERROR(IF(ISNUMBER(INDEX(SPPR!$E:$Z,MATCH($A244,SPPR!$A:$A,0),6)),$C244*INDEX(SPPR!$E:$Z,MATCH($A244,SPPR!$A:$A,0),6),""),"")</f>
        <v/>
      </c>
      <c r="J244">
        <f>IFERROR(IF(ISNUMBER(INDEX(SPPR!$E:$Z,MATCH($A244,SPPR!$A:$A,0),7)),$C244*INDEX(SPPR!$E:$Z,MATCH($A244,SPPR!$A:$A,0),7),""),"")</f>
        <v/>
      </c>
      <c r="K244">
        <f>IFERROR(IF(ISNUMBER(INDEX(SPPR!$E:$Z,MATCH($A244,SPPR!$A:$A,0),8)),$C244*INDEX(SPPR!$E:$Z,MATCH($A244,SPPR!$A:$A,0),8),""),"")</f>
        <v/>
      </c>
      <c r="L244">
        <f>IFERROR(IF(ISNUMBER(INDEX(SPPR!$E:$Z,MATCH($A244,SPPR!$A:$A,0),9)),$C244*INDEX(SPPR!$E:$Z,MATCH($A244,SPPR!$A:$A,0),9),""),"")</f>
        <v/>
      </c>
      <c r="M244">
        <f>IFERROR(IF(ISNUMBER(INDEX(SPPR!$E:$Z,MATCH($A244,SPPR!$A:$A,0),10)),$C244*INDEX(SPPR!$E:$Z,MATCH($A244,SPPR!$A:$A,0),10),""),"")</f>
        <v/>
      </c>
      <c r="N244">
        <f>IFERROR(IF(ISNUMBER(INDEX(SPPR!$E:$Z,MATCH($A244,SPPR!$A:$A,0),11)),$C244*INDEX(SPPR!$E:$Z,MATCH($A244,SPPR!$A:$A,0),11),""),"")</f>
        <v/>
      </c>
      <c r="O244">
        <f>IFERROR(IF(ISNUMBER(INDEX(SPPR!$E:$Z,MATCH($A244,SPPR!$A:$A,0),12)),$C244*INDEX(SPPR!$E:$Z,MATCH($A244,SPPR!$A:$A,0),12),""),"")</f>
        <v/>
      </c>
      <c r="P244">
        <f>IFERROR(IF(ISNUMBER(INDEX(SPPR!$E:$Z,MATCH($A244,SPPR!$A:$A,0),13)),$C244*INDEX(SPPR!$E:$Z,MATCH($A244,SPPR!$A:$A,0),13),""),"")</f>
        <v/>
      </c>
      <c r="Q244">
        <f>IFERROR(IF(ISNUMBER(INDEX(SPPR!$E:$Z,MATCH($A244,SPPR!$A:$A,0),14)),$C244*INDEX(SPPR!$E:$Z,MATCH($A244,SPPR!$A:$A,0),14),""),"")</f>
        <v/>
      </c>
      <c r="R244">
        <f>IFERROR(IF(ISNUMBER(INDEX(SPPR!$E:$Z,MATCH($A244,SPPR!$A:$A,0),15)),$C244*INDEX(SPPR!$E:$Z,MATCH($A244,SPPR!$A:$A,0),15),""),"")</f>
        <v/>
      </c>
      <c r="S244">
        <f>IFERROR(IF(ISNUMBER(INDEX(SPPR!$E:$Z,MATCH($A244,SPPR!$A:$A,0),16)),$C244*INDEX(SPPR!$E:$Z,MATCH($A244,SPPR!$A:$A,0),16),""),"")</f>
        <v/>
      </c>
      <c r="T244">
        <f>IFERROR(IF(ISNUMBER(INDEX(SPPR!$E:$Z,MATCH($A244,SPPR!$A:$A,0),17)),$C244*INDEX(SPPR!$E:$Z,MATCH($A244,SPPR!$A:$A,0),17),""),"")</f>
        <v/>
      </c>
      <c r="U244">
        <f>IFERROR(IF(ISNUMBER(INDEX(SPPR!$E:$Z,MATCH($A244,SPPR!$A:$A,0),18)),$C244*INDEX(SPPR!$E:$Z,MATCH($A244,SPPR!$A:$A,0),18),""),"")</f>
        <v/>
      </c>
      <c r="V244">
        <f>IFERROR(IF(ISNUMBER(INDEX(SPPR!$E:$Z,MATCH($A244,SPPR!$A:$A,0),19)),$C244*INDEX(SPPR!$E:$Z,MATCH($A244,SPPR!$A:$A,0),19),""),"")</f>
        <v/>
      </c>
      <c r="W244">
        <f>IFERROR(IF(ISNUMBER(INDEX(SPPR!$E:$Z,MATCH($A244,SPPR!$A:$A,0),20)),$C244*INDEX(SPPR!$E:$Z,MATCH($A244,SPPR!$A:$A,0),20),""),"")</f>
        <v/>
      </c>
      <c r="X244">
        <f>IFERROR(IF(ISNUMBER(INDEX(SPPR!$E:$Z,MATCH($A244,SPPR!$A:$A,0),21)),$C244*INDEX(SPPR!$E:$Z,MATCH($A244,SPPR!$A:$A,0),21),""),"")</f>
        <v/>
      </c>
      <c r="Y244">
        <f>IFERROR(IF(ISNUMBER(INDEX(SPPR!$E:$Z,MATCH($A244,SPPR!$A:$A,0),22)),$C244*INDEX(SPPR!$E:$Z,MATCH($A244,SPPR!$A:$A,0),22),""),"")</f>
        <v/>
      </c>
    </row>
    <row r="245">
      <c r="A245" t="inlineStr">
        <is>
          <t>Trochus niloticus</t>
        </is>
      </c>
      <c r="B245">
        <f>IFERROR(INDEX(SPPR!$D:$D,MATCH($A245,SPPR!$A:$A,0)),"")</f>
        <v/>
      </c>
      <c r="C245">
        <f>IFERROR(INDEX(Catch!$E:$BV,MATCH($A245,Catch!$A:$A,0),MATCH($B$4,Catch!$E$1:$BV$1,0)),0)</f>
        <v/>
      </c>
      <c r="D245">
        <f>IFERROR(IF(ISNUMBER(INDEX(SPPR!$E:$Z,MATCH($A245,SPPR!$A:$A,0),1)),$C245*INDEX(SPPR!$E:$Z,MATCH($A245,SPPR!$A:$A,0),1),""),"")</f>
        <v/>
      </c>
      <c r="E245">
        <f>IFERROR(IF(ISNUMBER(INDEX(SPPR!$E:$Z,MATCH($A245,SPPR!$A:$A,0),2)),$C245*INDEX(SPPR!$E:$Z,MATCH($A245,SPPR!$A:$A,0),2),""),"")</f>
        <v/>
      </c>
      <c r="F245">
        <f>IFERROR(IF(ISNUMBER(INDEX(SPPR!$E:$Z,MATCH($A245,SPPR!$A:$A,0),3)),$C245*INDEX(SPPR!$E:$Z,MATCH($A245,SPPR!$A:$A,0),3),""),"")</f>
        <v/>
      </c>
      <c r="G245">
        <f>IFERROR(IF(ISNUMBER(INDEX(SPPR!$E:$Z,MATCH($A245,SPPR!$A:$A,0),4)),$C245*INDEX(SPPR!$E:$Z,MATCH($A245,SPPR!$A:$A,0),4),""),"")</f>
        <v/>
      </c>
      <c r="H245">
        <f>IFERROR(IF(ISNUMBER(INDEX(SPPR!$E:$Z,MATCH($A245,SPPR!$A:$A,0),5)),$C245*INDEX(SPPR!$E:$Z,MATCH($A245,SPPR!$A:$A,0),5),""),"")</f>
        <v/>
      </c>
      <c r="I245">
        <f>IFERROR(IF(ISNUMBER(INDEX(SPPR!$E:$Z,MATCH($A245,SPPR!$A:$A,0),6)),$C245*INDEX(SPPR!$E:$Z,MATCH($A245,SPPR!$A:$A,0),6),""),"")</f>
        <v/>
      </c>
      <c r="J245">
        <f>IFERROR(IF(ISNUMBER(INDEX(SPPR!$E:$Z,MATCH($A245,SPPR!$A:$A,0),7)),$C245*INDEX(SPPR!$E:$Z,MATCH($A245,SPPR!$A:$A,0),7),""),"")</f>
        <v/>
      </c>
      <c r="K245">
        <f>IFERROR(IF(ISNUMBER(INDEX(SPPR!$E:$Z,MATCH($A245,SPPR!$A:$A,0),8)),$C245*INDEX(SPPR!$E:$Z,MATCH($A245,SPPR!$A:$A,0),8),""),"")</f>
        <v/>
      </c>
      <c r="L245">
        <f>IFERROR(IF(ISNUMBER(INDEX(SPPR!$E:$Z,MATCH($A245,SPPR!$A:$A,0),9)),$C245*INDEX(SPPR!$E:$Z,MATCH($A245,SPPR!$A:$A,0),9),""),"")</f>
        <v/>
      </c>
      <c r="M245">
        <f>IFERROR(IF(ISNUMBER(INDEX(SPPR!$E:$Z,MATCH($A245,SPPR!$A:$A,0),10)),$C245*INDEX(SPPR!$E:$Z,MATCH($A245,SPPR!$A:$A,0),10),""),"")</f>
        <v/>
      </c>
      <c r="N245">
        <f>IFERROR(IF(ISNUMBER(INDEX(SPPR!$E:$Z,MATCH($A245,SPPR!$A:$A,0),11)),$C245*INDEX(SPPR!$E:$Z,MATCH($A245,SPPR!$A:$A,0),11),""),"")</f>
        <v/>
      </c>
      <c r="O245">
        <f>IFERROR(IF(ISNUMBER(INDEX(SPPR!$E:$Z,MATCH($A245,SPPR!$A:$A,0),12)),$C245*INDEX(SPPR!$E:$Z,MATCH($A245,SPPR!$A:$A,0),12),""),"")</f>
        <v/>
      </c>
      <c r="P245">
        <f>IFERROR(IF(ISNUMBER(INDEX(SPPR!$E:$Z,MATCH($A245,SPPR!$A:$A,0),13)),$C245*INDEX(SPPR!$E:$Z,MATCH($A245,SPPR!$A:$A,0),13),""),"")</f>
        <v/>
      </c>
      <c r="Q245">
        <f>IFERROR(IF(ISNUMBER(INDEX(SPPR!$E:$Z,MATCH($A245,SPPR!$A:$A,0),14)),$C245*INDEX(SPPR!$E:$Z,MATCH($A245,SPPR!$A:$A,0),14),""),"")</f>
        <v/>
      </c>
      <c r="R245">
        <f>IFERROR(IF(ISNUMBER(INDEX(SPPR!$E:$Z,MATCH($A245,SPPR!$A:$A,0),15)),$C245*INDEX(SPPR!$E:$Z,MATCH($A245,SPPR!$A:$A,0),15),""),"")</f>
        <v/>
      </c>
      <c r="S245">
        <f>IFERROR(IF(ISNUMBER(INDEX(SPPR!$E:$Z,MATCH($A245,SPPR!$A:$A,0),16)),$C245*INDEX(SPPR!$E:$Z,MATCH($A245,SPPR!$A:$A,0),16),""),"")</f>
        <v/>
      </c>
      <c r="T245">
        <f>IFERROR(IF(ISNUMBER(INDEX(SPPR!$E:$Z,MATCH($A245,SPPR!$A:$A,0),17)),$C245*INDEX(SPPR!$E:$Z,MATCH($A245,SPPR!$A:$A,0),17),""),"")</f>
        <v/>
      </c>
      <c r="U245">
        <f>IFERROR(IF(ISNUMBER(INDEX(SPPR!$E:$Z,MATCH($A245,SPPR!$A:$A,0),18)),$C245*INDEX(SPPR!$E:$Z,MATCH($A245,SPPR!$A:$A,0),18),""),"")</f>
        <v/>
      </c>
      <c r="V245">
        <f>IFERROR(IF(ISNUMBER(INDEX(SPPR!$E:$Z,MATCH($A245,SPPR!$A:$A,0),19)),$C245*INDEX(SPPR!$E:$Z,MATCH($A245,SPPR!$A:$A,0),19),""),"")</f>
        <v/>
      </c>
      <c r="W245">
        <f>IFERROR(IF(ISNUMBER(INDEX(SPPR!$E:$Z,MATCH($A245,SPPR!$A:$A,0),20)),$C245*INDEX(SPPR!$E:$Z,MATCH($A245,SPPR!$A:$A,0),20),""),"")</f>
        <v/>
      </c>
      <c r="X245">
        <f>IFERROR(IF(ISNUMBER(INDEX(SPPR!$E:$Z,MATCH($A245,SPPR!$A:$A,0),21)),$C245*INDEX(SPPR!$E:$Z,MATCH($A245,SPPR!$A:$A,0),21),""),"")</f>
        <v/>
      </c>
      <c r="Y245">
        <f>IFERROR(IF(ISNUMBER(INDEX(SPPR!$E:$Z,MATCH($A245,SPPR!$A:$A,0),22)),$C245*INDEX(SPPR!$E:$Z,MATCH($A245,SPPR!$A:$A,0),22),""),"")</f>
        <v/>
      </c>
    </row>
    <row r="246">
      <c r="A246" t="inlineStr">
        <is>
          <t>Sillago sihama</t>
        </is>
      </c>
      <c r="B246">
        <f>IFERROR(INDEX(SPPR!$D:$D,MATCH($A246,SPPR!$A:$A,0)),"")</f>
        <v/>
      </c>
      <c r="C246">
        <f>IFERROR(INDEX(Catch!$E:$BV,MATCH($A246,Catch!$A:$A,0),MATCH($B$4,Catch!$E$1:$BV$1,0)),0)</f>
        <v/>
      </c>
      <c r="D246">
        <f>IFERROR(IF(ISNUMBER(INDEX(SPPR!$E:$Z,MATCH($A246,SPPR!$A:$A,0),1)),$C246*INDEX(SPPR!$E:$Z,MATCH($A246,SPPR!$A:$A,0),1),""),"")</f>
        <v/>
      </c>
      <c r="E246">
        <f>IFERROR(IF(ISNUMBER(INDEX(SPPR!$E:$Z,MATCH($A246,SPPR!$A:$A,0),2)),$C246*INDEX(SPPR!$E:$Z,MATCH($A246,SPPR!$A:$A,0),2),""),"")</f>
        <v/>
      </c>
      <c r="F246">
        <f>IFERROR(IF(ISNUMBER(INDEX(SPPR!$E:$Z,MATCH($A246,SPPR!$A:$A,0),3)),$C246*INDEX(SPPR!$E:$Z,MATCH($A246,SPPR!$A:$A,0),3),""),"")</f>
        <v/>
      </c>
      <c r="G246">
        <f>IFERROR(IF(ISNUMBER(INDEX(SPPR!$E:$Z,MATCH($A246,SPPR!$A:$A,0),4)),$C246*INDEX(SPPR!$E:$Z,MATCH($A246,SPPR!$A:$A,0),4),""),"")</f>
        <v/>
      </c>
      <c r="H246">
        <f>IFERROR(IF(ISNUMBER(INDEX(SPPR!$E:$Z,MATCH($A246,SPPR!$A:$A,0),5)),$C246*INDEX(SPPR!$E:$Z,MATCH($A246,SPPR!$A:$A,0),5),""),"")</f>
        <v/>
      </c>
      <c r="I246">
        <f>IFERROR(IF(ISNUMBER(INDEX(SPPR!$E:$Z,MATCH($A246,SPPR!$A:$A,0),6)),$C246*INDEX(SPPR!$E:$Z,MATCH($A246,SPPR!$A:$A,0),6),""),"")</f>
        <v/>
      </c>
      <c r="J246">
        <f>IFERROR(IF(ISNUMBER(INDEX(SPPR!$E:$Z,MATCH($A246,SPPR!$A:$A,0),7)),$C246*INDEX(SPPR!$E:$Z,MATCH($A246,SPPR!$A:$A,0),7),""),"")</f>
        <v/>
      </c>
      <c r="K246">
        <f>IFERROR(IF(ISNUMBER(INDEX(SPPR!$E:$Z,MATCH($A246,SPPR!$A:$A,0),8)),$C246*INDEX(SPPR!$E:$Z,MATCH($A246,SPPR!$A:$A,0),8),""),"")</f>
        <v/>
      </c>
      <c r="L246">
        <f>IFERROR(IF(ISNUMBER(INDEX(SPPR!$E:$Z,MATCH($A246,SPPR!$A:$A,0),9)),$C246*INDEX(SPPR!$E:$Z,MATCH($A246,SPPR!$A:$A,0),9),""),"")</f>
        <v/>
      </c>
      <c r="M246">
        <f>IFERROR(IF(ISNUMBER(INDEX(SPPR!$E:$Z,MATCH($A246,SPPR!$A:$A,0),10)),$C246*INDEX(SPPR!$E:$Z,MATCH($A246,SPPR!$A:$A,0),10),""),"")</f>
        <v/>
      </c>
      <c r="N246">
        <f>IFERROR(IF(ISNUMBER(INDEX(SPPR!$E:$Z,MATCH($A246,SPPR!$A:$A,0),11)),$C246*INDEX(SPPR!$E:$Z,MATCH($A246,SPPR!$A:$A,0),11),""),"")</f>
        <v/>
      </c>
      <c r="O246">
        <f>IFERROR(IF(ISNUMBER(INDEX(SPPR!$E:$Z,MATCH($A246,SPPR!$A:$A,0),12)),$C246*INDEX(SPPR!$E:$Z,MATCH($A246,SPPR!$A:$A,0),12),""),"")</f>
        <v/>
      </c>
      <c r="P246">
        <f>IFERROR(IF(ISNUMBER(INDEX(SPPR!$E:$Z,MATCH($A246,SPPR!$A:$A,0),13)),$C246*INDEX(SPPR!$E:$Z,MATCH($A246,SPPR!$A:$A,0),13),""),"")</f>
        <v/>
      </c>
      <c r="Q246">
        <f>IFERROR(IF(ISNUMBER(INDEX(SPPR!$E:$Z,MATCH($A246,SPPR!$A:$A,0),14)),$C246*INDEX(SPPR!$E:$Z,MATCH($A246,SPPR!$A:$A,0),14),""),"")</f>
        <v/>
      </c>
      <c r="R246">
        <f>IFERROR(IF(ISNUMBER(INDEX(SPPR!$E:$Z,MATCH($A246,SPPR!$A:$A,0),15)),$C246*INDEX(SPPR!$E:$Z,MATCH($A246,SPPR!$A:$A,0),15),""),"")</f>
        <v/>
      </c>
      <c r="S246">
        <f>IFERROR(IF(ISNUMBER(INDEX(SPPR!$E:$Z,MATCH($A246,SPPR!$A:$A,0),16)),$C246*INDEX(SPPR!$E:$Z,MATCH($A246,SPPR!$A:$A,0),16),""),"")</f>
        <v/>
      </c>
      <c r="T246">
        <f>IFERROR(IF(ISNUMBER(INDEX(SPPR!$E:$Z,MATCH($A246,SPPR!$A:$A,0),17)),$C246*INDEX(SPPR!$E:$Z,MATCH($A246,SPPR!$A:$A,0),17),""),"")</f>
        <v/>
      </c>
      <c r="U246">
        <f>IFERROR(IF(ISNUMBER(INDEX(SPPR!$E:$Z,MATCH($A246,SPPR!$A:$A,0),18)),$C246*INDEX(SPPR!$E:$Z,MATCH($A246,SPPR!$A:$A,0),18),""),"")</f>
        <v/>
      </c>
      <c r="V246">
        <f>IFERROR(IF(ISNUMBER(INDEX(SPPR!$E:$Z,MATCH($A246,SPPR!$A:$A,0),19)),$C246*INDEX(SPPR!$E:$Z,MATCH($A246,SPPR!$A:$A,0),19),""),"")</f>
        <v/>
      </c>
      <c r="W246">
        <f>IFERROR(IF(ISNUMBER(INDEX(SPPR!$E:$Z,MATCH($A246,SPPR!$A:$A,0),20)),$C246*INDEX(SPPR!$E:$Z,MATCH($A246,SPPR!$A:$A,0),20),""),"")</f>
        <v/>
      </c>
      <c r="X246">
        <f>IFERROR(IF(ISNUMBER(INDEX(SPPR!$E:$Z,MATCH($A246,SPPR!$A:$A,0),21)),$C246*INDEX(SPPR!$E:$Z,MATCH($A246,SPPR!$A:$A,0),21),""),"")</f>
        <v/>
      </c>
      <c r="Y246">
        <f>IFERROR(IF(ISNUMBER(INDEX(SPPR!$E:$Z,MATCH($A246,SPPR!$A:$A,0),22)),$C246*INDEX(SPPR!$E:$Z,MATCH($A246,SPPR!$A:$A,0),22),""),"")</f>
        <v/>
      </c>
    </row>
    <row r="247">
      <c r="A247" t="inlineStr">
        <is>
          <t>Isurus oxyrinchus</t>
        </is>
      </c>
      <c r="B247">
        <f>IFERROR(INDEX(SPPR!$D:$D,MATCH($A247,SPPR!$A:$A,0)),"")</f>
        <v/>
      </c>
      <c r="C247">
        <f>IFERROR(INDEX(Catch!$E:$BV,MATCH($A247,Catch!$A:$A,0),MATCH($B$4,Catch!$E$1:$BV$1,0)),0)</f>
        <v/>
      </c>
      <c r="D247">
        <f>IFERROR(IF(ISNUMBER(INDEX(SPPR!$E:$Z,MATCH($A247,SPPR!$A:$A,0),1)),$C247*INDEX(SPPR!$E:$Z,MATCH($A247,SPPR!$A:$A,0),1),""),"")</f>
        <v/>
      </c>
      <c r="E247">
        <f>IFERROR(IF(ISNUMBER(INDEX(SPPR!$E:$Z,MATCH($A247,SPPR!$A:$A,0),2)),$C247*INDEX(SPPR!$E:$Z,MATCH($A247,SPPR!$A:$A,0),2),""),"")</f>
        <v/>
      </c>
      <c r="F247">
        <f>IFERROR(IF(ISNUMBER(INDEX(SPPR!$E:$Z,MATCH($A247,SPPR!$A:$A,0),3)),$C247*INDEX(SPPR!$E:$Z,MATCH($A247,SPPR!$A:$A,0),3),""),"")</f>
        <v/>
      </c>
      <c r="G247">
        <f>IFERROR(IF(ISNUMBER(INDEX(SPPR!$E:$Z,MATCH($A247,SPPR!$A:$A,0),4)),$C247*INDEX(SPPR!$E:$Z,MATCH($A247,SPPR!$A:$A,0),4),""),"")</f>
        <v/>
      </c>
      <c r="H247">
        <f>IFERROR(IF(ISNUMBER(INDEX(SPPR!$E:$Z,MATCH($A247,SPPR!$A:$A,0),5)),$C247*INDEX(SPPR!$E:$Z,MATCH($A247,SPPR!$A:$A,0),5),""),"")</f>
        <v/>
      </c>
      <c r="I247">
        <f>IFERROR(IF(ISNUMBER(INDEX(SPPR!$E:$Z,MATCH($A247,SPPR!$A:$A,0),6)),$C247*INDEX(SPPR!$E:$Z,MATCH($A247,SPPR!$A:$A,0),6),""),"")</f>
        <v/>
      </c>
      <c r="J247">
        <f>IFERROR(IF(ISNUMBER(INDEX(SPPR!$E:$Z,MATCH($A247,SPPR!$A:$A,0),7)),$C247*INDEX(SPPR!$E:$Z,MATCH($A247,SPPR!$A:$A,0),7),""),"")</f>
        <v/>
      </c>
      <c r="K247">
        <f>IFERROR(IF(ISNUMBER(INDEX(SPPR!$E:$Z,MATCH($A247,SPPR!$A:$A,0),8)),$C247*INDEX(SPPR!$E:$Z,MATCH($A247,SPPR!$A:$A,0),8),""),"")</f>
        <v/>
      </c>
      <c r="L247">
        <f>IFERROR(IF(ISNUMBER(INDEX(SPPR!$E:$Z,MATCH($A247,SPPR!$A:$A,0),9)),$C247*INDEX(SPPR!$E:$Z,MATCH($A247,SPPR!$A:$A,0),9),""),"")</f>
        <v/>
      </c>
      <c r="M247">
        <f>IFERROR(IF(ISNUMBER(INDEX(SPPR!$E:$Z,MATCH($A247,SPPR!$A:$A,0),10)),$C247*INDEX(SPPR!$E:$Z,MATCH($A247,SPPR!$A:$A,0),10),""),"")</f>
        <v/>
      </c>
      <c r="N247">
        <f>IFERROR(IF(ISNUMBER(INDEX(SPPR!$E:$Z,MATCH($A247,SPPR!$A:$A,0),11)),$C247*INDEX(SPPR!$E:$Z,MATCH($A247,SPPR!$A:$A,0),11),""),"")</f>
        <v/>
      </c>
      <c r="O247">
        <f>IFERROR(IF(ISNUMBER(INDEX(SPPR!$E:$Z,MATCH($A247,SPPR!$A:$A,0),12)),$C247*INDEX(SPPR!$E:$Z,MATCH($A247,SPPR!$A:$A,0),12),""),"")</f>
        <v/>
      </c>
      <c r="P247">
        <f>IFERROR(IF(ISNUMBER(INDEX(SPPR!$E:$Z,MATCH($A247,SPPR!$A:$A,0),13)),$C247*INDEX(SPPR!$E:$Z,MATCH($A247,SPPR!$A:$A,0),13),""),"")</f>
        <v/>
      </c>
      <c r="Q247">
        <f>IFERROR(IF(ISNUMBER(INDEX(SPPR!$E:$Z,MATCH($A247,SPPR!$A:$A,0),14)),$C247*INDEX(SPPR!$E:$Z,MATCH($A247,SPPR!$A:$A,0),14),""),"")</f>
        <v/>
      </c>
      <c r="R247">
        <f>IFERROR(IF(ISNUMBER(INDEX(SPPR!$E:$Z,MATCH($A247,SPPR!$A:$A,0),15)),$C247*INDEX(SPPR!$E:$Z,MATCH($A247,SPPR!$A:$A,0),15),""),"")</f>
        <v/>
      </c>
      <c r="S247">
        <f>IFERROR(IF(ISNUMBER(INDEX(SPPR!$E:$Z,MATCH($A247,SPPR!$A:$A,0),16)),$C247*INDEX(SPPR!$E:$Z,MATCH($A247,SPPR!$A:$A,0),16),""),"")</f>
        <v/>
      </c>
      <c r="T247">
        <f>IFERROR(IF(ISNUMBER(INDEX(SPPR!$E:$Z,MATCH($A247,SPPR!$A:$A,0),17)),$C247*INDEX(SPPR!$E:$Z,MATCH($A247,SPPR!$A:$A,0),17),""),"")</f>
        <v/>
      </c>
      <c r="U247">
        <f>IFERROR(IF(ISNUMBER(INDEX(SPPR!$E:$Z,MATCH($A247,SPPR!$A:$A,0),18)),$C247*INDEX(SPPR!$E:$Z,MATCH($A247,SPPR!$A:$A,0),18),""),"")</f>
        <v/>
      </c>
      <c r="V247">
        <f>IFERROR(IF(ISNUMBER(INDEX(SPPR!$E:$Z,MATCH($A247,SPPR!$A:$A,0),19)),$C247*INDEX(SPPR!$E:$Z,MATCH($A247,SPPR!$A:$A,0),19),""),"")</f>
        <v/>
      </c>
      <c r="W247">
        <f>IFERROR(IF(ISNUMBER(INDEX(SPPR!$E:$Z,MATCH($A247,SPPR!$A:$A,0),20)),$C247*INDEX(SPPR!$E:$Z,MATCH($A247,SPPR!$A:$A,0),20),""),"")</f>
        <v/>
      </c>
      <c r="X247">
        <f>IFERROR(IF(ISNUMBER(INDEX(SPPR!$E:$Z,MATCH($A247,SPPR!$A:$A,0),21)),$C247*INDEX(SPPR!$E:$Z,MATCH($A247,SPPR!$A:$A,0),21),""),"")</f>
        <v/>
      </c>
      <c r="Y247">
        <f>IFERROR(IF(ISNUMBER(INDEX(SPPR!$E:$Z,MATCH($A247,SPPR!$A:$A,0),22)),$C247*INDEX(SPPR!$E:$Z,MATCH($A247,SPPR!$A:$A,0),22),""),"")</f>
        <v/>
      </c>
    </row>
    <row r="248">
      <c r="A248" t="inlineStr">
        <is>
          <t>Scatophagus</t>
        </is>
      </c>
      <c r="B248">
        <f>IFERROR(INDEX(SPPR!$D:$D,MATCH($A248,SPPR!$A:$A,0)),"")</f>
        <v/>
      </c>
      <c r="C248">
        <f>IFERROR(INDEX(Catch!$E:$BV,MATCH($A248,Catch!$A:$A,0),MATCH($B$4,Catch!$E$1:$BV$1,0)),0)</f>
        <v/>
      </c>
      <c r="D248">
        <f>IFERROR(IF(ISNUMBER(INDEX(SPPR!$E:$Z,MATCH($A248,SPPR!$A:$A,0),1)),$C248*INDEX(SPPR!$E:$Z,MATCH($A248,SPPR!$A:$A,0),1),""),"")</f>
        <v/>
      </c>
      <c r="E248">
        <f>IFERROR(IF(ISNUMBER(INDEX(SPPR!$E:$Z,MATCH($A248,SPPR!$A:$A,0),2)),$C248*INDEX(SPPR!$E:$Z,MATCH($A248,SPPR!$A:$A,0),2),""),"")</f>
        <v/>
      </c>
      <c r="F248">
        <f>IFERROR(IF(ISNUMBER(INDEX(SPPR!$E:$Z,MATCH($A248,SPPR!$A:$A,0),3)),$C248*INDEX(SPPR!$E:$Z,MATCH($A248,SPPR!$A:$A,0),3),""),"")</f>
        <v/>
      </c>
      <c r="G248">
        <f>IFERROR(IF(ISNUMBER(INDEX(SPPR!$E:$Z,MATCH($A248,SPPR!$A:$A,0),4)),$C248*INDEX(SPPR!$E:$Z,MATCH($A248,SPPR!$A:$A,0),4),""),"")</f>
        <v/>
      </c>
      <c r="H248">
        <f>IFERROR(IF(ISNUMBER(INDEX(SPPR!$E:$Z,MATCH($A248,SPPR!$A:$A,0),5)),$C248*INDEX(SPPR!$E:$Z,MATCH($A248,SPPR!$A:$A,0),5),""),"")</f>
        <v/>
      </c>
      <c r="I248">
        <f>IFERROR(IF(ISNUMBER(INDEX(SPPR!$E:$Z,MATCH($A248,SPPR!$A:$A,0),6)),$C248*INDEX(SPPR!$E:$Z,MATCH($A248,SPPR!$A:$A,0),6),""),"")</f>
        <v/>
      </c>
      <c r="J248">
        <f>IFERROR(IF(ISNUMBER(INDEX(SPPR!$E:$Z,MATCH($A248,SPPR!$A:$A,0),7)),$C248*INDEX(SPPR!$E:$Z,MATCH($A248,SPPR!$A:$A,0),7),""),"")</f>
        <v/>
      </c>
      <c r="K248">
        <f>IFERROR(IF(ISNUMBER(INDEX(SPPR!$E:$Z,MATCH($A248,SPPR!$A:$A,0),8)),$C248*INDEX(SPPR!$E:$Z,MATCH($A248,SPPR!$A:$A,0),8),""),"")</f>
        <v/>
      </c>
      <c r="L248">
        <f>IFERROR(IF(ISNUMBER(INDEX(SPPR!$E:$Z,MATCH($A248,SPPR!$A:$A,0),9)),$C248*INDEX(SPPR!$E:$Z,MATCH($A248,SPPR!$A:$A,0),9),""),"")</f>
        <v/>
      </c>
      <c r="M248">
        <f>IFERROR(IF(ISNUMBER(INDEX(SPPR!$E:$Z,MATCH($A248,SPPR!$A:$A,0),10)),$C248*INDEX(SPPR!$E:$Z,MATCH($A248,SPPR!$A:$A,0),10),""),"")</f>
        <v/>
      </c>
      <c r="N248">
        <f>IFERROR(IF(ISNUMBER(INDEX(SPPR!$E:$Z,MATCH($A248,SPPR!$A:$A,0),11)),$C248*INDEX(SPPR!$E:$Z,MATCH($A248,SPPR!$A:$A,0),11),""),"")</f>
        <v/>
      </c>
      <c r="O248">
        <f>IFERROR(IF(ISNUMBER(INDEX(SPPR!$E:$Z,MATCH($A248,SPPR!$A:$A,0),12)),$C248*INDEX(SPPR!$E:$Z,MATCH($A248,SPPR!$A:$A,0),12),""),"")</f>
        <v/>
      </c>
      <c r="P248">
        <f>IFERROR(IF(ISNUMBER(INDEX(SPPR!$E:$Z,MATCH($A248,SPPR!$A:$A,0),13)),$C248*INDEX(SPPR!$E:$Z,MATCH($A248,SPPR!$A:$A,0),13),""),"")</f>
        <v/>
      </c>
      <c r="Q248">
        <f>IFERROR(IF(ISNUMBER(INDEX(SPPR!$E:$Z,MATCH($A248,SPPR!$A:$A,0),14)),$C248*INDEX(SPPR!$E:$Z,MATCH($A248,SPPR!$A:$A,0),14),""),"")</f>
        <v/>
      </c>
      <c r="R248">
        <f>IFERROR(IF(ISNUMBER(INDEX(SPPR!$E:$Z,MATCH($A248,SPPR!$A:$A,0),15)),$C248*INDEX(SPPR!$E:$Z,MATCH($A248,SPPR!$A:$A,0),15),""),"")</f>
        <v/>
      </c>
      <c r="S248">
        <f>IFERROR(IF(ISNUMBER(INDEX(SPPR!$E:$Z,MATCH($A248,SPPR!$A:$A,0),16)),$C248*INDEX(SPPR!$E:$Z,MATCH($A248,SPPR!$A:$A,0),16),""),"")</f>
        <v/>
      </c>
      <c r="T248">
        <f>IFERROR(IF(ISNUMBER(INDEX(SPPR!$E:$Z,MATCH($A248,SPPR!$A:$A,0),17)),$C248*INDEX(SPPR!$E:$Z,MATCH($A248,SPPR!$A:$A,0),17),""),"")</f>
        <v/>
      </c>
      <c r="U248">
        <f>IFERROR(IF(ISNUMBER(INDEX(SPPR!$E:$Z,MATCH($A248,SPPR!$A:$A,0),18)),$C248*INDEX(SPPR!$E:$Z,MATCH($A248,SPPR!$A:$A,0),18),""),"")</f>
        <v/>
      </c>
      <c r="V248">
        <f>IFERROR(IF(ISNUMBER(INDEX(SPPR!$E:$Z,MATCH($A248,SPPR!$A:$A,0),19)),$C248*INDEX(SPPR!$E:$Z,MATCH($A248,SPPR!$A:$A,0),19),""),"")</f>
        <v/>
      </c>
      <c r="W248">
        <f>IFERROR(IF(ISNUMBER(INDEX(SPPR!$E:$Z,MATCH($A248,SPPR!$A:$A,0),20)),$C248*INDEX(SPPR!$E:$Z,MATCH($A248,SPPR!$A:$A,0),20),""),"")</f>
        <v/>
      </c>
      <c r="X248">
        <f>IFERROR(IF(ISNUMBER(INDEX(SPPR!$E:$Z,MATCH($A248,SPPR!$A:$A,0),21)),$C248*INDEX(SPPR!$E:$Z,MATCH($A248,SPPR!$A:$A,0),21),""),"")</f>
        <v/>
      </c>
      <c r="Y248">
        <f>IFERROR(IF(ISNUMBER(INDEX(SPPR!$E:$Z,MATCH($A248,SPPR!$A:$A,0),22)),$C248*INDEX(SPPR!$E:$Z,MATCH($A248,SPPR!$A:$A,0),22),""),"")</f>
        <v/>
      </c>
    </row>
    <row r="249">
      <c r="A249" t="inlineStr">
        <is>
          <t>Scyris indica</t>
        </is>
      </c>
      <c r="B249">
        <f>IFERROR(INDEX(SPPR!$D:$D,MATCH($A249,SPPR!$A:$A,0)),"")</f>
        <v/>
      </c>
      <c r="C249">
        <f>IFERROR(INDEX(Catch!$E:$BV,MATCH($A249,Catch!$A:$A,0),MATCH($B$4,Catch!$E$1:$BV$1,0)),0)</f>
        <v/>
      </c>
      <c r="D249">
        <f>IFERROR(IF(ISNUMBER(INDEX(SPPR!$E:$Z,MATCH($A249,SPPR!$A:$A,0),1)),$C249*INDEX(SPPR!$E:$Z,MATCH($A249,SPPR!$A:$A,0),1),""),"")</f>
        <v/>
      </c>
      <c r="E249">
        <f>IFERROR(IF(ISNUMBER(INDEX(SPPR!$E:$Z,MATCH($A249,SPPR!$A:$A,0),2)),$C249*INDEX(SPPR!$E:$Z,MATCH($A249,SPPR!$A:$A,0),2),""),"")</f>
        <v/>
      </c>
      <c r="F249">
        <f>IFERROR(IF(ISNUMBER(INDEX(SPPR!$E:$Z,MATCH($A249,SPPR!$A:$A,0),3)),$C249*INDEX(SPPR!$E:$Z,MATCH($A249,SPPR!$A:$A,0),3),""),"")</f>
        <v/>
      </c>
      <c r="G249">
        <f>IFERROR(IF(ISNUMBER(INDEX(SPPR!$E:$Z,MATCH($A249,SPPR!$A:$A,0),4)),$C249*INDEX(SPPR!$E:$Z,MATCH($A249,SPPR!$A:$A,0),4),""),"")</f>
        <v/>
      </c>
      <c r="H249">
        <f>IFERROR(IF(ISNUMBER(INDEX(SPPR!$E:$Z,MATCH($A249,SPPR!$A:$A,0),5)),$C249*INDEX(SPPR!$E:$Z,MATCH($A249,SPPR!$A:$A,0),5),""),"")</f>
        <v/>
      </c>
      <c r="I249">
        <f>IFERROR(IF(ISNUMBER(INDEX(SPPR!$E:$Z,MATCH($A249,SPPR!$A:$A,0),6)),$C249*INDEX(SPPR!$E:$Z,MATCH($A249,SPPR!$A:$A,0),6),""),"")</f>
        <v/>
      </c>
      <c r="J249">
        <f>IFERROR(IF(ISNUMBER(INDEX(SPPR!$E:$Z,MATCH($A249,SPPR!$A:$A,0),7)),$C249*INDEX(SPPR!$E:$Z,MATCH($A249,SPPR!$A:$A,0),7),""),"")</f>
        <v/>
      </c>
      <c r="K249">
        <f>IFERROR(IF(ISNUMBER(INDEX(SPPR!$E:$Z,MATCH($A249,SPPR!$A:$A,0),8)),$C249*INDEX(SPPR!$E:$Z,MATCH($A249,SPPR!$A:$A,0),8),""),"")</f>
        <v/>
      </c>
      <c r="L249">
        <f>IFERROR(IF(ISNUMBER(INDEX(SPPR!$E:$Z,MATCH($A249,SPPR!$A:$A,0),9)),$C249*INDEX(SPPR!$E:$Z,MATCH($A249,SPPR!$A:$A,0),9),""),"")</f>
        <v/>
      </c>
      <c r="M249">
        <f>IFERROR(IF(ISNUMBER(INDEX(SPPR!$E:$Z,MATCH($A249,SPPR!$A:$A,0),10)),$C249*INDEX(SPPR!$E:$Z,MATCH($A249,SPPR!$A:$A,0),10),""),"")</f>
        <v/>
      </c>
      <c r="N249">
        <f>IFERROR(IF(ISNUMBER(INDEX(SPPR!$E:$Z,MATCH($A249,SPPR!$A:$A,0),11)),$C249*INDEX(SPPR!$E:$Z,MATCH($A249,SPPR!$A:$A,0),11),""),"")</f>
        <v/>
      </c>
      <c r="O249">
        <f>IFERROR(IF(ISNUMBER(INDEX(SPPR!$E:$Z,MATCH($A249,SPPR!$A:$A,0),12)),$C249*INDEX(SPPR!$E:$Z,MATCH($A249,SPPR!$A:$A,0),12),""),"")</f>
        <v/>
      </c>
      <c r="P249">
        <f>IFERROR(IF(ISNUMBER(INDEX(SPPR!$E:$Z,MATCH($A249,SPPR!$A:$A,0),13)),$C249*INDEX(SPPR!$E:$Z,MATCH($A249,SPPR!$A:$A,0),13),""),"")</f>
        <v/>
      </c>
      <c r="Q249">
        <f>IFERROR(IF(ISNUMBER(INDEX(SPPR!$E:$Z,MATCH($A249,SPPR!$A:$A,0),14)),$C249*INDEX(SPPR!$E:$Z,MATCH($A249,SPPR!$A:$A,0),14),""),"")</f>
        <v/>
      </c>
      <c r="R249">
        <f>IFERROR(IF(ISNUMBER(INDEX(SPPR!$E:$Z,MATCH($A249,SPPR!$A:$A,0),15)),$C249*INDEX(SPPR!$E:$Z,MATCH($A249,SPPR!$A:$A,0),15),""),"")</f>
        <v/>
      </c>
      <c r="S249">
        <f>IFERROR(IF(ISNUMBER(INDEX(SPPR!$E:$Z,MATCH($A249,SPPR!$A:$A,0),16)),$C249*INDEX(SPPR!$E:$Z,MATCH($A249,SPPR!$A:$A,0),16),""),"")</f>
        <v/>
      </c>
      <c r="T249">
        <f>IFERROR(IF(ISNUMBER(INDEX(SPPR!$E:$Z,MATCH($A249,SPPR!$A:$A,0),17)),$C249*INDEX(SPPR!$E:$Z,MATCH($A249,SPPR!$A:$A,0),17),""),"")</f>
        <v/>
      </c>
      <c r="U249">
        <f>IFERROR(IF(ISNUMBER(INDEX(SPPR!$E:$Z,MATCH($A249,SPPR!$A:$A,0),18)),$C249*INDEX(SPPR!$E:$Z,MATCH($A249,SPPR!$A:$A,0),18),""),"")</f>
        <v/>
      </c>
      <c r="V249">
        <f>IFERROR(IF(ISNUMBER(INDEX(SPPR!$E:$Z,MATCH($A249,SPPR!$A:$A,0),19)),$C249*INDEX(SPPR!$E:$Z,MATCH($A249,SPPR!$A:$A,0),19),""),"")</f>
        <v/>
      </c>
      <c r="W249">
        <f>IFERROR(IF(ISNUMBER(INDEX(SPPR!$E:$Z,MATCH($A249,SPPR!$A:$A,0),20)),$C249*INDEX(SPPR!$E:$Z,MATCH($A249,SPPR!$A:$A,0),20),""),"")</f>
        <v/>
      </c>
      <c r="X249">
        <f>IFERROR(IF(ISNUMBER(INDEX(SPPR!$E:$Z,MATCH($A249,SPPR!$A:$A,0),21)),$C249*INDEX(SPPR!$E:$Z,MATCH($A249,SPPR!$A:$A,0),21),""),"")</f>
        <v/>
      </c>
      <c r="Y249">
        <f>IFERROR(IF(ISNUMBER(INDEX(SPPR!$E:$Z,MATCH($A249,SPPR!$A:$A,0),22)),$C249*INDEX(SPPR!$E:$Z,MATCH($A249,SPPR!$A:$A,0),22),""),"")</f>
        <v/>
      </c>
    </row>
    <row r="250">
      <c r="A250" t="inlineStr">
        <is>
          <t>Pellona ditchela</t>
        </is>
      </c>
      <c r="B250">
        <f>IFERROR(INDEX(SPPR!$D:$D,MATCH($A250,SPPR!$A:$A,0)),"")</f>
        <v/>
      </c>
      <c r="C250">
        <f>IFERROR(INDEX(Catch!$E:$BV,MATCH($A250,Catch!$A:$A,0),MATCH($B$4,Catch!$E$1:$BV$1,0)),0)</f>
        <v/>
      </c>
      <c r="D250">
        <f>IFERROR(IF(ISNUMBER(INDEX(SPPR!$E:$Z,MATCH($A250,SPPR!$A:$A,0),1)),$C250*INDEX(SPPR!$E:$Z,MATCH($A250,SPPR!$A:$A,0),1),""),"")</f>
        <v/>
      </c>
      <c r="E250">
        <f>IFERROR(IF(ISNUMBER(INDEX(SPPR!$E:$Z,MATCH($A250,SPPR!$A:$A,0),2)),$C250*INDEX(SPPR!$E:$Z,MATCH($A250,SPPR!$A:$A,0),2),""),"")</f>
        <v/>
      </c>
      <c r="F250">
        <f>IFERROR(IF(ISNUMBER(INDEX(SPPR!$E:$Z,MATCH($A250,SPPR!$A:$A,0),3)),$C250*INDEX(SPPR!$E:$Z,MATCH($A250,SPPR!$A:$A,0),3),""),"")</f>
        <v/>
      </c>
      <c r="G250">
        <f>IFERROR(IF(ISNUMBER(INDEX(SPPR!$E:$Z,MATCH($A250,SPPR!$A:$A,0),4)),$C250*INDEX(SPPR!$E:$Z,MATCH($A250,SPPR!$A:$A,0),4),""),"")</f>
        <v/>
      </c>
      <c r="H250">
        <f>IFERROR(IF(ISNUMBER(INDEX(SPPR!$E:$Z,MATCH($A250,SPPR!$A:$A,0),5)),$C250*INDEX(SPPR!$E:$Z,MATCH($A250,SPPR!$A:$A,0),5),""),"")</f>
        <v/>
      </c>
      <c r="I250">
        <f>IFERROR(IF(ISNUMBER(INDEX(SPPR!$E:$Z,MATCH($A250,SPPR!$A:$A,0),6)),$C250*INDEX(SPPR!$E:$Z,MATCH($A250,SPPR!$A:$A,0),6),""),"")</f>
        <v/>
      </c>
      <c r="J250">
        <f>IFERROR(IF(ISNUMBER(INDEX(SPPR!$E:$Z,MATCH($A250,SPPR!$A:$A,0),7)),$C250*INDEX(SPPR!$E:$Z,MATCH($A250,SPPR!$A:$A,0),7),""),"")</f>
        <v/>
      </c>
      <c r="K250">
        <f>IFERROR(IF(ISNUMBER(INDEX(SPPR!$E:$Z,MATCH($A250,SPPR!$A:$A,0),8)),$C250*INDEX(SPPR!$E:$Z,MATCH($A250,SPPR!$A:$A,0),8),""),"")</f>
        <v/>
      </c>
      <c r="L250">
        <f>IFERROR(IF(ISNUMBER(INDEX(SPPR!$E:$Z,MATCH($A250,SPPR!$A:$A,0),9)),$C250*INDEX(SPPR!$E:$Z,MATCH($A250,SPPR!$A:$A,0),9),""),"")</f>
        <v/>
      </c>
      <c r="M250">
        <f>IFERROR(IF(ISNUMBER(INDEX(SPPR!$E:$Z,MATCH($A250,SPPR!$A:$A,0),10)),$C250*INDEX(SPPR!$E:$Z,MATCH($A250,SPPR!$A:$A,0),10),""),"")</f>
        <v/>
      </c>
      <c r="N250">
        <f>IFERROR(IF(ISNUMBER(INDEX(SPPR!$E:$Z,MATCH($A250,SPPR!$A:$A,0),11)),$C250*INDEX(SPPR!$E:$Z,MATCH($A250,SPPR!$A:$A,0),11),""),"")</f>
        <v/>
      </c>
      <c r="O250">
        <f>IFERROR(IF(ISNUMBER(INDEX(SPPR!$E:$Z,MATCH($A250,SPPR!$A:$A,0),12)),$C250*INDEX(SPPR!$E:$Z,MATCH($A250,SPPR!$A:$A,0),12),""),"")</f>
        <v/>
      </c>
      <c r="P250">
        <f>IFERROR(IF(ISNUMBER(INDEX(SPPR!$E:$Z,MATCH($A250,SPPR!$A:$A,0),13)),$C250*INDEX(SPPR!$E:$Z,MATCH($A250,SPPR!$A:$A,0),13),""),"")</f>
        <v/>
      </c>
      <c r="Q250">
        <f>IFERROR(IF(ISNUMBER(INDEX(SPPR!$E:$Z,MATCH($A250,SPPR!$A:$A,0),14)),$C250*INDEX(SPPR!$E:$Z,MATCH($A250,SPPR!$A:$A,0),14),""),"")</f>
        <v/>
      </c>
      <c r="R250">
        <f>IFERROR(IF(ISNUMBER(INDEX(SPPR!$E:$Z,MATCH($A250,SPPR!$A:$A,0),15)),$C250*INDEX(SPPR!$E:$Z,MATCH($A250,SPPR!$A:$A,0),15),""),"")</f>
        <v/>
      </c>
      <c r="S250">
        <f>IFERROR(IF(ISNUMBER(INDEX(SPPR!$E:$Z,MATCH($A250,SPPR!$A:$A,0),16)),$C250*INDEX(SPPR!$E:$Z,MATCH($A250,SPPR!$A:$A,0),16),""),"")</f>
        <v/>
      </c>
      <c r="T250">
        <f>IFERROR(IF(ISNUMBER(INDEX(SPPR!$E:$Z,MATCH($A250,SPPR!$A:$A,0),17)),$C250*INDEX(SPPR!$E:$Z,MATCH($A250,SPPR!$A:$A,0),17),""),"")</f>
        <v/>
      </c>
      <c r="U250">
        <f>IFERROR(IF(ISNUMBER(INDEX(SPPR!$E:$Z,MATCH($A250,SPPR!$A:$A,0),18)),$C250*INDEX(SPPR!$E:$Z,MATCH($A250,SPPR!$A:$A,0),18),""),"")</f>
        <v/>
      </c>
      <c r="V250">
        <f>IFERROR(IF(ISNUMBER(INDEX(SPPR!$E:$Z,MATCH($A250,SPPR!$A:$A,0),19)),$C250*INDEX(SPPR!$E:$Z,MATCH($A250,SPPR!$A:$A,0),19),""),"")</f>
        <v/>
      </c>
      <c r="W250">
        <f>IFERROR(IF(ISNUMBER(INDEX(SPPR!$E:$Z,MATCH($A250,SPPR!$A:$A,0),20)),$C250*INDEX(SPPR!$E:$Z,MATCH($A250,SPPR!$A:$A,0),20),""),"")</f>
        <v/>
      </c>
      <c r="X250">
        <f>IFERROR(IF(ISNUMBER(INDEX(SPPR!$E:$Z,MATCH($A250,SPPR!$A:$A,0),21)),$C250*INDEX(SPPR!$E:$Z,MATCH($A250,SPPR!$A:$A,0),21),""),"")</f>
        <v/>
      </c>
      <c r="Y250">
        <f>IFERROR(IF(ISNUMBER(INDEX(SPPR!$E:$Z,MATCH($A250,SPPR!$A:$A,0),22)),$C250*INDEX(SPPR!$E:$Z,MATCH($A250,SPPR!$A:$A,0),22),""),"")</f>
        <v/>
      </c>
    </row>
    <row r="251">
      <c r="A251" t="inlineStr">
        <is>
          <t>Panulirus</t>
        </is>
      </c>
      <c r="B251">
        <f>IFERROR(INDEX(SPPR!$D:$D,MATCH($A251,SPPR!$A:$A,0)),"")</f>
        <v/>
      </c>
      <c r="C251">
        <f>IFERROR(INDEX(Catch!$E:$BV,MATCH($A251,Catch!$A:$A,0),MATCH($B$4,Catch!$E$1:$BV$1,0)),0)</f>
        <v/>
      </c>
      <c r="D251">
        <f>IFERROR(IF(ISNUMBER(INDEX(SPPR!$E:$Z,MATCH($A251,SPPR!$A:$A,0),1)),$C251*INDEX(SPPR!$E:$Z,MATCH($A251,SPPR!$A:$A,0),1),""),"")</f>
        <v/>
      </c>
      <c r="E251">
        <f>IFERROR(IF(ISNUMBER(INDEX(SPPR!$E:$Z,MATCH($A251,SPPR!$A:$A,0),2)),$C251*INDEX(SPPR!$E:$Z,MATCH($A251,SPPR!$A:$A,0),2),""),"")</f>
        <v/>
      </c>
      <c r="F251">
        <f>IFERROR(IF(ISNUMBER(INDEX(SPPR!$E:$Z,MATCH($A251,SPPR!$A:$A,0),3)),$C251*INDEX(SPPR!$E:$Z,MATCH($A251,SPPR!$A:$A,0),3),""),"")</f>
        <v/>
      </c>
      <c r="G251">
        <f>IFERROR(IF(ISNUMBER(INDEX(SPPR!$E:$Z,MATCH($A251,SPPR!$A:$A,0),4)),$C251*INDEX(SPPR!$E:$Z,MATCH($A251,SPPR!$A:$A,0),4),""),"")</f>
        <v/>
      </c>
      <c r="H251">
        <f>IFERROR(IF(ISNUMBER(INDEX(SPPR!$E:$Z,MATCH($A251,SPPR!$A:$A,0),5)),$C251*INDEX(SPPR!$E:$Z,MATCH($A251,SPPR!$A:$A,0),5),""),"")</f>
        <v/>
      </c>
      <c r="I251">
        <f>IFERROR(IF(ISNUMBER(INDEX(SPPR!$E:$Z,MATCH($A251,SPPR!$A:$A,0),6)),$C251*INDEX(SPPR!$E:$Z,MATCH($A251,SPPR!$A:$A,0),6),""),"")</f>
        <v/>
      </c>
      <c r="J251">
        <f>IFERROR(IF(ISNUMBER(INDEX(SPPR!$E:$Z,MATCH($A251,SPPR!$A:$A,0),7)),$C251*INDEX(SPPR!$E:$Z,MATCH($A251,SPPR!$A:$A,0),7),""),"")</f>
        <v/>
      </c>
      <c r="K251">
        <f>IFERROR(IF(ISNUMBER(INDEX(SPPR!$E:$Z,MATCH($A251,SPPR!$A:$A,0),8)),$C251*INDEX(SPPR!$E:$Z,MATCH($A251,SPPR!$A:$A,0),8),""),"")</f>
        <v/>
      </c>
      <c r="L251">
        <f>IFERROR(IF(ISNUMBER(INDEX(SPPR!$E:$Z,MATCH($A251,SPPR!$A:$A,0),9)),$C251*INDEX(SPPR!$E:$Z,MATCH($A251,SPPR!$A:$A,0),9),""),"")</f>
        <v/>
      </c>
      <c r="M251">
        <f>IFERROR(IF(ISNUMBER(INDEX(SPPR!$E:$Z,MATCH($A251,SPPR!$A:$A,0),10)),$C251*INDEX(SPPR!$E:$Z,MATCH($A251,SPPR!$A:$A,0),10),""),"")</f>
        <v/>
      </c>
      <c r="N251">
        <f>IFERROR(IF(ISNUMBER(INDEX(SPPR!$E:$Z,MATCH($A251,SPPR!$A:$A,0),11)),$C251*INDEX(SPPR!$E:$Z,MATCH($A251,SPPR!$A:$A,0),11),""),"")</f>
        <v/>
      </c>
      <c r="O251">
        <f>IFERROR(IF(ISNUMBER(INDEX(SPPR!$E:$Z,MATCH($A251,SPPR!$A:$A,0),12)),$C251*INDEX(SPPR!$E:$Z,MATCH($A251,SPPR!$A:$A,0),12),""),"")</f>
        <v/>
      </c>
      <c r="P251">
        <f>IFERROR(IF(ISNUMBER(INDEX(SPPR!$E:$Z,MATCH($A251,SPPR!$A:$A,0),13)),$C251*INDEX(SPPR!$E:$Z,MATCH($A251,SPPR!$A:$A,0),13),""),"")</f>
        <v/>
      </c>
      <c r="Q251">
        <f>IFERROR(IF(ISNUMBER(INDEX(SPPR!$E:$Z,MATCH($A251,SPPR!$A:$A,0),14)),$C251*INDEX(SPPR!$E:$Z,MATCH($A251,SPPR!$A:$A,0),14),""),"")</f>
        <v/>
      </c>
      <c r="R251">
        <f>IFERROR(IF(ISNUMBER(INDEX(SPPR!$E:$Z,MATCH($A251,SPPR!$A:$A,0),15)),$C251*INDEX(SPPR!$E:$Z,MATCH($A251,SPPR!$A:$A,0),15),""),"")</f>
        <v/>
      </c>
      <c r="S251">
        <f>IFERROR(IF(ISNUMBER(INDEX(SPPR!$E:$Z,MATCH($A251,SPPR!$A:$A,0),16)),$C251*INDEX(SPPR!$E:$Z,MATCH($A251,SPPR!$A:$A,0),16),""),"")</f>
        <v/>
      </c>
      <c r="T251">
        <f>IFERROR(IF(ISNUMBER(INDEX(SPPR!$E:$Z,MATCH($A251,SPPR!$A:$A,0),17)),$C251*INDEX(SPPR!$E:$Z,MATCH($A251,SPPR!$A:$A,0),17),""),"")</f>
        <v/>
      </c>
      <c r="U251">
        <f>IFERROR(IF(ISNUMBER(INDEX(SPPR!$E:$Z,MATCH($A251,SPPR!$A:$A,0),18)),$C251*INDEX(SPPR!$E:$Z,MATCH($A251,SPPR!$A:$A,0),18),""),"")</f>
        <v/>
      </c>
      <c r="V251">
        <f>IFERROR(IF(ISNUMBER(INDEX(SPPR!$E:$Z,MATCH($A251,SPPR!$A:$A,0),19)),$C251*INDEX(SPPR!$E:$Z,MATCH($A251,SPPR!$A:$A,0),19),""),"")</f>
        <v/>
      </c>
      <c r="W251">
        <f>IFERROR(IF(ISNUMBER(INDEX(SPPR!$E:$Z,MATCH($A251,SPPR!$A:$A,0),20)),$C251*INDEX(SPPR!$E:$Z,MATCH($A251,SPPR!$A:$A,0),20),""),"")</f>
        <v/>
      </c>
      <c r="X251">
        <f>IFERROR(IF(ISNUMBER(INDEX(SPPR!$E:$Z,MATCH($A251,SPPR!$A:$A,0),21)),$C251*INDEX(SPPR!$E:$Z,MATCH($A251,SPPR!$A:$A,0),21),""),"")</f>
        <v/>
      </c>
      <c r="Y251">
        <f>IFERROR(IF(ISNUMBER(INDEX(SPPR!$E:$Z,MATCH($A251,SPPR!$A:$A,0),22)),$C251*INDEX(SPPR!$E:$Z,MATCH($A251,SPPR!$A:$A,0),22),""),"")</f>
        <v/>
      </c>
    </row>
    <row r="252">
      <c r="A252" t="inlineStr">
        <is>
          <t>Lamniformes</t>
        </is>
      </c>
      <c r="B252">
        <f>IFERROR(INDEX(SPPR!$D:$D,MATCH($A252,SPPR!$A:$A,0)),"")</f>
        <v/>
      </c>
      <c r="C252">
        <f>IFERROR(INDEX(Catch!$E:$BV,MATCH($A252,Catch!$A:$A,0),MATCH($B$4,Catch!$E$1:$BV$1,0)),0)</f>
        <v/>
      </c>
      <c r="D252">
        <f>IFERROR(IF(ISNUMBER(INDEX(SPPR!$E:$Z,MATCH($A252,SPPR!$A:$A,0),1)),$C252*INDEX(SPPR!$E:$Z,MATCH($A252,SPPR!$A:$A,0),1),""),"")</f>
        <v/>
      </c>
      <c r="E252">
        <f>IFERROR(IF(ISNUMBER(INDEX(SPPR!$E:$Z,MATCH($A252,SPPR!$A:$A,0),2)),$C252*INDEX(SPPR!$E:$Z,MATCH($A252,SPPR!$A:$A,0),2),""),"")</f>
        <v/>
      </c>
      <c r="F252">
        <f>IFERROR(IF(ISNUMBER(INDEX(SPPR!$E:$Z,MATCH($A252,SPPR!$A:$A,0),3)),$C252*INDEX(SPPR!$E:$Z,MATCH($A252,SPPR!$A:$A,0),3),""),"")</f>
        <v/>
      </c>
      <c r="G252">
        <f>IFERROR(IF(ISNUMBER(INDEX(SPPR!$E:$Z,MATCH($A252,SPPR!$A:$A,0),4)),$C252*INDEX(SPPR!$E:$Z,MATCH($A252,SPPR!$A:$A,0),4),""),"")</f>
        <v/>
      </c>
      <c r="H252">
        <f>IFERROR(IF(ISNUMBER(INDEX(SPPR!$E:$Z,MATCH($A252,SPPR!$A:$A,0),5)),$C252*INDEX(SPPR!$E:$Z,MATCH($A252,SPPR!$A:$A,0),5),""),"")</f>
        <v/>
      </c>
      <c r="I252">
        <f>IFERROR(IF(ISNUMBER(INDEX(SPPR!$E:$Z,MATCH($A252,SPPR!$A:$A,0),6)),$C252*INDEX(SPPR!$E:$Z,MATCH($A252,SPPR!$A:$A,0),6),""),"")</f>
        <v/>
      </c>
      <c r="J252">
        <f>IFERROR(IF(ISNUMBER(INDEX(SPPR!$E:$Z,MATCH($A252,SPPR!$A:$A,0),7)),$C252*INDEX(SPPR!$E:$Z,MATCH($A252,SPPR!$A:$A,0),7),""),"")</f>
        <v/>
      </c>
      <c r="K252">
        <f>IFERROR(IF(ISNUMBER(INDEX(SPPR!$E:$Z,MATCH($A252,SPPR!$A:$A,0),8)),$C252*INDEX(SPPR!$E:$Z,MATCH($A252,SPPR!$A:$A,0),8),""),"")</f>
        <v/>
      </c>
      <c r="L252">
        <f>IFERROR(IF(ISNUMBER(INDEX(SPPR!$E:$Z,MATCH($A252,SPPR!$A:$A,0),9)),$C252*INDEX(SPPR!$E:$Z,MATCH($A252,SPPR!$A:$A,0),9),""),"")</f>
        <v/>
      </c>
      <c r="M252">
        <f>IFERROR(IF(ISNUMBER(INDEX(SPPR!$E:$Z,MATCH($A252,SPPR!$A:$A,0),10)),$C252*INDEX(SPPR!$E:$Z,MATCH($A252,SPPR!$A:$A,0),10),""),"")</f>
        <v/>
      </c>
      <c r="N252">
        <f>IFERROR(IF(ISNUMBER(INDEX(SPPR!$E:$Z,MATCH($A252,SPPR!$A:$A,0),11)),$C252*INDEX(SPPR!$E:$Z,MATCH($A252,SPPR!$A:$A,0),11),""),"")</f>
        <v/>
      </c>
      <c r="O252">
        <f>IFERROR(IF(ISNUMBER(INDEX(SPPR!$E:$Z,MATCH($A252,SPPR!$A:$A,0),12)),$C252*INDEX(SPPR!$E:$Z,MATCH($A252,SPPR!$A:$A,0),12),""),"")</f>
        <v/>
      </c>
      <c r="P252">
        <f>IFERROR(IF(ISNUMBER(INDEX(SPPR!$E:$Z,MATCH($A252,SPPR!$A:$A,0),13)),$C252*INDEX(SPPR!$E:$Z,MATCH($A252,SPPR!$A:$A,0),13),""),"")</f>
        <v/>
      </c>
      <c r="Q252">
        <f>IFERROR(IF(ISNUMBER(INDEX(SPPR!$E:$Z,MATCH($A252,SPPR!$A:$A,0),14)),$C252*INDEX(SPPR!$E:$Z,MATCH($A252,SPPR!$A:$A,0),14),""),"")</f>
        <v/>
      </c>
      <c r="R252">
        <f>IFERROR(IF(ISNUMBER(INDEX(SPPR!$E:$Z,MATCH($A252,SPPR!$A:$A,0),15)),$C252*INDEX(SPPR!$E:$Z,MATCH($A252,SPPR!$A:$A,0),15),""),"")</f>
        <v/>
      </c>
      <c r="S252">
        <f>IFERROR(IF(ISNUMBER(INDEX(SPPR!$E:$Z,MATCH($A252,SPPR!$A:$A,0),16)),$C252*INDEX(SPPR!$E:$Z,MATCH($A252,SPPR!$A:$A,0),16),""),"")</f>
        <v/>
      </c>
      <c r="T252">
        <f>IFERROR(IF(ISNUMBER(INDEX(SPPR!$E:$Z,MATCH($A252,SPPR!$A:$A,0),17)),$C252*INDEX(SPPR!$E:$Z,MATCH($A252,SPPR!$A:$A,0),17),""),"")</f>
        <v/>
      </c>
      <c r="U252">
        <f>IFERROR(IF(ISNUMBER(INDEX(SPPR!$E:$Z,MATCH($A252,SPPR!$A:$A,0),18)),$C252*INDEX(SPPR!$E:$Z,MATCH($A252,SPPR!$A:$A,0),18),""),"")</f>
        <v/>
      </c>
      <c r="V252">
        <f>IFERROR(IF(ISNUMBER(INDEX(SPPR!$E:$Z,MATCH($A252,SPPR!$A:$A,0),19)),$C252*INDEX(SPPR!$E:$Z,MATCH($A252,SPPR!$A:$A,0),19),""),"")</f>
        <v/>
      </c>
      <c r="W252">
        <f>IFERROR(IF(ISNUMBER(INDEX(SPPR!$E:$Z,MATCH($A252,SPPR!$A:$A,0),20)),$C252*INDEX(SPPR!$E:$Z,MATCH($A252,SPPR!$A:$A,0),20),""),"")</f>
        <v/>
      </c>
      <c r="X252">
        <f>IFERROR(IF(ISNUMBER(INDEX(SPPR!$E:$Z,MATCH($A252,SPPR!$A:$A,0),21)),$C252*INDEX(SPPR!$E:$Z,MATCH($A252,SPPR!$A:$A,0),21),""),"")</f>
        <v/>
      </c>
      <c r="Y252">
        <f>IFERROR(IF(ISNUMBER(INDEX(SPPR!$E:$Z,MATCH($A252,SPPR!$A:$A,0),22)),$C252*INDEX(SPPR!$E:$Z,MATCH($A252,SPPR!$A:$A,0),22),""),"")</f>
        <v/>
      </c>
    </row>
    <row r="253">
      <c r="A253" t="inlineStr">
        <is>
          <t>Siganidae</t>
        </is>
      </c>
      <c r="B253">
        <f>IFERROR(INDEX(SPPR!$D:$D,MATCH($A253,SPPR!$A:$A,0)),"")</f>
        <v/>
      </c>
      <c r="C253">
        <f>IFERROR(INDEX(Catch!$E:$BV,MATCH($A253,Catch!$A:$A,0),MATCH($B$4,Catch!$E$1:$BV$1,0)),0)</f>
        <v/>
      </c>
      <c r="D253">
        <f>IFERROR(IF(ISNUMBER(INDEX(SPPR!$E:$Z,MATCH($A253,SPPR!$A:$A,0),1)),$C253*INDEX(SPPR!$E:$Z,MATCH($A253,SPPR!$A:$A,0),1),""),"")</f>
        <v/>
      </c>
      <c r="E253">
        <f>IFERROR(IF(ISNUMBER(INDEX(SPPR!$E:$Z,MATCH($A253,SPPR!$A:$A,0),2)),$C253*INDEX(SPPR!$E:$Z,MATCH($A253,SPPR!$A:$A,0),2),""),"")</f>
        <v/>
      </c>
      <c r="F253">
        <f>IFERROR(IF(ISNUMBER(INDEX(SPPR!$E:$Z,MATCH($A253,SPPR!$A:$A,0),3)),$C253*INDEX(SPPR!$E:$Z,MATCH($A253,SPPR!$A:$A,0),3),""),"")</f>
        <v/>
      </c>
      <c r="G253">
        <f>IFERROR(IF(ISNUMBER(INDEX(SPPR!$E:$Z,MATCH($A253,SPPR!$A:$A,0),4)),$C253*INDEX(SPPR!$E:$Z,MATCH($A253,SPPR!$A:$A,0),4),""),"")</f>
        <v/>
      </c>
      <c r="H253">
        <f>IFERROR(IF(ISNUMBER(INDEX(SPPR!$E:$Z,MATCH($A253,SPPR!$A:$A,0),5)),$C253*INDEX(SPPR!$E:$Z,MATCH($A253,SPPR!$A:$A,0),5),""),"")</f>
        <v/>
      </c>
      <c r="I253">
        <f>IFERROR(IF(ISNUMBER(INDEX(SPPR!$E:$Z,MATCH($A253,SPPR!$A:$A,0),6)),$C253*INDEX(SPPR!$E:$Z,MATCH($A253,SPPR!$A:$A,0),6),""),"")</f>
        <v/>
      </c>
      <c r="J253">
        <f>IFERROR(IF(ISNUMBER(INDEX(SPPR!$E:$Z,MATCH($A253,SPPR!$A:$A,0),7)),$C253*INDEX(SPPR!$E:$Z,MATCH($A253,SPPR!$A:$A,0),7),""),"")</f>
        <v/>
      </c>
      <c r="K253">
        <f>IFERROR(IF(ISNUMBER(INDEX(SPPR!$E:$Z,MATCH($A253,SPPR!$A:$A,0),8)),$C253*INDEX(SPPR!$E:$Z,MATCH($A253,SPPR!$A:$A,0),8),""),"")</f>
        <v/>
      </c>
      <c r="L253">
        <f>IFERROR(IF(ISNUMBER(INDEX(SPPR!$E:$Z,MATCH($A253,SPPR!$A:$A,0),9)),$C253*INDEX(SPPR!$E:$Z,MATCH($A253,SPPR!$A:$A,0),9),""),"")</f>
        <v/>
      </c>
      <c r="M253">
        <f>IFERROR(IF(ISNUMBER(INDEX(SPPR!$E:$Z,MATCH($A253,SPPR!$A:$A,0),10)),$C253*INDEX(SPPR!$E:$Z,MATCH($A253,SPPR!$A:$A,0),10),""),"")</f>
        <v/>
      </c>
      <c r="N253">
        <f>IFERROR(IF(ISNUMBER(INDEX(SPPR!$E:$Z,MATCH($A253,SPPR!$A:$A,0),11)),$C253*INDEX(SPPR!$E:$Z,MATCH($A253,SPPR!$A:$A,0),11),""),"")</f>
        <v/>
      </c>
      <c r="O253">
        <f>IFERROR(IF(ISNUMBER(INDEX(SPPR!$E:$Z,MATCH($A253,SPPR!$A:$A,0),12)),$C253*INDEX(SPPR!$E:$Z,MATCH($A253,SPPR!$A:$A,0),12),""),"")</f>
        <v/>
      </c>
      <c r="P253">
        <f>IFERROR(IF(ISNUMBER(INDEX(SPPR!$E:$Z,MATCH($A253,SPPR!$A:$A,0),13)),$C253*INDEX(SPPR!$E:$Z,MATCH($A253,SPPR!$A:$A,0),13),""),"")</f>
        <v/>
      </c>
      <c r="Q253">
        <f>IFERROR(IF(ISNUMBER(INDEX(SPPR!$E:$Z,MATCH($A253,SPPR!$A:$A,0),14)),$C253*INDEX(SPPR!$E:$Z,MATCH($A253,SPPR!$A:$A,0),14),""),"")</f>
        <v/>
      </c>
      <c r="R253">
        <f>IFERROR(IF(ISNUMBER(INDEX(SPPR!$E:$Z,MATCH($A253,SPPR!$A:$A,0),15)),$C253*INDEX(SPPR!$E:$Z,MATCH($A253,SPPR!$A:$A,0),15),""),"")</f>
        <v/>
      </c>
      <c r="S253">
        <f>IFERROR(IF(ISNUMBER(INDEX(SPPR!$E:$Z,MATCH($A253,SPPR!$A:$A,0),16)),$C253*INDEX(SPPR!$E:$Z,MATCH($A253,SPPR!$A:$A,0),16),""),"")</f>
        <v/>
      </c>
      <c r="T253">
        <f>IFERROR(IF(ISNUMBER(INDEX(SPPR!$E:$Z,MATCH($A253,SPPR!$A:$A,0),17)),$C253*INDEX(SPPR!$E:$Z,MATCH($A253,SPPR!$A:$A,0),17),""),"")</f>
        <v/>
      </c>
      <c r="U253">
        <f>IFERROR(IF(ISNUMBER(INDEX(SPPR!$E:$Z,MATCH($A253,SPPR!$A:$A,0),18)),$C253*INDEX(SPPR!$E:$Z,MATCH($A253,SPPR!$A:$A,0),18),""),"")</f>
        <v/>
      </c>
      <c r="V253">
        <f>IFERROR(IF(ISNUMBER(INDEX(SPPR!$E:$Z,MATCH($A253,SPPR!$A:$A,0),19)),$C253*INDEX(SPPR!$E:$Z,MATCH($A253,SPPR!$A:$A,0),19),""),"")</f>
        <v/>
      </c>
      <c r="W253">
        <f>IFERROR(IF(ISNUMBER(INDEX(SPPR!$E:$Z,MATCH($A253,SPPR!$A:$A,0),20)),$C253*INDEX(SPPR!$E:$Z,MATCH($A253,SPPR!$A:$A,0),20),""),"")</f>
        <v/>
      </c>
      <c r="X253">
        <f>IFERROR(IF(ISNUMBER(INDEX(SPPR!$E:$Z,MATCH($A253,SPPR!$A:$A,0),21)),$C253*INDEX(SPPR!$E:$Z,MATCH($A253,SPPR!$A:$A,0),21),""),"")</f>
        <v/>
      </c>
      <c r="Y253">
        <f>IFERROR(IF(ISNUMBER(INDEX(SPPR!$E:$Z,MATCH($A253,SPPR!$A:$A,0),22)),$C253*INDEX(SPPR!$E:$Z,MATCH($A253,SPPR!$A:$A,0),22),""),"")</f>
        <v/>
      </c>
    </row>
    <row r="254">
      <c r="A254" t="inlineStr">
        <is>
          <t>Holothuriidae</t>
        </is>
      </c>
      <c r="B254">
        <f>IFERROR(INDEX(SPPR!$D:$D,MATCH($A254,SPPR!$A:$A,0)),"")</f>
        <v/>
      </c>
      <c r="C254">
        <f>IFERROR(INDEX(Catch!$E:$BV,MATCH($A254,Catch!$A:$A,0),MATCH($B$4,Catch!$E$1:$BV$1,0)),0)</f>
        <v/>
      </c>
      <c r="D254">
        <f>IFERROR(IF(ISNUMBER(INDEX(SPPR!$E:$Z,MATCH($A254,SPPR!$A:$A,0),1)),$C254*INDEX(SPPR!$E:$Z,MATCH($A254,SPPR!$A:$A,0),1),""),"")</f>
        <v/>
      </c>
      <c r="E254">
        <f>IFERROR(IF(ISNUMBER(INDEX(SPPR!$E:$Z,MATCH($A254,SPPR!$A:$A,0),2)),$C254*INDEX(SPPR!$E:$Z,MATCH($A254,SPPR!$A:$A,0),2),""),"")</f>
        <v/>
      </c>
      <c r="F254">
        <f>IFERROR(IF(ISNUMBER(INDEX(SPPR!$E:$Z,MATCH($A254,SPPR!$A:$A,0),3)),$C254*INDEX(SPPR!$E:$Z,MATCH($A254,SPPR!$A:$A,0),3),""),"")</f>
        <v/>
      </c>
      <c r="G254">
        <f>IFERROR(IF(ISNUMBER(INDEX(SPPR!$E:$Z,MATCH($A254,SPPR!$A:$A,0),4)),$C254*INDEX(SPPR!$E:$Z,MATCH($A254,SPPR!$A:$A,0),4),""),"")</f>
        <v/>
      </c>
      <c r="H254">
        <f>IFERROR(IF(ISNUMBER(INDEX(SPPR!$E:$Z,MATCH($A254,SPPR!$A:$A,0),5)),$C254*INDEX(SPPR!$E:$Z,MATCH($A254,SPPR!$A:$A,0),5),""),"")</f>
        <v/>
      </c>
      <c r="I254">
        <f>IFERROR(IF(ISNUMBER(INDEX(SPPR!$E:$Z,MATCH($A254,SPPR!$A:$A,0),6)),$C254*INDEX(SPPR!$E:$Z,MATCH($A254,SPPR!$A:$A,0),6),""),"")</f>
        <v/>
      </c>
      <c r="J254">
        <f>IFERROR(IF(ISNUMBER(INDEX(SPPR!$E:$Z,MATCH($A254,SPPR!$A:$A,0),7)),$C254*INDEX(SPPR!$E:$Z,MATCH($A254,SPPR!$A:$A,0),7),""),"")</f>
        <v/>
      </c>
      <c r="K254">
        <f>IFERROR(IF(ISNUMBER(INDEX(SPPR!$E:$Z,MATCH($A254,SPPR!$A:$A,0),8)),$C254*INDEX(SPPR!$E:$Z,MATCH($A254,SPPR!$A:$A,0),8),""),"")</f>
        <v/>
      </c>
      <c r="L254">
        <f>IFERROR(IF(ISNUMBER(INDEX(SPPR!$E:$Z,MATCH($A254,SPPR!$A:$A,0),9)),$C254*INDEX(SPPR!$E:$Z,MATCH($A254,SPPR!$A:$A,0),9),""),"")</f>
        <v/>
      </c>
      <c r="M254">
        <f>IFERROR(IF(ISNUMBER(INDEX(SPPR!$E:$Z,MATCH($A254,SPPR!$A:$A,0),10)),$C254*INDEX(SPPR!$E:$Z,MATCH($A254,SPPR!$A:$A,0),10),""),"")</f>
        <v/>
      </c>
      <c r="N254">
        <f>IFERROR(IF(ISNUMBER(INDEX(SPPR!$E:$Z,MATCH($A254,SPPR!$A:$A,0),11)),$C254*INDEX(SPPR!$E:$Z,MATCH($A254,SPPR!$A:$A,0),11),""),"")</f>
        <v/>
      </c>
      <c r="O254">
        <f>IFERROR(IF(ISNUMBER(INDEX(SPPR!$E:$Z,MATCH($A254,SPPR!$A:$A,0),12)),$C254*INDEX(SPPR!$E:$Z,MATCH($A254,SPPR!$A:$A,0),12),""),"")</f>
        <v/>
      </c>
      <c r="P254">
        <f>IFERROR(IF(ISNUMBER(INDEX(SPPR!$E:$Z,MATCH($A254,SPPR!$A:$A,0),13)),$C254*INDEX(SPPR!$E:$Z,MATCH($A254,SPPR!$A:$A,0),13),""),"")</f>
        <v/>
      </c>
      <c r="Q254">
        <f>IFERROR(IF(ISNUMBER(INDEX(SPPR!$E:$Z,MATCH($A254,SPPR!$A:$A,0),14)),$C254*INDEX(SPPR!$E:$Z,MATCH($A254,SPPR!$A:$A,0),14),""),"")</f>
        <v/>
      </c>
      <c r="R254">
        <f>IFERROR(IF(ISNUMBER(INDEX(SPPR!$E:$Z,MATCH($A254,SPPR!$A:$A,0),15)),$C254*INDEX(SPPR!$E:$Z,MATCH($A254,SPPR!$A:$A,0),15),""),"")</f>
        <v/>
      </c>
      <c r="S254">
        <f>IFERROR(IF(ISNUMBER(INDEX(SPPR!$E:$Z,MATCH($A254,SPPR!$A:$A,0),16)),$C254*INDEX(SPPR!$E:$Z,MATCH($A254,SPPR!$A:$A,0),16),""),"")</f>
        <v/>
      </c>
      <c r="T254">
        <f>IFERROR(IF(ISNUMBER(INDEX(SPPR!$E:$Z,MATCH($A254,SPPR!$A:$A,0),17)),$C254*INDEX(SPPR!$E:$Z,MATCH($A254,SPPR!$A:$A,0),17),""),"")</f>
        <v/>
      </c>
      <c r="U254">
        <f>IFERROR(IF(ISNUMBER(INDEX(SPPR!$E:$Z,MATCH($A254,SPPR!$A:$A,0),18)),$C254*INDEX(SPPR!$E:$Z,MATCH($A254,SPPR!$A:$A,0),18),""),"")</f>
        <v/>
      </c>
      <c r="V254">
        <f>IFERROR(IF(ISNUMBER(INDEX(SPPR!$E:$Z,MATCH($A254,SPPR!$A:$A,0),19)),$C254*INDEX(SPPR!$E:$Z,MATCH($A254,SPPR!$A:$A,0),19),""),"")</f>
        <v/>
      </c>
      <c r="W254">
        <f>IFERROR(IF(ISNUMBER(INDEX(SPPR!$E:$Z,MATCH($A254,SPPR!$A:$A,0),20)),$C254*INDEX(SPPR!$E:$Z,MATCH($A254,SPPR!$A:$A,0),20),""),"")</f>
        <v/>
      </c>
      <c r="X254">
        <f>IFERROR(IF(ISNUMBER(INDEX(SPPR!$E:$Z,MATCH($A254,SPPR!$A:$A,0),21)),$C254*INDEX(SPPR!$E:$Z,MATCH($A254,SPPR!$A:$A,0),21),""),"")</f>
        <v/>
      </c>
      <c r="Y254">
        <f>IFERROR(IF(ISNUMBER(INDEX(SPPR!$E:$Z,MATCH($A254,SPPR!$A:$A,0),22)),$C254*INDEX(SPPR!$E:$Z,MATCH($A254,SPPR!$A:$A,0),22),""),"")</f>
        <v/>
      </c>
    </row>
    <row r="255">
      <c r="A255" t="inlineStr">
        <is>
          <t>Holothuria leucospilota</t>
        </is>
      </c>
      <c r="B255">
        <f>IFERROR(INDEX(SPPR!$D:$D,MATCH($A255,SPPR!$A:$A,0)),"")</f>
        <v/>
      </c>
      <c r="C255">
        <f>IFERROR(INDEX(Catch!$E:$BV,MATCH($A255,Catch!$A:$A,0),MATCH($B$4,Catch!$E$1:$BV$1,0)),0)</f>
        <v/>
      </c>
      <c r="D255">
        <f>IFERROR(IF(ISNUMBER(INDEX(SPPR!$E:$Z,MATCH($A255,SPPR!$A:$A,0),1)),$C255*INDEX(SPPR!$E:$Z,MATCH($A255,SPPR!$A:$A,0),1),""),"")</f>
        <v/>
      </c>
      <c r="E255">
        <f>IFERROR(IF(ISNUMBER(INDEX(SPPR!$E:$Z,MATCH($A255,SPPR!$A:$A,0),2)),$C255*INDEX(SPPR!$E:$Z,MATCH($A255,SPPR!$A:$A,0),2),""),"")</f>
        <v/>
      </c>
      <c r="F255">
        <f>IFERROR(IF(ISNUMBER(INDEX(SPPR!$E:$Z,MATCH($A255,SPPR!$A:$A,0),3)),$C255*INDEX(SPPR!$E:$Z,MATCH($A255,SPPR!$A:$A,0),3),""),"")</f>
        <v/>
      </c>
      <c r="G255">
        <f>IFERROR(IF(ISNUMBER(INDEX(SPPR!$E:$Z,MATCH($A255,SPPR!$A:$A,0),4)),$C255*INDEX(SPPR!$E:$Z,MATCH($A255,SPPR!$A:$A,0),4),""),"")</f>
        <v/>
      </c>
      <c r="H255">
        <f>IFERROR(IF(ISNUMBER(INDEX(SPPR!$E:$Z,MATCH($A255,SPPR!$A:$A,0),5)),$C255*INDEX(SPPR!$E:$Z,MATCH($A255,SPPR!$A:$A,0),5),""),"")</f>
        <v/>
      </c>
      <c r="I255">
        <f>IFERROR(IF(ISNUMBER(INDEX(SPPR!$E:$Z,MATCH($A255,SPPR!$A:$A,0),6)),$C255*INDEX(SPPR!$E:$Z,MATCH($A255,SPPR!$A:$A,0),6),""),"")</f>
        <v/>
      </c>
      <c r="J255">
        <f>IFERROR(IF(ISNUMBER(INDEX(SPPR!$E:$Z,MATCH($A255,SPPR!$A:$A,0),7)),$C255*INDEX(SPPR!$E:$Z,MATCH($A255,SPPR!$A:$A,0),7),""),"")</f>
        <v/>
      </c>
      <c r="K255">
        <f>IFERROR(IF(ISNUMBER(INDEX(SPPR!$E:$Z,MATCH($A255,SPPR!$A:$A,0),8)),$C255*INDEX(SPPR!$E:$Z,MATCH($A255,SPPR!$A:$A,0),8),""),"")</f>
        <v/>
      </c>
      <c r="L255">
        <f>IFERROR(IF(ISNUMBER(INDEX(SPPR!$E:$Z,MATCH($A255,SPPR!$A:$A,0),9)),$C255*INDEX(SPPR!$E:$Z,MATCH($A255,SPPR!$A:$A,0),9),""),"")</f>
        <v/>
      </c>
      <c r="M255">
        <f>IFERROR(IF(ISNUMBER(INDEX(SPPR!$E:$Z,MATCH($A255,SPPR!$A:$A,0),10)),$C255*INDEX(SPPR!$E:$Z,MATCH($A255,SPPR!$A:$A,0),10),""),"")</f>
        <v/>
      </c>
      <c r="N255">
        <f>IFERROR(IF(ISNUMBER(INDEX(SPPR!$E:$Z,MATCH($A255,SPPR!$A:$A,0),11)),$C255*INDEX(SPPR!$E:$Z,MATCH($A255,SPPR!$A:$A,0),11),""),"")</f>
        <v/>
      </c>
      <c r="O255">
        <f>IFERROR(IF(ISNUMBER(INDEX(SPPR!$E:$Z,MATCH($A255,SPPR!$A:$A,0),12)),$C255*INDEX(SPPR!$E:$Z,MATCH($A255,SPPR!$A:$A,0),12),""),"")</f>
        <v/>
      </c>
      <c r="P255">
        <f>IFERROR(IF(ISNUMBER(INDEX(SPPR!$E:$Z,MATCH($A255,SPPR!$A:$A,0),13)),$C255*INDEX(SPPR!$E:$Z,MATCH($A255,SPPR!$A:$A,0),13),""),"")</f>
        <v/>
      </c>
      <c r="Q255">
        <f>IFERROR(IF(ISNUMBER(INDEX(SPPR!$E:$Z,MATCH($A255,SPPR!$A:$A,0),14)),$C255*INDEX(SPPR!$E:$Z,MATCH($A255,SPPR!$A:$A,0),14),""),"")</f>
        <v/>
      </c>
      <c r="R255">
        <f>IFERROR(IF(ISNUMBER(INDEX(SPPR!$E:$Z,MATCH($A255,SPPR!$A:$A,0),15)),$C255*INDEX(SPPR!$E:$Z,MATCH($A255,SPPR!$A:$A,0),15),""),"")</f>
        <v/>
      </c>
      <c r="S255">
        <f>IFERROR(IF(ISNUMBER(INDEX(SPPR!$E:$Z,MATCH($A255,SPPR!$A:$A,0),16)),$C255*INDEX(SPPR!$E:$Z,MATCH($A255,SPPR!$A:$A,0),16),""),"")</f>
        <v/>
      </c>
      <c r="T255">
        <f>IFERROR(IF(ISNUMBER(INDEX(SPPR!$E:$Z,MATCH($A255,SPPR!$A:$A,0),17)),$C255*INDEX(SPPR!$E:$Z,MATCH($A255,SPPR!$A:$A,0),17),""),"")</f>
        <v/>
      </c>
      <c r="U255">
        <f>IFERROR(IF(ISNUMBER(INDEX(SPPR!$E:$Z,MATCH($A255,SPPR!$A:$A,0),18)),$C255*INDEX(SPPR!$E:$Z,MATCH($A255,SPPR!$A:$A,0),18),""),"")</f>
        <v/>
      </c>
      <c r="V255">
        <f>IFERROR(IF(ISNUMBER(INDEX(SPPR!$E:$Z,MATCH($A255,SPPR!$A:$A,0),19)),$C255*INDEX(SPPR!$E:$Z,MATCH($A255,SPPR!$A:$A,0),19),""),"")</f>
        <v/>
      </c>
      <c r="W255">
        <f>IFERROR(IF(ISNUMBER(INDEX(SPPR!$E:$Z,MATCH($A255,SPPR!$A:$A,0),20)),$C255*INDEX(SPPR!$E:$Z,MATCH($A255,SPPR!$A:$A,0),20),""),"")</f>
        <v/>
      </c>
      <c r="X255">
        <f>IFERROR(IF(ISNUMBER(INDEX(SPPR!$E:$Z,MATCH($A255,SPPR!$A:$A,0),21)),$C255*INDEX(SPPR!$E:$Z,MATCH($A255,SPPR!$A:$A,0),21),""),"")</f>
        <v/>
      </c>
      <c r="Y255">
        <f>IFERROR(IF(ISNUMBER(INDEX(SPPR!$E:$Z,MATCH($A255,SPPR!$A:$A,0),22)),$C255*INDEX(SPPR!$E:$Z,MATCH($A255,SPPR!$A:$A,0),22),""),"")</f>
        <v/>
      </c>
    </row>
    <row r="256">
      <c r="A256" t="inlineStr">
        <is>
          <t>Caesionidae</t>
        </is>
      </c>
      <c r="B256">
        <f>IFERROR(INDEX(SPPR!$D:$D,MATCH($A256,SPPR!$A:$A,0)),"")</f>
        <v/>
      </c>
      <c r="C256">
        <f>IFERROR(INDEX(Catch!$E:$BV,MATCH($A256,Catch!$A:$A,0),MATCH($B$4,Catch!$E$1:$BV$1,0)),0)</f>
        <v/>
      </c>
      <c r="D256">
        <f>IFERROR(IF(ISNUMBER(INDEX(SPPR!$E:$Z,MATCH($A256,SPPR!$A:$A,0),1)),$C256*INDEX(SPPR!$E:$Z,MATCH($A256,SPPR!$A:$A,0),1),""),"")</f>
        <v/>
      </c>
      <c r="E256">
        <f>IFERROR(IF(ISNUMBER(INDEX(SPPR!$E:$Z,MATCH($A256,SPPR!$A:$A,0),2)),$C256*INDEX(SPPR!$E:$Z,MATCH($A256,SPPR!$A:$A,0),2),""),"")</f>
        <v/>
      </c>
      <c r="F256">
        <f>IFERROR(IF(ISNUMBER(INDEX(SPPR!$E:$Z,MATCH($A256,SPPR!$A:$A,0),3)),$C256*INDEX(SPPR!$E:$Z,MATCH($A256,SPPR!$A:$A,0),3),""),"")</f>
        <v/>
      </c>
      <c r="G256">
        <f>IFERROR(IF(ISNUMBER(INDEX(SPPR!$E:$Z,MATCH($A256,SPPR!$A:$A,0),4)),$C256*INDEX(SPPR!$E:$Z,MATCH($A256,SPPR!$A:$A,0),4),""),"")</f>
        <v/>
      </c>
      <c r="H256">
        <f>IFERROR(IF(ISNUMBER(INDEX(SPPR!$E:$Z,MATCH($A256,SPPR!$A:$A,0),5)),$C256*INDEX(SPPR!$E:$Z,MATCH($A256,SPPR!$A:$A,0),5),""),"")</f>
        <v/>
      </c>
      <c r="I256">
        <f>IFERROR(IF(ISNUMBER(INDEX(SPPR!$E:$Z,MATCH($A256,SPPR!$A:$A,0),6)),$C256*INDEX(SPPR!$E:$Z,MATCH($A256,SPPR!$A:$A,0),6),""),"")</f>
        <v/>
      </c>
      <c r="J256">
        <f>IFERROR(IF(ISNUMBER(INDEX(SPPR!$E:$Z,MATCH($A256,SPPR!$A:$A,0),7)),$C256*INDEX(SPPR!$E:$Z,MATCH($A256,SPPR!$A:$A,0),7),""),"")</f>
        <v/>
      </c>
      <c r="K256">
        <f>IFERROR(IF(ISNUMBER(INDEX(SPPR!$E:$Z,MATCH($A256,SPPR!$A:$A,0),8)),$C256*INDEX(SPPR!$E:$Z,MATCH($A256,SPPR!$A:$A,0),8),""),"")</f>
        <v/>
      </c>
      <c r="L256">
        <f>IFERROR(IF(ISNUMBER(INDEX(SPPR!$E:$Z,MATCH($A256,SPPR!$A:$A,0),9)),$C256*INDEX(SPPR!$E:$Z,MATCH($A256,SPPR!$A:$A,0),9),""),"")</f>
        <v/>
      </c>
      <c r="M256">
        <f>IFERROR(IF(ISNUMBER(INDEX(SPPR!$E:$Z,MATCH($A256,SPPR!$A:$A,0),10)),$C256*INDEX(SPPR!$E:$Z,MATCH($A256,SPPR!$A:$A,0),10),""),"")</f>
        <v/>
      </c>
      <c r="N256">
        <f>IFERROR(IF(ISNUMBER(INDEX(SPPR!$E:$Z,MATCH($A256,SPPR!$A:$A,0),11)),$C256*INDEX(SPPR!$E:$Z,MATCH($A256,SPPR!$A:$A,0),11),""),"")</f>
        <v/>
      </c>
      <c r="O256">
        <f>IFERROR(IF(ISNUMBER(INDEX(SPPR!$E:$Z,MATCH($A256,SPPR!$A:$A,0),12)),$C256*INDEX(SPPR!$E:$Z,MATCH($A256,SPPR!$A:$A,0),12),""),"")</f>
        <v/>
      </c>
      <c r="P256">
        <f>IFERROR(IF(ISNUMBER(INDEX(SPPR!$E:$Z,MATCH($A256,SPPR!$A:$A,0),13)),$C256*INDEX(SPPR!$E:$Z,MATCH($A256,SPPR!$A:$A,0),13),""),"")</f>
        <v/>
      </c>
      <c r="Q256">
        <f>IFERROR(IF(ISNUMBER(INDEX(SPPR!$E:$Z,MATCH($A256,SPPR!$A:$A,0),14)),$C256*INDEX(SPPR!$E:$Z,MATCH($A256,SPPR!$A:$A,0),14),""),"")</f>
        <v/>
      </c>
      <c r="R256">
        <f>IFERROR(IF(ISNUMBER(INDEX(SPPR!$E:$Z,MATCH($A256,SPPR!$A:$A,0),15)),$C256*INDEX(SPPR!$E:$Z,MATCH($A256,SPPR!$A:$A,0),15),""),"")</f>
        <v/>
      </c>
      <c r="S256">
        <f>IFERROR(IF(ISNUMBER(INDEX(SPPR!$E:$Z,MATCH($A256,SPPR!$A:$A,0),16)),$C256*INDEX(SPPR!$E:$Z,MATCH($A256,SPPR!$A:$A,0),16),""),"")</f>
        <v/>
      </c>
      <c r="T256">
        <f>IFERROR(IF(ISNUMBER(INDEX(SPPR!$E:$Z,MATCH($A256,SPPR!$A:$A,0),17)),$C256*INDEX(SPPR!$E:$Z,MATCH($A256,SPPR!$A:$A,0),17),""),"")</f>
        <v/>
      </c>
      <c r="U256">
        <f>IFERROR(IF(ISNUMBER(INDEX(SPPR!$E:$Z,MATCH($A256,SPPR!$A:$A,0),18)),$C256*INDEX(SPPR!$E:$Z,MATCH($A256,SPPR!$A:$A,0),18),""),"")</f>
        <v/>
      </c>
      <c r="V256">
        <f>IFERROR(IF(ISNUMBER(INDEX(SPPR!$E:$Z,MATCH($A256,SPPR!$A:$A,0),19)),$C256*INDEX(SPPR!$E:$Z,MATCH($A256,SPPR!$A:$A,0),19),""),"")</f>
        <v/>
      </c>
      <c r="W256">
        <f>IFERROR(IF(ISNUMBER(INDEX(SPPR!$E:$Z,MATCH($A256,SPPR!$A:$A,0),20)),$C256*INDEX(SPPR!$E:$Z,MATCH($A256,SPPR!$A:$A,0),20),""),"")</f>
        <v/>
      </c>
      <c r="X256">
        <f>IFERROR(IF(ISNUMBER(INDEX(SPPR!$E:$Z,MATCH($A256,SPPR!$A:$A,0),21)),$C256*INDEX(SPPR!$E:$Z,MATCH($A256,SPPR!$A:$A,0),21),""),"")</f>
        <v/>
      </c>
      <c r="Y256">
        <f>IFERROR(IF(ISNUMBER(INDEX(SPPR!$E:$Z,MATCH($A256,SPPR!$A:$A,0),22)),$C256*INDEX(SPPR!$E:$Z,MATCH($A256,SPPR!$A:$A,0),22),""),"")</f>
        <v/>
      </c>
    </row>
    <row r="257">
      <c r="A257" t="inlineStr">
        <is>
          <t>Scomberomorus lineolatus</t>
        </is>
      </c>
      <c r="B257">
        <f>IFERROR(INDEX(SPPR!$D:$D,MATCH($A257,SPPR!$A:$A,0)),"")</f>
        <v/>
      </c>
      <c r="C257">
        <f>IFERROR(INDEX(Catch!$E:$BV,MATCH($A257,Catch!$A:$A,0),MATCH($B$4,Catch!$E$1:$BV$1,0)),0)</f>
        <v/>
      </c>
      <c r="D257">
        <f>IFERROR(IF(ISNUMBER(INDEX(SPPR!$E:$Z,MATCH($A257,SPPR!$A:$A,0),1)),$C257*INDEX(SPPR!$E:$Z,MATCH($A257,SPPR!$A:$A,0),1),""),"")</f>
        <v/>
      </c>
      <c r="E257">
        <f>IFERROR(IF(ISNUMBER(INDEX(SPPR!$E:$Z,MATCH($A257,SPPR!$A:$A,0),2)),$C257*INDEX(SPPR!$E:$Z,MATCH($A257,SPPR!$A:$A,0),2),""),"")</f>
        <v/>
      </c>
      <c r="F257">
        <f>IFERROR(IF(ISNUMBER(INDEX(SPPR!$E:$Z,MATCH($A257,SPPR!$A:$A,0),3)),$C257*INDEX(SPPR!$E:$Z,MATCH($A257,SPPR!$A:$A,0),3),""),"")</f>
        <v/>
      </c>
      <c r="G257">
        <f>IFERROR(IF(ISNUMBER(INDEX(SPPR!$E:$Z,MATCH($A257,SPPR!$A:$A,0),4)),$C257*INDEX(SPPR!$E:$Z,MATCH($A257,SPPR!$A:$A,0),4),""),"")</f>
        <v/>
      </c>
      <c r="H257">
        <f>IFERROR(IF(ISNUMBER(INDEX(SPPR!$E:$Z,MATCH($A257,SPPR!$A:$A,0),5)),$C257*INDEX(SPPR!$E:$Z,MATCH($A257,SPPR!$A:$A,0),5),""),"")</f>
        <v/>
      </c>
      <c r="I257">
        <f>IFERROR(IF(ISNUMBER(INDEX(SPPR!$E:$Z,MATCH($A257,SPPR!$A:$A,0),6)),$C257*INDEX(SPPR!$E:$Z,MATCH($A257,SPPR!$A:$A,0),6),""),"")</f>
        <v/>
      </c>
      <c r="J257">
        <f>IFERROR(IF(ISNUMBER(INDEX(SPPR!$E:$Z,MATCH($A257,SPPR!$A:$A,0),7)),$C257*INDEX(SPPR!$E:$Z,MATCH($A257,SPPR!$A:$A,0),7),""),"")</f>
        <v/>
      </c>
      <c r="K257">
        <f>IFERROR(IF(ISNUMBER(INDEX(SPPR!$E:$Z,MATCH($A257,SPPR!$A:$A,0),8)),$C257*INDEX(SPPR!$E:$Z,MATCH($A257,SPPR!$A:$A,0),8),""),"")</f>
        <v/>
      </c>
      <c r="L257">
        <f>IFERROR(IF(ISNUMBER(INDEX(SPPR!$E:$Z,MATCH($A257,SPPR!$A:$A,0),9)),$C257*INDEX(SPPR!$E:$Z,MATCH($A257,SPPR!$A:$A,0),9),""),"")</f>
        <v/>
      </c>
      <c r="M257">
        <f>IFERROR(IF(ISNUMBER(INDEX(SPPR!$E:$Z,MATCH($A257,SPPR!$A:$A,0),10)),$C257*INDEX(SPPR!$E:$Z,MATCH($A257,SPPR!$A:$A,0),10),""),"")</f>
        <v/>
      </c>
      <c r="N257">
        <f>IFERROR(IF(ISNUMBER(INDEX(SPPR!$E:$Z,MATCH($A257,SPPR!$A:$A,0),11)),$C257*INDEX(SPPR!$E:$Z,MATCH($A257,SPPR!$A:$A,0),11),""),"")</f>
        <v/>
      </c>
      <c r="O257">
        <f>IFERROR(IF(ISNUMBER(INDEX(SPPR!$E:$Z,MATCH($A257,SPPR!$A:$A,0),12)),$C257*INDEX(SPPR!$E:$Z,MATCH($A257,SPPR!$A:$A,0),12),""),"")</f>
        <v/>
      </c>
      <c r="P257">
        <f>IFERROR(IF(ISNUMBER(INDEX(SPPR!$E:$Z,MATCH($A257,SPPR!$A:$A,0),13)),$C257*INDEX(SPPR!$E:$Z,MATCH($A257,SPPR!$A:$A,0),13),""),"")</f>
        <v/>
      </c>
      <c r="Q257">
        <f>IFERROR(IF(ISNUMBER(INDEX(SPPR!$E:$Z,MATCH($A257,SPPR!$A:$A,0),14)),$C257*INDEX(SPPR!$E:$Z,MATCH($A257,SPPR!$A:$A,0),14),""),"")</f>
        <v/>
      </c>
      <c r="R257">
        <f>IFERROR(IF(ISNUMBER(INDEX(SPPR!$E:$Z,MATCH($A257,SPPR!$A:$A,0),15)),$C257*INDEX(SPPR!$E:$Z,MATCH($A257,SPPR!$A:$A,0),15),""),"")</f>
        <v/>
      </c>
      <c r="S257">
        <f>IFERROR(IF(ISNUMBER(INDEX(SPPR!$E:$Z,MATCH($A257,SPPR!$A:$A,0),16)),$C257*INDEX(SPPR!$E:$Z,MATCH($A257,SPPR!$A:$A,0),16),""),"")</f>
        <v/>
      </c>
      <c r="T257">
        <f>IFERROR(IF(ISNUMBER(INDEX(SPPR!$E:$Z,MATCH($A257,SPPR!$A:$A,0),17)),$C257*INDEX(SPPR!$E:$Z,MATCH($A257,SPPR!$A:$A,0),17),""),"")</f>
        <v/>
      </c>
      <c r="U257">
        <f>IFERROR(IF(ISNUMBER(INDEX(SPPR!$E:$Z,MATCH($A257,SPPR!$A:$A,0),18)),$C257*INDEX(SPPR!$E:$Z,MATCH($A257,SPPR!$A:$A,0),18),""),"")</f>
        <v/>
      </c>
      <c r="V257">
        <f>IFERROR(IF(ISNUMBER(INDEX(SPPR!$E:$Z,MATCH($A257,SPPR!$A:$A,0),19)),$C257*INDEX(SPPR!$E:$Z,MATCH($A257,SPPR!$A:$A,0),19),""),"")</f>
        <v/>
      </c>
      <c r="W257">
        <f>IFERROR(IF(ISNUMBER(INDEX(SPPR!$E:$Z,MATCH($A257,SPPR!$A:$A,0),20)),$C257*INDEX(SPPR!$E:$Z,MATCH($A257,SPPR!$A:$A,0),20),""),"")</f>
        <v/>
      </c>
      <c r="X257">
        <f>IFERROR(IF(ISNUMBER(INDEX(SPPR!$E:$Z,MATCH($A257,SPPR!$A:$A,0),21)),$C257*INDEX(SPPR!$E:$Z,MATCH($A257,SPPR!$A:$A,0),21),""),"")</f>
        <v/>
      </c>
      <c r="Y257">
        <f>IFERROR(IF(ISNUMBER(INDEX(SPPR!$E:$Z,MATCH($A257,SPPR!$A:$A,0),22)),$C257*INDEX(SPPR!$E:$Z,MATCH($A257,SPPR!$A:$A,0),22),""),"")</f>
        <v/>
      </c>
    </row>
    <row r="258">
      <c r="A258" t="inlineStr">
        <is>
          <t>Stichopus</t>
        </is>
      </c>
      <c r="B258">
        <f>IFERROR(INDEX(SPPR!$D:$D,MATCH($A258,SPPR!$A:$A,0)),"")</f>
        <v/>
      </c>
      <c r="C258">
        <f>IFERROR(INDEX(Catch!$E:$BV,MATCH($A258,Catch!$A:$A,0),MATCH($B$4,Catch!$E$1:$BV$1,0)),0)</f>
        <v/>
      </c>
      <c r="D258">
        <f>IFERROR(IF(ISNUMBER(INDEX(SPPR!$E:$Z,MATCH($A258,SPPR!$A:$A,0),1)),$C258*INDEX(SPPR!$E:$Z,MATCH($A258,SPPR!$A:$A,0),1),""),"")</f>
        <v/>
      </c>
      <c r="E258">
        <f>IFERROR(IF(ISNUMBER(INDEX(SPPR!$E:$Z,MATCH($A258,SPPR!$A:$A,0),2)),$C258*INDEX(SPPR!$E:$Z,MATCH($A258,SPPR!$A:$A,0),2),""),"")</f>
        <v/>
      </c>
      <c r="F258">
        <f>IFERROR(IF(ISNUMBER(INDEX(SPPR!$E:$Z,MATCH($A258,SPPR!$A:$A,0),3)),$C258*INDEX(SPPR!$E:$Z,MATCH($A258,SPPR!$A:$A,0),3),""),"")</f>
        <v/>
      </c>
      <c r="G258">
        <f>IFERROR(IF(ISNUMBER(INDEX(SPPR!$E:$Z,MATCH($A258,SPPR!$A:$A,0),4)),$C258*INDEX(SPPR!$E:$Z,MATCH($A258,SPPR!$A:$A,0),4),""),"")</f>
        <v/>
      </c>
      <c r="H258">
        <f>IFERROR(IF(ISNUMBER(INDEX(SPPR!$E:$Z,MATCH($A258,SPPR!$A:$A,0),5)),$C258*INDEX(SPPR!$E:$Z,MATCH($A258,SPPR!$A:$A,0),5),""),"")</f>
        <v/>
      </c>
      <c r="I258">
        <f>IFERROR(IF(ISNUMBER(INDEX(SPPR!$E:$Z,MATCH($A258,SPPR!$A:$A,0),6)),$C258*INDEX(SPPR!$E:$Z,MATCH($A258,SPPR!$A:$A,0),6),""),"")</f>
        <v/>
      </c>
      <c r="J258">
        <f>IFERROR(IF(ISNUMBER(INDEX(SPPR!$E:$Z,MATCH($A258,SPPR!$A:$A,0),7)),$C258*INDEX(SPPR!$E:$Z,MATCH($A258,SPPR!$A:$A,0),7),""),"")</f>
        <v/>
      </c>
      <c r="K258">
        <f>IFERROR(IF(ISNUMBER(INDEX(SPPR!$E:$Z,MATCH($A258,SPPR!$A:$A,0),8)),$C258*INDEX(SPPR!$E:$Z,MATCH($A258,SPPR!$A:$A,0),8),""),"")</f>
        <v/>
      </c>
      <c r="L258">
        <f>IFERROR(IF(ISNUMBER(INDEX(SPPR!$E:$Z,MATCH($A258,SPPR!$A:$A,0),9)),$C258*INDEX(SPPR!$E:$Z,MATCH($A258,SPPR!$A:$A,0),9),""),"")</f>
        <v/>
      </c>
      <c r="M258">
        <f>IFERROR(IF(ISNUMBER(INDEX(SPPR!$E:$Z,MATCH($A258,SPPR!$A:$A,0),10)),$C258*INDEX(SPPR!$E:$Z,MATCH($A258,SPPR!$A:$A,0),10),""),"")</f>
        <v/>
      </c>
      <c r="N258">
        <f>IFERROR(IF(ISNUMBER(INDEX(SPPR!$E:$Z,MATCH($A258,SPPR!$A:$A,0),11)),$C258*INDEX(SPPR!$E:$Z,MATCH($A258,SPPR!$A:$A,0),11),""),"")</f>
        <v/>
      </c>
      <c r="O258">
        <f>IFERROR(IF(ISNUMBER(INDEX(SPPR!$E:$Z,MATCH($A258,SPPR!$A:$A,0),12)),$C258*INDEX(SPPR!$E:$Z,MATCH($A258,SPPR!$A:$A,0),12),""),"")</f>
        <v/>
      </c>
      <c r="P258">
        <f>IFERROR(IF(ISNUMBER(INDEX(SPPR!$E:$Z,MATCH($A258,SPPR!$A:$A,0),13)),$C258*INDEX(SPPR!$E:$Z,MATCH($A258,SPPR!$A:$A,0),13),""),"")</f>
        <v/>
      </c>
      <c r="Q258">
        <f>IFERROR(IF(ISNUMBER(INDEX(SPPR!$E:$Z,MATCH($A258,SPPR!$A:$A,0),14)),$C258*INDEX(SPPR!$E:$Z,MATCH($A258,SPPR!$A:$A,0),14),""),"")</f>
        <v/>
      </c>
      <c r="R258">
        <f>IFERROR(IF(ISNUMBER(INDEX(SPPR!$E:$Z,MATCH($A258,SPPR!$A:$A,0),15)),$C258*INDEX(SPPR!$E:$Z,MATCH($A258,SPPR!$A:$A,0),15),""),"")</f>
        <v/>
      </c>
      <c r="S258">
        <f>IFERROR(IF(ISNUMBER(INDEX(SPPR!$E:$Z,MATCH($A258,SPPR!$A:$A,0),16)),$C258*INDEX(SPPR!$E:$Z,MATCH($A258,SPPR!$A:$A,0),16),""),"")</f>
        <v/>
      </c>
      <c r="T258">
        <f>IFERROR(IF(ISNUMBER(INDEX(SPPR!$E:$Z,MATCH($A258,SPPR!$A:$A,0),17)),$C258*INDEX(SPPR!$E:$Z,MATCH($A258,SPPR!$A:$A,0),17),""),"")</f>
        <v/>
      </c>
      <c r="U258">
        <f>IFERROR(IF(ISNUMBER(INDEX(SPPR!$E:$Z,MATCH($A258,SPPR!$A:$A,0),18)),$C258*INDEX(SPPR!$E:$Z,MATCH($A258,SPPR!$A:$A,0),18),""),"")</f>
        <v/>
      </c>
      <c r="V258">
        <f>IFERROR(IF(ISNUMBER(INDEX(SPPR!$E:$Z,MATCH($A258,SPPR!$A:$A,0),19)),$C258*INDEX(SPPR!$E:$Z,MATCH($A258,SPPR!$A:$A,0),19),""),"")</f>
        <v/>
      </c>
      <c r="W258">
        <f>IFERROR(IF(ISNUMBER(INDEX(SPPR!$E:$Z,MATCH($A258,SPPR!$A:$A,0),20)),$C258*INDEX(SPPR!$E:$Z,MATCH($A258,SPPR!$A:$A,0),20),""),"")</f>
        <v/>
      </c>
      <c r="X258">
        <f>IFERROR(IF(ISNUMBER(INDEX(SPPR!$E:$Z,MATCH($A258,SPPR!$A:$A,0),21)),$C258*INDEX(SPPR!$E:$Z,MATCH($A258,SPPR!$A:$A,0),21),""),"")</f>
        <v/>
      </c>
      <c r="Y258">
        <f>IFERROR(IF(ISNUMBER(INDEX(SPPR!$E:$Z,MATCH($A258,SPPR!$A:$A,0),22)),$C258*INDEX(SPPR!$E:$Z,MATCH($A258,SPPR!$A:$A,0),22),""),"")</f>
        <v/>
      </c>
    </row>
    <row r="259">
      <c r="A259" t="inlineStr">
        <is>
          <t>Sphyrnidae</t>
        </is>
      </c>
      <c r="B259">
        <f>IFERROR(INDEX(SPPR!$D:$D,MATCH($A259,SPPR!$A:$A,0)),"")</f>
        <v/>
      </c>
      <c r="C259">
        <f>IFERROR(INDEX(Catch!$E:$BV,MATCH($A259,Catch!$A:$A,0),MATCH($B$4,Catch!$E$1:$BV$1,0)),0)</f>
        <v/>
      </c>
      <c r="D259">
        <f>IFERROR(IF(ISNUMBER(INDEX(SPPR!$E:$Z,MATCH($A259,SPPR!$A:$A,0),1)),$C259*INDEX(SPPR!$E:$Z,MATCH($A259,SPPR!$A:$A,0),1),""),"")</f>
        <v/>
      </c>
      <c r="E259">
        <f>IFERROR(IF(ISNUMBER(INDEX(SPPR!$E:$Z,MATCH($A259,SPPR!$A:$A,0),2)),$C259*INDEX(SPPR!$E:$Z,MATCH($A259,SPPR!$A:$A,0),2),""),"")</f>
        <v/>
      </c>
      <c r="F259">
        <f>IFERROR(IF(ISNUMBER(INDEX(SPPR!$E:$Z,MATCH($A259,SPPR!$A:$A,0),3)),$C259*INDEX(SPPR!$E:$Z,MATCH($A259,SPPR!$A:$A,0),3),""),"")</f>
        <v/>
      </c>
      <c r="G259">
        <f>IFERROR(IF(ISNUMBER(INDEX(SPPR!$E:$Z,MATCH($A259,SPPR!$A:$A,0),4)),$C259*INDEX(SPPR!$E:$Z,MATCH($A259,SPPR!$A:$A,0),4),""),"")</f>
        <v/>
      </c>
      <c r="H259">
        <f>IFERROR(IF(ISNUMBER(INDEX(SPPR!$E:$Z,MATCH($A259,SPPR!$A:$A,0),5)),$C259*INDEX(SPPR!$E:$Z,MATCH($A259,SPPR!$A:$A,0),5),""),"")</f>
        <v/>
      </c>
      <c r="I259">
        <f>IFERROR(IF(ISNUMBER(INDEX(SPPR!$E:$Z,MATCH($A259,SPPR!$A:$A,0),6)),$C259*INDEX(SPPR!$E:$Z,MATCH($A259,SPPR!$A:$A,0),6),""),"")</f>
        <v/>
      </c>
      <c r="J259">
        <f>IFERROR(IF(ISNUMBER(INDEX(SPPR!$E:$Z,MATCH($A259,SPPR!$A:$A,0),7)),$C259*INDEX(SPPR!$E:$Z,MATCH($A259,SPPR!$A:$A,0),7),""),"")</f>
        <v/>
      </c>
      <c r="K259">
        <f>IFERROR(IF(ISNUMBER(INDEX(SPPR!$E:$Z,MATCH($A259,SPPR!$A:$A,0),8)),$C259*INDEX(SPPR!$E:$Z,MATCH($A259,SPPR!$A:$A,0),8),""),"")</f>
        <v/>
      </c>
      <c r="L259">
        <f>IFERROR(IF(ISNUMBER(INDEX(SPPR!$E:$Z,MATCH($A259,SPPR!$A:$A,0),9)),$C259*INDEX(SPPR!$E:$Z,MATCH($A259,SPPR!$A:$A,0),9),""),"")</f>
        <v/>
      </c>
      <c r="M259">
        <f>IFERROR(IF(ISNUMBER(INDEX(SPPR!$E:$Z,MATCH($A259,SPPR!$A:$A,0),10)),$C259*INDEX(SPPR!$E:$Z,MATCH($A259,SPPR!$A:$A,0),10),""),"")</f>
        <v/>
      </c>
      <c r="N259">
        <f>IFERROR(IF(ISNUMBER(INDEX(SPPR!$E:$Z,MATCH($A259,SPPR!$A:$A,0),11)),$C259*INDEX(SPPR!$E:$Z,MATCH($A259,SPPR!$A:$A,0),11),""),"")</f>
        <v/>
      </c>
      <c r="O259">
        <f>IFERROR(IF(ISNUMBER(INDEX(SPPR!$E:$Z,MATCH($A259,SPPR!$A:$A,0),12)),$C259*INDEX(SPPR!$E:$Z,MATCH($A259,SPPR!$A:$A,0),12),""),"")</f>
        <v/>
      </c>
      <c r="P259">
        <f>IFERROR(IF(ISNUMBER(INDEX(SPPR!$E:$Z,MATCH($A259,SPPR!$A:$A,0),13)),$C259*INDEX(SPPR!$E:$Z,MATCH($A259,SPPR!$A:$A,0),13),""),"")</f>
        <v/>
      </c>
      <c r="Q259">
        <f>IFERROR(IF(ISNUMBER(INDEX(SPPR!$E:$Z,MATCH($A259,SPPR!$A:$A,0),14)),$C259*INDEX(SPPR!$E:$Z,MATCH($A259,SPPR!$A:$A,0),14),""),"")</f>
        <v/>
      </c>
      <c r="R259">
        <f>IFERROR(IF(ISNUMBER(INDEX(SPPR!$E:$Z,MATCH($A259,SPPR!$A:$A,0),15)),$C259*INDEX(SPPR!$E:$Z,MATCH($A259,SPPR!$A:$A,0),15),""),"")</f>
        <v/>
      </c>
      <c r="S259">
        <f>IFERROR(IF(ISNUMBER(INDEX(SPPR!$E:$Z,MATCH($A259,SPPR!$A:$A,0),16)),$C259*INDEX(SPPR!$E:$Z,MATCH($A259,SPPR!$A:$A,0),16),""),"")</f>
        <v/>
      </c>
      <c r="T259">
        <f>IFERROR(IF(ISNUMBER(INDEX(SPPR!$E:$Z,MATCH($A259,SPPR!$A:$A,0),17)),$C259*INDEX(SPPR!$E:$Z,MATCH($A259,SPPR!$A:$A,0),17),""),"")</f>
        <v/>
      </c>
      <c r="U259">
        <f>IFERROR(IF(ISNUMBER(INDEX(SPPR!$E:$Z,MATCH($A259,SPPR!$A:$A,0),18)),$C259*INDEX(SPPR!$E:$Z,MATCH($A259,SPPR!$A:$A,0),18),""),"")</f>
        <v/>
      </c>
      <c r="V259">
        <f>IFERROR(IF(ISNUMBER(INDEX(SPPR!$E:$Z,MATCH($A259,SPPR!$A:$A,0),19)),$C259*INDEX(SPPR!$E:$Z,MATCH($A259,SPPR!$A:$A,0),19),""),"")</f>
        <v/>
      </c>
      <c r="W259">
        <f>IFERROR(IF(ISNUMBER(INDEX(SPPR!$E:$Z,MATCH($A259,SPPR!$A:$A,0),20)),$C259*INDEX(SPPR!$E:$Z,MATCH($A259,SPPR!$A:$A,0),20),""),"")</f>
        <v/>
      </c>
      <c r="X259">
        <f>IFERROR(IF(ISNUMBER(INDEX(SPPR!$E:$Z,MATCH($A259,SPPR!$A:$A,0),21)),$C259*INDEX(SPPR!$E:$Z,MATCH($A259,SPPR!$A:$A,0),21),""),"")</f>
        <v/>
      </c>
      <c r="Y259">
        <f>IFERROR(IF(ISNUMBER(INDEX(SPPR!$E:$Z,MATCH($A259,SPPR!$A:$A,0),22)),$C259*INDEX(SPPR!$E:$Z,MATCH($A259,SPPR!$A:$A,0),22),""),"")</f>
        <v/>
      </c>
    </row>
    <row r="260">
      <c r="A260" t="inlineStr">
        <is>
          <t>Platycaranx malabaricus</t>
        </is>
      </c>
      <c r="B260">
        <f>IFERROR(INDEX(SPPR!$D:$D,MATCH($A260,SPPR!$A:$A,0)),"")</f>
        <v/>
      </c>
      <c r="C260">
        <f>IFERROR(INDEX(Catch!$E:$BV,MATCH($A260,Catch!$A:$A,0),MATCH($B$4,Catch!$E$1:$BV$1,0)),0)</f>
        <v/>
      </c>
      <c r="D260">
        <f>IFERROR(IF(ISNUMBER(INDEX(SPPR!$E:$Z,MATCH($A260,SPPR!$A:$A,0),1)),$C260*INDEX(SPPR!$E:$Z,MATCH($A260,SPPR!$A:$A,0),1),""),"")</f>
        <v/>
      </c>
      <c r="E260">
        <f>IFERROR(IF(ISNUMBER(INDEX(SPPR!$E:$Z,MATCH($A260,SPPR!$A:$A,0),2)),$C260*INDEX(SPPR!$E:$Z,MATCH($A260,SPPR!$A:$A,0),2),""),"")</f>
        <v/>
      </c>
      <c r="F260">
        <f>IFERROR(IF(ISNUMBER(INDEX(SPPR!$E:$Z,MATCH($A260,SPPR!$A:$A,0),3)),$C260*INDEX(SPPR!$E:$Z,MATCH($A260,SPPR!$A:$A,0),3),""),"")</f>
        <v/>
      </c>
      <c r="G260">
        <f>IFERROR(IF(ISNUMBER(INDEX(SPPR!$E:$Z,MATCH($A260,SPPR!$A:$A,0),4)),$C260*INDEX(SPPR!$E:$Z,MATCH($A260,SPPR!$A:$A,0),4),""),"")</f>
        <v/>
      </c>
      <c r="H260">
        <f>IFERROR(IF(ISNUMBER(INDEX(SPPR!$E:$Z,MATCH($A260,SPPR!$A:$A,0),5)),$C260*INDEX(SPPR!$E:$Z,MATCH($A260,SPPR!$A:$A,0),5),""),"")</f>
        <v/>
      </c>
      <c r="I260">
        <f>IFERROR(IF(ISNUMBER(INDEX(SPPR!$E:$Z,MATCH($A260,SPPR!$A:$A,0),6)),$C260*INDEX(SPPR!$E:$Z,MATCH($A260,SPPR!$A:$A,0),6),""),"")</f>
        <v/>
      </c>
      <c r="J260">
        <f>IFERROR(IF(ISNUMBER(INDEX(SPPR!$E:$Z,MATCH($A260,SPPR!$A:$A,0),7)),$C260*INDEX(SPPR!$E:$Z,MATCH($A260,SPPR!$A:$A,0),7),""),"")</f>
        <v/>
      </c>
      <c r="K260">
        <f>IFERROR(IF(ISNUMBER(INDEX(SPPR!$E:$Z,MATCH($A260,SPPR!$A:$A,0),8)),$C260*INDEX(SPPR!$E:$Z,MATCH($A260,SPPR!$A:$A,0),8),""),"")</f>
        <v/>
      </c>
      <c r="L260">
        <f>IFERROR(IF(ISNUMBER(INDEX(SPPR!$E:$Z,MATCH($A260,SPPR!$A:$A,0),9)),$C260*INDEX(SPPR!$E:$Z,MATCH($A260,SPPR!$A:$A,0),9),""),"")</f>
        <v/>
      </c>
      <c r="M260">
        <f>IFERROR(IF(ISNUMBER(INDEX(SPPR!$E:$Z,MATCH($A260,SPPR!$A:$A,0),10)),$C260*INDEX(SPPR!$E:$Z,MATCH($A260,SPPR!$A:$A,0),10),""),"")</f>
        <v/>
      </c>
      <c r="N260">
        <f>IFERROR(IF(ISNUMBER(INDEX(SPPR!$E:$Z,MATCH($A260,SPPR!$A:$A,0),11)),$C260*INDEX(SPPR!$E:$Z,MATCH($A260,SPPR!$A:$A,0),11),""),"")</f>
        <v/>
      </c>
      <c r="O260">
        <f>IFERROR(IF(ISNUMBER(INDEX(SPPR!$E:$Z,MATCH($A260,SPPR!$A:$A,0),12)),$C260*INDEX(SPPR!$E:$Z,MATCH($A260,SPPR!$A:$A,0),12),""),"")</f>
        <v/>
      </c>
      <c r="P260">
        <f>IFERROR(IF(ISNUMBER(INDEX(SPPR!$E:$Z,MATCH($A260,SPPR!$A:$A,0),13)),$C260*INDEX(SPPR!$E:$Z,MATCH($A260,SPPR!$A:$A,0),13),""),"")</f>
        <v/>
      </c>
      <c r="Q260">
        <f>IFERROR(IF(ISNUMBER(INDEX(SPPR!$E:$Z,MATCH($A260,SPPR!$A:$A,0),14)),$C260*INDEX(SPPR!$E:$Z,MATCH($A260,SPPR!$A:$A,0),14),""),"")</f>
        <v/>
      </c>
      <c r="R260">
        <f>IFERROR(IF(ISNUMBER(INDEX(SPPR!$E:$Z,MATCH($A260,SPPR!$A:$A,0),15)),$C260*INDEX(SPPR!$E:$Z,MATCH($A260,SPPR!$A:$A,0),15),""),"")</f>
        <v/>
      </c>
      <c r="S260">
        <f>IFERROR(IF(ISNUMBER(INDEX(SPPR!$E:$Z,MATCH($A260,SPPR!$A:$A,0),16)),$C260*INDEX(SPPR!$E:$Z,MATCH($A260,SPPR!$A:$A,0),16),""),"")</f>
        <v/>
      </c>
      <c r="T260">
        <f>IFERROR(IF(ISNUMBER(INDEX(SPPR!$E:$Z,MATCH($A260,SPPR!$A:$A,0),17)),$C260*INDEX(SPPR!$E:$Z,MATCH($A260,SPPR!$A:$A,0),17),""),"")</f>
        <v/>
      </c>
      <c r="U260">
        <f>IFERROR(IF(ISNUMBER(INDEX(SPPR!$E:$Z,MATCH($A260,SPPR!$A:$A,0),18)),$C260*INDEX(SPPR!$E:$Z,MATCH($A260,SPPR!$A:$A,0),18),""),"")</f>
        <v/>
      </c>
      <c r="V260">
        <f>IFERROR(IF(ISNUMBER(INDEX(SPPR!$E:$Z,MATCH($A260,SPPR!$A:$A,0),19)),$C260*INDEX(SPPR!$E:$Z,MATCH($A260,SPPR!$A:$A,0),19),""),"")</f>
        <v/>
      </c>
      <c r="W260">
        <f>IFERROR(IF(ISNUMBER(INDEX(SPPR!$E:$Z,MATCH($A260,SPPR!$A:$A,0),20)),$C260*INDEX(SPPR!$E:$Z,MATCH($A260,SPPR!$A:$A,0),20),""),"")</f>
        <v/>
      </c>
      <c r="X260">
        <f>IFERROR(IF(ISNUMBER(INDEX(SPPR!$E:$Z,MATCH($A260,SPPR!$A:$A,0),21)),$C260*INDEX(SPPR!$E:$Z,MATCH($A260,SPPR!$A:$A,0),21),""),"")</f>
        <v/>
      </c>
      <c r="Y260">
        <f>IFERROR(IF(ISNUMBER(INDEX(SPPR!$E:$Z,MATCH($A260,SPPR!$A:$A,0),22)),$C260*INDEX(SPPR!$E:$Z,MATCH($A260,SPPR!$A:$A,0),22),""),"")</f>
        <v/>
      </c>
    </row>
    <row r="261">
      <c r="A261" t="inlineStr">
        <is>
          <t>Priacanthidae</t>
        </is>
      </c>
      <c r="B261">
        <f>IFERROR(INDEX(SPPR!$D:$D,MATCH($A261,SPPR!$A:$A,0)),"")</f>
        <v/>
      </c>
      <c r="C261">
        <f>IFERROR(INDEX(Catch!$E:$BV,MATCH($A261,Catch!$A:$A,0),MATCH($B$4,Catch!$E$1:$BV$1,0)),0)</f>
        <v/>
      </c>
      <c r="D261">
        <f>IFERROR(IF(ISNUMBER(INDEX(SPPR!$E:$Z,MATCH($A261,SPPR!$A:$A,0),1)),$C261*INDEX(SPPR!$E:$Z,MATCH($A261,SPPR!$A:$A,0),1),""),"")</f>
        <v/>
      </c>
      <c r="E261">
        <f>IFERROR(IF(ISNUMBER(INDEX(SPPR!$E:$Z,MATCH($A261,SPPR!$A:$A,0),2)),$C261*INDEX(SPPR!$E:$Z,MATCH($A261,SPPR!$A:$A,0),2),""),"")</f>
        <v/>
      </c>
      <c r="F261">
        <f>IFERROR(IF(ISNUMBER(INDEX(SPPR!$E:$Z,MATCH($A261,SPPR!$A:$A,0),3)),$C261*INDEX(SPPR!$E:$Z,MATCH($A261,SPPR!$A:$A,0),3),""),"")</f>
        <v/>
      </c>
      <c r="G261">
        <f>IFERROR(IF(ISNUMBER(INDEX(SPPR!$E:$Z,MATCH($A261,SPPR!$A:$A,0),4)),$C261*INDEX(SPPR!$E:$Z,MATCH($A261,SPPR!$A:$A,0),4),""),"")</f>
        <v/>
      </c>
      <c r="H261">
        <f>IFERROR(IF(ISNUMBER(INDEX(SPPR!$E:$Z,MATCH($A261,SPPR!$A:$A,0),5)),$C261*INDEX(SPPR!$E:$Z,MATCH($A261,SPPR!$A:$A,0),5),""),"")</f>
        <v/>
      </c>
      <c r="I261">
        <f>IFERROR(IF(ISNUMBER(INDEX(SPPR!$E:$Z,MATCH($A261,SPPR!$A:$A,0),6)),$C261*INDEX(SPPR!$E:$Z,MATCH($A261,SPPR!$A:$A,0),6),""),"")</f>
        <v/>
      </c>
      <c r="J261">
        <f>IFERROR(IF(ISNUMBER(INDEX(SPPR!$E:$Z,MATCH($A261,SPPR!$A:$A,0),7)),$C261*INDEX(SPPR!$E:$Z,MATCH($A261,SPPR!$A:$A,0),7),""),"")</f>
        <v/>
      </c>
      <c r="K261">
        <f>IFERROR(IF(ISNUMBER(INDEX(SPPR!$E:$Z,MATCH($A261,SPPR!$A:$A,0),8)),$C261*INDEX(SPPR!$E:$Z,MATCH($A261,SPPR!$A:$A,0),8),""),"")</f>
        <v/>
      </c>
      <c r="L261">
        <f>IFERROR(IF(ISNUMBER(INDEX(SPPR!$E:$Z,MATCH($A261,SPPR!$A:$A,0),9)),$C261*INDEX(SPPR!$E:$Z,MATCH($A261,SPPR!$A:$A,0),9),""),"")</f>
        <v/>
      </c>
      <c r="M261">
        <f>IFERROR(IF(ISNUMBER(INDEX(SPPR!$E:$Z,MATCH($A261,SPPR!$A:$A,0),10)),$C261*INDEX(SPPR!$E:$Z,MATCH($A261,SPPR!$A:$A,0),10),""),"")</f>
        <v/>
      </c>
      <c r="N261">
        <f>IFERROR(IF(ISNUMBER(INDEX(SPPR!$E:$Z,MATCH($A261,SPPR!$A:$A,0),11)),$C261*INDEX(SPPR!$E:$Z,MATCH($A261,SPPR!$A:$A,0),11),""),"")</f>
        <v/>
      </c>
      <c r="O261">
        <f>IFERROR(IF(ISNUMBER(INDEX(SPPR!$E:$Z,MATCH($A261,SPPR!$A:$A,0),12)),$C261*INDEX(SPPR!$E:$Z,MATCH($A261,SPPR!$A:$A,0),12),""),"")</f>
        <v/>
      </c>
      <c r="P261">
        <f>IFERROR(IF(ISNUMBER(INDEX(SPPR!$E:$Z,MATCH($A261,SPPR!$A:$A,0),13)),$C261*INDEX(SPPR!$E:$Z,MATCH($A261,SPPR!$A:$A,0),13),""),"")</f>
        <v/>
      </c>
      <c r="Q261">
        <f>IFERROR(IF(ISNUMBER(INDEX(SPPR!$E:$Z,MATCH($A261,SPPR!$A:$A,0),14)),$C261*INDEX(SPPR!$E:$Z,MATCH($A261,SPPR!$A:$A,0),14),""),"")</f>
        <v/>
      </c>
      <c r="R261">
        <f>IFERROR(IF(ISNUMBER(INDEX(SPPR!$E:$Z,MATCH($A261,SPPR!$A:$A,0),15)),$C261*INDEX(SPPR!$E:$Z,MATCH($A261,SPPR!$A:$A,0),15),""),"")</f>
        <v/>
      </c>
      <c r="S261">
        <f>IFERROR(IF(ISNUMBER(INDEX(SPPR!$E:$Z,MATCH($A261,SPPR!$A:$A,0),16)),$C261*INDEX(SPPR!$E:$Z,MATCH($A261,SPPR!$A:$A,0),16),""),"")</f>
        <v/>
      </c>
      <c r="T261">
        <f>IFERROR(IF(ISNUMBER(INDEX(SPPR!$E:$Z,MATCH($A261,SPPR!$A:$A,0),17)),$C261*INDEX(SPPR!$E:$Z,MATCH($A261,SPPR!$A:$A,0),17),""),"")</f>
        <v/>
      </c>
      <c r="U261">
        <f>IFERROR(IF(ISNUMBER(INDEX(SPPR!$E:$Z,MATCH($A261,SPPR!$A:$A,0),18)),$C261*INDEX(SPPR!$E:$Z,MATCH($A261,SPPR!$A:$A,0),18),""),"")</f>
        <v/>
      </c>
      <c r="V261">
        <f>IFERROR(IF(ISNUMBER(INDEX(SPPR!$E:$Z,MATCH($A261,SPPR!$A:$A,0),19)),$C261*INDEX(SPPR!$E:$Z,MATCH($A261,SPPR!$A:$A,0),19),""),"")</f>
        <v/>
      </c>
      <c r="W261">
        <f>IFERROR(IF(ISNUMBER(INDEX(SPPR!$E:$Z,MATCH($A261,SPPR!$A:$A,0),20)),$C261*INDEX(SPPR!$E:$Z,MATCH($A261,SPPR!$A:$A,0),20),""),"")</f>
        <v/>
      </c>
      <c r="X261">
        <f>IFERROR(IF(ISNUMBER(INDEX(SPPR!$E:$Z,MATCH($A261,SPPR!$A:$A,0),21)),$C261*INDEX(SPPR!$E:$Z,MATCH($A261,SPPR!$A:$A,0),21),""),"")</f>
        <v/>
      </c>
      <c r="Y261">
        <f>IFERROR(IF(ISNUMBER(INDEX(SPPR!$E:$Z,MATCH($A261,SPPR!$A:$A,0),22)),$C261*INDEX(SPPR!$E:$Z,MATCH($A261,SPPR!$A:$A,0),22),""),"")</f>
        <v/>
      </c>
    </row>
    <row r="262">
      <c r="A262" t="inlineStr">
        <is>
          <t>Alopias vulpinus</t>
        </is>
      </c>
      <c r="B262">
        <f>IFERROR(INDEX(SPPR!$D:$D,MATCH($A262,SPPR!$A:$A,0)),"")</f>
        <v/>
      </c>
      <c r="C262">
        <f>IFERROR(INDEX(Catch!$E:$BV,MATCH($A262,Catch!$A:$A,0),MATCH($B$4,Catch!$E$1:$BV$1,0)),0)</f>
        <v/>
      </c>
      <c r="D262">
        <f>IFERROR(IF(ISNUMBER(INDEX(SPPR!$E:$Z,MATCH($A262,SPPR!$A:$A,0),1)),$C262*INDEX(SPPR!$E:$Z,MATCH($A262,SPPR!$A:$A,0),1),""),"")</f>
        <v/>
      </c>
      <c r="E262">
        <f>IFERROR(IF(ISNUMBER(INDEX(SPPR!$E:$Z,MATCH($A262,SPPR!$A:$A,0),2)),$C262*INDEX(SPPR!$E:$Z,MATCH($A262,SPPR!$A:$A,0),2),""),"")</f>
        <v/>
      </c>
      <c r="F262">
        <f>IFERROR(IF(ISNUMBER(INDEX(SPPR!$E:$Z,MATCH($A262,SPPR!$A:$A,0),3)),$C262*INDEX(SPPR!$E:$Z,MATCH($A262,SPPR!$A:$A,0),3),""),"")</f>
        <v/>
      </c>
      <c r="G262">
        <f>IFERROR(IF(ISNUMBER(INDEX(SPPR!$E:$Z,MATCH($A262,SPPR!$A:$A,0),4)),$C262*INDEX(SPPR!$E:$Z,MATCH($A262,SPPR!$A:$A,0),4),""),"")</f>
        <v/>
      </c>
      <c r="H262">
        <f>IFERROR(IF(ISNUMBER(INDEX(SPPR!$E:$Z,MATCH($A262,SPPR!$A:$A,0),5)),$C262*INDEX(SPPR!$E:$Z,MATCH($A262,SPPR!$A:$A,0),5),""),"")</f>
        <v/>
      </c>
      <c r="I262">
        <f>IFERROR(IF(ISNUMBER(INDEX(SPPR!$E:$Z,MATCH($A262,SPPR!$A:$A,0),6)),$C262*INDEX(SPPR!$E:$Z,MATCH($A262,SPPR!$A:$A,0),6),""),"")</f>
        <v/>
      </c>
      <c r="J262">
        <f>IFERROR(IF(ISNUMBER(INDEX(SPPR!$E:$Z,MATCH($A262,SPPR!$A:$A,0),7)),$C262*INDEX(SPPR!$E:$Z,MATCH($A262,SPPR!$A:$A,0),7),""),"")</f>
        <v/>
      </c>
      <c r="K262">
        <f>IFERROR(IF(ISNUMBER(INDEX(SPPR!$E:$Z,MATCH($A262,SPPR!$A:$A,0),8)),$C262*INDEX(SPPR!$E:$Z,MATCH($A262,SPPR!$A:$A,0),8),""),"")</f>
        <v/>
      </c>
      <c r="L262">
        <f>IFERROR(IF(ISNUMBER(INDEX(SPPR!$E:$Z,MATCH($A262,SPPR!$A:$A,0),9)),$C262*INDEX(SPPR!$E:$Z,MATCH($A262,SPPR!$A:$A,0),9),""),"")</f>
        <v/>
      </c>
      <c r="M262">
        <f>IFERROR(IF(ISNUMBER(INDEX(SPPR!$E:$Z,MATCH($A262,SPPR!$A:$A,0),10)),$C262*INDEX(SPPR!$E:$Z,MATCH($A262,SPPR!$A:$A,0),10),""),"")</f>
        <v/>
      </c>
      <c r="N262">
        <f>IFERROR(IF(ISNUMBER(INDEX(SPPR!$E:$Z,MATCH($A262,SPPR!$A:$A,0),11)),$C262*INDEX(SPPR!$E:$Z,MATCH($A262,SPPR!$A:$A,0),11),""),"")</f>
        <v/>
      </c>
      <c r="O262">
        <f>IFERROR(IF(ISNUMBER(INDEX(SPPR!$E:$Z,MATCH($A262,SPPR!$A:$A,0),12)),$C262*INDEX(SPPR!$E:$Z,MATCH($A262,SPPR!$A:$A,0),12),""),"")</f>
        <v/>
      </c>
      <c r="P262">
        <f>IFERROR(IF(ISNUMBER(INDEX(SPPR!$E:$Z,MATCH($A262,SPPR!$A:$A,0),13)),$C262*INDEX(SPPR!$E:$Z,MATCH($A262,SPPR!$A:$A,0),13),""),"")</f>
        <v/>
      </c>
      <c r="Q262">
        <f>IFERROR(IF(ISNUMBER(INDEX(SPPR!$E:$Z,MATCH($A262,SPPR!$A:$A,0),14)),$C262*INDEX(SPPR!$E:$Z,MATCH($A262,SPPR!$A:$A,0),14),""),"")</f>
        <v/>
      </c>
      <c r="R262">
        <f>IFERROR(IF(ISNUMBER(INDEX(SPPR!$E:$Z,MATCH($A262,SPPR!$A:$A,0),15)),$C262*INDEX(SPPR!$E:$Z,MATCH($A262,SPPR!$A:$A,0),15),""),"")</f>
        <v/>
      </c>
      <c r="S262">
        <f>IFERROR(IF(ISNUMBER(INDEX(SPPR!$E:$Z,MATCH($A262,SPPR!$A:$A,0),16)),$C262*INDEX(SPPR!$E:$Z,MATCH($A262,SPPR!$A:$A,0),16),""),"")</f>
        <v/>
      </c>
      <c r="T262">
        <f>IFERROR(IF(ISNUMBER(INDEX(SPPR!$E:$Z,MATCH($A262,SPPR!$A:$A,0),17)),$C262*INDEX(SPPR!$E:$Z,MATCH($A262,SPPR!$A:$A,0),17),""),"")</f>
        <v/>
      </c>
      <c r="U262">
        <f>IFERROR(IF(ISNUMBER(INDEX(SPPR!$E:$Z,MATCH($A262,SPPR!$A:$A,0),18)),$C262*INDEX(SPPR!$E:$Z,MATCH($A262,SPPR!$A:$A,0),18),""),"")</f>
        <v/>
      </c>
      <c r="V262">
        <f>IFERROR(IF(ISNUMBER(INDEX(SPPR!$E:$Z,MATCH($A262,SPPR!$A:$A,0),19)),$C262*INDEX(SPPR!$E:$Z,MATCH($A262,SPPR!$A:$A,0),19),""),"")</f>
        <v/>
      </c>
      <c r="W262">
        <f>IFERROR(IF(ISNUMBER(INDEX(SPPR!$E:$Z,MATCH($A262,SPPR!$A:$A,0),20)),$C262*INDEX(SPPR!$E:$Z,MATCH($A262,SPPR!$A:$A,0),20),""),"")</f>
        <v/>
      </c>
      <c r="X262">
        <f>IFERROR(IF(ISNUMBER(INDEX(SPPR!$E:$Z,MATCH($A262,SPPR!$A:$A,0),21)),$C262*INDEX(SPPR!$E:$Z,MATCH($A262,SPPR!$A:$A,0),21),""),"")</f>
        <v/>
      </c>
      <c r="Y262">
        <f>IFERROR(IF(ISNUMBER(INDEX(SPPR!$E:$Z,MATCH($A262,SPPR!$A:$A,0),22)),$C262*INDEX(SPPR!$E:$Z,MATCH($A262,SPPR!$A:$A,0),22),""),"")</f>
        <v/>
      </c>
    </row>
    <row r="263">
      <c r="A263" t="inlineStr">
        <is>
          <t>Alopias pelagicus</t>
        </is>
      </c>
      <c r="B263">
        <f>IFERROR(INDEX(SPPR!$D:$D,MATCH($A263,SPPR!$A:$A,0)),"")</f>
        <v/>
      </c>
      <c r="C263">
        <f>IFERROR(INDEX(Catch!$E:$BV,MATCH($A263,Catch!$A:$A,0),MATCH($B$4,Catch!$E$1:$BV$1,0)),0)</f>
        <v/>
      </c>
      <c r="D263">
        <f>IFERROR(IF(ISNUMBER(INDEX(SPPR!$E:$Z,MATCH($A263,SPPR!$A:$A,0),1)),$C263*INDEX(SPPR!$E:$Z,MATCH($A263,SPPR!$A:$A,0),1),""),"")</f>
        <v/>
      </c>
      <c r="E263">
        <f>IFERROR(IF(ISNUMBER(INDEX(SPPR!$E:$Z,MATCH($A263,SPPR!$A:$A,0),2)),$C263*INDEX(SPPR!$E:$Z,MATCH($A263,SPPR!$A:$A,0),2),""),"")</f>
        <v/>
      </c>
      <c r="F263">
        <f>IFERROR(IF(ISNUMBER(INDEX(SPPR!$E:$Z,MATCH($A263,SPPR!$A:$A,0),3)),$C263*INDEX(SPPR!$E:$Z,MATCH($A263,SPPR!$A:$A,0),3),""),"")</f>
        <v/>
      </c>
      <c r="G263">
        <f>IFERROR(IF(ISNUMBER(INDEX(SPPR!$E:$Z,MATCH($A263,SPPR!$A:$A,0),4)),$C263*INDEX(SPPR!$E:$Z,MATCH($A263,SPPR!$A:$A,0),4),""),"")</f>
        <v/>
      </c>
      <c r="H263">
        <f>IFERROR(IF(ISNUMBER(INDEX(SPPR!$E:$Z,MATCH($A263,SPPR!$A:$A,0),5)),$C263*INDEX(SPPR!$E:$Z,MATCH($A263,SPPR!$A:$A,0),5),""),"")</f>
        <v/>
      </c>
      <c r="I263">
        <f>IFERROR(IF(ISNUMBER(INDEX(SPPR!$E:$Z,MATCH($A263,SPPR!$A:$A,0),6)),$C263*INDEX(SPPR!$E:$Z,MATCH($A263,SPPR!$A:$A,0),6),""),"")</f>
        <v/>
      </c>
      <c r="J263">
        <f>IFERROR(IF(ISNUMBER(INDEX(SPPR!$E:$Z,MATCH($A263,SPPR!$A:$A,0),7)),$C263*INDEX(SPPR!$E:$Z,MATCH($A263,SPPR!$A:$A,0),7),""),"")</f>
        <v/>
      </c>
      <c r="K263">
        <f>IFERROR(IF(ISNUMBER(INDEX(SPPR!$E:$Z,MATCH($A263,SPPR!$A:$A,0),8)),$C263*INDEX(SPPR!$E:$Z,MATCH($A263,SPPR!$A:$A,0),8),""),"")</f>
        <v/>
      </c>
      <c r="L263">
        <f>IFERROR(IF(ISNUMBER(INDEX(SPPR!$E:$Z,MATCH($A263,SPPR!$A:$A,0),9)),$C263*INDEX(SPPR!$E:$Z,MATCH($A263,SPPR!$A:$A,0),9),""),"")</f>
        <v/>
      </c>
      <c r="M263">
        <f>IFERROR(IF(ISNUMBER(INDEX(SPPR!$E:$Z,MATCH($A263,SPPR!$A:$A,0),10)),$C263*INDEX(SPPR!$E:$Z,MATCH($A263,SPPR!$A:$A,0),10),""),"")</f>
        <v/>
      </c>
      <c r="N263">
        <f>IFERROR(IF(ISNUMBER(INDEX(SPPR!$E:$Z,MATCH($A263,SPPR!$A:$A,0),11)),$C263*INDEX(SPPR!$E:$Z,MATCH($A263,SPPR!$A:$A,0),11),""),"")</f>
        <v/>
      </c>
      <c r="O263">
        <f>IFERROR(IF(ISNUMBER(INDEX(SPPR!$E:$Z,MATCH($A263,SPPR!$A:$A,0),12)),$C263*INDEX(SPPR!$E:$Z,MATCH($A263,SPPR!$A:$A,0),12),""),"")</f>
        <v/>
      </c>
      <c r="P263">
        <f>IFERROR(IF(ISNUMBER(INDEX(SPPR!$E:$Z,MATCH($A263,SPPR!$A:$A,0),13)),$C263*INDEX(SPPR!$E:$Z,MATCH($A263,SPPR!$A:$A,0),13),""),"")</f>
        <v/>
      </c>
      <c r="Q263">
        <f>IFERROR(IF(ISNUMBER(INDEX(SPPR!$E:$Z,MATCH($A263,SPPR!$A:$A,0),14)),$C263*INDEX(SPPR!$E:$Z,MATCH($A263,SPPR!$A:$A,0),14),""),"")</f>
        <v/>
      </c>
      <c r="R263">
        <f>IFERROR(IF(ISNUMBER(INDEX(SPPR!$E:$Z,MATCH($A263,SPPR!$A:$A,0),15)),$C263*INDEX(SPPR!$E:$Z,MATCH($A263,SPPR!$A:$A,0),15),""),"")</f>
        <v/>
      </c>
      <c r="S263">
        <f>IFERROR(IF(ISNUMBER(INDEX(SPPR!$E:$Z,MATCH($A263,SPPR!$A:$A,0),16)),$C263*INDEX(SPPR!$E:$Z,MATCH($A263,SPPR!$A:$A,0),16),""),"")</f>
        <v/>
      </c>
      <c r="T263">
        <f>IFERROR(IF(ISNUMBER(INDEX(SPPR!$E:$Z,MATCH($A263,SPPR!$A:$A,0),17)),$C263*INDEX(SPPR!$E:$Z,MATCH($A263,SPPR!$A:$A,0),17),""),"")</f>
        <v/>
      </c>
      <c r="U263">
        <f>IFERROR(IF(ISNUMBER(INDEX(SPPR!$E:$Z,MATCH($A263,SPPR!$A:$A,0),18)),$C263*INDEX(SPPR!$E:$Z,MATCH($A263,SPPR!$A:$A,0),18),""),"")</f>
        <v/>
      </c>
      <c r="V263">
        <f>IFERROR(IF(ISNUMBER(INDEX(SPPR!$E:$Z,MATCH($A263,SPPR!$A:$A,0),19)),$C263*INDEX(SPPR!$E:$Z,MATCH($A263,SPPR!$A:$A,0),19),""),"")</f>
        <v/>
      </c>
      <c r="W263">
        <f>IFERROR(IF(ISNUMBER(INDEX(SPPR!$E:$Z,MATCH($A263,SPPR!$A:$A,0),20)),$C263*INDEX(SPPR!$E:$Z,MATCH($A263,SPPR!$A:$A,0),20),""),"")</f>
        <v/>
      </c>
      <c r="X263">
        <f>IFERROR(IF(ISNUMBER(INDEX(SPPR!$E:$Z,MATCH($A263,SPPR!$A:$A,0),21)),$C263*INDEX(SPPR!$E:$Z,MATCH($A263,SPPR!$A:$A,0),21),""),"")</f>
        <v/>
      </c>
      <c r="Y263">
        <f>IFERROR(IF(ISNUMBER(INDEX(SPPR!$E:$Z,MATCH($A263,SPPR!$A:$A,0),22)),$C263*INDEX(SPPR!$E:$Z,MATCH($A263,SPPR!$A:$A,0),22),""),"")</f>
        <v/>
      </c>
    </row>
    <row r="264">
      <c r="A264" t="inlineStr">
        <is>
          <t>Alopias superciliosus</t>
        </is>
      </c>
      <c r="B264">
        <f>IFERROR(INDEX(SPPR!$D:$D,MATCH($A264,SPPR!$A:$A,0)),"")</f>
        <v/>
      </c>
      <c r="C264">
        <f>IFERROR(INDEX(Catch!$E:$BV,MATCH($A264,Catch!$A:$A,0),MATCH($B$4,Catch!$E$1:$BV$1,0)),0)</f>
        <v/>
      </c>
      <c r="D264">
        <f>IFERROR(IF(ISNUMBER(INDEX(SPPR!$E:$Z,MATCH($A264,SPPR!$A:$A,0),1)),$C264*INDEX(SPPR!$E:$Z,MATCH($A264,SPPR!$A:$A,0),1),""),"")</f>
        <v/>
      </c>
      <c r="E264">
        <f>IFERROR(IF(ISNUMBER(INDEX(SPPR!$E:$Z,MATCH($A264,SPPR!$A:$A,0),2)),$C264*INDEX(SPPR!$E:$Z,MATCH($A264,SPPR!$A:$A,0),2),""),"")</f>
        <v/>
      </c>
      <c r="F264">
        <f>IFERROR(IF(ISNUMBER(INDEX(SPPR!$E:$Z,MATCH($A264,SPPR!$A:$A,0),3)),$C264*INDEX(SPPR!$E:$Z,MATCH($A264,SPPR!$A:$A,0),3),""),"")</f>
        <v/>
      </c>
      <c r="G264">
        <f>IFERROR(IF(ISNUMBER(INDEX(SPPR!$E:$Z,MATCH($A264,SPPR!$A:$A,0),4)),$C264*INDEX(SPPR!$E:$Z,MATCH($A264,SPPR!$A:$A,0),4),""),"")</f>
        <v/>
      </c>
      <c r="H264">
        <f>IFERROR(IF(ISNUMBER(INDEX(SPPR!$E:$Z,MATCH($A264,SPPR!$A:$A,0),5)),$C264*INDEX(SPPR!$E:$Z,MATCH($A264,SPPR!$A:$A,0),5),""),"")</f>
        <v/>
      </c>
      <c r="I264">
        <f>IFERROR(IF(ISNUMBER(INDEX(SPPR!$E:$Z,MATCH($A264,SPPR!$A:$A,0),6)),$C264*INDEX(SPPR!$E:$Z,MATCH($A264,SPPR!$A:$A,0),6),""),"")</f>
        <v/>
      </c>
      <c r="J264">
        <f>IFERROR(IF(ISNUMBER(INDEX(SPPR!$E:$Z,MATCH($A264,SPPR!$A:$A,0),7)),$C264*INDEX(SPPR!$E:$Z,MATCH($A264,SPPR!$A:$A,0),7),""),"")</f>
        <v/>
      </c>
      <c r="K264">
        <f>IFERROR(IF(ISNUMBER(INDEX(SPPR!$E:$Z,MATCH($A264,SPPR!$A:$A,0),8)),$C264*INDEX(SPPR!$E:$Z,MATCH($A264,SPPR!$A:$A,0),8),""),"")</f>
        <v/>
      </c>
      <c r="L264">
        <f>IFERROR(IF(ISNUMBER(INDEX(SPPR!$E:$Z,MATCH($A264,SPPR!$A:$A,0),9)),$C264*INDEX(SPPR!$E:$Z,MATCH($A264,SPPR!$A:$A,0),9),""),"")</f>
        <v/>
      </c>
      <c r="M264">
        <f>IFERROR(IF(ISNUMBER(INDEX(SPPR!$E:$Z,MATCH($A264,SPPR!$A:$A,0),10)),$C264*INDEX(SPPR!$E:$Z,MATCH($A264,SPPR!$A:$A,0),10),""),"")</f>
        <v/>
      </c>
      <c r="N264">
        <f>IFERROR(IF(ISNUMBER(INDEX(SPPR!$E:$Z,MATCH($A264,SPPR!$A:$A,0),11)),$C264*INDEX(SPPR!$E:$Z,MATCH($A264,SPPR!$A:$A,0),11),""),"")</f>
        <v/>
      </c>
      <c r="O264">
        <f>IFERROR(IF(ISNUMBER(INDEX(SPPR!$E:$Z,MATCH($A264,SPPR!$A:$A,0),12)),$C264*INDEX(SPPR!$E:$Z,MATCH($A264,SPPR!$A:$A,0),12),""),"")</f>
        <v/>
      </c>
      <c r="P264">
        <f>IFERROR(IF(ISNUMBER(INDEX(SPPR!$E:$Z,MATCH($A264,SPPR!$A:$A,0),13)),$C264*INDEX(SPPR!$E:$Z,MATCH($A264,SPPR!$A:$A,0),13),""),"")</f>
        <v/>
      </c>
      <c r="Q264">
        <f>IFERROR(IF(ISNUMBER(INDEX(SPPR!$E:$Z,MATCH($A264,SPPR!$A:$A,0),14)),$C264*INDEX(SPPR!$E:$Z,MATCH($A264,SPPR!$A:$A,0),14),""),"")</f>
        <v/>
      </c>
      <c r="R264">
        <f>IFERROR(IF(ISNUMBER(INDEX(SPPR!$E:$Z,MATCH($A264,SPPR!$A:$A,0),15)),$C264*INDEX(SPPR!$E:$Z,MATCH($A264,SPPR!$A:$A,0),15),""),"")</f>
        <v/>
      </c>
      <c r="S264">
        <f>IFERROR(IF(ISNUMBER(INDEX(SPPR!$E:$Z,MATCH($A264,SPPR!$A:$A,0),16)),$C264*INDEX(SPPR!$E:$Z,MATCH($A264,SPPR!$A:$A,0),16),""),"")</f>
        <v/>
      </c>
      <c r="T264">
        <f>IFERROR(IF(ISNUMBER(INDEX(SPPR!$E:$Z,MATCH($A264,SPPR!$A:$A,0),17)),$C264*INDEX(SPPR!$E:$Z,MATCH($A264,SPPR!$A:$A,0),17),""),"")</f>
        <v/>
      </c>
      <c r="U264">
        <f>IFERROR(IF(ISNUMBER(INDEX(SPPR!$E:$Z,MATCH($A264,SPPR!$A:$A,0),18)),$C264*INDEX(SPPR!$E:$Z,MATCH($A264,SPPR!$A:$A,0),18),""),"")</f>
        <v/>
      </c>
      <c r="V264">
        <f>IFERROR(IF(ISNUMBER(INDEX(SPPR!$E:$Z,MATCH($A264,SPPR!$A:$A,0),19)),$C264*INDEX(SPPR!$E:$Z,MATCH($A264,SPPR!$A:$A,0),19),""),"")</f>
        <v/>
      </c>
      <c r="W264">
        <f>IFERROR(IF(ISNUMBER(INDEX(SPPR!$E:$Z,MATCH($A264,SPPR!$A:$A,0),20)),$C264*INDEX(SPPR!$E:$Z,MATCH($A264,SPPR!$A:$A,0),20),""),"")</f>
        <v/>
      </c>
      <c r="X264">
        <f>IFERROR(IF(ISNUMBER(INDEX(SPPR!$E:$Z,MATCH($A264,SPPR!$A:$A,0),21)),$C264*INDEX(SPPR!$E:$Z,MATCH($A264,SPPR!$A:$A,0),21),""),"")</f>
        <v/>
      </c>
      <c r="Y264">
        <f>IFERROR(IF(ISNUMBER(INDEX(SPPR!$E:$Z,MATCH($A264,SPPR!$A:$A,0),22)),$C264*INDEX(SPPR!$E:$Z,MATCH($A264,SPPR!$A:$A,0),22),""),"")</f>
        <v/>
      </c>
    </row>
    <row r="265">
      <c r="A265" t="inlineStr">
        <is>
          <t>Tridacna</t>
        </is>
      </c>
      <c r="B265">
        <f>IFERROR(INDEX(SPPR!$D:$D,MATCH($A265,SPPR!$A:$A,0)),"")</f>
        <v/>
      </c>
      <c r="C265">
        <f>IFERROR(INDEX(Catch!$E:$BV,MATCH($A265,Catch!$A:$A,0),MATCH($B$4,Catch!$E$1:$BV$1,0)),0)</f>
        <v/>
      </c>
      <c r="D265">
        <f>IFERROR(IF(ISNUMBER(INDEX(SPPR!$E:$Z,MATCH($A265,SPPR!$A:$A,0),1)),$C265*INDEX(SPPR!$E:$Z,MATCH($A265,SPPR!$A:$A,0),1),""),"")</f>
        <v/>
      </c>
      <c r="E265">
        <f>IFERROR(IF(ISNUMBER(INDEX(SPPR!$E:$Z,MATCH($A265,SPPR!$A:$A,0),2)),$C265*INDEX(SPPR!$E:$Z,MATCH($A265,SPPR!$A:$A,0),2),""),"")</f>
        <v/>
      </c>
      <c r="F265">
        <f>IFERROR(IF(ISNUMBER(INDEX(SPPR!$E:$Z,MATCH($A265,SPPR!$A:$A,0),3)),$C265*INDEX(SPPR!$E:$Z,MATCH($A265,SPPR!$A:$A,0),3),""),"")</f>
        <v/>
      </c>
      <c r="G265">
        <f>IFERROR(IF(ISNUMBER(INDEX(SPPR!$E:$Z,MATCH($A265,SPPR!$A:$A,0),4)),$C265*INDEX(SPPR!$E:$Z,MATCH($A265,SPPR!$A:$A,0),4),""),"")</f>
        <v/>
      </c>
      <c r="H265">
        <f>IFERROR(IF(ISNUMBER(INDEX(SPPR!$E:$Z,MATCH($A265,SPPR!$A:$A,0),5)),$C265*INDEX(SPPR!$E:$Z,MATCH($A265,SPPR!$A:$A,0),5),""),"")</f>
        <v/>
      </c>
      <c r="I265">
        <f>IFERROR(IF(ISNUMBER(INDEX(SPPR!$E:$Z,MATCH($A265,SPPR!$A:$A,0),6)),$C265*INDEX(SPPR!$E:$Z,MATCH($A265,SPPR!$A:$A,0),6),""),"")</f>
        <v/>
      </c>
      <c r="J265">
        <f>IFERROR(IF(ISNUMBER(INDEX(SPPR!$E:$Z,MATCH($A265,SPPR!$A:$A,0),7)),$C265*INDEX(SPPR!$E:$Z,MATCH($A265,SPPR!$A:$A,0),7),""),"")</f>
        <v/>
      </c>
      <c r="K265">
        <f>IFERROR(IF(ISNUMBER(INDEX(SPPR!$E:$Z,MATCH($A265,SPPR!$A:$A,0),8)),$C265*INDEX(SPPR!$E:$Z,MATCH($A265,SPPR!$A:$A,0),8),""),"")</f>
        <v/>
      </c>
      <c r="L265">
        <f>IFERROR(IF(ISNUMBER(INDEX(SPPR!$E:$Z,MATCH($A265,SPPR!$A:$A,0),9)),$C265*INDEX(SPPR!$E:$Z,MATCH($A265,SPPR!$A:$A,0),9),""),"")</f>
        <v/>
      </c>
      <c r="M265">
        <f>IFERROR(IF(ISNUMBER(INDEX(SPPR!$E:$Z,MATCH($A265,SPPR!$A:$A,0),10)),$C265*INDEX(SPPR!$E:$Z,MATCH($A265,SPPR!$A:$A,0),10),""),"")</f>
        <v/>
      </c>
      <c r="N265">
        <f>IFERROR(IF(ISNUMBER(INDEX(SPPR!$E:$Z,MATCH($A265,SPPR!$A:$A,0),11)),$C265*INDEX(SPPR!$E:$Z,MATCH($A265,SPPR!$A:$A,0),11),""),"")</f>
        <v/>
      </c>
      <c r="O265">
        <f>IFERROR(IF(ISNUMBER(INDEX(SPPR!$E:$Z,MATCH($A265,SPPR!$A:$A,0),12)),$C265*INDEX(SPPR!$E:$Z,MATCH($A265,SPPR!$A:$A,0),12),""),"")</f>
        <v/>
      </c>
      <c r="P265">
        <f>IFERROR(IF(ISNUMBER(INDEX(SPPR!$E:$Z,MATCH($A265,SPPR!$A:$A,0),13)),$C265*INDEX(SPPR!$E:$Z,MATCH($A265,SPPR!$A:$A,0),13),""),"")</f>
        <v/>
      </c>
      <c r="Q265">
        <f>IFERROR(IF(ISNUMBER(INDEX(SPPR!$E:$Z,MATCH($A265,SPPR!$A:$A,0),14)),$C265*INDEX(SPPR!$E:$Z,MATCH($A265,SPPR!$A:$A,0),14),""),"")</f>
        <v/>
      </c>
      <c r="R265">
        <f>IFERROR(IF(ISNUMBER(INDEX(SPPR!$E:$Z,MATCH($A265,SPPR!$A:$A,0),15)),$C265*INDEX(SPPR!$E:$Z,MATCH($A265,SPPR!$A:$A,0),15),""),"")</f>
        <v/>
      </c>
      <c r="S265">
        <f>IFERROR(IF(ISNUMBER(INDEX(SPPR!$E:$Z,MATCH($A265,SPPR!$A:$A,0),16)),$C265*INDEX(SPPR!$E:$Z,MATCH($A265,SPPR!$A:$A,0),16),""),"")</f>
        <v/>
      </c>
      <c r="T265">
        <f>IFERROR(IF(ISNUMBER(INDEX(SPPR!$E:$Z,MATCH($A265,SPPR!$A:$A,0),17)),$C265*INDEX(SPPR!$E:$Z,MATCH($A265,SPPR!$A:$A,0),17),""),"")</f>
        <v/>
      </c>
      <c r="U265">
        <f>IFERROR(IF(ISNUMBER(INDEX(SPPR!$E:$Z,MATCH($A265,SPPR!$A:$A,0),18)),$C265*INDEX(SPPR!$E:$Z,MATCH($A265,SPPR!$A:$A,0),18),""),"")</f>
        <v/>
      </c>
      <c r="V265">
        <f>IFERROR(IF(ISNUMBER(INDEX(SPPR!$E:$Z,MATCH($A265,SPPR!$A:$A,0),19)),$C265*INDEX(SPPR!$E:$Z,MATCH($A265,SPPR!$A:$A,0),19),""),"")</f>
        <v/>
      </c>
      <c r="W265">
        <f>IFERROR(IF(ISNUMBER(INDEX(SPPR!$E:$Z,MATCH($A265,SPPR!$A:$A,0),20)),$C265*INDEX(SPPR!$E:$Z,MATCH($A265,SPPR!$A:$A,0),20),""),"")</f>
        <v/>
      </c>
      <c r="X265">
        <f>IFERROR(IF(ISNUMBER(INDEX(SPPR!$E:$Z,MATCH($A265,SPPR!$A:$A,0),21)),$C265*INDEX(SPPR!$E:$Z,MATCH($A265,SPPR!$A:$A,0),21),""),"")</f>
        <v/>
      </c>
      <c r="Y265">
        <f>IFERROR(IF(ISNUMBER(INDEX(SPPR!$E:$Z,MATCH($A265,SPPR!$A:$A,0),22)),$C265*INDEX(SPPR!$E:$Z,MATCH($A265,SPPR!$A:$A,0),22),""),"")</f>
        <v/>
      </c>
    </row>
    <row r="266">
      <c r="A266" t="inlineStr">
        <is>
          <t>Chanos chanos</t>
        </is>
      </c>
      <c r="B266">
        <f>IFERROR(INDEX(SPPR!$D:$D,MATCH($A266,SPPR!$A:$A,0)),"")</f>
        <v/>
      </c>
      <c r="C266">
        <f>IFERROR(INDEX(Catch!$E:$BV,MATCH($A266,Catch!$A:$A,0),MATCH($B$4,Catch!$E$1:$BV$1,0)),0)</f>
        <v/>
      </c>
      <c r="D266">
        <f>IFERROR(IF(ISNUMBER(INDEX(SPPR!$E:$Z,MATCH($A266,SPPR!$A:$A,0),1)),$C266*INDEX(SPPR!$E:$Z,MATCH($A266,SPPR!$A:$A,0),1),""),"")</f>
        <v/>
      </c>
      <c r="E266">
        <f>IFERROR(IF(ISNUMBER(INDEX(SPPR!$E:$Z,MATCH($A266,SPPR!$A:$A,0),2)),$C266*INDEX(SPPR!$E:$Z,MATCH($A266,SPPR!$A:$A,0),2),""),"")</f>
        <v/>
      </c>
      <c r="F266">
        <f>IFERROR(IF(ISNUMBER(INDEX(SPPR!$E:$Z,MATCH($A266,SPPR!$A:$A,0),3)),$C266*INDEX(SPPR!$E:$Z,MATCH($A266,SPPR!$A:$A,0),3),""),"")</f>
        <v/>
      </c>
      <c r="G266">
        <f>IFERROR(IF(ISNUMBER(INDEX(SPPR!$E:$Z,MATCH($A266,SPPR!$A:$A,0),4)),$C266*INDEX(SPPR!$E:$Z,MATCH($A266,SPPR!$A:$A,0),4),""),"")</f>
        <v/>
      </c>
      <c r="H266">
        <f>IFERROR(IF(ISNUMBER(INDEX(SPPR!$E:$Z,MATCH($A266,SPPR!$A:$A,0),5)),$C266*INDEX(SPPR!$E:$Z,MATCH($A266,SPPR!$A:$A,0),5),""),"")</f>
        <v/>
      </c>
      <c r="I266">
        <f>IFERROR(IF(ISNUMBER(INDEX(SPPR!$E:$Z,MATCH($A266,SPPR!$A:$A,0),6)),$C266*INDEX(SPPR!$E:$Z,MATCH($A266,SPPR!$A:$A,0),6),""),"")</f>
        <v/>
      </c>
      <c r="J266">
        <f>IFERROR(IF(ISNUMBER(INDEX(SPPR!$E:$Z,MATCH($A266,SPPR!$A:$A,0),7)),$C266*INDEX(SPPR!$E:$Z,MATCH($A266,SPPR!$A:$A,0),7),""),"")</f>
        <v/>
      </c>
      <c r="K266">
        <f>IFERROR(IF(ISNUMBER(INDEX(SPPR!$E:$Z,MATCH($A266,SPPR!$A:$A,0),8)),$C266*INDEX(SPPR!$E:$Z,MATCH($A266,SPPR!$A:$A,0),8),""),"")</f>
        <v/>
      </c>
      <c r="L266">
        <f>IFERROR(IF(ISNUMBER(INDEX(SPPR!$E:$Z,MATCH($A266,SPPR!$A:$A,0),9)),$C266*INDEX(SPPR!$E:$Z,MATCH($A266,SPPR!$A:$A,0),9),""),"")</f>
        <v/>
      </c>
      <c r="M266">
        <f>IFERROR(IF(ISNUMBER(INDEX(SPPR!$E:$Z,MATCH($A266,SPPR!$A:$A,0),10)),$C266*INDEX(SPPR!$E:$Z,MATCH($A266,SPPR!$A:$A,0),10),""),"")</f>
        <v/>
      </c>
      <c r="N266">
        <f>IFERROR(IF(ISNUMBER(INDEX(SPPR!$E:$Z,MATCH($A266,SPPR!$A:$A,0),11)),$C266*INDEX(SPPR!$E:$Z,MATCH($A266,SPPR!$A:$A,0),11),""),"")</f>
        <v/>
      </c>
      <c r="O266">
        <f>IFERROR(IF(ISNUMBER(INDEX(SPPR!$E:$Z,MATCH($A266,SPPR!$A:$A,0),12)),$C266*INDEX(SPPR!$E:$Z,MATCH($A266,SPPR!$A:$A,0),12),""),"")</f>
        <v/>
      </c>
      <c r="P266">
        <f>IFERROR(IF(ISNUMBER(INDEX(SPPR!$E:$Z,MATCH($A266,SPPR!$A:$A,0),13)),$C266*INDEX(SPPR!$E:$Z,MATCH($A266,SPPR!$A:$A,0),13),""),"")</f>
        <v/>
      </c>
      <c r="Q266">
        <f>IFERROR(IF(ISNUMBER(INDEX(SPPR!$E:$Z,MATCH($A266,SPPR!$A:$A,0),14)),$C266*INDEX(SPPR!$E:$Z,MATCH($A266,SPPR!$A:$A,0),14),""),"")</f>
        <v/>
      </c>
      <c r="R266">
        <f>IFERROR(IF(ISNUMBER(INDEX(SPPR!$E:$Z,MATCH($A266,SPPR!$A:$A,0),15)),$C266*INDEX(SPPR!$E:$Z,MATCH($A266,SPPR!$A:$A,0),15),""),"")</f>
        <v/>
      </c>
      <c r="S266">
        <f>IFERROR(IF(ISNUMBER(INDEX(SPPR!$E:$Z,MATCH($A266,SPPR!$A:$A,0),16)),$C266*INDEX(SPPR!$E:$Z,MATCH($A266,SPPR!$A:$A,0),16),""),"")</f>
        <v/>
      </c>
      <c r="T266">
        <f>IFERROR(IF(ISNUMBER(INDEX(SPPR!$E:$Z,MATCH($A266,SPPR!$A:$A,0),17)),$C266*INDEX(SPPR!$E:$Z,MATCH($A266,SPPR!$A:$A,0),17),""),"")</f>
        <v/>
      </c>
      <c r="U266">
        <f>IFERROR(IF(ISNUMBER(INDEX(SPPR!$E:$Z,MATCH($A266,SPPR!$A:$A,0),18)),$C266*INDEX(SPPR!$E:$Z,MATCH($A266,SPPR!$A:$A,0),18),""),"")</f>
        <v/>
      </c>
      <c r="V266">
        <f>IFERROR(IF(ISNUMBER(INDEX(SPPR!$E:$Z,MATCH($A266,SPPR!$A:$A,0),19)),$C266*INDEX(SPPR!$E:$Z,MATCH($A266,SPPR!$A:$A,0),19),""),"")</f>
        <v/>
      </c>
      <c r="W266">
        <f>IFERROR(IF(ISNUMBER(INDEX(SPPR!$E:$Z,MATCH($A266,SPPR!$A:$A,0),20)),$C266*INDEX(SPPR!$E:$Z,MATCH($A266,SPPR!$A:$A,0),20),""),"")</f>
        <v/>
      </c>
      <c r="X266">
        <f>IFERROR(IF(ISNUMBER(INDEX(SPPR!$E:$Z,MATCH($A266,SPPR!$A:$A,0),21)),$C266*INDEX(SPPR!$E:$Z,MATCH($A266,SPPR!$A:$A,0),21),""),"")</f>
        <v/>
      </c>
      <c r="Y266">
        <f>IFERROR(IF(ISNUMBER(INDEX(SPPR!$E:$Z,MATCH($A266,SPPR!$A:$A,0),22)),$C266*INDEX(SPPR!$E:$Z,MATCH($A266,SPPR!$A:$A,0),22),""),"")</f>
        <v/>
      </c>
    </row>
    <row r="267">
      <c r="A267" t="inlineStr">
        <is>
          <t>Muraenesocidae</t>
        </is>
      </c>
      <c r="B267">
        <f>IFERROR(INDEX(SPPR!$D:$D,MATCH($A267,SPPR!$A:$A,0)),"")</f>
        <v/>
      </c>
      <c r="C267">
        <f>IFERROR(INDEX(Catch!$E:$BV,MATCH($A267,Catch!$A:$A,0),MATCH($B$4,Catch!$E$1:$BV$1,0)),0)</f>
        <v/>
      </c>
      <c r="D267">
        <f>IFERROR(IF(ISNUMBER(INDEX(SPPR!$E:$Z,MATCH($A267,SPPR!$A:$A,0),1)),$C267*INDEX(SPPR!$E:$Z,MATCH($A267,SPPR!$A:$A,0),1),""),"")</f>
        <v/>
      </c>
      <c r="E267">
        <f>IFERROR(IF(ISNUMBER(INDEX(SPPR!$E:$Z,MATCH($A267,SPPR!$A:$A,0),2)),$C267*INDEX(SPPR!$E:$Z,MATCH($A267,SPPR!$A:$A,0),2),""),"")</f>
        <v/>
      </c>
      <c r="F267">
        <f>IFERROR(IF(ISNUMBER(INDEX(SPPR!$E:$Z,MATCH($A267,SPPR!$A:$A,0),3)),$C267*INDEX(SPPR!$E:$Z,MATCH($A267,SPPR!$A:$A,0),3),""),"")</f>
        <v/>
      </c>
      <c r="G267">
        <f>IFERROR(IF(ISNUMBER(INDEX(SPPR!$E:$Z,MATCH($A267,SPPR!$A:$A,0),4)),$C267*INDEX(SPPR!$E:$Z,MATCH($A267,SPPR!$A:$A,0),4),""),"")</f>
        <v/>
      </c>
      <c r="H267">
        <f>IFERROR(IF(ISNUMBER(INDEX(SPPR!$E:$Z,MATCH($A267,SPPR!$A:$A,0),5)),$C267*INDEX(SPPR!$E:$Z,MATCH($A267,SPPR!$A:$A,0),5),""),"")</f>
        <v/>
      </c>
      <c r="I267">
        <f>IFERROR(IF(ISNUMBER(INDEX(SPPR!$E:$Z,MATCH($A267,SPPR!$A:$A,0),6)),$C267*INDEX(SPPR!$E:$Z,MATCH($A267,SPPR!$A:$A,0),6),""),"")</f>
        <v/>
      </c>
      <c r="J267">
        <f>IFERROR(IF(ISNUMBER(INDEX(SPPR!$E:$Z,MATCH($A267,SPPR!$A:$A,0),7)),$C267*INDEX(SPPR!$E:$Z,MATCH($A267,SPPR!$A:$A,0),7),""),"")</f>
        <v/>
      </c>
      <c r="K267">
        <f>IFERROR(IF(ISNUMBER(INDEX(SPPR!$E:$Z,MATCH($A267,SPPR!$A:$A,0),8)),$C267*INDEX(SPPR!$E:$Z,MATCH($A267,SPPR!$A:$A,0),8),""),"")</f>
        <v/>
      </c>
      <c r="L267">
        <f>IFERROR(IF(ISNUMBER(INDEX(SPPR!$E:$Z,MATCH($A267,SPPR!$A:$A,0),9)),$C267*INDEX(SPPR!$E:$Z,MATCH($A267,SPPR!$A:$A,0),9),""),"")</f>
        <v/>
      </c>
      <c r="M267">
        <f>IFERROR(IF(ISNUMBER(INDEX(SPPR!$E:$Z,MATCH($A267,SPPR!$A:$A,0),10)),$C267*INDEX(SPPR!$E:$Z,MATCH($A267,SPPR!$A:$A,0),10),""),"")</f>
        <v/>
      </c>
      <c r="N267">
        <f>IFERROR(IF(ISNUMBER(INDEX(SPPR!$E:$Z,MATCH($A267,SPPR!$A:$A,0),11)),$C267*INDEX(SPPR!$E:$Z,MATCH($A267,SPPR!$A:$A,0),11),""),"")</f>
        <v/>
      </c>
      <c r="O267">
        <f>IFERROR(IF(ISNUMBER(INDEX(SPPR!$E:$Z,MATCH($A267,SPPR!$A:$A,0),12)),$C267*INDEX(SPPR!$E:$Z,MATCH($A267,SPPR!$A:$A,0),12),""),"")</f>
        <v/>
      </c>
      <c r="P267">
        <f>IFERROR(IF(ISNUMBER(INDEX(SPPR!$E:$Z,MATCH($A267,SPPR!$A:$A,0),13)),$C267*INDEX(SPPR!$E:$Z,MATCH($A267,SPPR!$A:$A,0),13),""),"")</f>
        <v/>
      </c>
      <c r="Q267">
        <f>IFERROR(IF(ISNUMBER(INDEX(SPPR!$E:$Z,MATCH($A267,SPPR!$A:$A,0),14)),$C267*INDEX(SPPR!$E:$Z,MATCH($A267,SPPR!$A:$A,0),14),""),"")</f>
        <v/>
      </c>
      <c r="R267">
        <f>IFERROR(IF(ISNUMBER(INDEX(SPPR!$E:$Z,MATCH($A267,SPPR!$A:$A,0),15)),$C267*INDEX(SPPR!$E:$Z,MATCH($A267,SPPR!$A:$A,0),15),""),"")</f>
        <v/>
      </c>
      <c r="S267">
        <f>IFERROR(IF(ISNUMBER(INDEX(SPPR!$E:$Z,MATCH($A267,SPPR!$A:$A,0),16)),$C267*INDEX(SPPR!$E:$Z,MATCH($A267,SPPR!$A:$A,0),16),""),"")</f>
        <v/>
      </c>
      <c r="T267">
        <f>IFERROR(IF(ISNUMBER(INDEX(SPPR!$E:$Z,MATCH($A267,SPPR!$A:$A,0),17)),$C267*INDEX(SPPR!$E:$Z,MATCH($A267,SPPR!$A:$A,0),17),""),"")</f>
        <v/>
      </c>
      <c r="U267">
        <f>IFERROR(IF(ISNUMBER(INDEX(SPPR!$E:$Z,MATCH($A267,SPPR!$A:$A,0),18)),$C267*INDEX(SPPR!$E:$Z,MATCH($A267,SPPR!$A:$A,0),18),""),"")</f>
        <v/>
      </c>
      <c r="V267">
        <f>IFERROR(IF(ISNUMBER(INDEX(SPPR!$E:$Z,MATCH($A267,SPPR!$A:$A,0),19)),$C267*INDEX(SPPR!$E:$Z,MATCH($A267,SPPR!$A:$A,0),19),""),"")</f>
        <v/>
      </c>
      <c r="W267">
        <f>IFERROR(IF(ISNUMBER(INDEX(SPPR!$E:$Z,MATCH($A267,SPPR!$A:$A,0),20)),$C267*INDEX(SPPR!$E:$Z,MATCH($A267,SPPR!$A:$A,0),20),""),"")</f>
        <v/>
      </c>
      <c r="X267">
        <f>IFERROR(IF(ISNUMBER(INDEX(SPPR!$E:$Z,MATCH($A267,SPPR!$A:$A,0),21)),$C267*INDEX(SPPR!$E:$Z,MATCH($A267,SPPR!$A:$A,0),21),""),"")</f>
        <v/>
      </c>
      <c r="Y267">
        <f>IFERROR(IF(ISNUMBER(INDEX(SPPR!$E:$Z,MATCH($A267,SPPR!$A:$A,0),22)),$C267*INDEX(SPPR!$E:$Z,MATCH($A267,SPPR!$A:$A,0),22),""),"")</f>
        <v/>
      </c>
    </row>
    <row r="268">
      <c r="A268" t="inlineStr">
        <is>
          <t>Aluterus</t>
        </is>
      </c>
      <c r="B268">
        <f>IFERROR(INDEX(SPPR!$D:$D,MATCH($A268,SPPR!$A:$A,0)),"")</f>
        <v/>
      </c>
      <c r="C268">
        <f>IFERROR(INDEX(Catch!$E:$BV,MATCH($A268,Catch!$A:$A,0),MATCH($B$4,Catch!$E$1:$BV$1,0)),0)</f>
        <v/>
      </c>
      <c r="D268">
        <f>IFERROR(IF(ISNUMBER(INDEX(SPPR!$E:$Z,MATCH($A268,SPPR!$A:$A,0),1)),$C268*INDEX(SPPR!$E:$Z,MATCH($A268,SPPR!$A:$A,0),1),""),"")</f>
        <v/>
      </c>
      <c r="E268">
        <f>IFERROR(IF(ISNUMBER(INDEX(SPPR!$E:$Z,MATCH($A268,SPPR!$A:$A,0),2)),$C268*INDEX(SPPR!$E:$Z,MATCH($A268,SPPR!$A:$A,0),2),""),"")</f>
        <v/>
      </c>
      <c r="F268">
        <f>IFERROR(IF(ISNUMBER(INDEX(SPPR!$E:$Z,MATCH($A268,SPPR!$A:$A,0),3)),$C268*INDEX(SPPR!$E:$Z,MATCH($A268,SPPR!$A:$A,0),3),""),"")</f>
        <v/>
      </c>
      <c r="G268">
        <f>IFERROR(IF(ISNUMBER(INDEX(SPPR!$E:$Z,MATCH($A268,SPPR!$A:$A,0),4)),$C268*INDEX(SPPR!$E:$Z,MATCH($A268,SPPR!$A:$A,0),4),""),"")</f>
        <v/>
      </c>
      <c r="H268">
        <f>IFERROR(IF(ISNUMBER(INDEX(SPPR!$E:$Z,MATCH($A268,SPPR!$A:$A,0),5)),$C268*INDEX(SPPR!$E:$Z,MATCH($A268,SPPR!$A:$A,0),5),""),"")</f>
        <v/>
      </c>
      <c r="I268">
        <f>IFERROR(IF(ISNUMBER(INDEX(SPPR!$E:$Z,MATCH($A268,SPPR!$A:$A,0),6)),$C268*INDEX(SPPR!$E:$Z,MATCH($A268,SPPR!$A:$A,0),6),""),"")</f>
        <v/>
      </c>
      <c r="J268">
        <f>IFERROR(IF(ISNUMBER(INDEX(SPPR!$E:$Z,MATCH($A268,SPPR!$A:$A,0),7)),$C268*INDEX(SPPR!$E:$Z,MATCH($A268,SPPR!$A:$A,0),7),""),"")</f>
        <v/>
      </c>
      <c r="K268">
        <f>IFERROR(IF(ISNUMBER(INDEX(SPPR!$E:$Z,MATCH($A268,SPPR!$A:$A,0),8)),$C268*INDEX(SPPR!$E:$Z,MATCH($A268,SPPR!$A:$A,0),8),""),"")</f>
        <v/>
      </c>
      <c r="L268">
        <f>IFERROR(IF(ISNUMBER(INDEX(SPPR!$E:$Z,MATCH($A268,SPPR!$A:$A,0),9)),$C268*INDEX(SPPR!$E:$Z,MATCH($A268,SPPR!$A:$A,0),9),""),"")</f>
        <v/>
      </c>
      <c r="M268">
        <f>IFERROR(IF(ISNUMBER(INDEX(SPPR!$E:$Z,MATCH($A268,SPPR!$A:$A,0),10)),$C268*INDEX(SPPR!$E:$Z,MATCH($A268,SPPR!$A:$A,0),10),""),"")</f>
        <v/>
      </c>
      <c r="N268">
        <f>IFERROR(IF(ISNUMBER(INDEX(SPPR!$E:$Z,MATCH($A268,SPPR!$A:$A,0),11)),$C268*INDEX(SPPR!$E:$Z,MATCH($A268,SPPR!$A:$A,0),11),""),"")</f>
        <v/>
      </c>
      <c r="O268">
        <f>IFERROR(IF(ISNUMBER(INDEX(SPPR!$E:$Z,MATCH($A268,SPPR!$A:$A,0),12)),$C268*INDEX(SPPR!$E:$Z,MATCH($A268,SPPR!$A:$A,0),12),""),"")</f>
        <v/>
      </c>
      <c r="P268">
        <f>IFERROR(IF(ISNUMBER(INDEX(SPPR!$E:$Z,MATCH($A268,SPPR!$A:$A,0),13)),$C268*INDEX(SPPR!$E:$Z,MATCH($A268,SPPR!$A:$A,0),13),""),"")</f>
        <v/>
      </c>
      <c r="Q268">
        <f>IFERROR(IF(ISNUMBER(INDEX(SPPR!$E:$Z,MATCH($A268,SPPR!$A:$A,0),14)),$C268*INDEX(SPPR!$E:$Z,MATCH($A268,SPPR!$A:$A,0),14),""),"")</f>
        <v/>
      </c>
      <c r="R268">
        <f>IFERROR(IF(ISNUMBER(INDEX(SPPR!$E:$Z,MATCH($A268,SPPR!$A:$A,0),15)),$C268*INDEX(SPPR!$E:$Z,MATCH($A268,SPPR!$A:$A,0),15),""),"")</f>
        <v/>
      </c>
      <c r="S268">
        <f>IFERROR(IF(ISNUMBER(INDEX(SPPR!$E:$Z,MATCH($A268,SPPR!$A:$A,0),16)),$C268*INDEX(SPPR!$E:$Z,MATCH($A268,SPPR!$A:$A,0),16),""),"")</f>
        <v/>
      </c>
      <c r="T268">
        <f>IFERROR(IF(ISNUMBER(INDEX(SPPR!$E:$Z,MATCH($A268,SPPR!$A:$A,0),17)),$C268*INDEX(SPPR!$E:$Z,MATCH($A268,SPPR!$A:$A,0),17),""),"")</f>
        <v/>
      </c>
      <c r="U268">
        <f>IFERROR(IF(ISNUMBER(INDEX(SPPR!$E:$Z,MATCH($A268,SPPR!$A:$A,0),18)),$C268*INDEX(SPPR!$E:$Z,MATCH($A268,SPPR!$A:$A,0),18),""),"")</f>
        <v/>
      </c>
      <c r="V268">
        <f>IFERROR(IF(ISNUMBER(INDEX(SPPR!$E:$Z,MATCH($A268,SPPR!$A:$A,0),19)),$C268*INDEX(SPPR!$E:$Z,MATCH($A268,SPPR!$A:$A,0),19),""),"")</f>
        <v/>
      </c>
      <c r="W268">
        <f>IFERROR(IF(ISNUMBER(INDEX(SPPR!$E:$Z,MATCH($A268,SPPR!$A:$A,0),20)),$C268*INDEX(SPPR!$E:$Z,MATCH($A268,SPPR!$A:$A,0),20),""),"")</f>
        <v/>
      </c>
      <c r="X268">
        <f>IFERROR(IF(ISNUMBER(INDEX(SPPR!$E:$Z,MATCH($A268,SPPR!$A:$A,0),21)),$C268*INDEX(SPPR!$E:$Z,MATCH($A268,SPPR!$A:$A,0),21),""),"")</f>
        <v/>
      </c>
      <c r="Y268">
        <f>IFERROR(IF(ISNUMBER(INDEX(SPPR!$E:$Z,MATCH($A268,SPPR!$A:$A,0),22)),$C268*INDEX(SPPR!$E:$Z,MATCH($A268,SPPR!$A:$A,0),22),""),"")</f>
        <v/>
      </c>
    </row>
    <row r="269">
      <c r="A269" t="inlineStr">
        <is>
          <t>Panulirus penicillatus</t>
        </is>
      </c>
      <c r="B269">
        <f>IFERROR(INDEX(SPPR!$D:$D,MATCH($A269,SPPR!$A:$A,0)),"")</f>
        <v/>
      </c>
      <c r="C269">
        <f>IFERROR(INDEX(Catch!$E:$BV,MATCH($A269,Catch!$A:$A,0),MATCH($B$4,Catch!$E$1:$BV$1,0)),0)</f>
        <v/>
      </c>
      <c r="D269">
        <f>IFERROR(IF(ISNUMBER(INDEX(SPPR!$E:$Z,MATCH($A269,SPPR!$A:$A,0),1)),$C269*INDEX(SPPR!$E:$Z,MATCH($A269,SPPR!$A:$A,0),1),""),"")</f>
        <v/>
      </c>
      <c r="E269">
        <f>IFERROR(IF(ISNUMBER(INDEX(SPPR!$E:$Z,MATCH($A269,SPPR!$A:$A,0),2)),$C269*INDEX(SPPR!$E:$Z,MATCH($A269,SPPR!$A:$A,0),2),""),"")</f>
        <v/>
      </c>
      <c r="F269">
        <f>IFERROR(IF(ISNUMBER(INDEX(SPPR!$E:$Z,MATCH($A269,SPPR!$A:$A,0),3)),$C269*INDEX(SPPR!$E:$Z,MATCH($A269,SPPR!$A:$A,0),3),""),"")</f>
        <v/>
      </c>
      <c r="G269">
        <f>IFERROR(IF(ISNUMBER(INDEX(SPPR!$E:$Z,MATCH($A269,SPPR!$A:$A,0),4)),$C269*INDEX(SPPR!$E:$Z,MATCH($A269,SPPR!$A:$A,0),4),""),"")</f>
        <v/>
      </c>
      <c r="H269">
        <f>IFERROR(IF(ISNUMBER(INDEX(SPPR!$E:$Z,MATCH($A269,SPPR!$A:$A,0),5)),$C269*INDEX(SPPR!$E:$Z,MATCH($A269,SPPR!$A:$A,0),5),""),"")</f>
        <v/>
      </c>
      <c r="I269">
        <f>IFERROR(IF(ISNUMBER(INDEX(SPPR!$E:$Z,MATCH($A269,SPPR!$A:$A,0),6)),$C269*INDEX(SPPR!$E:$Z,MATCH($A269,SPPR!$A:$A,0),6),""),"")</f>
        <v/>
      </c>
      <c r="J269">
        <f>IFERROR(IF(ISNUMBER(INDEX(SPPR!$E:$Z,MATCH($A269,SPPR!$A:$A,0),7)),$C269*INDEX(SPPR!$E:$Z,MATCH($A269,SPPR!$A:$A,0),7),""),"")</f>
        <v/>
      </c>
      <c r="K269">
        <f>IFERROR(IF(ISNUMBER(INDEX(SPPR!$E:$Z,MATCH($A269,SPPR!$A:$A,0),8)),$C269*INDEX(SPPR!$E:$Z,MATCH($A269,SPPR!$A:$A,0),8),""),"")</f>
        <v/>
      </c>
      <c r="L269">
        <f>IFERROR(IF(ISNUMBER(INDEX(SPPR!$E:$Z,MATCH($A269,SPPR!$A:$A,0),9)),$C269*INDEX(SPPR!$E:$Z,MATCH($A269,SPPR!$A:$A,0),9),""),"")</f>
        <v/>
      </c>
      <c r="M269">
        <f>IFERROR(IF(ISNUMBER(INDEX(SPPR!$E:$Z,MATCH($A269,SPPR!$A:$A,0),10)),$C269*INDEX(SPPR!$E:$Z,MATCH($A269,SPPR!$A:$A,0),10),""),"")</f>
        <v/>
      </c>
      <c r="N269">
        <f>IFERROR(IF(ISNUMBER(INDEX(SPPR!$E:$Z,MATCH($A269,SPPR!$A:$A,0),11)),$C269*INDEX(SPPR!$E:$Z,MATCH($A269,SPPR!$A:$A,0),11),""),"")</f>
        <v/>
      </c>
      <c r="O269">
        <f>IFERROR(IF(ISNUMBER(INDEX(SPPR!$E:$Z,MATCH($A269,SPPR!$A:$A,0),12)),$C269*INDEX(SPPR!$E:$Z,MATCH($A269,SPPR!$A:$A,0),12),""),"")</f>
        <v/>
      </c>
      <c r="P269">
        <f>IFERROR(IF(ISNUMBER(INDEX(SPPR!$E:$Z,MATCH($A269,SPPR!$A:$A,0),13)),$C269*INDEX(SPPR!$E:$Z,MATCH($A269,SPPR!$A:$A,0),13),""),"")</f>
        <v/>
      </c>
      <c r="Q269">
        <f>IFERROR(IF(ISNUMBER(INDEX(SPPR!$E:$Z,MATCH($A269,SPPR!$A:$A,0),14)),$C269*INDEX(SPPR!$E:$Z,MATCH($A269,SPPR!$A:$A,0),14),""),"")</f>
        <v/>
      </c>
      <c r="R269">
        <f>IFERROR(IF(ISNUMBER(INDEX(SPPR!$E:$Z,MATCH($A269,SPPR!$A:$A,0),15)),$C269*INDEX(SPPR!$E:$Z,MATCH($A269,SPPR!$A:$A,0),15),""),"")</f>
        <v/>
      </c>
      <c r="S269">
        <f>IFERROR(IF(ISNUMBER(INDEX(SPPR!$E:$Z,MATCH($A269,SPPR!$A:$A,0),16)),$C269*INDEX(SPPR!$E:$Z,MATCH($A269,SPPR!$A:$A,0),16),""),"")</f>
        <v/>
      </c>
      <c r="T269">
        <f>IFERROR(IF(ISNUMBER(INDEX(SPPR!$E:$Z,MATCH($A269,SPPR!$A:$A,0),17)),$C269*INDEX(SPPR!$E:$Z,MATCH($A269,SPPR!$A:$A,0),17),""),"")</f>
        <v/>
      </c>
      <c r="U269">
        <f>IFERROR(IF(ISNUMBER(INDEX(SPPR!$E:$Z,MATCH($A269,SPPR!$A:$A,0),18)),$C269*INDEX(SPPR!$E:$Z,MATCH($A269,SPPR!$A:$A,0),18),""),"")</f>
        <v/>
      </c>
      <c r="V269">
        <f>IFERROR(IF(ISNUMBER(INDEX(SPPR!$E:$Z,MATCH($A269,SPPR!$A:$A,0),19)),$C269*INDEX(SPPR!$E:$Z,MATCH($A269,SPPR!$A:$A,0),19),""),"")</f>
        <v/>
      </c>
      <c r="W269">
        <f>IFERROR(IF(ISNUMBER(INDEX(SPPR!$E:$Z,MATCH($A269,SPPR!$A:$A,0),20)),$C269*INDEX(SPPR!$E:$Z,MATCH($A269,SPPR!$A:$A,0),20),""),"")</f>
        <v/>
      </c>
      <c r="X269">
        <f>IFERROR(IF(ISNUMBER(INDEX(SPPR!$E:$Z,MATCH($A269,SPPR!$A:$A,0),21)),$C269*INDEX(SPPR!$E:$Z,MATCH($A269,SPPR!$A:$A,0),21),""),"")</f>
        <v/>
      </c>
      <c r="Y269">
        <f>IFERROR(IF(ISNUMBER(INDEX(SPPR!$E:$Z,MATCH($A269,SPPR!$A:$A,0),22)),$C269*INDEX(SPPR!$E:$Z,MATCH($A269,SPPR!$A:$A,0),22),""),"")</f>
        <v/>
      </c>
    </row>
    <row r="270">
      <c r="A270" t="inlineStr">
        <is>
          <t>Panulirus versicolor</t>
        </is>
      </c>
      <c r="B270">
        <f>IFERROR(INDEX(SPPR!$D:$D,MATCH($A270,SPPR!$A:$A,0)),"")</f>
        <v/>
      </c>
      <c r="C270">
        <f>IFERROR(INDEX(Catch!$E:$BV,MATCH($A270,Catch!$A:$A,0),MATCH($B$4,Catch!$E$1:$BV$1,0)),0)</f>
        <v/>
      </c>
      <c r="D270">
        <f>IFERROR(IF(ISNUMBER(INDEX(SPPR!$E:$Z,MATCH($A270,SPPR!$A:$A,0),1)),$C270*INDEX(SPPR!$E:$Z,MATCH($A270,SPPR!$A:$A,0),1),""),"")</f>
        <v/>
      </c>
      <c r="E270">
        <f>IFERROR(IF(ISNUMBER(INDEX(SPPR!$E:$Z,MATCH($A270,SPPR!$A:$A,0),2)),$C270*INDEX(SPPR!$E:$Z,MATCH($A270,SPPR!$A:$A,0),2),""),"")</f>
        <v/>
      </c>
      <c r="F270">
        <f>IFERROR(IF(ISNUMBER(INDEX(SPPR!$E:$Z,MATCH($A270,SPPR!$A:$A,0),3)),$C270*INDEX(SPPR!$E:$Z,MATCH($A270,SPPR!$A:$A,0),3),""),"")</f>
        <v/>
      </c>
      <c r="G270">
        <f>IFERROR(IF(ISNUMBER(INDEX(SPPR!$E:$Z,MATCH($A270,SPPR!$A:$A,0),4)),$C270*INDEX(SPPR!$E:$Z,MATCH($A270,SPPR!$A:$A,0),4),""),"")</f>
        <v/>
      </c>
      <c r="H270">
        <f>IFERROR(IF(ISNUMBER(INDEX(SPPR!$E:$Z,MATCH($A270,SPPR!$A:$A,0),5)),$C270*INDEX(SPPR!$E:$Z,MATCH($A270,SPPR!$A:$A,0),5),""),"")</f>
        <v/>
      </c>
      <c r="I270">
        <f>IFERROR(IF(ISNUMBER(INDEX(SPPR!$E:$Z,MATCH($A270,SPPR!$A:$A,0),6)),$C270*INDEX(SPPR!$E:$Z,MATCH($A270,SPPR!$A:$A,0),6),""),"")</f>
        <v/>
      </c>
      <c r="J270">
        <f>IFERROR(IF(ISNUMBER(INDEX(SPPR!$E:$Z,MATCH($A270,SPPR!$A:$A,0),7)),$C270*INDEX(SPPR!$E:$Z,MATCH($A270,SPPR!$A:$A,0),7),""),"")</f>
        <v/>
      </c>
      <c r="K270">
        <f>IFERROR(IF(ISNUMBER(INDEX(SPPR!$E:$Z,MATCH($A270,SPPR!$A:$A,0),8)),$C270*INDEX(SPPR!$E:$Z,MATCH($A270,SPPR!$A:$A,0),8),""),"")</f>
        <v/>
      </c>
      <c r="L270">
        <f>IFERROR(IF(ISNUMBER(INDEX(SPPR!$E:$Z,MATCH($A270,SPPR!$A:$A,0),9)),$C270*INDEX(SPPR!$E:$Z,MATCH($A270,SPPR!$A:$A,0),9),""),"")</f>
        <v/>
      </c>
      <c r="M270">
        <f>IFERROR(IF(ISNUMBER(INDEX(SPPR!$E:$Z,MATCH($A270,SPPR!$A:$A,0),10)),$C270*INDEX(SPPR!$E:$Z,MATCH($A270,SPPR!$A:$A,0),10),""),"")</f>
        <v/>
      </c>
      <c r="N270">
        <f>IFERROR(IF(ISNUMBER(INDEX(SPPR!$E:$Z,MATCH($A270,SPPR!$A:$A,0),11)),$C270*INDEX(SPPR!$E:$Z,MATCH($A270,SPPR!$A:$A,0),11),""),"")</f>
        <v/>
      </c>
      <c r="O270">
        <f>IFERROR(IF(ISNUMBER(INDEX(SPPR!$E:$Z,MATCH($A270,SPPR!$A:$A,0),12)),$C270*INDEX(SPPR!$E:$Z,MATCH($A270,SPPR!$A:$A,0),12),""),"")</f>
        <v/>
      </c>
      <c r="P270">
        <f>IFERROR(IF(ISNUMBER(INDEX(SPPR!$E:$Z,MATCH($A270,SPPR!$A:$A,0),13)),$C270*INDEX(SPPR!$E:$Z,MATCH($A270,SPPR!$A:$A,0),13),""),"")</f>
        <v/>
      </c>
      <c r="Q270">
        <f>IFERROR(IF(ISNUMBER(INDEX(SPPR!$E:$Z,MATCH($A270,SPPR!$A:$A,0),14)),$C270*INDEX(SPPR!$E:$Z,MATCH($A270,SPPR!$A:$A,0),14),""),"")</f>
        <v/>
      </c>
      <c r="R270">
        <f>IFERROR(IF(ISNUMBER(INDEX(SPPR!$E:$Z,MATCH($A270,SPPR!$A:$A,0),15)),$C270*INDEX(SPPR!$E:$Z,MATCH($A270,SPPR!$A:$A,0),15),""),"")</f>
        <v/>
      </c>
      <c r="S270">
        <f>IFERROR(IF(ISNUMBER(INDEX(SPPR!$E:$Z,MATCH($A270,SPPR!$A:$A,0),16)),$C270*INDEX(SPPR!$E:$Z,MATCH($A270,SPPR!$A:$A,0),16),""),"")</f>
        <v/>
      </c>
      <c r="T270">
        <f>IFERROR(IF(ISNUMBER(INDEX(SPPR!$E:$Z,MATCH($A270,SPPR!$A:$A,0),17)),$C270*INDEX(SPPR!$E:$Z,MATCH($A270,SPPR!$A:$A,0),17),""),"")</f>
        <v/>
      </c>
      <c r="U270">
        <f>IFERROR(IF(ISNUMBER(INDEX(SPPR!$E:$Z,MATCH($A270,SPPR!$A:$A,0),18)),$C270*INDEX(SPPR!$E:$Z,MATCH($A270,SPPR!$A:$A,0),18),""),"")</f>
        <v/>
      </c>
      <c r="V270">
        <f>IFERROR(IF(ISNUMBER(INDEX(SPPR!$E:$Z,MATCH($A270,SPPR!$A:$A,0),19)),$C270*INDEX(SPPR!$E:$Z,MATCH($A270,SPPR!$A:$A,0),19),""),"")</f>
        <v/>
      </c>
      <c r="W270">
        <f>IFERROR(IF(ISNUMBER(INDEX(SPPR!$E:$Z,MATCH($A270,SPPR!$A:$A,0),20)),$C270*INDEX(SPPR!$E:$Z,MATCH($A270,SPPR!$A:$A,0),20),""),"")</f>
        <v/>
      </c>
      <c r="X270">
        <f>IFERROR(IF(ISNUMBER(INDEX(SPPR!$E:$Z,MATCH($A270,SPPR!$A:$A,0),21)),$C270*INDEX(SPPR!$E:$Z,MATCH($A270,SPPR!$A:$A,0),21),""),"")</f>
        <v/>
      </c>
      <c r="Y270">
        <f>IFERROR(IF(ISNUMBER(INDEX(SPPR!$E:$Z,MATCH($A270,SPPR!$A:$A,0),22)),$C270*INDEX(SPPR!$E:$Z,MATCH($A270,SPPR!$A:$A,0),22),""),"")</f>
        <v/>
      </c>
    </row>
    <row r="271">
      <c r="A271" t="inlineStr">
        <is>
          <t>Carcharhinus sorrah</t>
        </is>
      </c>
      <c r="B271">
        <f>IFERROR(INDEX(SPPR!$D:$D,MATCH($A271,SPPR!$A:$A,0)),"")</f>
        <v/>
      </c>
      <c r="C271">
        <f>IFERROR(INDEX(Catch!$E:$BV,MATCH($A271,Catch!$A:$A,0),MATCH($B$4,Catch!$E$1:$BV$1,0)),0)</f>
        <v/>
      </c>
      <c r="D271">
        <f>IFERROR(IF(ISNUMBER(INDEX(SPPR!$E:$Z,MATCH($A271,SPPR!$A:$A,0),1)),$C271*INDEX(SPPR!$E:$Z,MATCH($A271,SPPR!$A:$A,0),1),""),"")</f>
        <v/>
      </c>
      <c r="E271">
        <f>IFERROR(IF(ISNUMBER(INDEX(SPPR!$E:$Z,MATCH($A271,SPPR!$A:$A,0),2)),$C271*INDEX(SPPR!$E:$Z,MATCH($A271,SPPR!$A:$A,0),2),""),"")</f>
        <v/>
      </c>
      <c r="F271">
        <f>IFERROR(IF(ISNUMBER(INDEX(SPPR!$E:$Z,MATCH($A271,SPPR!$A:$A,0),3)),$C271*INDEX(SPPR!$E:$Z,MATCH($A271,SPPR!$A:$A,0),3),""),"")</f>
        <v/>
      </c>
      <c r="G271">
        <f>IFERROR(IF(ISNUMBER(INDEX(SPPR!$E:$Z,MATCH($A271,SPPR!$A:$A,0),4)),$C271*INDEX(SPPR!$E:$Z,MATCH($A271,SPPR!$A:$A,0),4),""),"")</f>
        <v/>
      </c>
      <c r="H271">
        <f>IFERROR(IF(ISNUMBER(INDEX(SPPR!$E:$Z,MATCH($A271,SPPR!$A:$A,0),5)),$C271*INDEX(SPPR!$E:$Z,MATCH($A271,SPPR!$A:$A,0),5),""),"")</f>
        <v/>
      </c>
      <c r="I271">
        <f>IFERROR(IF(ISNUMBER(INDEX(SPPR!$E:$Z,MATCH($A271,SPPR!$A:$A,0),6)),$C271*INDEX(SPPR!$E:$Z,MATCH($A271,SPPR!$A:$A,0),6),""),"")</f>
        <v/>
      </c>
      <c r="J271">
        <f>IFERROR(IF(ISNUMBER(INDEX(SPPR!$E:$Z,MATCH($A271,SPPR!$A:$A,0),7)),$C271*INDEX(SPPR!$E:$Z,MATCH($A271,SPPR!$A:$A,0),7),""),"")</f>
        <v/>
      </c>
      <c r="K271">
        <f>IFERROR(IF(ISNUMBER(INDEX(SPPR!$E:$Z,MATCH($A271,SPPR!$A:$A,0),8)),$C271*INDEX(SPPR!$E:$Z,MATCH($A271,SPPR!$A:$A,0),8),""),"")</f>
        <v/>
      </c>
      <c r="L271">
        <f>IFERROR(IF(ISNUMBER(INDEX(SPPR!$E:$Z,MATCH($A271,SPPR!$A:$A,0),9)),$C271*INDEX(SPPR!$E:$Z,MATCH($A271,SPPR!$A:$A,0),9),""),"")</f>
        <v/>
      </c>
      <c r="M271">
        <f>IFERROR(IF(ISNUMBER(INDEX(SPPR!$E:$Z,MATCH($A271,SPPR!$A:$A,0),10)),$C271*INDEX(SPPR!$E:$Z,MATCH($A271,SPPR!$A:$A,0),10),""),"")</f>
        <v/>
      </c>
      <c r="N271">
        <f>IFERROR(IF(ISNUMBER(INDEX(SPPR!$E:$Z,MATCH($A271,SPPR!$A:$A,0),11)),$C271*INDEX(SPPR!$E:$Z,MATCH($A271,SPPR!$A:$A,0),11),""),"")</f>
        <v/>
      </c>
      <c r="O271">
        <f>IFERROR(IF(ISNUMBER(INDEX(SPPR!$E:$Z,MATCH($A271,SPPR!$A:$A,0),12)),$C271*INDEX(SPPR!$E:$Z,MATCH($A271,SPPR!$A:$A,0),12),""),"")</f>
        <v/>
      </c>
      <c r="P271">
        <f>IFERROR(IF(ISNUMBER(INDEX(SPPR!$E:$Z,MATCH($A271,SPPR!$A:$A,0),13)),$C271*INDEX(SPPR!$E:$Z,MATCH($A271,SPPR!$A:$A,0),13),""),"")</f>
        <v/>
      </c>
      <c r="Q271">
        <f>IFERROR(IF(ISNUMBER(INDEX(SPPR!$E:$Z,MATCH($A271,SPPR!$A:$A,0),14)),$C271*INDEX(SPPR!$E:$Z,MATCH($A271,SPPR!$A:$A,0),14),""),"")</f>
        <v/>
      </c>
      <c r="R271">
        <f>IFERROR(IF(ISNUMBER(INDEX(SPPR!$E:$Z,MATCH($A271,SPPR!$A:$A,0),15)),$C271*INDEX(SPPR!$E:$Z,MATCH($A271,SPPR!$A:$A,0),15),""),"")</f>
        <v/>
      </c>
      <c r="S271">
        <f>IFERROR(IF(ISNUMBER(INDEX(SPPR!$E:$Z,MATCH($A271,SPPR!$A:$A,0),16)),$C271*INDEX(SPPR!$E:$Z,MATCH($A271,SPPR!$A:$A,0),16),""),"")</f>
        <v/>
      </c>
      <c r="T271">
        <f>IFERROR(IF(ISNUMBER(INDEX(SPPR!$E:$Z,MATCH($A271,SPPR!$A:$A,0),17)),$C271*INDEX(SPPR!$E:$Z,MATCH($A271,SPPR!$A:$A,0),17),""),"")</f>
        <v/>
      </c>
      <c r="U271">
        <f>IFERROR(IF(ISNUMBER(INDEX(SPPR!$E:$Z,MATCH($A271,SPPR!$A:$A,0),18)),$C271*INDEX(SPPR!$E:$Z,MATCH($A271,SPPR!$A:$A,0),18),""),"")</f>
        <v/>
      </c>
      <c r="V271">
        <f>IFERROR(IF(ISNUMBER(INDEX(SPPR!$E:$Z,MATCH($A271,SPPR!$A:$A,0),19)),$C271*INDEX(SPPR!$E:$Z,MATCH($A271,SPPR!$A:$A,0),19),""),"")</f>
        <v/>
      </c>
      <c r="W271">
        <f>IFERROR(IF(ISNUMBER(INDEX(SPPR!$E:$Z,MATCH($A271,SPPR!$A:$A,0),20)),$C271*INDEX(SPPR!$E:$Z,MATCH($A271,SPPR!$A:$A,0),20),""),"")</f>
        <v/>
      </c>
      <c r="X271">
        <f>IFERROR(IF(ISNUMBER(INDEX(SPPR!$E:$Z,MATCH($A271,SPPR!$A:$A,0),21)),$C271*INDEX(SPPR!$E:$Z,MATCH($A271,SPPR!$A:$A,0),21),""),"")</f>
        <v/>
      </c>
      <c r="Y271">
        <f>IFERROR(IF(ISNUMBER(INDEX(SPPR!$E:$Z,MATCH($A271,SPPR!$A:$A,0),22)),$C271*INDEX(SPPR!$E:$Z,MATCH($A271,SPPR!$A:$A,0),22),""),"")</f>
        <v/>
      </c>
    </row>
    <row r="272">
      <c r="A272" t="inlineStr">
        <is>
          <t>Carcharhinus limbatus</t>
        </is>
      </c>
      <c r="B272">
        <f>IFERROR(INDEX(SPPR!$D:$D,MATCH($A272,SPPR!$A:$A,0)),"")</f>
        <v/>
      </c>
      <c r="C272">
        <f>IFERROR(INDEX(Catch!$E:$BV,MATCH($A272,Catch!$A:$A,0),MATCH($B$4,Catch!$E$1:$BV$1,0)),0)</f>
        <v/>
      </c>
      <c r="D272">
        <f>IFERROR(IF(ISNUMBER(INDEX(SPPR!$E:$Z,MATCH($A272,SPPR!$A:$A,0),1)),$C272*INDEX(SPPR!$E:$Z,MATCH($A272,SPPR!$A:$A,0),1),""),"")</f>
        <v/>
      </c>
      <c r="E272">
        <f>IFERROR(IF(ISNUMBER(INDEX(SPPR!$E:$Z,MATCH($A272,SPPR!$A:$A,0),2)),$C272*INDEX(SPPR!$E:$Z,MATCH($A272,SPPR!$A:$A,0),2),""),"")</f>
        <v/>
      </c>
      <c r="F272">
        <f>IFERROR(IF(ISNUMBER(INDEX(SPPR!$E:$Z,MATCH($A272,SPPR!$A:$A,0),3)),$C272*INDEX(SPPR!$E:$Z,MATCH($A272,SPPR!$A:$A,0),3),""),"")</f>
        <v/>
      </c>
      <c r="G272">
        <f>IFERROR(IF(ISNUMBER(INDEX(SPPR!$E:$Z,MATCH($A272,SPPR!$A:$A,0),4)),$C272*INDEX(SPPR!$E:$Z,MATCH($A272,SPPR!$A:$A,0),4),""),"")</f>
        <v/>
      </c>
      <c r="H272">
        <f>IFERROR(IF(ISNUMBER(INDEX(SPPR!$E:$Z,MATCH($A272,SPPR!$A:$A,0),5)),$C272*INDEX(SPPR!$E:$Z,MATCH($A272,SPPR!$A:$A,0),5),""),"")</f>
        <v/>
      </c>
      <c r="I272">
        <f>IFERROR(IF(ISNUMBER(INDEX(SPPR!$E:$Z,MATCH($A272,SPPR!$A:$A,0),6)),$C272*INDEX(SPPR!$E:$Z,MATCH($A272,SPPR!$A:$A,0),6),""),"")</f>
        <v/>
      </c>
      <c r="J272">
        <f>IFERROR(IF(ISNUMBER(INDEX(SPPR!$E:$Z,MATCH($A272,SPPR!$A:$A,0),7)),$C272*INDEX(SPPR!$E:$Z,MATCH($A272,SPPR!$A:$A,0),7),""),"")</f>
        <v/>
      </c>
      <c r="K272">
        <f>IFERROR(IF(ISNUMBER(INDEX(SPPR!$E:$Z,MATCH($A272,SPPR!$A:$A,0),8)),$C272*INDEX(SPPR!$E:$Z,MATCH($A272,SPPR!$A:$A,0),8),""),"")</f>
        <v/>
      </c>
      <c r="L272">
        <f>IFERROR(IF(ISNUMBER(INDEX(SPPR!$E:$Z,MATCH($A272,SPPR!$A:$A,0),9)),$C272*INDEX(SPPR!$E:$Z,MATCH($A272,SPPR!$A:$A,0),9),""),"")</f>
        <v/>
      </c>
      <c r="M272">
        <f>IFERROR(IF(ISNUMBER(INDEX(SPPR!$E:$Z,MATCH($A272,SPPR!$A:$A,0),10)),$C272*INDEX(SPPR!$E:$Z,MATCH($A272,SPPR!$A:$A,0),10),""),"")</f>
        <v/>
      </c>
      <c r="N272">
        <f>IFERROR(IF(ISNUMBER(INDEX(SPPR!$E:$Z,MATCH($A272,SPPR!$A:$A,0),11)),$C272*INDEX(SPPR!$E:$Z,MATCH($A272,SPPR!$A:$A,0),11),""),"")</f>
        <v/>
      </c>
      <c r="O272">
        <f>IFERROR(IF(ISNUMBER(INDEX(SPPR!$E:$Z,MATCH($A272,SPPR!$A:$A,0),12)),$C272*INDEX(SPPR!$E:$Z,MATCH($A272,SPPR!$A:$A,0),12),""),"")</f>
        <v/>
      </c>
      <c r="P272">
        <f>IFERROR(IF(ISNUMBER(INDEX(SPPR!$E:$Z,MATCH($A272,SPPR!$A:$A,0),13)),$C272*INDEX(SPPR!$E:$Z,MATCH($A272,SPPR!$A:$A,0),13),""),"")</f>
        <v/>
      </c>
      <c r="Q272">
        <f>IFERROR(IF(ISNUMBER(INDEX(SPPR!$E:$Z,MATCH($A272,SPPR!$A:$A,0),14)),$C272*INDEX(SPPR!$E:$Z,MATCH($A272,SPPR!$A:$A,0),14),""),"")</f>
        <v/>
      </c>
      <c r="R272">
        <f>IFERROR(IF(ISNUMBER(INDEX(SPPR!$E:$Z,MATCH($A272,SPPR!$A:$A,0),15)),$C272*INDEX(SPPR!$E:$Z,MATCH($A272,SPPR!$A:$A,0),15),""),"")</f>
        <v/>
      </c>
      <c r="S272">
        <f>IFERROR(IF(ISNUMBER(INDEX(SPPR!$E:$Z,MATCH($A272,SPPR!$A:$A,0),16)),$C272*INDEX(SPPR!$E:$Z,MATCH($A272,SPPR!$A:$A,0),16),""),"")</f>
        <v/>
      </c>
      <c r="T272">
        <f>IFERROR(IF(ISNUMBER(INDEX(SPPR!$E:$Z,MATCH($A272,SPPR!$A:$A,0),17)),$C272*INDEX(SPPR!$E:$Z,MATCH($A272,SPPR!$A:$A,0),17),""),"")</f>
        <v/>
      </c>
      <c r="U272">
        <f>IFERROR(IF(ISNUMBER(INDEX(SPPR!$E:$Z,MATCH($A272,SPPR!$A:$A,0),18)),$C272*INDEX(SPPR!$E:$Z,MATCH($A272,SPPR!$A:$A,0),18),""),"")</f>
        <v/>
      </c>
      <c r="V272">
        <f>IFERROR(IF(ISNUMBER(INDEX(SPPR!$E:$Z,MATCH($A272,SPPR!$A:$A,0),19)),$C272*INDEX(SPPR!$E:$Z,MATCH($A272,SPPR!$A:$A,0),19),""),"")</f>
        <v/>
      </c>
      <c r="W272">
        <f>IFERROR(IF(ISNUMBER(INDEX(SPPR!$E:$Z,MATCH($A272,SPPR!$A:$A,0),20)),$C272*INDEX(SPPR!$E:$Z,MATCH($A272,SPPR!$A:$A,0),20),""),"")</f>
        <v/>
      </c>
      <c r="X272">
        <f>IFERROR(IF(ISNUMBER(INDEX(SPPR!$E:$Z,MATCH($A272,SPPR!$A:$A,0),21)),$C272*INDEX(SPPR!$E:$Z,MATCH($A272,SPPR!$A:$A,0),21),""),"")</f>
        <v/>
      </c>
      <c r="Y272">
        <f>IFERROR(IF(ISNUMBER(INDEX(SPPR!$E:$Z,MATCH($A272,SPPR!$A:$A,0),22)),$C272*INDEX(SPPR!$E:$Z,MATCH($A272,SPPR!$A:$A,0),22),""),"")</f>
        <v/>
      </c>
    </row>
    <row r="273">
      <c r="A273" t="inlineStr">
        <is>
          <t>Carcharhinus albimarginatus</t>
        </is>
      </c>
      <c r="B273">
        <f>IFERROR(INDEX(SPPR!$D:$D,MATCH($A273,SPPR!$A:$A,0)),"")</f>
        <v/>
      </c>
      <c r="C273">
        <f>IFERROR(INDEX(Catch!$E:$BV,MATCH($A273,Catch!$A:$A,0),MATCH($B$4,Catch!$E$1:$BV$1,0)),0)</f>
        <v/>
      </c>
      <c r="D273">
        <f>IFERROR(IF(ISNUMBER(INDEX(SPPR!$E:$Z,MATCH($A273,SPPR!$A:$A,0),1)),$C273*INDEX(SPPR!$E:$Z,MATCH($A273,SPPR!$A:$A,0),1),""),"")</f>
        <v/>
      </c>
      <c r="E273">
        <f>IFERROR(IF(ISNUMBER(INDEX(SPPR!$E:$Z,MATCH($A273,SPPR!$A:$A,0),2)),$C273*INDEX(SPPR!$E:$Z,MATCH($A273,SPPR!$A:$A,0),2),""),"")</f>
        <v/>
      </c>
      <c r="F273">
        <f>IFERROR(IF(ISNUMBER(INDEX(SPPR!$E:$Z,MATCH($A273,SPPR!$A:$A,0),3)),$C273*INDEX(SPPR!$E:$Z,MATCH($A273,SPPR!$A:$A,0),3),""),"")</f>
        <v/>
      </c>
      <c r="G273">
        <f>IFERROR(IF(ISNUMBER(INDEX(SPPR!$E:$Z,MATCH($A273,SPPR!$A:$A,0),4)),$C273*INDEX(SPPR!$E:$Z,MATCH($A273,SPPR!$A:$A,0),4),""),"")</f>
        <v/>
      </c>
      <c r="H273">
        <f>IFERROR(IF(ISNUMBER(INDEX(SPPR!$E:$Z,MATCH($A273,SPPR!$A:$A,0),5)),$C273*INDEX(SPPR!$E:$Z,MATCH($A273,SPPR!$A:$A,0),5),""),"")</f>
        <v/>
      </c>
      <c r="I273">
        <f>IFERROR(IF(ISNUMBER(INDEX(SPPR!$E:$Z,MATCH($A273,SPPR!$A:$A,0),6)),$C273*INDEX(SPPR!$E:$Z,MATCH($A273,SPPR!$A:$A,0),6),""),"")</f>
        <v/>
      </c>
      <c r="J273">
        <f>IFERROR(IF(ISNUMBER(INDEX(SPPR!$E:$Z,MATCH($A273,SPPR!$A:$A,0),7)),$C273*INDEX(SPPR!$E:$Z,MATCH($A273,SPPR!$A:$A,0),7),""),"")</f>
        <v/>
      </c>
      <c r="K273">
        <f>IFERROR(IF(ISNUMBER(INDEX(SPPR!$E:$Z,MATCH($A273,SPPR!$A:$A,0),8)),$C273*INDEX(SPPR!$E:$Z,MATCH($A273,SPPR!$A:$A,0),8),""),"")</f>
        <v/>
      </c>
      <c r="L273">
        <f>IFERROR(IF(ISNUMBER(INDEX(SPPR!$E:$Z,MATCH($A273,SPPR!$A:$A,0),9)),$C273*INDEX(SPPR!$E:$Z,MATCH($A273,SPPR!$A:$A,0),9),""),"")</f>
        <v/>
      </c>
      <c r="M273">
        <f>IFERROR(IF(ISNUMBER(INDEX(SPPR!$E:$Z,MATCH($A273,SPPR!$A:$A,0),10)),$C273*INDEX(SPPR!$E:$Z,MATCH($A273,SPPR!$A:$A,0),10),""),"")</f>
        <v/>
      </c>
      <c r="N273">
        <f>IFERROR(IF(ISNUMBER(INDEX(SPPR!$E:$Z,MATCH($A273,SPPR!$A:$A,0),11)),$C273*INDEX(SPPR!$E:$Z,MATCH($A273,SPPR!$A:$A,0),11),""),"")</f>
        <v/>
      </c>
      <c r="O273">
        <f>IFERROR(IF(ISNUMBER(INDEX(SPPR!$E:$Z,MATCH($A273,SPPR!$A:$A,0),12)),$C273*INDEX(SPPR!$E:$Z,MATCH($A273,SPPR!$A:$A,0),12),""),"")</f>
        <v/>
      </c>
      <c r="P273">
        <f>IFERROR(IF(ISNUMBER(INDEX(SPPR!$E:$Z,MATCH($A273,SPPR!$A:$A,0),13)),$C273*INDEX(SPPR!$E:$Z,MATCH($A273,SPPR!$A:$A,0),13),""),"")</f>
        <v/>
      </c>
      <c r="Q273">
        <f>IFERROR(IF(ISNUMBER(INDEX(SPPR!$E:$Z,MATCH($A273,SPPR!$A:$A,0),14)),$C273*INDEX(SPPR!$E:$Z,MATCH($A273,SPPR!$A:$A,0),14),""),"")</f>
        <v/>
      </c>
      <c r="R273">
        <f>IFERROR(IF(ISNUMBER(INDEX(SPPR!$E:$Z,MATCH($A273,SPPR!$A:$A,0),15)),$C273*INDEX(SPPR!$E:$Z,MATCH($A273,SPPR!$A:$A,0),15),""),"")</f>
        <v/>
      </c>
      <c r="S273">
        <f>IFERROR(IF(ISNUMBER(INDEX(SPPR!$E:$Z,MATCH($A273,SPPR!$A:$A,0),16)),$C273*INDEX(SPPR!$E:$Z,MATCH($A273,SPPR!$A:$A,0),16),""),"")</f>
        <v/>
      </c>
      <c r="T273">
        <f>IFERROR(IF(ISNUMBER(INDEX(SPPR!$E:$Z,MATCH($A273,SPPR!$A:$A,0),17)),$C273*INDEX(SPPR!$E:$Z,MATCH($A273,SPPR!$A:$A,0),17),""),"")</f>
        <v/>
      </c>
      <c r="U273">
        <f>IFERROR(IF(ISNUMBER(INDEX(SPPR!$E:$Z,MATCH($A273,SPPR!$A:$A,0),18)),$C273*INDEX(SPPR!$E:$Z,MATCH($A273,SPPR!$A:$A,0),18),""),"")</f>
        <v/>
      </c>
      <c r="V273">
        <f>IFERROR(IF(ISNUMBER(INDEX(SPPR!$E:$Z,MATCH($A273,SPPR!$A:$A,0),19)),$C273*INDEX(SPPR!$E:$Z,MATCH($A273,SPPR!$A:$A,0),19),""),"")</f>
        <v/>
      </c>
      <c r="W273">
        <f>IFERROR(IF(ISNUMBER(INDEX(SPPR!$E:$Z,MATCH($A273,SPPR!$A:$A,0),20)),$C273*INDEX(SPPR!$E:$Z,MATCH($A273,SPPR!$A:$A,0),20),""),"")</f>
        <v/>
      </c>
      <c r="X273">
        <f>IFERROR(IF(ISNUMBER(INDEX(SPPR!$E:$Z,MATCH($A273,SPPR!$A:$A,0),21)),$C273*INDEX(SPPR!$E:$Z,MATCH($A273,SPPR!$A:$A,0),21),""),"")</f>
        <v/>
      </c>
      <c r="Y273">
        <f>IFERROR(IF(ISNUMBER(INDEX(SPPR!$E:$Z,MATCH($A273,SPPR!$A:$A,0),22)),$C273*INDEX(SPPR!$E:$Z,MATCH($A273,SPPR!$A:$A,0),22),""),"")</f>
        <v/>
      </c>
    </row>
    <row r="274">
      <c r="A274" t="inlineStr">
        <is>
          <t>Carcharhinus melanopterus</t>
        </is>
      </c>
      <c r="B274">
        <f>IFERROR(INDEX(SPPR!$D:$D,MATCH($A274,SPPR!$A:$A,0)),"")</f>
        <v/>
      </c>
      <c r="C274">
        <f>IFERROR(INDEX(Catch!$E:$BV,MATCH($A274,Catch!$A:$A,0),MATCH($B$4,Catch!$E$1:$BV$1,0)),0)</f>
        <v/>
      </c>
      <c r="D274">
        <f>IFERROR(IF(ISNUMBER(INDEX(SPPR!$E:$Z,MATCH($A274,SPPR!$A:$A,0),1)),$C274*INDEX(SPPR!$E:$Z,MATCH($A274,SPPR!$A:$A,0),1),""),"")</f>
        <v/>
      </c>
      <c r="E274">
        <f>IFERROR(IF(ISNUMBER(INDEX(SPPR!$E:$Z,MATCH($A274,SPPR!$A:$A,0),2)),$C274*INDEX(SPPR!$E:$Z,MATCH($A274,SPPR!$A:$A,0),2),""),"")</f>
        <v/>
      </c>
      <c r="F274">
        <f>IFERROR(IF(ISNUMBER(INDEX(SPPR!$E:$Z,MATCH($A274,SPPR!$A:$A,0),3)),$C274*INDEX(SPPR!$E:$Z,MATCH($A274,SPPR!$A:$A,0),3),""),"")</f>
        <v/>
      </c>
      <c r="G274">
        <f>IFERROR(IF(ISNUMBER(INDEX(SPPR!$E:$Z,MATCH($A274,SPPR!$A:$A,0),4)),$C274*INDEX(SPPR!$E:$Z,MATCH($A274,SPPR!$A:$A,0),4),""),"")</f>
        <v/>
      </c>
      <c r="H274">
        <f>IFERROR(IF(ISNUMBER(INDEX(SPPR!$E:$Z,MATCH($A274,SPPR!$A:$A,0),5)),$C274*INDEX(SPPR!$E:$Z,MATCH($A274,SPPR!$A:$A,0),5),""),"")</f>
        <v/>
      </c>
      <c r="I274">
        <f>IFERROR(IF(ISNUMBER(INDEX(SPPR!$E:$Z,MATCH($A274,SPPR!$A:$A,0),6)),$C274*INDEX(SPPR!$E:$Z,MATCH($A274,SPPR!$A:$A,0),6),""),"")</f>
        <v/>
      </c>
      <c r="J274">
        <f>IFERROR(IF(ISNUMBER(INDEX(SPPR!$E:$Z,MATCH($A274,SPPR!$A:$A,0),7)),$C274*INDEX(SPPR!$E:$Z,MATCH($A274,SPPR!$A:$A,0),7),""),"")</f>
        <v/>
      </c>
      <c r="K274">
        <f>IFERROR(IF(ISNUMBER(INDEX(SPPR!$E:$Z,MATCH($A274,SPPR!$A:$A,0),8)),$C274*INDEX(SPPR!$E:$Z,MATCH($A274,SPPR!$A:$A,0),8),""),"")</f>
        <v/>
      </c>
      <c r="L274">
        <f>IFERROR(IF(ISNUMBER(INDEX(SPPR!$E:$Z,MATCH($A274,SPPR!$A:$A,0),9)),$C274*INDEX(SPPR!$E:$Z,MATCH($A274,SPPR!$A:$A,0),9),""),"")</f>
        <v/>
      </c>
      <c r="M274">
        <f>IFERROR(IF(ISNUMBER(INDEX(SPPR!$E:$Z,MATCH($A274,SPPR!$A:$A,0),10)),$C274*INDEX(SPPR!$E:$Z,MATCH($A274,SPPR!$A:$A,0),10),""),"")</f>
        <v/>
      </c>
      <c r="N274">
        <f>IFERROR(IF(ISNUMBER(INDEX(SPPR!$E:$Z,MATCH($A274,SPPR!$A:$A,0),11)),$C274*INDEX(SPPR!$E:$Z,MATCH($A274,SPPR!$A:$A,0),11),""),"")</f>
        <v/>
      </c>
      <c r="O274">
        <f>IFERROR(IF(ISNUMBER(INDEX(SPPR!$E:$Z,MATCH($A274,SPPR!$A:$A,0),12)),$C274*INDEX(SPPR!$E:$Z,MATCH($A274,SPPR!$A:$A,0),12),""),"")</f>
        <v/>
      </c>
      <c r="P274">
        <f>IFERROR(IF(ISNUMBER(INDEX(SPPR!$E:$Z,MATCH($A274,SPPR!$A:$A,0),13)),$C274*INDEX(SPPR!$E:$Z,MATCH($A274,SPPR!$A:$A,0),13),""),"")</f>
        <v/>
      </c>
      <c r="Q274">
        <f>IFERROR(IF(ISNUMBER(INDEX(SPPR!$E:$Z,MATCH($A274,SPPR!$A:$A,0),14)),$C274*INDEX(SPPR!$E:$Z,MATCH($A274,SPPR!$A:$A,0),14),""),"")</f>
        <v/>
      </c>
      <c r="R274">
        <f>IFERROR(IF(ISNUMBER(INDEX(SPPR!$E:$Z,MATCH($A274,SPPR!$A:$A,0),15)),$C274*INDEX(SPPR!$E:$Z,MATCH($A274,SPPR!$A:$A,0),15),""),"")</f>
        <v/>
      </c>
      <c r="S274">
        <f>IFERROR(IF(ISNUMBER(INDEX(SPPR!$E:$Z,MATCH($A274,SPPR!$A:$A,0),16)),$C274*INDEX(SPPR!$E:$Z,MATCH($A274,SPPR!$A:$A,0),16),""),"")</f>
        <v/>
      </c>
      <c r="T274">
        <f>IFERROR(IF(ISNUMBER(INDEX(SPPR!$E:$Z,MATCH($A274,SPPR!$A:$A,0),17)),$C274*INDEX(SPPR!$E:$Z,MATCH($A274,SPPR!$A:$A,0),17),""),"")</f>
        <v/>
      </c>
      <c r="U274">
        <f>IFERROR(IF(ISNUMBER(INDEX(SPPR!$E:$Z,MATCH($A274,SPPR!$A:$A,0),18)),$C274*INDEX(SPPR!$E:$Z,MATCH($A274,SPPR!$A:$A,0),18),""),"")</f>
        <v/>
      </c>
      <c r="V274">
        <f>IFERROR(IF(ISNUMBER(INDEX(SPPR!$E:$Z,MATCH($A274,SPPR!$A:$A,0),19)),$C274*INDEX(SPPR!$E:$Z,MATCH($A274,SPPR!$A:$A,0),19),""),"")</f>
        <v/>
      </c>
      <c r="W274">
        <f>IFERROR(IF(ISNUMBER(INDEX(SPPR!$E:$Z,MATCH($A274,SPPR!$A:$A,0),20)),$C274*INDEX(SPPR!$E:$Z,MATCH($A274,SPPR!$A:$A,0),20),""),"")</f>
        <v/>
      </c>
      <c r="X274">
        <f>IFERROR(IF(ISNUMBER(INDEX(SPPR!$E:$Z,MATCH($A274,SPPR!$A:$A,0),21)),$C274*INDEX(SPPR!$E:$Z,MATCH($A274,SPPR!$A:$A,0),21),""),"")</f>
        <v/>
      </c>
      <c r="Y274">
        <f>IFERROR(IF(ISNUMBER(INDEX(SPPR!$E:$Z,MATCH($A274,SPPR!$A:$A,0),22)),$C274*INDEX(SPPR!$E:$Z,MATCH($A274,SPPR!$A:$A,0),22),""),"")</f>
        <v/>
      </c>
    </row>
    <row r="275">
      <c r="A275" t="inlineStr">
        <is>
          <t>Carcharhinus amblyrhynchos</t>
        </is>
      </c>
      <c r="B275">
        <f>IFERROR(INDEX(SPPR!$D:$D,MATCH($A275,SPPR!$A:$A,0)),"")</f>
        <v/>
      </c>
      <c r="C275">
        <f>IFERROR(INDEX(Catch!$E:$BV,MATCH($A275,Catch!$A:$A,0),MATCH($B$4,Catch!$E$1:$BV$1,0)),0)</f>
        <v/>
      </c>
      <c r="D275">
        <f>IFERROR(IF(ISNUMBER(INDEX(SPPR!$E:$Z,MATCH($A275,SPPR!$A:$A,0),1)),$C275*INDEX(SPPR!$E:$Z,MATCH($A275,SPPR!$A:$A,0),1),""),"")</f>
        <v/>
      </c>
      <c r="E275">
        <f>IFERROR(IF(ISNUMBER(INDEX(SPPR!$E:$Z,MATCH($A275,SPPR!$A:$A,0),2)),$C275*INDEX(SPPR!$E:$Z,MATCH($A275,SPPR!$A:$A,0),2),""),"")</f>
        <v/>
      </c>
      <c r="F275">
        <f>IFERROR(IF(ISNUMBER(INDEX(SPPR!$E:$Z,MATCH($A275,SPPR!$A:$A,0),3)),$C275*INDEX(SPPR!$E:$Z,MATCH($A275,SPPR!$A:$A,0),3),""),"")</f>
        <v/>
      </c>
      <c r="G275">
        <f>IFERROR(IF(ISNUMBER(INDEX(SPPR!$E:$Z,MATCH($A275,SPPR!$A:$A,0),4)),$C275*INDEX(SPPR!$E:$Z,MATCH($A275,SPPR!$A:$A,0),4),""),"")</f>
        <v/>
      </c>
      <c r="H275">
        <f>IFERROR(IF(ISNUMBER(INDEX(SPPR!$E:$Z,MATCH($A275,SPPR!$A:$A,0),5)),$C275*INDEX(SPPR!$E:$Z,MATCH($A275,SPPR!$A:$A,0),5),""),"")</f>
        <v/>
      </c>
      <c r="I275">
        <f>IFERROR(IF(ISNUMBER(INDEX(SPPR!$E:$Z,MATCH($A275,SPPR!$A:$A,0),6)),$C275*INDEX(SPPR!$E:$Z,MATCH($A275,SPPR!$A:$A,0),6),""),"")</f>
        <v/>
      </c>
      <c r="J275">
        <f>IFERROR(IF(ISNUMBER(INDEX(SPPR!$E:$Z,MATCH($A275,SPPR!$A:$A,0),7)),$C275*INDEX(SPPR!$E:$Z,MATCH($A275,SPPR!$A:$A,0),7),""),"")</f>
        <v/>
      </c>
      <c r="K275">
        <f>IFERROR(IF(ISNUMBER(INDEX(SPPR!$E:$Z,MATCH($A275,SPPR!$A:$A,0),8)),$C275*INDEX(SPPR!$E:$Z,MATCH($A275,SPPR!$A:$A,0),8),""),"")</f>
        <v/>
      </c>
      <c r="L275">
        <f>IFERROR(IF(ISNUMBER(INDEX(SPPR!$E:$Z,MATCH($A275,SPPR!$A:$A,0),9)),$C275*INDEX(SPPR!$E:$Z,MATCH($A275,SPPR!$A:$A,0),9),""),"")</f>
        <v/>
      </c>
      <c r="M275">
        <f>IFERROR(IF(ISNUMBER(INDEX(SPPR!$E:$Z,MATCH($A275,SPPR!$A:$A,0),10)),$C275*INDEX(SPPR!$E:$Z,MATCH($A275,SPPR!$A:$A,0),10),""),"")</f>
        <v/>
      </c>
      <c r="N275">
        <f>IFERROR(IF(ISNUMBER(INDEX(SPPR!$E:$Z,MATCH($A275,SPPR!$A:$A,0),11)),$C275*INDEX(SPPR!$E:$Z,MATCH($A275,SPPR!$A:$A,0),11),""),"")</f>
        <v/>
      </c>
      <c r="O275">
        <f>IFERROR(IF(ISNUMBER(INDEX(SPPR!$E:$Z,MATCH($A275,SPPR!$A:$A,0),12)),$C275*INDEX(SPPR!$E:$Z,MATCH($A275,SPPR!$A:$A,0),12),""),"")</f>
        <v/>
      </c>
      <c r="P275">
        <f>IFERROR(IF(ISNUMBER(INDEX(SPPR!$E:$Z,MATCH($A275,SPPR!$A:$A,0),13)),$C275*INDEX(SPPR!$E:$Z,MATCH($A275,SPPR!$A:$A,0),13),""),"")</f>
        <v/>
      </c>
      <c r="Q275">
        <f>IFERROR(IF(ISNUMBER(INDEX(SPPR!$E:$Z,MATCH($A275,SPPR!$A:$A,0),14)),$C275*INDEX(SPPR!$E:$Z,MATCH($A275,SPPR!$A:$A,0),14),""),"")</f>
        <v/>
      </c>
      <c r="R275">
        <f>IFERROR(IF(ISNUMBER(INDEX(SPPR!$E:$Z,MATCH($A275,SPPR!$A:$A,0),15)),$C275*INDEX(SPPR!$E:$Z,MATCH($A275,SPPR!$A:$A,0),15),""),"")</f>
        <v/>
      </c>
      <c r="S275">
        <f>IFERROR(IF(ISNUMBER(INDEX(SPPR!$E:$Z,MATCH($A275,SPPR!$A:$A,0),16)),$C275*INDEX(SPPR!$E:$Z,MATCH($A275,SPPR!$A:$A,0),16),""),"")</f>
        <v/>
      </c>
      <c r="T275">
        <f>IFERROR(IF(ISNUMBER(INDEX(SPPR!$E:$Z,MATCH($A275,SPPR!$A:$A,0),17)),$C275*INDEX(SPPR!$E:$Z,MATCH($A275,SPPR!$A:$A,0),17),""),"")</f>
        <v/>
      </c>
      <c r="U275">
        <f>IFERROR(IF(ISNUMBER(INDEX(SPPR!$E:$Z,MATCH($A275,SPPR!$A:$A,0),18)),$C275*INDEX(SPPR!$E:$Z,MATCH($A275,SPPR!$A:$A,0),18),""),"")</f>
        <v/>
      </c>
      <c r="V275">
        <f>IFERROR(IF(ISNUMBER(INDEX(SPPR!$E:$Z,MATCH($A275,SPPR!$A:$A,0),19)),$C275*INDEX(SPPR!$E:$Z,MATCH($A275,SPPR!$A:$A,0),19),""),"")</f>
        <v/>
      </c>
      <c r="W275">
        <f>IFERROR(IF(ISNUMBER(INDEX(SPPR!$E:$Z,MATCH($A275,SPPR!$A:$A,0),20)),$C275*INDEX(SPPR!$E:$Z,MATCH($A275,SPPR!$A:$A,0),20),""),"")</f>
        <v/>
      </c>
      <c r="X275">
        <f>IFERROR(IF(ISNUMBER(INDEX(SPPR!$E:$Z,MATCH($A275,SPPR!$A:$A,0),21)),$C275*INDEX(SPPR!$E:$Z,MATCH($A275,SPPR!$A:$A,0),21),""),"")</f>
        <v/>
      </c>
      <c r="Y275">
        <f>IFERROR(IF(ISNUMBER(INDEX(SPPR!$E:$Z,MATCH($A275,SPPR!$A:$A,0),22)),$C275*INDEX(SPPR!$E:$Z,MATCH($A275,SPPR!$A:$A,0),22),""),"")</f>
        <v/>
      </c>
    </row>
    <row r="276">
      <c r="A276" t="inlineStr">
        <is>
          <t>Galeocerdo cuvier</t>
        </is>
      </c>
      <c r="B276">
        <f>IFERROR(INDEX(SPPR!$D:$D,MATCH($A276,SPPR!$A:$A,0)),"")</f>
        <v/>
      </c>
      <c r="C276">
        <f>IFERROR(INDEX(Catch!$E:$BV,MATCH($A276,Catch!$A:$A,0),MATCH($B$4,Catch!$E$1:$BV$1,0)),0)</f>
        <v/>
      </c>
      <c r="D276">
        <f>IFERROR(IF(ISNUMBER(INDEX(SPPR!$E:$Z,MATCH($A276,SPPR!$A:$A,0),1)),$C276*INDEX(SPPR!$E:$Z,MATCH($A276,SPPR!$A:$A,0),1),""),"")</f>
        <v/>
      </c>
      <c r="E276">
        <f>IFERROR(IF(ISNUMBER(INDEX(SPPR!$E:$Z,MATCH($A276,SPPR!$A:$A,0),2)),$C276*INDEX(SPPR!$E:$Z,MATCH($A276,SPPR!$A:$A,0),2),""),"")</f>
        <v/>
      </c>
      <c r="F276">
        <f>IFERROR(IF(ISNUMBER(INDEX(SPPR!$E:$Z,MATCH($A276,SPPR!$A:$A,0),3)),$C276*INDEX(SPPR!$E:$Z,MATCH($A276,SPPR!$A:$A,0),3),""),"")</f>
        <v/>
      </c>
      <c r="G276">
        <f>IFERROR(IF(ISNUMBER(INDEX(SPPR!$E:$Z,MATCH($A276,SPPR!$A:$A,0),4)),$C276*INDEX(SPPR!$E:$Z,MATCH($A276,SPPR!$A:$A,0),4),""),"")</f>
        <v/>
      </c>
      <c r="H276">
        <f>IFERROR(IF(ISNUMBER(INDEX(SPPR!$E:$Z,MATCH($A276,SPPR!$A:$A,0),5)),$C276*INDEX(SPPR!$E:$Z,MATCH($A276,SPPR!$A:$A,0),5),""),"")</f>
        <v/>
      </c>
      <c r="I276">
        <f>IFERROR(IF(ISNUMBER(INDEX(SPPR!$E:$Z,MATCH($A276,SPPR!$A:$A,0),6)),$C276*INDEX(SPPR!$E:$Z,MATCH($A276,SPPR!$A:$A,0),6),""),"")</f>
        <v/>
      </c>
      <c r="J276">
        <f>IFERROR(IF(ISNUMBER(INDEX(SPPR!$E:$Z,MATCH($A276,SPPR!$A:$A,0),7)),$C276*INDEX(SPPR!$E:$Z,MATCH($A276,SPPR!$A:$A,0),7),""),"")</f>
        <v/>
      </c>
      <c r="K276">
        <f>IFERROR(IF(ISNUMBER(INDEX(SPPR!$E:$Z,MATCH($A276,SPPR!$A:$A,0),8)),$C276*INDEX(SPPR!$E:$Z,MATCH($A276,SPPR!$A:$A,0),8),""),"")</f>
        <v/>
      </c>
      <c r="L276">
        <f>IFERROR(IF(ISNUMBER(INDEX(SPPR!$E:$Z,MATCH($A276,SPPR!$A:$A,0),9)),$C276*INDEX(SPPR!$E:$Z,MATCH($A276,SPPR!$A:$A,0),9),""),"")</f>
        <v/>
      </c>
      <c r="M276">
        <f>IFERROR(IF(ISNUMBER(INDEX(SPPR!$E:$Z,MATCH($A276,SPPR!$A:$A,0),10)),$C276*INDEX(SPPR!$E:$Z,MATCH($A276,SPPR!$A:$A,0),10),""),"")</f>
        <v/>
      </c>
      <c r="N276">
        <f>IFERROR(IF(ISNUMBER(INDEX(SPPR!$E:$Z,MATCH($A276,SPPR!$A:$A,0),11)),$C276*INDEX(SPPR!$E:$Z,MATCH($A276,SPPR!$A:$A,0),11),""),"")</f>
        <v/>
      </c>
      <c r="O276">
        <f>IFERROR(IF(ISNUMBER(INDEX(SPPR!$E:$Z,MATCH($A276,SPPR!$A:$A,0),12)),$C276*INDEX(SPPR!$E:$Z,MATCH($A276,SPPR!$A:$A,0),12),""),"")</f>
        <v/>
      </c>
      <c r="P276">
        <f>IFERROR(IF(ISNUMBER(INDEX(SPPR!$E:$Z,MATCH($A276,SPPR!$A:$A,0),13)),$C276*INDEX(SPPR!$E:$Z,MATCH($A276,SPPR!$A:$A,0),13),""),"")</f>
        <v/>
      </c>
      <c r="Q276">
        <f>IFERROR(IF(ISNUMBER(INDEX(SPPR!$E:$Z,MATCH($A276,SPPR!$A:$A,0),14)),$C276*INDEX(SPPR!$E:$Z,MATCH($A276,SPPR!$A:$A,0),14),""),"")</f>
        <v/>
      </c>
      <c r="R276">
        <f>IFERROR(IF(ISNUMBER(INDEX(SPPR!$E:$Z,MATCH($A276,SPPR!$A:$A,0),15)),$C276*INDEX(SPPR!$E:$Z,MATCH($A276,SPPR!$A:$A,0),15),""),"")</f>
        <v/>
      </c>
      <c r="S276">
        <f>IFERROR(IF(ISNUMBER(INDEX(SPPR!$E:$Z,MATCH($A276,SPPR!$A:$A,0),16)),$C276*INDEX(SPPR!$E:$Z,MATCH($A276,SPPR!$A:$A,0),16),""),"")</f>
        <v/>
      </c>
      <c r="T276">
        <f>IFERROR(IF(ISNUMBER(INDEX(SPPR!$E:$Z,MATCH($A276,SPPR!$A:$A,0),17)),$C276*INDEX(SPPR!$E:$Z,MATCH($A276,SPPR!$A:$A,0),17),""),"")</f>
        <v/>
      </c>
      <c r="U276">
        <f>IFERROR(IF(ISNUMBER(INDEX(SPPR!$E:$Z,MATCH($A276,SPPR!$A:$A,0),18)),$C276*INDEX(SPPR!$E:$Z,MATCH($A276,SPPR!$A:$A,0),18),""),"")</f>
        <v/>
      </c>
      <c r="V276">
        <f>IFERROR(IF(ISNUMBER(INDEX(SPPR!$E:$Z,MATCH($A276,SPPR!$A:$A,0),19)),$C276*INDEX(SPPR!$E:$Z,MATCH($A276,SPPR!$A:$A,0),19),""),"")</f>
        <v/>
      </c>
      <c r="W276">
        <f>IFERROR(IF(ISNUMBER(INDEX(SPPR!$E:$Z,MATCH($A276,SPPR!$A:$A,0),20)),$C276*INDEX(SPPR!$E:$Z,MATCH($A276,SPPR!$A:$A,0),20),""),"")</f>
        <v/>
      </c>
      <c r="X276">
        <f>IFERROR(IF(ISNUMBER(INDEX(SPPR!$E:$Z,MATCH($A276,SPPR!$A:$A,0),21)),$C276*INDEX(SPPR!$E:$Z,MATCH($A276,SPPR!$A:$A,0),21),""),"")</f>
        <v/>
      </c>
      <c r="Y276">
        <f>IFERROR(IF(ISNUMBER(INDEX(SPPR!$E:$Z,MATCH($A276,SPPR!$A:$A,0),22)),$C276*INDEX(SPPR!$E:$Z,MATCH($A276,SPPR!$A:$A,0),22),""),"")</f>
        <v/>
      </c>
    </row>
    <row r="277">
      <c r="A277" t="inlineStr">
        <is>
          <t>Istiophorus</t>
        </is>
      </c>
      <c r="B277">
        <f>IFERROR(INDEX(SPPR!$D:$D,MATCH($A277,SPPR!$A:$A,0)),"")</f>
        <v/>
      </c>
      <c r="C277">
        <f>IFERROR(INDEX(Catch!$E:$BV,MATCH($A277,Catch!$A:$A,0),MATCH($B$4,Catch!$E$1:$BV$1,0)),0)</f>
        <v/>
      </c>
      <c r="D277">
        <f>IFERROR(IF(ISNUMBER(INDEX(SPPR!$E:$Z,MATCH($A277,SPPR!$A:$A,0),1)),$C277*INDEX(SPPR!$E:$Z,MATCH($A277,SPPR!$A:$A,0),1),""),"")</f>
        <v/>
      </c>
      <c r="E277">
        <f>IFERROR(IF(ISNUMBER(INDEX(SPPR!$E:$Z,MATCH($A277,SPPR!$A:$A,0),2)),$C277*INDEX(SPPR!$E:$Z,MATCH($A277,SPPR!$A:$A,0),2),""),"")</f>
        <v/>
      </c>
      <c r="F277">
        <f>IFERROR(IF(ISNUMBER(INDEX(SPPR!$E:$Z,MATCH($A277,SPPR!$A:$A,0),3)),$C277*INDEX(SPPR!$E:$Z,MATCH($A277,SPPR!$A:$A,0),3),""),"")</f>
        <v/>
      </c>
      <c r="G277">
        <f>IFERROR(IF(ISNUMBER(INDEX(SPPR!$E:$Z,MATCH($A277,SPPR!$A:$A,0),4)),$C277*INDEX(SPPR!$E:$Z,MATCH($A277,SPPR!$A:$A,0),4),""),"")</f>
        <v/>
      </c>
      <c r="H277">
        <f>IFERROR(IF(ISNUMBER(INDEX(SPPR!$E:$Z,MATCH($A277,SPPR!$A:$A,0),5)),$C277*INDEX(SPPR!$E:$Z,MATCH($A277,SPPR!$A:$A,0),5),""),"")</f>
        <v/>
      </c>
      <c r="I277">
        <f>IFERROR(IF(ISNUMBER(INDEX(SPPR!$E:$Z,MATCH($A277,SPPR!$A:$A,0),6)),$C277*INDEX(SPPR!$E:$Z,MATCH($A277,SPPR!$A:$A,0),6),""),"")</f>
        <v/>
      </c>
      <c r="J277">
        <f>IFERROR(IF(ISNUMBER(INDEX(SPPR!$E:$Z,MATCH($A277,SPPR!$A:$A,0),7)),$C277*INDEX(SPPR!$E:$Z,MATCH($A277,SPPR!$A:$A,0),7),""),"")</f>
        <v/>
      </c>
      <c r="K277">
        <f>IFERROR(IF(ISNUMBER(INDEX(SPPR!$E:$Z,MATCH($A277,SPPR!$A:$A,0),8)),$C277*INDEX(SPPR!$E:$Z,MATCH($A277,SPPR!$A:$A,0),8),""),"")</f>
        <v/>
      </c>
      <c r="L277">
        <f>IFERROR(IF(ISNUMBER(INDEX(SPPR!$E:$Z,MATCH($A277,SPPR!$A:$A,0),9)),$C277*INDEX(SPPR!$E:$Z,MATCH($A277,SPPR!$A:$A,0),9),""),"")</f>
        <v/>
      </c>
      <c r="M277">
        <f>IFERROR(IF(ISNUMBER(INDEX(SPPR!$E:$Z,MATCH($A277,SPPR!$A:$A,0),10)),$C277*INDEX(SPPR!$E:$Z,MATCH($A277,SPPR!$A:$A,0),10),""),"")</f>
        <v/>
      </c>
      <c r="N277">
        <f>IFERROR(IF(ISNUMBER(INDEX(SPPR!$E:$Z,MATCH($A277,SPPR!$A:$A,0),11)),$C277*INDEX(SPPR!$E:$Z,MATCH($A277,SPPR!$A:$A,0),11),""),"")</f>
        <v/>
      </c>
      <c r="O277">
        <f>IFERROR(IF(ISNUMBER(INDEX(SPPR!$E:$Z,MATCH($A277,SPPR!$A:$A,0),12)),$C277*INDEX(SPPR!$E:$Z,MATCH($A277,SPPR!$A:$A,0),12),""),"")</f>
        <v/>
      </c>
      <c r="P277">
        <f>IFERROR(IF(ISNUMBER(INDEX(SPPR!$E:$Z,MATCH($A277,SPPR!$A:$A,0),13)),$C277*INDEX(SPPR!$E:$Z,MATCH($A277,SPPR!$A:$A,0),13),""),"")</f>
        <v/>
      </c>
      <c r="Q277">
        <f>IFERROR(IF(ISNUMBER(INDEX(SPPR!$E:$Z,MATCH($A277,SPPR!$A:$A,0),14)),$C277*INDEX(SPPR!$E:$Z,MATCH($A277,SPPR!$A:$A,0),14),""),"")</f>
        <v/>
      </c>
      <c r="R277">
        <f>IFERROR(IF(ISNUMBER(INDEX(SPPR!$E:$Z,MATCH($A277,SPPR!$A:$A,0),15)),$C277*INDEX(SPPR!$E:$Z,MATCH($A277,SPPR!$A:$A,0),15),""),"")</f>
        <v/>
      </c>
      <c r="S277">
        <f>IFERROR(IF(ISNUMBER(INDEX(SPPR!$E:$Z,MATCH($A277,SPPR!$A:$A,0),16)),$C277*INDEX(SPPR!$E:$Z,MATCH($A277,SPPR!$A:$A,0),16),""),"")</f>
        <v/>
      </c>
      <c r="T277">
        <f>IFERROR(IF(ISNUMBER(INDEX(SPPR!$E:$Z,MATCH($A277,SPPR!$A:$A,0),17)),$C277*INDEX(SPPR!$E:$Z,MATCH($A277,SPPR!$A:$A,0),17),""),"")</f>
        <v/>
      </c>
      <c r="U277">
        <f>IFERROR(IF(ISNUMBER(INDEX(SPPR!$E:$Z,MATCH($A277,SPPR!$A:$A,0),18)),$C277*INDEX(SPPR!$E:$Z,MATCH($A277,SPPR!$A:$A,0),18),""),"")</f>
        <v/>
      </c>
      <c r="V277">
        <f>IFERROR(IF(ISNUMBER(INDEX(SPPR!$E:$Z,MATCH($A277,SPPR!$A:$A,0),19)),$C277*INDEX(SPPR!$E:$Z,MATCH($A277,SPPR!$A:$A,0),19),""),"")</f>
        <v/>
      </c>
      <c r="W277">
        <f>IFERROR(IF(ISNUMBER(INDEX(SPPR!$E:$Z,MATCH($A277,SPPR!$A:$A,0),20)),$C277*INDEX(SPPR!$E:$Z,MATCH($A277,SPPR!$A:$A,0),20),""),"")</f>
        <v/>
      </c>
      <c r="X277">
        <f>IFERROR(IF(ISNUMBER(INDEX(SPPR!$E:$Z,MATCH($A277,SPPR!$A:$A,0),21)),$C277*INDEX(SPPR!$E:$Z,MATCH($A277,SPPR!$A:$A,0),21),""),"")</f>
        <v/>
      </c>
      <c r="Y277">
        <f>IFERROR(IF(ISNUMBER(INDEX(SPPR!$E:$Z,MATCH($A277,SPPR!$A:$A,0),22)),$C277*INDEX(SPPR!$E:$Z,MATCH($A277,SPPR!$A:$A,0),22),""),"")</f>
        <v/>
      </c>
    </row>
    <row r="278">
      <c r="A278" t="inlineStr">
        <is>
          <t>Hyporhamphus</t>
        </is>
      </c>
      <c r="B278">
        <f>IFERROR(INDEX(SPPR!$D:$D,MATCH($A278,SPPR!$A:$A,0)),"")</f>
        <v/>
      </c>
      <c r="C278">
        <f>IFERROR(INDEX(Catch!$E:$BV,MATCH($A278,Catch!$A:$A,0),MATCH($B$4,Catch!$E$1:$BV$1,0)),0)</f>
        <v/>
      </c>
      <c r="D278">
        <f>IFERROR(IF(ISNUMBER(INDEX(SPPR!$E:$Z,MATCH($A278,SPPR!$A:$A,0),1)),$C278*INDEX(SPPR!$E:$Z,MATCH($A278,SPPR!$A:$A,0),1),""),"")</f>
        <v/>
      </c>
      <c r="E278">
        <f>IFERROR(IF(ISNUMBER(INDEX(SPPR!$E:$Z,MATCH($A278,SPPR!$A:$A,0),2)),$C278*INDEX(SPPR!$E:$Z,MATCH($A278,SPPR!$A:$A,0),2),""),"")</f>
        <v/>
      </c>
      <c r="F278">
        <f>IFERROR(IF(ISNUMBER(INDEX(SPPR!$E:$Z,MATCH($A278,SPPR!$A:$A,0),3)),$C278*INDEX(SPPR!$E:$Z,MATCH($A278,SPPR!$A:$A,0),3),""),"")</f>
        <v/>
      </c>
      <c r="G278">
        <f>IFERROR(IF(ISNUMBER(INDEX(SPPR!$E:$Z,MATCH($A278,SPPR!$A:$A,0),4)),$C278*INDEX(SPPR!$E:$Z,MATCH($A278,SPPR!$A:$A,0),4),""),"")</f>
        <v/>
      </c>
      <c r="H278">
        <f>IFERROR(IF(ISNUMBER(INDEX(SPPR!$E:$Z,MATCH($A278,SPPR!$A:$A,0),5)),$C278*INDEX(SPPR!$E:$Z,MATCH($A278,SPPR!$A:$A,0),5),""),"")</f>
        <v/>
      </c>
      <c r="I278">
        <f>IFERROR(IF(ISNUMBER(INDEX(SPPR!$E:$Z,MATCH($A278,SPPR!$A:$A,0),6)),$C278*INDEX(SPPR!$E:$Z,MATCH($A278,SPPR!$A:$A,0),6),""),"")</f>
        <v/>
      </c>
      <c r="J278">
        <f>IFERROR(IF(ISNUMBER(INDEX(SPPR!$E:$Z,MATCH($A278,SPPR!$A:$A,0),7)),$C278*INDEX(SPPR!$E:$Z,MATCH($A278,SPPR!$A:$A,0),7),""),"")</f>
        <v/>
      </c>
      <c r="K278">
        <f>IFERROR(IF(ISNUMBER(INDEX(SPPR!$E:$Z,MATCH($A278,SPPR!$A:$A,0),8)),$C278*INDEX(SPPR!$E:$Z,MATCH($A278,SPPR!$A:$A,0),8),""),"")</f>
        <v/>
      </c>
      <c r="L278">
        <f>IFERROR(IF(ISNUMBER(INDEX(SPPR!$E:$Z,MATCH($A278,SPPR!$A:$A,0),9)),$C278*INDEX(SPPR!$E:$Z,MATCH($A278,SPPR!$A:$A,0),9),""),"")</f>
        <v/>
      </c>
      <c r="M278">
        <f>IFERROR(IF(ISNUMBER(INDEX(SPPR!$E:$Z,MATCH($A278,SPPR!$A:$A,0),10)),$C278*INDEX(SPPR!$E:$Z,MATCH($A278,SPPR!$A:$A,0),10),""),"")</f>
        <v/>
      </c>
      <c r="N278">
        <f>IFERROR(IF(ISNUMBER(INDEX(SPPR!$E:$Z,MATCH($A278,SPPR!$A:$A,0),11)),$C278*INDEX(SPPR!$E:$Z,MATCH($A278,SPPR!$A:$A,0),11),""),"")</f>
        <v/>
      </c>
      <c r="O278">
        <f>IFERROR(IF(ISNUMBER(INDEX(SPPR!$E:$Z,MATCH($A278,SPPR!$A:$A,0),12)),$C278*INDEX(SPPR!$E:$Z,MATCH($A278,SPPR!$A:$A,0),12),""),"")</f>
        <v/>
      </c>
      <c r="P278">
        <f>IFERROR(IF(ISNUMBER(INDEX(SPPR!$E:$Z,MATCH($A278,SPPR!$A:$A,0),13)),$C278*INDEX(SPPR!$E:$Z,MATCH($A278,SPPR!$A:$A,0),13),""),"")</f>
        <v/>
      </c>
      <c r="Q278">
        <f>IFERROR(IF(ISNUMBER(INDEX(SPPR!$E:$Z,MATCH($A278,SPPR!$A:$A,0),14)),$C278*INDEX(SPPR!$E:$Z,MATCH($A278,SPPR!$A:$A,0),14),""),"")</f>
        <v/>
      </c>
      <c r="R278">
        <f>IFERROR(IF(ISNUMBER(INDEX(SPPR!$E:$Z,MATCH($A278,SPPR!$A:$A,0),15)),$C278*INDEX(SPPR!$E:$Z,MATCH($A278,SPPR!$A:$A,0),15),""),"")</f>
        <v/>
      </c>
      <c r="S278">
        <f>IFERROR(IF(ISNUMBER(INDEX(SPPR!$E:$Z,MATCH($A278,SPPR!$A:$A,0),16)),$C278*INDEX(SPPR!$E:$Z,MATCH($A278,SPPR!$A:$A,0),16),""),"")</f>
        <v/>
      </c>
      <c r="T278">
        <f>IFERROR(IF(ISNUMBER(INDEX(SPPR!$E:$Z,MATCH($A278,SPPR!$A:$A,0),17)),$C278*INDEX(SPPR!$E:$Z,MATCH($A278,SPPR!$A:$A,0),17),""),"")</f>
        <v/>
      </c>
      <c r="U278">
        <f>IFERROR(IF(ISNUMBER(INDEX(SPPR!$E:$Z,MATCH($A278,SPPR!$A:$A,0),18)),$C278*INDEX(SPPR!$E:$Z,MATCH($A278,SPPR!$A:$A,0),18),""),"")</f>
        <v/>
      </c>
      <c r="V278">
        <f>IFERROR(IF(ISNUMBER(INDEX(SPPR!$E:$Z,MATCH($A278,SPPR!$A:$A,0),19)),$C278*INDEX(SPPR!$E:$Z,MATCH($A278,SPPR!$A:$A,0),19),""),"")</f>
        <v/>
      </c>
      <c r="W278">
        <f>IFERROR(IF(ISNUMBER(INDEX(SPPR!$E:$Z,MATCH($A278,SPPR!$A:$A,0),20)),$C278*INDEX(SPPR!$E:$Z,MATCH($A278,SPPR!$A:$A,0),20),""),"")</f>
        <v/>
      </c>
      <c r="X278">
        <f>IFERROR(IF(ISNUMBER(INDEX(SPPR!$E:$Z,MATCH($A278,SPPR!$A:$A,0),21)),$C278*INDEX(SPPR!$E:$Z,MATCH($A278,SPPR!$A:$A,0),21),""),"")</f>
        <v/>
      </c>
      <c r="Y278">
        <f>IFERROR(IF(ISNUMBER(INDEX(SPPR!$E:$Z,MATCH($A278,SPPR!$A:$A,0),22)),$C278*INDEX(SPPR!$E:$Z,MATCH($A278,SPPR!$A:$A,0),22),""),"")</f>
        <v/>
      </c>
    </row>
    <row r="279">
      <c r="A279" t="inlineStr">
        <is>
          <t>Lethrinus</t>
        </is>
      </c>
      <c r="B279">
        <f>IFERROR(INDEX(SPPR!$D:$D,MATCH($A279,SPPR!$A:$A,0)),"")</f>
        <v/>
      </c>
      <c r="C279">
        <f>IFERROR(INDEX(Catch!$E:$BV,MATCH($A279,Catch!$A:$A,0),MATCH($B$4,Catch!$E$1:$BV$1,0)),0)</f>
        <v/>
      </c>
      <c r="D279">
        <f>IFERROR(IF(ISNUMBER(INDEX(SPPR!$E:$Z,MATCH($A279,SPPR!$A:$A,0),1)),$C279*INDEX(SPPR!$E:$Z,MATCH($A279,SPPR!$A:$A,0),1),""),"")</f>
        <v/>
      </c>
      <c r="E279">
        <f>IFERROR(IF(ISNUMBER(INDEX(SPPR!$E:$Z,MATCH($A279,SPPR!$A:$A,0),2)),$C279*INDEX(SPPR!$E:$Z,MATCH($A279,SPPR!$A:$A,0),2),""),"")</f>
        <v/>
      </c>
      <c r="F279">
        <f>IFERROR(IF(ISNUMBER(INDEX(SPPR!$E:$Z,MATCH($A279,SPPR!$A:$A,0),3)),$C279*INDEX(SPPR!$E:$Z,MATCH($A279,SPPR!$A:$A,0),3),""),"")</f>
        <v/>
      </c>
      <c r="G279">
        <f>IFERROR(IF(ISNUMBER(INDEX(SPPR!$E:$Z,MATCH($A279,SPPR!$A:$A,0),4)),$C279*INDEX(SPPR!$E:$Z,MATCH($A279,SPPR!$A:$A,0),4),""),"")</f>
        <v/>
      </c>
      <c r="H279">
        <f>IFERROR(IF(ISNUMBER(INDEX(SPPR!$E:$Z,MATCH($A279,SPPR!$A:$A,0),5)),$C279*INDEX(SPPR!$E:$Z,MATCH($A279,SPPR!$A:$A,0),5),""),"")</f>
        <v/>
      </c>
      <c r="I279">
        <f>IFERROR(IF(ISNUMBER(INDEX(SPPR!$E:$Z,MATCH($A279,SPPR!$A:$A,0),6)),$C279*INDEX(SPPR!$E:$Z,MATCH($A279,SPPR!$A:$A,0),6),""),"")</f>
        <v/>
      </c>
      <c r="J279">
        <f>IFERROR(IF(ISNUMBER(INDEX(SPPR!$E:$Z,MATCH($A279,SPPR!$A:$A,0),7)),$C279*INDEX(SPPR!$E:$Z,MATCH($A279,SPPR!$A:$A,0),7),""),"")</f>
        <v/>
      </c>
      <c r="K279">
        <f>IFERROR(IF(ISNUMBER(INDEX(SPPR!$E:$Z,MATCH($A279,SPPR!$A:$A,0),8)),$C279*INDEX(SPPR!$E:$Z,MATCH($A279,SPPR!$A:$A,0),8),""),"")</f>
        <v/>
      </c>
      <c r="L279">
        <f>IFERROR(IF(ISNUMBER(INDEX(SPPR!$E:$Z,MATCH($A279,SPPR!$A:$A,0),9)),$C279*INDEX(SPPR!$E:$Z,MATCH($A279,SPPR!$A:$A,0),9),""),"")</f>
        <v/>
      </c>
      <c r="M279">
        <f>IFERROR(IF(ISNUMBER(INDEX(SPPR!$E:$Z,MATCH($A279,SPPR!$A:$A,0),10)),$C279*INDEX(SPPR!$E:$Z,MATCH($A279,SPPR!$A:$A,0),10),""),"")</f>
        <v/>
      </c>
      <c r="N279">
        <f>IFERROR(IF(ISNUMBER(INDEX(SPPR!$E:$Z,MATCH($A279,SPPR!$A:$A,0),11)),$C279*INDEX(SPPR!$E:$Z,MATCH($A279,SPPR!$A:$A,0),11),""),"")</f>
        <v/>
      </c>
      <c r="O279">
        <f>IFERROR(IF(ISNUMBER(INDEX(SPPR!$E:$Z,MATCH($A279,SPPR!$A:$A,0),12)),$C279*INDEX(SPPR!$E:$Z,MATCH($A279,SPPR!$A:$A,0),12),""),"")</f>
        <v/>
      </c>
      <c r="P279">
        <f>IFERROR(IF(ISNUMBER(INDEX(SPPR!$E:$Z,MATCH($A279,SPPR!$A:$A,0),13)),$C279*INDEX(SPPR!$E:$Z,MATCH($A279,SPPR!$A:$A,0),13),""),"")</f>
        <v/>
      </c>
      <c r="Q279">
        <f>IFERROR(IF(ISNUMBER(INDEX(SPPR!$E:$Z,MATCH($A279,SPPR!$A:$A,0),14)),$C279*INDEX(SPPR!$E:$Z,MATCH($A279,SPPR!$A:$A,0),14),""),"")</f>
        <v/>
      </c>
      <c r="R279">
        <f>IFERROR(IF(ISNUMBER(INDEX(SPPR!$E:$Z,MATCH($A279,SPPR!$A:$A,0),15)),$C279*INDEX(SPPR!$E:$Z,MATCH($A279,SPPR!$A:$A,0),15),""),"")</f>
        <v/>
      </c>
      <c r="S279">
        <f>IFERROR(IF(ISNUMBER(INDEX(SPPR!$E:$Z,MATCH($A279,SPPR!$A:$A,0),16)),$C279*INDEX(SPPR!$E:$Z,MATCH($A279,SPPR!$A:$A,0),16),""),"")</f>
        <v/>
      </c>
      <c r="T279">
        <f>IFERROR(IF(ISNUMBER(INDEX(SPPR!$E:$Z,MATCH($A279,SPPR!$A:$A,0),17)),$C279*INDEX(SPPR!$E:$Z,MATCH($A279,SPPR!$A:$A,0),17),""),"")</f>
        <v/>
      </c>
      <c r="U279">
        <f>IFERROR(IF(ISNUMBER(INDEX(SPPR!$E:$Z,MATCH($A279,SPPR!$A:$A,0),18)),$C279*INDEX(SPPR!$E:$Z,MATCH($A279,SPPR!$A:$A,0),18),""),"")</f>
        <v/>
      </c>
      <c r="V279">
        <f>IFERROR(IF(ISNUMBER(INDEX(SPPR!$E:$Z,MATCH($A279,SPPR!$A:$A,0),19)),$C279*INDEX(SPPR!$E:$Z,MATCH($A279,SPPR!$A:$A,0),19),""),"")</f>
        <v/>
      </c>
      <c r="W279">
        <f>IFERROR(IF(ISNUMBER(INDEX(SPPR!$E:$Z,MATCH($A279,SPPR!$A:$A,0),20)),$C279*INDEX(SPPR!$E:$Z,MATCH($A279,SPPR!$A:$A,0),20),""),"")</f>
        <v/>
      </c>
      <c r="X279">
        <f>IFERROR(IF(ISNUMBER(INDEX(SPPR!$E:$Z,MATCH($A279,SPPR!$A:$A,0),21)),$C279*INDEX(SPPR!$E:$Z,MATCH($A279,SPPR!$A:$A,0),21),""),"")</f>
        <v/>
      </c>
      <c r="Y279">
        <f>IFERROR(IF(ISNUMBER(INDEX(SPPR!$E:$Z,MATCH($A279,SPPR!$A:$A,0),22)),$C279*INDEX(SPPR!$E:$Z,MATCH($A279,SPPR!$A:$A,0),22),""),"")</f>
        <v/>
      </c>
    </row>
    <row r="280">
      <c r="A280" t="inlineStr">
        <is>
          <t>Sphyrna zygaena</t>
        </is>
      </c>
      <c r="B280">
        <f>IFERROR(INDEX(SPPR!$D:$D,MATCH($A280,SPPR!$A:$A,0)),"")</f>
        <v/>
      </c>
      <c r="C280">
        <f>IFERROR(INDEX(Catch!$E:$BV,MATCH($A280,Catch!$A:$A,0),MATCH($B$4,Catch!$E$1:$BV$1,0)),0)</f>
        <v/>
      </c>
      <c r="D280">
        <f>IFERROR(IF(ISNUMBER(INDEX(SPPR!$E:$Z,MATCH($A280,SPPR!$A:$A,0),1)),$C280*INDEX(SPPR!$E:$Z,MATCH($A280,SPPR!$A:$A,0),1),""),"")</f>
        <v/>
      </c>
      <c r="E280">
        <f>IFERROR(IF(ISNUMBER(INDEX(SPPR!$E:$Z,MATCH($A280,SPPR!$A:$A,0),2)),$C280*INDEX(SPPR!$E:$Z,MATCH($A280,SPPR!$A:$A,0),2),""),"")</f>
        <v/>
      </c>
      <c r="F280">
        <f>IFERROR(IF(ISNUMBER(INDEX(SPPR!$E:$Z,MATCH($A280,SPPR!$A:$A,0),3)),$C280*INDEX(SPPR!$E:$Z,MATCH($A280,SPPR!$A:$A,0),3),""),"")</f>
        <v/>
      </c>
      <c r="G280">
        <f>IFERROR(IF(ISNUMBER(INDEX(SPPR!$E:$Z,MATCH($A280,SPPR!$A:$A,0),4)),$C280*INDEX(SPPR!$E:$Z,MATCH($A280,SPPR!$A:$A,0),4),""),"")</f>
        <v/>
      </c>
      <c r="H280">
        <f>IFERROR(IF(ISNUMBER(INDEX(SPPR!$E:$Z,MATCH($A280,SPPR!$A:$A,0),5)),$C280*INDEX(SPPR!$E:$Z,MATCH($A280,SPPR!$A:$A,0),5),""),"")</f>
        <v/>
      </c>
      <c r="I280">
        <f>IFERROR(IF(ISNUMBER(INDEX(SPPR!$E:$Z,MATCH($A280,SPPR!$A:$A,0),6)),$C280*INDEX(SPPR!$E:$Z,MATCH($A280,SPPR!$A:$A,0),6),""),"")</f>
        <v/>
      </c>
      <c r="J280">
        <f>IFERROR(IF(ISNUMBER(INDEX(SPPR!$E:$Z,MATCH($A280,SPPR!$A:$A,0),7)),$C280*INDEX(SPPR!$E:$Z,MATCH($A280,SPPR!$A:$A,0),7),""),"")</f>
        <v/>
      </c>
      <c r="K280">
        <f>IFERROR(IF(ISNUMBER(INDEX(SPPR!$E:$Z,MATCH($A280,SPPR!$A:$A,0),8)),$C280*INDEX(SPPR!$E:$Z,MATCH($A280,SPPR!$A:$A,0),8),""),"")</f>
        <v/>
      </c>
      <c r="L280">
        <f>IFERROR(IF(ISNUMBER(INDEX(SPPR!$E:$Z,MATCH($A280,SPPR!$A:$A,0),9)),$C280*INDEX(SPPR!$E:$Z,MATCH($A280,SPPR!$A:$A,0),9),""),"")</f>
        <v/>
      </c>
      <c r="M280">
        <f>IFERROR(IF(ISNUMBER(INDEX(SPPR!$E:$Z,MATCH($A280,SPPR!$A:$A,0),10)),$C280*INDEX(SPPR!$E:$Z,MATCH($A280,SPPR!$A:$A,0),10),""),"")</f>
        <v/>
      </c>
      <c r="N280">
        <f>IFERROR(IF(ISNUMBER(INDEX(SPPR!$E:$Z,MATCH($A280,SPPR!$A:$A,0),11)),$C280*INDEX(SPPR!$E:$Z,MATCH($A280,SPPR!$A:$A,0),11),""),"")</f>
        <v/>
      </c>
      <c r="O280">
        <f>IFERROR(IF(ISNUMBER(INDEX(SPPR!$E:$Z,MATCH($A280,SPPR!$A:$A,0),12)),$C280*INDEX(SPPR!$E:$Z,MATCH($A280,SPPR!$A:$A,0),12),""),"")</f>
        <v/>
      </c>
      <c r="P280">
        <f>IFERROR(IF(ISNUMBER(INDEX(SPPR!$E:$Z,MATCH($A280,SPPR!$A:$A,0),13)),$C280*INDEX(SPPR!$E:$Z,MATCH($A280,SPPR!$A:$A,0),13),""),"")</f>
        <v/>
      </c>
      <c r="Q280">
        <f>IFERROR(IF(ISNUMBER(INDEX(SPPR!$E:$Z,MATCH($A280,SPPR!$A:$A,0),14)),$C280*INDEX(SPPR!$E:$Z,MATCH($A280,SPPR!$A:$A,0),14),""),"")</f>
        <v/>
      </c>
      <c r="R280">
        <f>IFERROR(IF(ISNUMBER(INDEX(SPPR!$E:$Z,MATCH($A280,SPPR!$A:$A,0),15)),$C280*INDEX(SPPR!$E:$Z,MATCH($A280,SPPR!$A:$A,0),15),""),"")</f>
        <v/>
      </c>
      <c r="S280">
        <f>IFERROR(IF(ISNUMBER(INDEX(SPPR!$E:$Z,MATCH($A280,SPPR!$A:$A,0),16)),$C280*INDEX(SPPR!$E:$Z,MATCH($A280,SPPR!$A:$A,0),16),""),"")</f>
        <v/>
      </c>
      <c r="T280">
        <f>IFERROR(IF(ISNUMBER(INDEX(SPPR!$E:$Z,MATCH($A280,SPPR!$A:$A,0),17)),$C280*INDEX(SPPR!$E:$Z,MATCH($A280,SPPR!$A:$A,0),17),""),"")</f>
        <v/>
      </c>
      <c r="U280">
        <f>IFERROR(IF(ISNUMBER(INDEX(SPPR!$E:$Z,MATCH($A280,SPPR!$A:$A,0),18)),$C280*INDEX(SPPR!$E:$Z,MATCH($A280,SPPR!$A:$A,0),18),""),"")</f>
        <v/>
      </c>
      <c r="V280">
        <f>IFERROR(IF(ISNUMBER(INDEX(SPPR!$E:$Z,MATCH($A280,SPPR!$A:$A,0),19)),$C280*INDEX(SPPR!$E:$Z,MATCH($A280,SPPR!$A:$A,0),19),""),"")</f>
        <v/>
      </c>
      <c r="W280">
        <f>IFERROR(IF(ISNUMBER(INDEX(SPPR!$E:$Z,MATCH($A280,SPPR!$A:$A,0),20)),$C280*INDEX(SPPR!$E:$Z,MATCH($A280,SPPR!$A:$A,0),20),""),"")</f>
        <v/>
      </c>
      <c r="X280">
        <f>IFERROR(IF(ISNUMBER(INDEX(SPPR!$E:$Z,MATCH($A280,SPPR!$A:$A,0),21)),$C280*INDEX(SPPR!$E:$Z,MATCH($A280,SPPR!$A:$A,0),21),""),"")</f>
        <v/>
      </c>
      <c r="Y280">
        <f>IFERROR(IF(ISNUMBER(INDEX(SPPR!$E:$Z,MATCH($A280,SPPR!$A:$A,0),22)),$C280*INDEX(SPPR!$E:$Z,MATCH($A280,SPPR!$A:$A,0),22),""),"")</f>
        <v/>
      </c>
    </row>
    <row r="281">
      <c r="A281" t="inlineStr">
        <is>
          <t>Sphyrna lewini</t>
        </is>
      </c>
      <c r="B281">
        <f>IFERROR(INDEX(SPPR!$D:$D,MATCH($A281,SPPR!$A:$A,0)),"")</f>
        <v/>
      </c>
      <c r="C281">
        <f>IFERROR(INDEX(Catch!$E:$BV,MATCH($A281,Catch!$A:$A,0),MATCH($B$4,Catch!$E$1:$BV$1,0)),0)</f>
        <v/>
      </c>
      <c r="D281">
        <f>IFERROR(IF(ISNUMBER(INDEX(SPPR!$E:$Z,MATCH($A281,SPPR!$A:$A,0),1)),$C281*INDEX(SPPR!$E:$Z,MATCH($A281,SPPR!$A:$A,0),1),""),"")</f>
        <v/>
      </c>
      <c r="E281">
        <f>IFERROR(IF(ISNUMBER(INDEX(SPPR!$E:$Z,MATCH($A281,SPPR!$A:$A,0),2)),$C281*INDEX(SPPR!$E:$Z,MATCH($A281,SPPR!$A:$A,0),2),""),"")</f>
        <v/>
      </c>
      <c r="F281">
        <f>IFERROR(IF(ISNUMBER(INDEX(SPPR!$E:$Z,MATCH($A281,SPPR!$A:$A,0),3)),$C281*INDEX(SPPR!$E:$Z,MATCH($A281,SPPR!$A:$A,0),3),""),"")</f>
        <v/>
      </c>
      <c r="G281">
        <f>IFERROR(IF(ISNUMBER(INDEX(SPPR!$E:$Z,MATCH($A281,SPPR!$A:$A,0),4)),$C281*INDEX(SPPR!$E:$Z,MATCH($A281,SPPR!$A:$A,0),4),""),"")</f>
        <v/>
      </c>
      <c r="H281">
        <f>IFERROR(IF(ISNUMBER(INDEX(SPPR!$E:$Z,MATCH($A281,SPPR!$A:$A,0),5)),$C281*INDEX(SPPR!$E:$Z,MATCH($A281,SPPR!$A:$A,0),5),""),"")</f>
        <v/>
      </c>
      <c r="I281">
        <f>IFERROR(IF(ISNUMBER(INDEX(SPPR!$E:$Z,MATCH($A281,SPPR!$A:$A,0),6)),$C281*INDEX(SPPR!$E:$Z,MATCH($A281,SPPR!$A:$A,0),6),""),"")</f>
        <v/>
      </c>
      <c r="J281">
        <f>IFERROR(IF(ISNUMBER(INDEX(SPPR!$E:$Z,MATCH($A281,SPPR!$A:$A,0),7)),$C281*INDEX(SPPR!$E:$Z,MATCH($A281,SPPR!$A:$A,0),7),""),"")</f>
        <v/>
      </c>
      <c r="K281">
        <f>IFERROR(IF(ISNUMBER(INDEX(SPPR!$E:$Z,MATCH($A281,SPPR!$A:$A,0),8)),$C281*INDEX(SPPR!$E:$Z,MATCH($A281,SPPR!$A:$A,0),8),""),"")</f>
        <v/>
      </c>
      <c r="L281">
        <f>IFERROR(IF(ISNUMBER(INDEX(SPPR!$E:$Z,MATCH($A281,SPPR!$A:$A,0),9)),$C281*INDEX(SPPR!$E:$Z,MATCH($A281,SPPR!$A:$A,0),9),""),"")</f>
        <v/>
      </c>
      <c r="M281">
        <f>IFERROR(IF(ISNUMBER(INDEX(SPPR!$E:$Z,MATCH($A281,SPPR!$A:$A,0),10)),$C281*INDEX(SPPR!$E:$Z,MATCH($A281,SPPR!$A:$A,0),10),""),"")</f>
        <v/>
      </c>
      <c r="N281">
        <f>IFERROR(IF(ISNUMBER(INDEX(SPPR!$E:$Z,MATCH($A281,SPPR!$A:$A,0),11)),$C281*INDEX(SPPR!$E:$Z,MATCH($A281,SPPR!$A:$A,0),11),""),"")</f>
        <v/>
      </c>
      <c r="O281">
        <f>IFERROR(IF(ISNUMBER(INDEX(SPPR!$E:$Z,MATCH($A281,SPPR!$A:$A,0),12)),$C281*INDEX(SPPR!$E:$Z,MATCH($A281,SPPR!$A:$A,0),12),""),"")</f>
        <v/>
      </c>
      <c r="P281">
        <f>IFERROR(IF(ISNUMBER(INDEX(SPPR!$E:$Z,MATCH($A281,SPPR!$A:$A,0),13)),$C281*INDEX(SPPR!$E:$Z,MATCH($A281,SPPR!$A:$A,0),13),""),"")</f>
        <v/>
      </c>
      <c r="Q281">
        <f>IFERROR(IF(ISNUMBER(INDEX(SPPR!$E:$Z,MATCH($A281,SPPR!$A:$A,0),14)),$C281*INDEX(SPPR!$E:$Z,MATCH($A281,SPPR!$A:$A,0),14),""),"")</f>
        <v/>
      </c>
      <c r="R281">
        <f>IFERROR(IF(ISNUMBER(INDEX(SPPR!$E:$Z,MATCH($A281,SPPR!$A:$A,0),15)),$C281*INDEX(SPPR!$E:$Z,MATCH($A281,SPPR!$A:$A,0),15),""),"")</f>
        <v/>
      </c>
      <c r="S281">
        <f>IFERROR(IF(ISNUMBER(INDEX(SPPR!$E:$Z,MATCH($A281,SPPR!$A:$A,0),16)),$C281*INDEX(SPPR!$E:$Z,MATCH($A281,SPPR!$A:$A,0),16),""),"")</f>
        <v/>
      </c>
      <c r="T281">
        <f>IFERROR(IF(ISNUMBER(INDEX(SPPR!$E:$Z,MATCH($A281,SPPR!$A:$A,0),17)),$C281*INDEX(SPPR!$E:$Z,MATCH($A281,SPPR!$A:$A,0),17),""),"")</f>
        <v/>
      </c>
      <c r="U281">
        <f>IFERROR(IF(ISNUMBER(INDEX(SPPR!$E:$Z,MATCH($A281,SPPR!$A:$A,0),18)),$C281*INDEX(SPPR!$E:$Z,MATCH($A281,SPPR!$A:$A,0),18),""),"")</f>
        <v/>
      </c>
      <c r="V281">
        <f>IFERROR(IF(ISNUMBER(INDEX(SPPR!$E:$Z,MATCH($A281,SPPR!$A:$A,0),19)),$C281*INDEX(SPPR!$E:$Z,MATCH($A281,SPPR!$A:$A,0),19),""),"")</f>
        <v/>
      </c>
      <c r="W281">
        <f>IFERROR(IF(ISNUMBER(INDEX(SPPR!$E:$Z,MATCH($A281,SPPR!$A:$A,0),20)),$C281*INDEX(SPPR!$E:$Z,MATCH($A281,SPPR!$A:$A,0),20),""),"")</f>
        <v/>
      </c>
      <c r="X281">
        <f>IFERROR(IF(ISNUMBER(INDEX(SPPR!$E:$Z,MATCH($A281,SPPR!$A:$A,0),21)),$C281*INDEX(SPPR!$E:$Z,MATCH($A281,SPPR!$A:$A,0),21),""),"")</f>
        <v/>
      </c>
      <c r="Y281">
        <f>IFERROR(IF(ISNUMBER(INDEX(SPPR!$E:$Z,MATCH($A281,SPPR!$A:$A,0),22)),$C281*INDEX(SPPR!$E:$Z,MATCH($A281,SPPR!$A:$A,0),22),""),"")</f>
        <v/>
      </c>
    </row>
    <row r="282">
      <c r="A282" t="inlineStr">
        <is>
          <t>Sphyrna mokarran</t>
        </is>
      </c>
      <c r="B282">
        <f>IFERROR(INDEX(SPPR!$D:$D,MATCH($A282,SPPR!$A:$A,0)),"")</f>
        <v/>
      </c>
      <c r="C282">
        <f>IFERROR(INDEX(Catch!$E:$BV,MATCH($A282,Catch!$A:$A,0),MATCH($B$4,Catch!$E$1:$BV$1,0)),0)</f>
        <v/>
      </c>
      <c r="D282">
        <f>IFERROR(IF(ISNUMBER(INDEX(SPPR!$E:$Z,MATCH($A282,SPPR!$A:$A,0),1)),$C282*INDEX(SPPR!$E:$Z,MATCH($A282,SPPR!$A:$A,0),1),""),"")</f>
        <v/>
      </c>
      <c r="E282">
        <f>IFERROR(IF(ISNUMBER(INDEX(SPPR!$E:$Z,MATCH($A282,SPPR!$A:$A,0),2)),$C282*INDEX(SPPR!$E:$Z,MATCH($A282,SPPR!$A:$A,0),2),""),"")</f>
        <v/>
      </c>
      <c r="F282">
        <f>IFERROR(IF(ISNUMBER(INDEX(SPPR!$E:$Z,MATCH($A282,SPPR!$A:$A,0),3)),$C282*INDEX(SPPR!$E:$Z,MATCH($A282,SPPR!$A:$A,0),3),""),"")</f>
        <v/>
      </c>
      <c r="G282">
        <f>IFERROR(IF(ISNUMBER(INDEX(SPPR!$E:$Z,MATCH($A282,SPPR!$A:$A,0),4)),$C282*INDEX(SPPR!$E:$Z,MATCH($A282,SPPR!$A:$A,0),4),""),"")</f>
        <v/>
      </c>
      <c r="H282">
        <f>IFERROR(IF(ISNUMBER(INDEX(SPPR!$E:$Z,MATCH($A282,SPPR!$A:$A,0),5)),$C282*INDEX(SPPR!$E:$Z,MATCH($A282,SPPR!$A:$A,0),5),""),"")</f>
        <v/>
      </c>
      <c r="I282">
        <f>IFERROR(IF(ISNUMBER(INDEX(SPPR!$E:$Z,MATCH($A282,SPPR!$A:$A,0),6)),$C282*INDEX(SPPR!$E:$Z,MATCH($A282,SPPR!$A:$A,0),6),""),"")</f>
        <v/>
      </c>
      <c r="J282">
        <f>IFERROR(IF(ISNUMBER(INDEX(SPPR!$E:$Z,MATCH($A282,SPPR!$A:$A,0),7)),$C282*INDEX(SPPR!$E:$Z,MATCH($A282,SPPR!$A:$A,0),7),""),"")</f>
        <v/>
      </c>
      <c r="K282">
        <f>IFERROR(IF(ISNUMBER(INDEX(SPPR!$E:$Z,MATCH($A282,SPPR!$A:$A,0),8)),$C282*INDEX(SPPR!$E:$Z,MATCH($A282,SPPR!$A:$A,0),8),""),"")</f>
        <v/>
      </c>
      <c r="L282">
        <f>IFERROR(IF(ISNUMBER(INDEX(SPPR!$E:$Z,MATCH($A282,SPPR!$A:$A,0),9)),$C282*INDEX(SPPR!$E:$Z,MATCH($A282,SPPR!$A:$A,0),9),""),"")</f>
        <v/>
      </c>
      <c r="M282">
        <f>IFERROR(IF(ISNUMBER(INDEX(SPPR!$E:$Z,MATCH($A282,SPPR!$A:$A,0),10)),$C282*INDEX(SPPR!$E:$Z,MATCH($A282,SPPR!$A:$A,0),10),""),"")</f>
        <v/>
      </c>
      <c r="N282">
        <f>IFERROR(IF(ISNUMBER(INDEX(SPPR!$E:$Z,MATCH($A282,SPPR!$A:$A,0),11)),$C282*INDEX(SPPR!$E:$Z,MATCH($A282,SPPR!$A:$A,0),11),""),"")</f>
        <v/>
      </c>
      <c r="O282">
        <f>IFERROR(IF(ISNUMBER(INDEX(SPPR!$E:$Z,MATCH($A282,SPPR!$A:$A,0),12)),$C282*INDEX(SPPR!$E:$Z,MATCH($A282,SPPR!$A:$A,0),12),""),"")</f>
        <v/>
      </c>
      <c r="P282">
        <f>IFERROR(IF(ISNUMBER(INDEX(SPPR!$E:$Z,MATCH($A282,SPPR!$A:$A,0),13)),$C282*INDEX(SPPR!$E:$Z,MATCH($A282,SPPR!$A:$A,0),13),""),"")</f>
        <v/>
      </c>
      <c r="Q282">
        <f>IFERROR(IF(ISNUMBER(INDEX(SPPR!$E:$Z,MATCH($A282,SPPR!$A:$A,0),14)),$C282*INDEX(SPPR!$E:$Z,MATCH($A282,SPPR!$A:$A,0),14),""),"")</f>
        <v/>
      </c>
      <c r="R282">
        <f>IFERROR(IF(ISNUMBER(INDEX(SPPR!$E:$Z,MATCH($A282,SPPR!$A:$A,0),15)),$C282*INDEX(SPPR!$E:$Z,MATCH($A282,SPPR!$A:$A,0),15),""),"")</f>
        <v/>
      </c>
      <c r="S282">
        <f>IFERROR(IF(ISNUMBER(INDEX(SPPR!$E:$Z,MATCH($A282,SPPR!$A:$A,0),16)),$C282*INDEX(SPPR!$E:$Z,MATCH($A282,SPPR!$A:$A,0),16),""),"")</f>
        <v/>
      </c>
      <c r="T282">
        <f>IFERROR(IF(ISNUMBER(INDEX(SPPR!$E:$Z,MATCH($A282,SPPR!$A:$A,0),17)),$C282*INDEX(SPPR!$E:$Z,MATCH($A282,SPPR!$A:$A,0),17),""),"")</f>
        <v/>
      </c>
      <c r="U282">
        <f>IFERROR(IF(ISNUMBER(INDEX(SPPR!$E:$Z,MATCH($A282,SPPR!$A:$A,0),18)),$C282*INDEX(SPPR!$E:$Z,MATCH($A282,SPPR!$A:$A,0),18),""),"")</f>
        <v/>
      </c>
      <c r="V282">
        <f>IFERROR(IF(ISNUMBER(INDEX(SPPR!$E:$Z,MATCH($A282,SPPR!$A:$A,0),19)),$C282*INDEX(SPPR!$E:$Z,MATCH($A282,SPPR!$A:$A,0),19),""),"")</f>
        <v/>
      </c>
      <c r="W282">
        <f>IFERROR(IF(ISNUMBER(INDEX(SPPR!$E:$Z,MATCH($A282,SPPR!$A:$A,0),20)),$C282*INDEX(SPPR!$E:$Z,MATCH($A282,SPPR!$A:$A,0),20),""),"")</f>
        <v/>
      </c>
      <c r="X282">
        <f>IFERROR(IF(ISNUMBER(INDEX(SPPR!$E:$Z,MATCH($A282,SPPR!$A:$A,0),21)),$C282*INDEX(SPPR!$E:$Z,MATCH($A282,SPPR!$A:$A,0),21),""),"")</f>
        <v/>
      </c>
      <c r="Y282">
        <f>IFERROR(IF(ISNUMBER(INDEX(SPPR!$E:$Z,MATCH($A282,SPPR!$A:$A,0),22)),$C282*INDEX(SPPR!$E:$Z,MATCH($A282,SPPR!$A:$A,0),22),""),"")</f>
        <v/>
      </c>
    </row>
    <row r="283">
      <c r="A283" t="inlineStr">
        <is>
          <t>Acanthurus</t>
        </is>
      </c>
      <c r="B283">
        <f>IFERROR(INDEX(SPPR!$D:$D,MATCH($A283,SPPR!$A:$A,0)),"")</f>
        <v/>
      </c>
      <c r="C283">
        <f>IFERROR(INDEX(Catch!$E:$BV,MATCH($A283,Catch!$A:$A,0),MATCH($B$4,Catch!$E$1:$BV$1,0)),0)</f>
        <v/>
      </c>
      <c r="D283">
        <f>IFERROR(IF(ISNUMBER(INDEX(SPPR!$E:$Z,MATCH($A283,SPPR!$A:$A,0),1)),$C283*INDEX(SPPR!$E:$Z,MATCH($A283,SPPR!$A:$A,0),1),""),"")</f>
        <v/>
      </c>
      <c r="E283">
        <f>IFERROR(IF(ISNUMBER(INDEX(SPPR!$E:$Z,MATCH($A283,SPPR!$A:$A,0),2)),$C283*INDEX(SPPR!$E:$Z,MATCH($A283,SPPR!$A:$A,0),2),""),"")</f>
        <v/>
      </c>
      <c r="F283">
        <f>IFERROR(IF(ISNUMBER(INDEX(SPPR!$E:$Z,MATCH($A283,SPPR!$A:$A,0),3)),$C283*INDEX(SPPR!$E:$Z,MATCH($A283,SPPR!$A:$A,0),3),""),"")</f>
        <v/>
      </c>
      <c r="G283">
        <f>IFERROR(IF(ISNUMBER(INDEX(SPPR!$E:$Z,MATCH($A283,SPPR!$A:$A,0),4)),$C283*INDEX(SPPR!$E:$Z,MATCH($A283,SPPR!$A:$A,0),4),""),"")</f>
        <v/>
      </c>
      <c r="H283">
        <f>IFERROR(IF(ISNUMBER(INDEX(SPPR!$E:$Z,MATCH($A283,SPPR!$A:$A,0),5)),$C283*INDEX(SPPR!$E:$Z,MATCH($A283,SPPR!$A:$A,0),5),""),"")</f>
        <v/>
      </c>
      <c r="I283">
        <f>IFERROR(IF(ISNUMBER(INDEX(SPPR!$E:$Z,MATCH($A283,SPPR!$A:$A,0),6)),$C283*INDEX(SPPR!$E:$Z,MATCH($A283,SPPR!$A:$A,0),6),""),"")</f>
        <v/>
      </c>
      <c r="J283">
        <f>IFERROR(IF(ISNUMBER(INDEX(SPPR!$E:$Z,MATCH($A283,SPPR!$A:$A,0),7)),$C283*INDEX(SPPR!$E:$Z,MATCH($A283,SPPR!$A:$A,0),7),""),"")</f>
        <v/>
      </c>
      <c r="K283">
        <f>IFERROR(IF(ISNUMBER(INDEX(SPPR!$E:$Z,MATCH($A283,SPPR!$A:$A,0),8)),$C283*INDEX(SPPR!$E:$Z,MATCH($A283,SPPR!$A:$A,0),8),""),"")</f>
        <v/>
      </c>
      <c r="L283">
        <f>IFERROR(IF(ISNUMBER(INDEX(SPPR!$E:$Z,MATCH($A283,SPPR!$A:$A,0),9)),$C283*INDEX(SPPR!$E:$Z,MATCH($A283,SPPR!$A:$A,0),9),""),"")</f>
        <v/>
      </c>
      <c r="M283">
        <f>IFERROR(IF(ISNUMBER(INDEX(SPPR!$E:$Z,MATCH($A283,SPPR!$A:$A,0),10)),$C283*INDEX(SPPR!$E:$Z,MATCH($A283,SPPR!$A:$A,0),10),""),"")</f>
        <v/>
      </c>
      <c r="N283">
        <f>IFERROR(IF(ISNUMBER(INDEX(SPPR!$E:$Z,MATCH($A283,SPPR!$A:$A,0),11)),$C283*INDEX(SPPR!$E:$Z,MATCH($A283,SPPR!$A:$A,0),11),""),"")</f>
        <v/>
      </c>
      <c r="O283">
        <f>IFERROR(IF(ISNUMBER(INDEX(SPPR!$E:$Z,MATCH($A283,SPPR!$A:$A,0),12)),$C283*INDEX(SPPR!$E:$Z,MATCH($A283,SPPR!$A:$A,0),12),""),"")</f>
        <v/>
      </c>
      <c r="P283">
        <f>IFERROR(IF(ISNUMBER(INDEX(SPPR!$E:$Z,MATCH($A283,SPPR!$A:$A,0),13)),$C283*INDEX(SPPR!$E:$Z,MATCH($A283,SPPR!$A:$A,0),13),""),"")</f>
        <v/>
      </c>
      <c r="Q283">
        <f>IFERROR(IF(ISNUMBER(INDEX(SPPR!$E:$Z,MATCH($A283,SPPR!$A:$A,0),14)),$C283*INDEX(SPPR!$E:$Z,MATCH($A283,SPPR!$A:$A,0),14),""),"")</f>
        <v/>
      </c>
      <c r="R283">
        <f>IFERROR(IF(ISNUMBER(INDEX(SPPR!$E:$Z,MATCH($A283,SPPR!$A:$A,0),15)),$C283*INDEX(SPPR!$E:$Z,MATCH($A283,SPPR!$A:$A,0),15),""),"")</f>
        <v/>
      </c>
      <c r="S283">
        <f>IFERROR(IF(ISNUMBER(INDEX(SPPR!$E:$Z,MATCH($A283,SPPR!$A:$A,0),16)),$C283*INDEX(SPPR!$E:$Z,MATCH($A283,SPPR!$A:$A,0),16),""),"")</f>
        <v/>
      </c>
      <c r="T283">
        <f>IFERROR(IF(ISNUMBER(INDEX(SPPR!$E:$Z,MATCH($A283,SPPR!$A:$A,0),17)),$C283*INDEX(SPPR!$E:$Z,MATCH($A283,SPPR!$A:$A,0),17),""),"")</f>
        <v/>
      </c>
      <c r="U283">
        <f>IFERROR(IF(ISNUMBER(INDEX(SPPR!$E:$Z,MATCH($A283,SPPR!$A:$A,0),18)),$C283*INDEX(SPPR!$E:$Z,MATCH($A283,SPPR!$A:$A,0),18),""),"")</f>
        <v/>
      </c>
      <c r="V283">
        <f>IFERROR(IF(ISNUMBER(INDEX(SPPR!$E:$Z,MATCH($A283,SPPR!$A:$A,0),19)),$C283*INDEX(SPPR!$E:$Z,MATCH($A283,SPPR!$A:$A,0),19),""),"")</f>
        <v/>
      </c>
      <c r="W283">
        <f>IFERROR(IF(ISNUMBER(INDEX(SPPR!$E:$Z,MATCH($A283,SPPR!$A:$A,0),20)),$C283*INDEX(SPPR!$E:$Z,MATCH($A283,SPPR!$A:$A,0),20),""),"")</f>
        <v/>
      </c>
      <c r="X283">
        <f>IFERROR(IF(ISNUMBER(INDEX(SPPR!$E:$Z,MATCH($A283,SPPR!$A:$A,0),21)),$C283*INDEX(SPPR!$E:$Z,MATCH($A283,SPPR!$A:$A,0),21),""),"")</f>
        <v/>
      </c>
      <c r="Y283">
        <f>IFERROR(IF(ISNUMBER(INDEX(SPPR!$E:$Z,MATCH($A283,SPPR!$A:$A,0),22)),$C283*INDEX(SPPR!$E:$Z,MATCH($A283,SPPR!$A:$A,0),22),""),"")</f>
        <v/>
      </c>
    </row>
    <row r="284">
      <c r="A284" t="inlineStr">
        <is>
          <t>Carcharhinus macloti</t>
        </is>
      </c>
      <c r="B284">
        <f>IFERROR(INDEX(SPPR!$D:$D,MATCH($A284,SPPR!$A:$A,0)),"")</f>
        <v/>
      </c>
      <c r="C284">
        <f>IFERROR(INDEX(Catch!$E:$BV,MATCH($A284,Catch!$A:$A,0),MATCH($B$4,Catch!$E$1:$BV$1,0)),0)</f>
        <v/>
      </c>
      <c r="D284">
        <f>IFERROR(IF(ISNUMBER(INDEX(SPPR!$E:$Z,MATCH($A284,SPPR!$A:$A,0),1)),$C284*INDEX(SPPR!$E:$Z,MATCH($A284,SPPR!$A:$A,0),1),""),"")</f>
        <v/>
      </c>
      <c r="E284">
        <f>IFERROR(IF(ISNUMBER(INDEX(SPPR!$E:$Z,MATCH($A284,SPPR!$A:$A,0),2)),$C284*INDEX(SPPR!$E:$Z,MATCH($A284,SPPR!$A:$A,0),2),""),"")</f>
        <v/>
      </c>
      <c r="F284">
        <f>IFERROR(IF(ISNUMBER(INDEX(SPPR!$E:$Z,MATCH($A284,SPPR!$A:$A,0),3)),$C284*INDEX(SPPR!$E:$Z,MATCH($A284,SPPR!$A:$A,0),3),""),"")</f>
        <v/>
      </c>
      <c r="G284">
        <f>IFERROR(IF(ISNUMBER(INDEX(SPPR!$E:$Z,MATCH($A284,SPPR!$A:$A,0),4)),$C284*INDEX(SPPR!$E:$Z,MATCH($A284,SPPR!$A:$A,0),4),""),"")</f>
        <v/>
      </c>
      <c r="H284">
        <f>IFERROR(IF(ISNUMBER(INDEX(SPPR!$E:$Z,MATCH($A284,SPPR!$A:$A,0),5)),$C284*INDEX(SPPR!$E:$Z,MATCH($A284,SPPR!$A:$A,0),5),""),"")</f>
        <v/>
      </c>
      <c r="I284">
        <f>IFERROR(IF(ISNUMBER(INDEX(SPPR!$E:$Z,MATCH($A284,SPPR!$A:$A,0),6)),$C284*INDEX(SPPR!$E:$Z,MATCH($A284,SPPR!$A:$A,0),6),""),"")</f>
        <v/>
      </c>
      <c r="J284">
        <f>IFERROR(IF(ISNUMBER(INDEX(SPPR!$E:$Z,MATCH($A284,SPPR!$A:$A,0),7)),$C284*INDEX(SPPR!$E:$Z,MATCH($A284,SPPR!$A:$A,0),7),""),"")</f>
        <v/>
      </c>
      <c r="K284">
        <f>IFERROR(IF(ISNUMBER(INDEX(SPPR!$E:$Z,MATCH($A284,SPPR!$A:$A,0),8)),$C284*INDEX(SPPR!$E:$Z,MATCH($A284,SPPR!$A:$A,0),8),""),"")</f>
        <v/>
      </c>
      <c r="L284">
        <f>IFERROR(IF(ISNUMBER(INDEX(SPPR!$E:$Z,MATCH($A284,SPPR!$A:$A,0),9)),$C284*INDEX(SPPR!$E:$Z,MATCH($A284,SPPR!$A:$A,0),9),""),"")</f>
        <v/>
      </c>
      <c r="M284">
        <f>IFERROR(IF(ISNUMBER(INDEX(SPPR!$E:$Z,MATCH($A284,SPPR!$A:$A,0),10)),$C284*INDEX(SPPR!$E:$Z,MATCH($A284,SPPR!$A:$A,0),10),""),"")</f>
        <v/>
      </c>
      <c r="N284">
        <f>IFERROR(IF(ISNUMBER(INDEX(SPPR!$E:$Z,MATCH($A284,SPPR!$A:$A,0),11)),$C284*INDEX(SPPR!$E:$Z,MATCH($A284,SPPR!$A:$A,0),11),""),"")</f>
        <v/>
      </c>
      <c r="O284">
        <f>IFERROR(IF(ISNUMBER(INDEX(SPPR!$E:$Z,MATCH($A284,SPPR!$A:$A,0),12)),$C284*INDEX(SPPR!$E:$Z,MATCH($A284,SPPR!$A:$A,0),12),""),"")</f>
        <v/>
      </c>
      <c r="P284">
        <f>IFERROR(IF(ISNUMBER(INDEX(SPPR!$E:$Z,MATCH($A284,SPPR!$A:$A,0),13)),$C284*INDEX(SPPR!$E:$Z,MATCH($A284,SPPR!$A:$A,0),13),""),"")</f>
        <v/>
      </c>
      <c r="Q284">
        <f>IFERROR(IF(ISNUMBER(INDEX(SPPR!$E:$Z,MATCH($A284,SPPR!$A:$A,0),14)),$C284*INDEX(SPPR!$E:$Z,MATCH($A284,SPPR!$A:$A,0),14),""),"")</f>
        <v/>
      </c>
      <c r="R284">
        <f>IFERROR(IF(ISNUMBER(INDEX(SPPR!$E:$Z,MATCH($A284,SPPR!$A:$A,0),15)),$C284*INDEX(SPPR!$E:$Z,MATCH($A284,SPPR!$A:$A,0),15),""),"")</f>
        <v/>
      </c>
      <c r="S284">
        <f>IFERROR(IF(ISNUMBER(INDEX(SPPR!$E:$Z,MATCH($A284,SPPR!$A:$A,0),16)),$C284*INDEX(SPPR!$E:$Z,MATCH($A284,SPPR!$A:$A,0),16),""),"")</f>
        <v/>
      </c>
      <c r="T284">
        <f>IFERROR(IF(ISNUMBER(INDEX(SPPR!$E:$Z,MATCH($A284,SPPR!$A:$A,0),17)),$C284*INDEX(SPPR!$E:$Z,MATCH($A284,SPPR!$A:$A,0),17),""),"")</f>
        <v/>
      </c>
      <c r="U284">
        <f>IFERROR(IF(ISNUMBER(INDEX(SPPR!$E:$Z,MATCH($A284,SPPR!$A:$A,0),18)),$C284*INDEX(SPPR!$E:$Z,MATCH($A284,SPPR!$A:$A,0),18),""),"")</f>
        <v/>
      </c>
      <c r="V284">
        <f>IFERROR(IF(ISNUMBER(INDEX(SPPR!$E:$Z,MATCH($A284,SPPR!$A:$A,0),19)),$C284*INDEX(SPPR!$E:$Z,MATCH($A284,SPPR!$A:$A,0),19),""),"")</f>
        <v/>
      </c>
      <c r="W284">
        <f>IFERROR(IF(ISNUMBER(INDEX(SPPR!$E:$Z,MATCH($A284,SPPR!$A:$A,0),20)),$C284*INDEX(SPPR!$E:$Z,MATCH($A284,SPPR!$A:$A,0),20),""),"")</f>
        <v/>
      </c>
      <c r="X284">
        <f>IFERROR(IF(ISNUMBER(INDEX(SPPR!$E:$Z,MATCH($A284,SPPR!$A:$A,0),21)),$C284*INDEX(SPPR!$E:$Z,MATCH($A284,SPPR!$A:$A,0),21),""),"")</f>
        <v/>
      </c>
      <c r="Y284">
        <f>IFERROR(IF(ISNUMBER(INDEX(SPPR!$E:$Z,MATCH($A284,SPPR!$A:$A,0),22)),$C284*INDEX(SPPR!$E:$Z,MATCH($A284,SPPR!$A:$A,0),22),""),"")</f>
        <v/>
      </c>
    </row>
    <row r="285">
      <c r="A285" t="inlineStr">
        <is>
          <t>Turbo marmoratus</t>
        </is>
      </c>
      <c r="B285">
        <f>IFERROR(INDEX(SPPR!$D:$D,MATCH($A285,SPPR!$A:$A,0)),"")</f>
        <v/>
      </c>
      <c r="C285">
        <f>IFERROR(INDEX(Catch!$E:$BV,MATCH($A285,Catch!$A:$A,0),MATCH($B$4,Catch!$E$1:$BV$1,0)),0)</f>
        <v/>
      </c>
      <c r="D285">
        <f>IFERROR(IF(ISNUMBER(INDEX(SPPR!$E:$Z,MATCH($A285,SPPR!$A:$A,0),1)),$C285*INDEX(SPPR!$E:$Z,MATCH($A285,SPPR!$A:$A,0),1),""),"")</f>
        <v/>
      </c>
      <c r="E285">
        <f>IFERROR(IF(ISNUMBER(INDEX(SPPR!$E:$Z,MATCH($A285,SPPR!$A:$A,0),2)),$C285*INDEX(SPPR!$E:$Z,MATCH($A285,SPPR!$A:$A,0),2),""),"")</f>
        <v/>
      </c>
      <c r="F285">
        <f>IFERROR(IF(ISNUMBER(INDEX(SPPR!$E:$Z,MATCH($A285,SPPR!$A:$A,0),3)),$C285*INDEX(SPPR!$E:$Z,MATCH($A285,SPPR!$A:$A,0),3),""),"")</f>
        <v/>
      </c>
      <c r="G285">
        <f>IFERROR(IF(ISNUMBER(INDEX(SPPR!$E:$Z,MATCH($A285,SPPR!$A:$A,0),4)),$C285*INDEX(SPPR!$E:$Z,MATCH($A285,SPPR!$A:$A,0),4),""),"")</f>
        <v/>
      </c>
      <c r="H285">
        <f>IFERROR(IF(ISNUMBER(INDEX(SPPR!$E:$Z,MATCH($A285,SPPR!$A:$A,0),5)),$C285*INDEX(SPPR!$E:$Z,MATCH($A285,SPPR!$A:$A,0),5),""),"")</f>
        <v/>
      </c>
      <c r="I285">
        <f>IFERROR(IF(ISNUMBER(INDEX(SPPR!$E:$Z,MATCH($A285,SPPR!$A:$A,0),6)),$C285*INDEX(SPPR!$E:$Z,MATCH($A285,SPPR!$A:$A,0),6),""),"")</f>
        <v/>
      </c>
      <c r="J285">
        <f>IFERROR(IF(ISNUMBER(INDEX(SPPR!$E:$Z,MATCH($A285,SPPR!$A:$A,0),7)),$C285*INDEX(SPPR!$E:$Z,MATCH($A285,SPPR!$A:$A,0),7),""),"")</f>
        <v/>
      </c>
      <c r="K285">
        <f>IFERROR(IF(ISNUMBER(INDEX(SPPR!$E:$Z,MATCH($A285,SPPR!$A:$A,0),8)),$C285*INDEX(SPPR!$E:$Z,MATCH($A285,SPPR!$A:$A,0),8),""),"")</f>
        <v/>
      </c>
      <c r="L285">
        <f>IFERROR(IF(ISNUMBER(INDEX(SPPR!$E:$Z,MATCH($A285,SPPR!$A:$A,0),9)),$C285*INDEX(SPPR!$E:$Z,MATCH($A285,SPPR!$A:$A,0),9),""),"")</f>
        <v/>
      </c>
      <c r="M285">
        <f>IFERROR(IF(ISNUMBER(INDEX(SPPR!$E:$Z,MATCH($A285,SPPR!$A:$A,0),10)),$C285*INDEX(SPPR!$E:$Z,MATCH($A285,SPPR!$A:$A,0),10),""),"")</f>
        <v/>
      </c>
      <c r="N285">
        <f>IFERROR(IF(ISNUMBER(INDEX(SPPR!$E:$Z,MATCH($A285,SPPR!$A:$A,0),11)),$C285*INDEX(SPPR!$E:$Z,MATCH($A285,SPPR!$A:$A,0),11),""),"")</f>
        <v/>
      </c>
      <c r="O285">
        <f>IFERROR(IF(ISNUMBER(INDEX(SPPR!$E:$Z,MATCH($A285,SPPR!$A:$A,0),12)),$C285*INDEX(SPPR!$E:$Z,MATCH($A285,SPPR!$A:$A,0),12),""),"")</f>
        <v/>
      </c>
      <c r="P285">
        <f>IFERROR(IF(ISNUMBER(INDEX(SPPR!$E:$Z,MATCH($A285,SPPR!$A:$A,0),13)),$C285*INDEX(SPPR!$E:$Z,MATCH($A285,SPPR!$A:$A,0),13),""),"")</f>
        <v/>
      </c>
      <c r="Q285">
        <f>IFERROR(IF(ISNUMBER(INDEX(SPPR!$E:$Z,MATCH($A285,SPPR!$A:$A,0),14)),$C285*INDEX(SPPR!$E:$Z,MATCH($A285,SPPR!$A:$A,0),14),""),"")</f>
        <v/>
      </c>
      <c r="R285">
        <f>IFERROR(IF(ISNUMBER(INDEX(SPPR!$E:$Z,MATCH($A285,SPPR!$A:$A,0),15)),$C285*INDEX(SPPR!$E:$Z,MATCH($A285,SPPR!$A:$A,0),15),""),"")</f>
        <v/>
      </c>
      <c r="S285">
        <f>IFERROR(IF(ISNUMBER(INDEX(SPPR!$E:$Z,MATCH($A285,SPPR!$A:$A,0),16)),$C285*INDEX(SPPR!$E:$Z,MATCH($A285,SPPR!$A:$A,0),16),""),"")</f>
        <v/>
      </c>
      <c r="T285">
        <f>IFERROR(IF(ISNUMBER(INDEX(SPPR!$E:$Z,MATCH($A285,SPPR!$A:$A,0),17)),$C285*INDEX(SPPR!$E:$Z,MATCH($A285,SPPR!$A:$A,0),17),""),"")</f>
        <v/>
      </c>
      <c r="U285">
        <f>IFERROR(IF(ISNUMBER(INDEX(SPPR!$E:$Z,MATCH($A285,SPPR!$A:$A,0),18)),$C285*INDEX(SPPR!$E:$Z,MATCH($A285,SPPR!$A:$A,0),18),""),"")</f>
        <v/>
      </c>
      <c r="V285">
        <f>IFERROR(IF(ISNUMBER(INDEX(SPPR!$E:$Z,MATCH($A285,SPPR!$A:$A,0),19)),$C285*INDEX(SPPR!$E:$Z,MATCH($A285,SPPR!$A:$A,0),19),""),"")</f>
        <v/>
      </c>
      <c r="W285">
        <f>IFERROR(IF(ISNUMBER(INDEX(SPPR!$E:$Z,MATCH($A285,SPPR!$A:$A,0),20)),$C285*INDEX(SPPR!$E:$Z,MATCH($A285,SPPR!$A:$A,0),20),""),"")</f>
        <v/>
      </c>
      <c r="X285">
        <f>IFERROR(IF(ISNUMBER(INDEX(SPPR!$E:$Z,MATCH($A285,SPPR!$A:$A,0),21)),$C285*INDEX(SPPR!$E:$Z,MATCH($A285,SPPR!$A:$A,0),21),""),"")</f>
        <v/>
      </c>
      <c r="Y285">
        <f>IFERROR(IF(ISNUMBER(INDEX(SPPR!$E:$Z,MATCH($A285,SPPR!$A:$A,0),22)),$C285*INDEX(SPPR!$E:$Z,MATCH($A285,SPPR!$A:$A,0),22),""),"")</f>
        <v/>
      </c>
    </row>
    <row r="286">
      <c r="A286" t="inlineStr">
        <is>
          <t>Makaira</t>
        </is>
      </c>
      <c r="B286">
        <f>IFERROR(INDEX(SPPR!$D:$D,MATCH($A286,SPPR!$A:$A,0)),"")</f>
        <v/>
      </c>
      <c r="C286">
        <f>IFERROR(INDEX(Catch!$E:$BV,MATCH($A286,Catch!$A:$A,0),MATCH($B$4,Catch!$E$1:$BV$1,0)),0)</f>
        <v/>
      </c>
      <c r="D286">
        <f>IFERROR(IF(ISNUMBER(INDEX(SPPR!$E:$Z,MATCH($A286,SPPR!$A:$A,0),1)),$C286*INDEX(SPPR!$E:$Z,MATCH($A286,SPPR!$A:$A,0),1),""),"")</f>
        <v/>
      </c>
      <c r="E286">
        <f>IFERROR(IF(ISNUMBER(INDEX(SPPR!$E:$Z,MATCH($A286,SPPR!$A:$A,0),2)),$C286*INDEX(SPPR!$E:$Z,MATCH($A286,SPPR!$A:$A,0),2),""),"")</f>
        <v/>
      </c>
      <c r="F286">
        <f>IFERROR(IF(ISNUMBER(INDEX(SPPR!$E:$Z,MATCH($A286,SPPR!$A:$A,0),3)),$C286*INDEX(SPPR!$E:$Z,MATCH($A286,SPPR!$A:$A,0),3),""),"")</f>
        <v/>
      </c>
      <c r="G286">
        <f>IFERROR(IF(ISNUMBER(INDEX(SPPR!$E:$Z,MATCH($A286,SPPR!$A:$A,0),4)),$C286*INDEX(SPPR!$E:$Z,MATCH($A286,SPPR!$A:$A,0),4),""),"")</f>
        <v/>
      </c>
      <c r="H286">
        <f>IFERROR(IF(ISNUMBER(INDEX(SPPR!$E:$Z,MATCH($A286,SPPR!$A:$A,0),5)),$C286*INDEX(SPPR!$E:$Z,MATCH($A286,SPPR!$A:$A,0),5),""),"")</f>
        <v/>
      </c>
      <c r="I286">
        <f>IFERROR(IF(ISNUMBER(INDEX(SPPR!$E:$Z,MATCH($A286,SPPR!$A:$A,0),6)),$C286*INDEX(SPPR!$E:$Z,MATCH($A286,SPPR!$A:$A,0),6),""),"")</f>
        <v/>
      </c>
      <c r="J286">
        <f>IFERROR(IF(ISNUMBER(INDEX(SPPR!$E:$Z,MATCH($A286,SPPR!$A:$A,0),7)),$C286*INDEX(SPPR!$E:$Z,MATCH($A286,SPPR!$A:$A,0),7),""),"")</f>
        <v/>
      </c>
      <c r="K286">
        <f>IFERROR(IF(ISNUMBER(INDEX(SPPR!$E:$Z,MATCH($A286,SPPR!$A:$A,0),8)),$C286*INDEX(SPPR!$E:$Z,MATCH($A286,SPPR!$A:$A,0),8),""),"")</f>
        <v/>
      </c>
      <c r="L286">
        <f>IFERROR(IF(ISNUMBER(INDEX(SPPR!$E:$Z,MATCH($A286,SPPR!$A:$A,0),9)),$C286*INDEX(SPPR!$E:$Z,MATCH($A286,SPPR!$A:$A,0),9),""),"")</f>
        <v/>
      </c>
      <c r="M286">
        <f>IFERROR(IF(ISNUMBER(INDEX(SPPR!$E:$Z,MATCH($A286,SPPR!$A:$A,0),10)),$C286*INDEX(SPPR!$E:$Z,MATCH($A286,SPPR!$A:$A,0),10),""),"")</f>
        <v/>
      </c>
      <c r="N286">
        <f>IFERROR(IF(ISNUMBER(INDEX(SPPR!$E:$Z,MATCH($A286,SPPR!$A:$A,0),11)),$C286*INDEX(SPPR!$E:$Z,MATCH($A286,SPPR!$A:$A,0),11),""),"")</f>
        <v/>
      </c>
      <c r="O286">
        <f>IFERROR(IF(ISNUMBER(INDEX(SPPR!$E:$Z,MATCH($A286,SPPR!$A:$A,0),12)),$C286*INDEX(SPPR!$E:$Z,MATCH($A286,SPPR!$A:$A,0),12),""),"")</f>
        <v/>
      </c>
      <c r="P286">
        <f>IFERROR(IF(ISNUMBER(INDEX(SPPR!$E:$Z,MATCH($A286,SPPR!$A:$A,0),13)),$C286*INDEX(SPPR!$E:$Z,MATCH($A286,SPPR!$A:$A,0),13),""),"")</f>
        <v/>
      </c>
      <c r="Q286">
        <f>IFERROR(IF(ISNUMBER(INDEX(SPPR!$E:$Z,MATCH($A286,SPPR!$A:$A,0),14)),$C286*INDEX(SPPR!$E:$Z,MATCH($A286,SPPR!$A:$A,0),14),""),"")</f>
        <v/>
      </c>
      <c r="R286">
        <f>IFERROR(IF(ISNUMBER(INDEX(SPPR!$E:$Z,MATCH($A286,SPPR!$A:$A,0),15)),$C286*INDEX(SPPR!$E:$Z,MATCH($A286,SPPR!$A:$A,0),15),""),"")</f>
        <v/>
      </c>
      <c r="S286">
        <f>IFERROR(IF(ISNUMBER(INDEX(SPPR!$E:$Z,MATCH($A286,SPPR!$A:$A,0),16)),$C286*INDEX(SPPR!$E:$Z,MATCH($A286,SPPR!$A:$A,0),16),""),"")</f>
        <v/>
      </c>
      <c r="T286">
        <f>IFERROR(IF(ISNUMBER(INDEX(SPPR!$E:$Z,MATCH($A286,SPPR!$A:$A,0),17)),$C286*INDEX(SPPR!$E:$Z,MATCH($A286,SPPR!$A:$A,0),17),""),"")</f>
        <v/>
      </c>
      <c r="U286">
        <f>IFERROR(IF(ISNUMBER(INDEX(SPPR!$E:$Z,MATCH($A286,SPPR!$A:$A,0),18)),$C286*INDEX(SPPR!$E:$Z,MATCH($A286,SPPR!$A:$A,0),18),""),"")</f>
        <v/>
      </c>
      <c r="V286">
        <f>IFERROR(IF(ISNUMBER(INDEX(SPPR!$E:$Z,MATCH($A286,SPPR!$A:$A,0),19)),$C286*INDEX(SPPR!$E:$Z,MATCH($A286,SPPR!$A:$A,0),19),""),"")</f>
        <v/>
      </c>
      <c r="W286">
        <f>IFERROR(IF(ISNUMBER(INDEX(SPPR!$E:$Z,MATCH($A286,SPPR!$A:$A,0),20)),$C286*INDEX(SPPR!$E:$Z,MATCH($A286,SPPR!$A:$A,0),20),""),"")</f>
        <v/>
      </c>
      <c r="X286">
        <f>IFERROR(IF(ISNUMBER(INDEX(SPPR!$E:$Z,MATCH($A286,SPPR!$A:$A,0),21)),$C286*INDEX(SPPR!$E:$Z,MATCH($A286,SPPR!$A:$A,0),21),""),"")</f>
        <v/>
      </c>
      <c r="Y286">
        <f>IFERROR(IF(ISNUMBER(INDEX(SPPR!$E:$Z,MATCH($A286,SPPR!$A:$A,0),22)),$C286*INDEX(SPPR!$E:$Z,MATCH($A286,SPPR!$A:$A,0),22),""),"")</f>
        <v/>
      </c>
    </row>
    <row r="287">
      <c r="A287" t="inlineStr">
        <is>
          <t>Tetrapturus angustirostris</t>
        </is>
      </c>
      <c r="B287">
        <f>IFERROR(INDEX(SPPR!$D:$D,MATCH($A287,SPPR!$A:$A,0)),"")</f>
        <v/>
      </c>
      <c r="C287">
        <f>IFERROR(INDEX(Catch!$E:$BV,MATCH($A287,Catch!$A:$A,0),MATCH($B$4,Catch!$E$1:$BV$1,0)),0)</f>
        <v/>
      </c>
      <c r="D287">
        <f>IFERROR(IF(ISNUMBER(INDEX(SPPR!$E:$Z,MATCH($A287,SPPR!$A:$A,0),1)),$C287*INDEX(SPPR!$E:$Z,MATCH($A287,SPPR!$A:$A,0),1),""),"")</f>
        <v/>
      </c>
      <c r="E287">
        <f>IFERROR(IF(ISNUMBER(INDEX(SPPR!$E:$Z,MATCH($A287,SPPR!$A:$A,0),2)),$C287*INDEX(SPPR!$E:$Z,MATCH($A287,SPPR!$A:$A,0),2),""),"")</f>
        <v/>
      </c>
      <c r="F287">
        <f>IFERROR(IF(ISNUMBER(INDEX(SPPR!$E:$Z,MATCH($A287,SPPR!$A:$A,0),3)),$C287*INDEX(SPPR!$E:$Z,MATCH($A287,SPPR!$A:$A,0),3),""),"")</f>
        <v/>
      </c>
      <c r="G287">
        <f>IFERROR(IF(ISNUMBER(INDEX(SPPR!$E:$Z,MATCH($A287,SPPR!$A:$A,0),4)),$C287*INDEX(SPPR!$E:$Z,MATCH($A287,SPPR!$A:$A,0),4),""),"")</f>
        <v/>
      </c>
      <c r="H287">
        <f>IFERROR(IF(ISNUMBER(INDEX(SPPR!$E:$Z,MATCH($A287,SPPR!$A:$A,0),5)),$C287*INDEX(SPPR!$E:$Z,MATCH($A287,SPPR!$A:$A,0),5),""),"")</f>
        <v/>
      </c>
      <c r="I287">
        <f>IFERROR(IF(ISNUMBER(INDEX(SPPR!$E:$Z,MATCH($A287,SPPR!$A:$A,0),6)),$C287*INDEX(SPPR!$E:$Z,MATCH($A287,SPPR!$A:$A,0),6),""),"")</f>
        <v/>
      </c>
      <c r="J287">
        <f>IFERROR(IF(ISNUMBER(INDEX(SPPR!$E:$Z,MATCH($A287,SPPR!$A:$A,0),7)),$C287*INDEX(SPPR!$E:$Z,MATCH($A287,SPPR!$A:$A,0),7),""),"")</f>
        <v/>
      </c>
      <c r="K287">
        <f>IFERROR(IF(ISNUMBER(INDEX(SPPR!$E:$Z,MATCH($A287,SPPR!$A:$A,0),8)),$C287*INDEX(SPPR!$E:$Z,MATCH($A287,SPPR!$A:$A,0),8),""),"")</f>
        <v/>
      </c>
      <c r="L287">
        <f>IFERROR(IF(ISNUMBER(INDEX(SPPR!$E:$Z,MATCH($A287,SPPR!$A:$A,0),9)),$C287*INDEX(SPPR!$E:$Z,MATCH($A287,SPPR!$A:$A,0),9),""),"")</f>
        <v/>
      </c>
      <c r="M287">
        <f>IFERROR(IF(ISNUMBER(INDEX(SPPR!$E:$Z,MATCH($A287,SPPR!$A:$A,0),10)),$C287*INDEX(SPPR!$E:$Z,MATCH($A287,SPPR!$A:$A,0),10),""),"")</f>
        <v/>
      </c>
      <c r="N287">
        <f>IFERROR(IF(ISNUMBER(INDEX(SPPR!$E:$Z,MATCH($A287,SPPR!$A:$A,0),11)),$C287*INDEX(SPPR!$E:$Z,MATCH($A287,SPPR!$A:$A,0),11),""),"")</f>
        <v/>
      </c>
      <c r="O287">
        <f>IFERROR(IF(ISNUMBER(INDEX(SPPR!$E:$Z,MATCH($A287,SPPR!$A:$A,0),12)),$C287*INDEX(SPPR!$E:$Z,MATCH($A287,SPPR!$A:$A,0),12),""),"")</f>
        <v/>
      </c>
      <c r="P287">
        <f>IFERROR(IF(ISNUMBER(INDEX(SPPR!$E:$Z,MATCH($A287,SPPR!$A:$A,0),13)),$C287*INDEX(SPPR!$E:$Z,MATCH($A287,SPPR!$A:$A,0),13),""),"")</f>
        <v/>
      </c>
      <c r="Q287">
        <f>IFERROR(IF(ISNUMBER(INDEX(SPPR!$E:$Z,MATCH($A287,SPPR!$A:$A,0),14)),$C287*INDEX(SPPR!$E:$Z,MATCH($A287,SPPR!$A:$A,0),14),""),"")</f>
        <v/>
      </c>
      <c r="R287">
        <f>IFERROR(IF(ISNUMBER(INDEX(SPPR!$E:$Z,MATCH($A287,SPPR!$A:$A,0),15)),$C287*INDEX(SPPR!$E:$Z,MATCH($A287,SPPR!$A:$A,0),15),""),"")</f>
        <v/>
      </c>
      <c r="S287">
        <f>IFERROR(IF(ISNUMBER(INDEX(SPPR!$E:$Z,MATCH($A287,SPPR!$A:$A,0),16)),$C287*INDEX(SPPR!$E:$Z,MATCH($A287,SPPR!$A:$A,0),16),""),"")</f>
        <v/>
      </c>
      <c r="T287">
        <f>IFERROR(IF(ISNUMBER(INDEX(SPPR!$E:$Z,MATCH($A287,SPPR!$A:$A,0),17)),$C287*INDEX(SPPR!$E:$Z,MATCH($A287,SPPR!$A:$A,0),17),""),"")</f>
        <v/>
      </c>
      <c r="U287">
        <f>IFERROR(IF(ISNUMBER(INDEX(SPPR!$E:$Z,MATCH($A287,SPPR!$A:$A,0),18)),$C287*INDEX(SPPR!$E:$Z,MATCH($A287,SPPR!$A:$A,0),18),""),"")</f>
        <v/>
      </c>
      <c r="V287">
        <f>IFERROR(IF(ISNUMBER(INDEX(SPPR!$E:$Z,MATCH($A287,SPPR!$A:$A,0),19)),$C287*INDEX(SPPR!$E:$Z,MATCH($A287,SPPR!$A:$A,0),19),""),"")</f>
        <v/>
      </c>
      <c r="W287">
        <f>IFERROR(IF(ISNUMBER(INDEX(SPPR!$E:$Z,MATCH($A287,SPPR!$A:$A,0),20)),$C287*INDEX(SPPR!$E:$Z,MATCH($A287,SPPR!$A:$A,0),20),""),"")</f>
        <v/>
      </c>
      <c r="X287">
        <f>IFERROR(IF(ISNUMBER(INDEX(SPPR!$E:$Z,MATCH($A287,SPPR!$A:$A,0),21)),$C287*INDEX(SPPR!$E:$Z,MATCH($A287,SPPR!$A:$A,0),21),""),"")</f>
        <v/>
      </c>
      <c r="Y287">
        <f>IFERROR(IF(ISNUMBER(INDEX(SPPR!$E:$Z,MATCH($A287,SPPR!$A:$A,0),22)),$C287*INDEX(SPPR!$E:$Z,MATCH($A287,SPPR!$A:$A,0),22),""),"")</f>
        <v/>
      </c>
    </row>
    <row r="288">
      <c r="A288" t="inlineStr">
        <is>
          <t>Scarus</t>
        </is>
      </c>
      <c r="B288">
        <f>IFERROR(INDEX(SPPR!$D:$D,MATCH($A288,SPPR!$A:$A,0)),"")</f>
        <v/>
      </c>
      <c r="C288">
        <f>IFERROR(INDEX(Catch!$E:$BV,MATCH($A288,Catch!$A:$A,0),MATCH($B$4,Catch!$E$1:$BV$1,0)),0)</f>
        <v/>
      </c>
      <c r="D288">
        <f>IFERROR(IF(ISNUMBER(INDEX(SPPR!$E:$Z,MATCH($A288,SPPR!$A:$A,0),1)),$C288*INDEX(SPPR!$E:$Z,MATCH($A288,SPPR!$A:$A,0),1),""),"")</f>
        <v/>
      </c>
      <c r="E288">
        <f>IFERROR(IF(ISNUMBER(INDEX(SPPR!$E:$Z,MATCH($A288,SPPR!$A:$A,0),2)),$C288*INDEX(SPPR!$E:$Z,MATCH($A288,SPPR!$A:$A,0),2),""),"")</f>
        <v/>
      </c>
      <c r="F288">
        <f>IFERROR(IF(ISNUMBER(INDEX(SPPR!$E:$Z,MATCH($A288,SPPR!$A:$A,0),3)),$C288*INDEX(SPPR!$E:$Z,MATCH($A288,SPPR!$A:$A,0),3),""),"")</f>
        <v/>
      </c>
      <c r="G288">
        <f>IFERROR(IF(ISNUMBER(INDEX(SPPR!$E:$Z,MATCH($A288,SPPR!$A:$A,0),4)),$C288*INDEX(SPPR!$E:$Z,MATCH($A288,SPPR!$A:$A,0),4),""),"")</f>
        <v/>
      </c>
      <c r="H288">
        <f>IFERROR(IF(ISNUMBER(INDEX(SPPR!$E:$Z,MATCH($A288,SPPR!$A:$A,0),5)),$C288*INDEX(SPPR!$E:$Z,MATCH($A288,SPPR!$A:$A,0),5),""),"")</f>
        <v/>
      </c>
      <c r="I288">
        <f>IFERROR(IF(ISNUMBER(INDEX(SPPR!$E:$Z,MATCH($A288,SPPR!$A:$A,0),6)),$C288*INDEX(SPPR!$E:$Z,MATCH($A288,SPPR!$A:$A,0),6),""),"")</f>
        <v/>
      </c>
      <c r="J288">
        <f>IFERROR(IF(ISNUMBER(INDEX(SPPR!$E:$Z,MATCH($A288,SPPR!$A:$A,0),7)),$C288*INDEX(SPPR!$E:$Z,MATCH($A288,SPPR!$A:$A,0),7),""),"")</f>
        <v/>
      </c>
      <c r="K288">
        <f>IFERROR(IF(ISNUMBER(INDEX(SPPR!$E:$Z,MATCH($A288,SPPR!$A:$A,0),8)),$C288*INDEX(SPPR!$E:$Z,MATCH($A288,SPPR!$A:$A,0),8),""),"")</f>
        <v/>
      </c>
      <c r="L288">
        <f>IFERROR(IF(ISNUMBER(INDEX(SPPR!$E:$Z,MATCH($A288,SPPR!$A:$A,0),9)),$C288*INDEX(SPPR!$E:$Z,MATCH($A288,SPPR!$A:$A,0),9),""),"")</f>
        <v/>
      </c>
      <c r="M288">
        <f>IFERROR(IF(ISNUMBER(INDEX(SPPR!$E:$Z,MATCH($A288,SPPR!$A:$A,0),10)),$C288*INDEX(SPPR!$E:$Z,MATCH($A288,SPPR!$A:$A,0),10),""),"")</f>
        <v/>
      </c>
      <c r="N288">
        <f>IFERROR(IF(ISNUMBER(INDEX(SPPR!$E:$Z,MATCH($A288,SPPR!$A:$A,0),11)),$C288*INDEX(SPPR!$E:$Z,MATCH($A288,SPPR!$A:$A,0),11),""),"")</f>
        <v/>
      </c>
      <c r="O288">
        <f>IFERROR(IF(ISNUMBER(INDEX(SPPR!$E:$Z,MATCH($A288,SPPR!$A:$A,0),12)),$C288*INDEX(SPPR!$E:$Z,MATCH($A288,SPPR!$A:$A,0),12),""),"")</f>
        <v/>
      </c>
      <c r="P288">
        <f>IFERROR(IF(ISNUMBER(INDEX(SPPR!$E:$Z,MATCH($A288,SPPR!$A:$A,0),13)),$C288*INDEX(SPPR!$E:$Z,MATCH($A288,SPPR!$A:$A,0),13),""),"")</f>
        <v/>
      </c>
      <c r="Q288">
        <f>IFERROR(IF(ISNUMBER(INDEX(SPPR!$E:$Z,MATCH($A288,SPPR!$A:$A,0),14)),$C288*INDEX(SPPR!$E:$Z,MATCH($A288,SPPR!$A:$A,0),14),""),"")</f>
        <v/>
      </c>
      <c r="R288">
        <f>IFERROR(IF(ISNUMBER(INDEX(SPPR!$E:$Z,MATCH($A288,SPPR!$A:$A,0),15)),$C288*INDEX(SPPR!$E:$Z,MATCH($A288,SPPR!$A:$A,0),15),""),"")</f>
        <v/>
      </c>
      <c r="S288">
        <f>IFERROR(IF(ISNUMBER(INDEX(SPPR!$E:$Z,MATCH($A288,SPPR!$A:$A,0),16)),$C288*INDEX(SPPR!$E:$Z,MATCH($A288,SPPR!$A:$A,0),16),""),"")</f>
        <v/>
      </c>
      <c r="T288">
        <f>IFERROR(IF(ISNUMBER(INDEX(SPPR!$E:$Z,MATCH($A288,SPPR!$A:$A,0),17)),$C288*INDEX(SPPR!$E:$Z,MATCH($A288,SPPR!$A:$A,0),17),""),"")</f>
        <v/>
      </c>
      <c r="U288">
        <f>IFERROR(IF(ISNUMBER(INDEX(SPPR!$E:$Z,MATCH($A288,SPPR!$A:$A,0),18)),$C288*INDEX(SPPR!$E:$Z,MATCH($A288,SPPR!$A:$A,0),18),""),"")</f>
        <v/>
      </c>
      <c r="V288">
        <f>IFERROR(IF(ISNUMBER(INDEX(SPPR!$E:$Z,MATCH($A288,SPPR!$A:$A,0),19)),$C288*INDEX(SPPR!$E:$Z,MATCH($A288,SPPR!$A:$A,0),19),""),"")</f>
        <v/>
      </c>
      <c r="W288">
        <f>IFERROR(IF(ISNUMBER(INDEX(SPPR!$E:$Z,MATCH($A288,SPPR!$A:$A,0),20)),$C288*INDEX(SPPR!$E:$Z,MATCH($A288,SPPR!$A:$A,0),20),""),"")</f>
        <v/>
      </c>
      <c r="X288">
        <f>IFERROR(IF(ISNUMBER(INDEX(SPPR!$E:$Z,MATCH($A288,SPPR!$A:$A,0),21)),$C288*INDEX(SPPR!$E:$Z,MATCH($A288,SPPR!$A:$A,0),21),""),"")</f>
        <v/>
      </c>
      <c r="Y288">
        <f>IFERROR(IF(ISNUMBER(INDEX(SPPR!$E:$Z,MATCH($A288,SPPR!$A:$A,0),22)),$C288*INDEX(SPPR!$E:$Z,MATCH($A288,SPPR!$A:$A,0),22),""),"")</f>
        <v/>
      </c>
    </row>
    <row r="289">
      <c r="A289" t="inlineStr">
        <is>
          <t>Holothuria atra</t>
        </is>
      </c>
      <c r="B289">
        <f>IFERROR(INDEX(SPPR!$D:$D,MATCH($A289,SPPR!$A:$A,0)),"")</f>
        <v/>
      </c>
      <c r="C289">
        <f>IFERROR(INDEX(Catch!$E:$BV,MATCH($A289,Catch!$A:$A,0),MATCH($B$4,Catch!$E$1:$BV$1,0)),0)</f>
        <v/>
      </c>
      <c r="D289">
        <f>IFERROR(IF(ISNUMBER(INDEX(SPPR!$E:$Z,MATCH($A289,SPPR!$A:$A,0),1)),$C289*INDEX(SPPR!$E:$Z,MATCH($A289,SPPR!$A:$A,0),1),""),"")</f>
        <v/>
      </c>
      <c r="E289">
        <f>IFERROR(IF(ISNUMBER(INDEX(SPPR!$E:$Z,MATCH($A289,SPPR!$A:$A,0),2)),$C289*INDEX(SPPR!$E:$Z,MATCH($A289,SPPR!$A:$A,0),2),""),"")</f>
        <v/>
      </c>
      <c r="F289">
        <f>IFERROR(IF(ISNUMBER(INDEX(SPPR!$E:$Z,MATCH($A289,SPPR!$A:$A,0),3)),$C289*INDEX(SPPR!$E:$Z,MATCH($A289,SPPR!$A:$A,0),3),""),"")</f>
        <v/>
      </c>
      <c r="G289">
        <f>IFERROR(IF(ISNUMBER(INDEX(SPPR!$E:$Z,MATCH($A289,SPPR!$A:$A,0),4)),$C289*INDEX(SPPR!$E:$Z,MATCH($A289,SPPR!$A:$A,0),4),""),"")</f>
        <v/>
      </c>
      <c r="H289">
        <f>IFERROR(IF(ISNUMBER(INDEX(SPPR!$E:$Z,MATCH($A289,SPPR!$A:$A,0),5)),$C289*INDEX(SPPR!$E:$Z,MATCH($A289,SPPR!$A:$A,0),5),""),"")</f>
        <v/>
      </c>
      <c r="I289">
        <f>IFERROR(IF(ISNUMBER(INDEX(SPPR!$E:$Z,MATCH($A289,SPPR!$A:$A,0),6)),$C289*INDEX(SPPR!$E:$Z,MATCH($A289,SPPR!$A:$A,0),6),""),"")</f>
        <v/>
      </c>
      <c r="J289">
        <f>IFERROR(IF(ISNUMBER(INDEX(SPPR!$E:$Z,MATCH($A289,SPPR!$A:$A,0),7)),$C289*INDEX(SPPR!$E:$Z,MATCH($A289,SPPR!$A:$A,0),7),""),"")</f>
        <v/>
      </c>
      <c r="K289">
        <f>IFERROR(IF(ISNUMBER(INDEX(SPPR!$E:$Z,MATCH($A289,SPPR!$A:$A,0),8)),$C289*INDEX(SPPR!$E:$Z,MATCH($A289,SPPR!$A:$A,0),8),""),"")</f>
        <v/>
      </c>
      <c r="L289">
        <f>IFERROR(IF(ISNUMBER(INDEX(SPPR!$E:$Z,MATCH($A289,SPPR!$A:$A,0),9)),$C289*INDEX(SPPR!$E:$Z,MATCH($A289,SPPR!$A:$A,0),9),""),"")</f>
        <v/>
      </c>
      <c r="M289">
        <f>IFERROR(IF(ISNUMBER(INDEX(SPPR!$E:$Z,MATCH($A289,SPPR!$A:$A,0),10)),$C289*INDEX(SPPR!$E:$Z,MATCH($A289,SPPR!$A:$A,0),10),""),"")</f>
        <v/>
      </c>
      <c r="N289">
        <f>IFERROR(IF(ISNUMBER(INDEX(SPPR!$E:$Z,MATCH($A289,SPPR!$A:$A,0),11)),$C289*INDEX(SPPR!$E:$Z,MATCH($A289,SPPR!$A:$A,0),11),""),"")</f>
        <v/>
      </c>
      <c r="O289">
        <f>IFERROR(IF(ISNUMBER(INDEX(SPPR!$E:$Z,MATCH($A289,SPPR!$A:$A,0),12)),$C289*INDEX(SPPR!$E:$Z,MATCH($A289,SPPR!$A:$A,0),12),""),"")</f>
        <v/>
      </c>
      <c r="P289">
        <f>IFERROR(IF(ISNUMBER(INDEX(SPPR!$E:$Z,MATCH($A289,SPPR!$A:$A,0),13)),$C289*INDEX(SPPR!$E:$Z,MATCH($A289,SPPR!$A:$A,0),13),""),"")</f>
        <v/>
      </c>
      <c r="Q289">
        <f>IFERROR(IF(ISNUMBER(INDEX(SPPR!$E:$Z,MATCH($A289,SPPR!$A:$A,0),14)),$C289*INDEX(SPPR!$E:$Z,MATCH($A289,SPPR!$A:$A,0),14),""),"")</f>
        <v/>
      </c>
      <c r="R289">
        <f>IFERROR(IF(ISNUMBER(INDEX(SPPR!$E:$Z,MATCH($A289,SPPR!$A:$A,0),15)),$C289*INDEX(SPPR!$E:$Z,MATCH($A289,SPPR!$A:$A,0),15),""),"")</f>
        <v/>
      </c>
      <c r="S289">
        <f>IFERROR(IF(ISNUMBER(INDEX(SPPR!$E:$Z,MATCH($A289,SPPR!$A:$A,0),16)),$C289*INDEX(SPPR!$E:$Z,MATCH($A289,SPPR!$A:$A,0),16),""),"")</f>
        <v/>
      </c>
      <c r="T289">
        <f>IFERROR(IF(ISNUMBER(INDEX(SPPR!$E:$Z,MATCH($A289,SPPR!$A:$A,0),17)),$C289*INDEX(SPPR!$E:$Z,MATCH($A289,SPPR!$A:$A,0),17),""),"")</f>
        <v/>
      </c>
      <c r="U289">
        <f>IFERROR(IF(ISNUMBER(INDEX(SPPR!$E:$Z,MATCH($A289,SPPR!$A:$A,0),18)),$C289*INDEX(SPPR!$E:$Z,MATCH($A289,SPPR!$A:$A,0),18),""),"")</f>
        <v/>
      </c>
      <c r="V289">
        <f>IFERROR(IF(ISNUMBER(INDEX(SPPR!$E:$Z,MATCH($A289,SPPR!$A:$A,0),19)),$C289*INDEX(SPPR!$E:$Z,MATCH($A289,SPPR!$A:$A,0),19),""),"")</f>
        <v/>
      </c>
      <c r="W289">
        <f>IFERROR(IF(ISNUMBER(INDEX(SPPR!$E:$Z,MATCH($A289,SPPR!$A:$A,0),20)),$C289*INDEX(SPPR!$E:$Z,MATCH($A289,SPPR!$A:$A,0),20),""),"")</f>
        <v/>
      </c>
      <c r="X289">
        <f>IFERROR(IF(ISNUMBER(INDEX(SPPR!$E:$Z,MATCH($A289,SPPR!$A:$A,0),21)),$C289*INDEX(SPPR!$E:$Z,MATCH($A289,SPPR!$A:$A,0),21),""),"")</f>
        <v/>
      </c>
      <c r="Y289">
        <f>IFERROR(IF(ISNUMBER(INDEX(SPPR!$E:$Z,MATCH($A289,SPPR!$A:$A,0),22)),$C289*INDEX(SPPR!$E:$Z,MATCH($A289,SPPR!$A:$A,0),22),""),"")</f>
        <v/>
      </c>
    </row>
    <row r="290">
      <c r="A290" t="inlineStr">
        <is>
          <t>Holothuria edulis</t>
        </is>
      </c>
      <c r="B290">
        <f>IFERROR(INDEX(SPPR!$D:$D,MATCH($A290,SPPR!$A:$A,0)),"")</f>
        <v/>
      </c>
      <c r="C290">
        <f>IFERROR(INDEX(Catch!$E:$BV,MATCH($A290,Catch!$A:$A,0),MATCH($B$4,Catch!$E$1:$BV$1,0)),0)</f>
        <v/>
      </c>
      <c r="D290">
        <f>IFERROR(IF(ISNUMBER(INDEX(SPPR!$E:$Z,MATCH($A290,SPPR!$A:$A,0),1)),$C290*INDEX(SPPR!$E:$Z,MATCH($A290,SPPR!$A:$A,0),1),""),"")</f>
        <v/>
      </c>
      <c r="E290">
        <f>IFERROR(IF(ISNUMBER(INDEX(SPPR!$E:$Z,MATCH($A290,SPPR!$A:$A,0),2)),$C290*INDEX(SPPR!$E:$Z,MATCH($A290,SPPR!$A:$A,0),2),""),"")</f>
        <v/>
      </c>
      <c r="F290">
        <f>IFERROR(IF(ISNUMBER(INDEX(SPPR!$E:$Z,MATCH($A290,SPPR!$A:$A,0),3)),$C290*INDEX(SPPR!$E:$Z,MATCH($A290,SPPR!$A:$A,0),3),""),"")</f>
        <v/>
      </c>
      <c r="G290">
        <f>IFERROR(IF(ISNUMBER(INDEX(SPPR!$E:$Z,MATCH($A290,SPPR!$A:$A,0),4)),$C290*INDEX(SPPR!$E:$Z,MATCH($A290,SPPR!$A:$A,0),4),""),"")</f>
        <v/>
      </c>
      <c r="H290">
        <f>IFERROR(IF(ISNUMBER(INDEX(SPPR!$E:$Z,MATCH($A290,SPPR!$A:$A,0),5)),$C290*INDEX(SPPR!$E:$Z,MATCH($A290,SPPR!$A:$A,0),5),""),"")</f>
        <v/>
      </c>
      <c r="I290">
        <f>IFERROR(IF(ISNUMBER(INDEX(SPPR!$E:$Z,MATCH($A290,SPPR!$A:$A,0),6)),$C290*INDEX(SPPR!$E:$Z,MATCH($A290,SPPR!$A:$A,0),6),""),"")</f>
        <v/>
      </c>
      <c r="J290">
        <f>IFERROR(IF(ISNUMBER(INDEX(SPPR!$E:$Z,MATCH($A290,SPPR!$A:$A,0),7)),$C290*INDEX(SPPR!$E:$Z,MATCH($A290,SPPR!$A:$A,0),7),""),"")</f>
        <v/>
      </c>
      <c r="K290">
        <f>IFERROR(IF(ISNUMBER(INDEX(SPPR!$E:$Z,MATCH($A290,SPPR!$A:$A,0),8)),$C290*INDEX(SPPR!$E:$Z,MATCH($A290,SPPR!$A:$A,0),8),""),"")</f>
        <v/>
      </c>
      <c r="L290">
        <f>IFERROR(IF(ISNUMBER(INDEX(SPPR!$E:$Z,MATCH($A290,SPPR!$A:$A,0),9)),$C290*INDEX(SPPR!$E:$Z,MATCH($A290,SPPR!$A:$A,0),9),""),"")</f>
        <v/>
      </c>
      <c r="M290">
        <f>IFERROR(IF(ISNUMBER(INDEX(SPPR!$E:$Z,MATCH($A290,SPPR!$A:$A,0),10)),$C290*INDEX(SPPR!$E:$Z,MATCH($A290,SPPR!$A:$A,0),10),""),"")</f>
        <v/>
      </c>
      <c r="N290">
        <f>IFERROR(IF(ISNUMBER(INDEX(SPPR!$E:$Z,MATCH($A290,SPPR!$A:$A,0),11)),$C290*INDEX(SPPR!$E:$Z,MATCH($A290,SPPR!$A:$A,0),11),""),"")</f>
        <v/>
      </c>
      <c r="O290">
        <f>IFERROR(IF(ISNUMBER(INDEX(SPPR!$E:$Z,MATCH($A290,SPPR!$A:$A,0),12)),$C290*INDEX(SPPR!$E:$Z,MATCH($A290,SPPR!$A:$A,0),12),""),"")</f>
        <v/>
      </c>
      <c r="P290">
        <f>IFERROR(IF(ISNUMBER(INDEX(SPPR!$E:$Z,MATCH($A290,SPPR!$A:$A,0),13)),$C290*INDEX(SPPR!$E:$Z,MATCH($A290,SPPR!$A:$A,0),13),""),"")</f>
        <v/>
      </c>
      <c r="Q290">
        <f>IFERROR(IF(ISNUMBER(INDEX(SPPR!$E:$Z,MATCH($A290,SPPR!$A:$A,0),14)),$C290*INDEX(SPPR!$E:$Z,MATCH($A290,SPPR!$A:$A,0),14),""),"")</f>
        <v/>
      </c>
      <c r="R290">
        <f>IFERROR(IF(ISNUMBER(INDEX(SPPR!$E:$Z,MATCH($A290,SPPR!$A:$A,0),15)),$C290*INDEX(SPPR!$E:$Z,MATCH($A290,SPPR!$A:$A,0),15),""),"")</f>
        <v/>
      </c>
      <c r="S290">
        <f>IFERROR(IF(ISNUMBER(INDEX(SPPR!$E:$Z,MATCH($A290,SPPR!$A:$A,0),16)),$C290*INDEX(SPPR!$E:$Z,MATCH($A290,SPPR!$A:$A,0),16),""),"")</f>
        <v/>
      </c>
      <c r="T290">
        <f>IFERROR(IF(ISNUMBER(INDEX(SPPR!$E:$Z,MATCH($A290,SPPR!$A:$A,0),17)),$C290*INDEX(SPPR!$E:$Z,MATCH($A290,SPPR!$A:$A,0),17),""),"")</f>
        <v/>
      </c>
      <c r="U290">
        <f>IFERROR(IF(ISNUMBER(INDEX(SPPR!$E:$Z,MATCH($A290,SPPR!$A:$A,0),18)),$C290*INDEX(SPPR!$E:$Z,MATCH($A290,SPPR!$A:$A,0),18),""),"")</f>
        <v/>
      </c>
      <c r="V290">
        <f>IFERROR(IF(ISNUMBER(INDEX(SPPR!$E:$Z,MATCH($A290,SPPR!$A:$A,0),19)),$C290*INDEX(SPPR!$E:$Z,MATCH($A290,SPPR!$A:$A,0),19),""),"")</f>
        <v/>
      </c>
      <c r="W290">
        <f>IFERROR(IF(ISNUMBER(INDEX(SPPR!$E:$Z,MATCH($A290,SPPR!$A:$A,0),20)),$C290*INDEX(SPPR!$E:$Z,MATCH($A290,SPPR!$A:$A,0),20),""),"")</f>
        <v/>
      </c>
      <c r="X290">
        <f>IFERROR(IF(ISNUMBER(INDEX(SPPR!$E:$Z,MATCH($A290,SPPR!$A:$A,0),21)),$C290*INDEX(SPPR!$E:$Z,MATCH($A290,SPPR!$A:$A,0),21),""),"")</f>
        <v/>
      </c>
      <c r="Y290">
        <f>IFERROR(IF(ISNUMBER(INDEX(SPPR!$E:$Z,MATCH($A290,SPPR!$A:$A,0),22)),$C290*INDEX(SPPR!$E:$Z,MATCH($A290,SPPR!$A:$A,0),22),""),"")</f>
        <v/>
      </c>
    </row>
    <row r="291">
      <c r="A291" t="inlineStr">
        <is>
          <t>Bohadschia marmorata</t>
        </is>
      </c>
      <c r="B291">
        <f>IFERROR(INDEX(SPPR!$D:$D,MATCH($A291,SPPR!$A:$A,0)),"")</f>
        <v/>
      </c>
      <c r="C291">
        <f>IFERROR(INDEX(Catch!$E:$BV,MATCH($A291,Catch!$A:$A,0),MATCH($B$4,Catch!$E$1:$BV$1,0)),0)</f>
        <v/>
      </c>
      <c r="D291">
        <f>IFERROR(IF(ISNUMBER(INDEX(SPPR!$E:$Z,MATCH($A291,SPPR!$A:$A,0),1)),$C291*INDEX(SPPR!$E:$Z,MATCH($A291,SPPR!$A:$A,0),1),""),"")</f>
        <v/>
      </c>
      <c r="E291">
        <f>IFERROR(IF(ISNUMBER(INDEX(SPPR!$E:$Z,MATCH($A291,SPPR!$A:$A,0),2)),$C291*INDEX(SPPR!$E:$Z,MATCH($A291,SPPR!$A:$A,0),2),""),"")</f>
        <v/>
      </c>
      <c r="F291">
        <f>IFERROR(IF(ISNUMBER(INDEX(SPPR!$E:$Z,MATCH($A291,SPPR!$A:$A,0),3)),$C291*INDEX(SPPR!$E:$Z,MATCH($A291,SPPR!$A:$A,0),3),""),"")</f>
        <v/>
      </c>
      <c r="G291">
        <f>IFERROR(IF(ISNUMBER(INDEX(SPPR!$E:$Z,MATCH($A291,SPPR!$A:$A,0),4)),$C291*INDEX(SPPR!$E:$Z,MATCH($A291,SPPR!$A:$A,0),4),""),"")</f>
        <v/>
      </c>
      <c r="H291">
        <f>IFERROR(IF(ISNUMBER(INDEX(SPPR!$E:$Z,MATCH($A291,SPPR!$A:$A,0),5)),$C291*INDEX(SPPR!$E:$Z,MATCH($A291,SPPR!$A:$A,0),5),""),"")</f>
        <v/>
      </c>
      <c r="I291">
        <f>IFERROR(IF(ISNUMBER(INDEX(SPPR!$E:$Z,MATCH($A291,SPPR!$A:$A,0),6)),$C291*INDEX(SPPR!$E:$Z,MATCH($A291,SPPR!$A:$A,0),6),""),"")</f>
        <v/>
      </c>
      <c r="J291">
        <f>IFERROR(IF(ISNUMBER(INDEX(SPPR!$E:$Z,MATCH($A291,SPPR!$A:$A,0),7)),$C291*INDEX(SPPR!$E:$Z,MATCH($A291,SPPR!$A:$A,0),7),""),"")</f>
        <v/>
      </c>
      <c r="K291">
        <f>IFERROR(IF(ISNUMBER(INDEX(SPPR!$E:$Z,MATCH($A291,SPPR!$A:$A,0),8)),$C291*INDEX(SPPR!$E:$Z,MATCH($A291,SPPR!$A:$A,0),8),""),"")</f>
        <v/>
      </c>
      <c r="L291">
        <f>IFERROR(IF(ISNUMBER(INDEX(SPPR!$E:$Z,MATCH($A291,SPPR!$A:$A,0),9)),$C291*INDEX(SPPR!$E:$Z,MATCH($A291,SPPR!$A:$A,0),9),""),"")</f>
        <v/>
      </c>
      <c r="M291">
        <f>IFERROR(IF(ISNUMBER(INDEX(SPPR!$E:$Z,MATCH($A291,SPPR!$A:$A,0),10)),$C291*INDEX(SPPR!$E:$Z,MATCH($A291,SPPR!$A:$A,0),10),""),"")</f>
        <v/>
      </c>
      <c r="N291">
        <f>IFERROR(IF(ISNUMBER(INDEX(SPPR!$E:$Z,MATCH($A291,SPPR!$A:$A,0),11)),$C291*INDEX(SPPR!$E:$Z,MATCH($A291,SPPR!$A:$A,0),11),""),"")</f>
        <v/>
      </c>
      <c r="O291">
        <f>IFERROR(IF(ISNUMBER(INDEX(SPPR!$E:$Z,MATCH($A291,SPPR!$A:$A,0),12)),$C291*INDEX(SPPR!$E:$Z,MATCH($A291,SPPR!$A:$A,0),12),""),"")</f>
        <v/>
      </c>
      <c r="P291">
        <f>IFERROR(IF(ISNUMBER(INDEX(SPPR!$E:$Z,MATCH($A291,SPPR!$A:$A,0),13)),$C291*INDEX(SPPR!$E:$Z,MATCH($A291,SPPR!$A:$A,0),13),""),"")</f>
        <v/>
      </c>
      <c r="Q291">
        <f>IFERROR(IF(ISNUMBER(INDEX(SPPR!$E:$Z,MATCH($A291,SPPR!$A:$A,0),14)),$C291*INDEX(SPPR!$E:$Z,MATCH($A291,SPPR!$A:$A,0),14),""),"")</f>
        <v/>
      </c>
      <c r="R291">
        <f>IFERROR(IF(ISNUMBER(INDEX(SPPR!$E:$Z,MATCH($A291,SPPR!$A:$A,0),15)),$C291*INDEX(SPPR!$E:$Z,MATCH($A291,SPPR!$A:$A,0),15),""),"")</f>
        <v/>
      </c>
      <c r="S291">
        <f>IFERROR(IF(ISNUMBER(INDEX(SPPR!$E:$Z,MATCH($A291,SPPR!$A:$A,0),16)),$C291*INDEX(SPPR!$E:$Z,MATCH($A291,SPPR!$A:$A,0),16),""),"")</f>
        <v/>
      </c>
      <c r="T291">
        <f>IFERROR(IF(ISNUMBER(INDEX(SPPR!$E:$Z,MATCH($A291,SPPR!$A:$A,0),17)),$C291*INDEX(SPPR!$E:$Z,MATCH($A291,SPPR!$A:$A,0),17),""),"")</f>
        <v/>
      </c>
      <c r="U291">
        <f>IFERROR(IF(ISNUMBER(INDEX(SPPR!$E:$Z,MATCH($A291,SPPR!$A:$A,0),18)),$C291*INDEX(SPPR!$E:$Z,MATCH($A291,SPPR!$A:$A,0),18),""),"")</f>
        <v/>
      </c>
      <c r="V291">
        <f>IFERROR(IF(ISNUMBER(INDEX(SPPR!$E:$Z,MATCH($A291,SPPR!$A:$A,0),19)),$C291*INDEX(SPPR!$E:$Z,MATCH($A291,SPPR!$A:$A,0),19),""),"")</f>
        <v/>
      </c>
      <c r="W291">
        <f>IFERROR(IF(ISNUMBER(INDEX(SPPR!$E:$Z,MATCH($A291,SPPR!$A:$A,0),20)),$C291*INDEX(SPPR!$E:$Z,MATCH($A291,SPPR!$A:$A,0),20),""),"")</f>
        <v/>
      </c>
      <c r="X291">
        <f>IFERROR(IF(ISNUMBER(INDEX(SPPR!$E:$Z,MATCH($A291,SPPR!$A:$A,0),21)),$C291*INDEX(SPPR!$E:$Z,MATCH($A291,SPPR!$A:$A,0),21),""),"")</f>
        <v/>
      </c>
      <c r="Y291">
        <f>IFERROR(IF(ISNUMBER(INDEX(SPPR!$E:$Z,MATCH($A291,SPPR!$A:$A,0),22)),$C291*INDEX(SPPR!$E:$Z,MATCH($A291,SPPR!$A:$A,0),22),""),"")</f>
        <v/>
      </c>
    </row>
    <row r="292">
      <c r="A292" t="inlineStr">
        <is>
          <t>Makaira mazara</t>
        </is>
      </c>
      <c r="B292">
        <f>IFERROR(INDEX(SPPR!$D:$D,MATCH($A292,SPPR!$A:$A,0)),"")</f>
        <v/>
      </c>
      <c r="C292">
        <f>IFERROR(INDEX(Catch!$E:$BV,MATCH($A292,Catch!$A:$A,0),MATCH($B$4,Catch!$E$1:$BV$1,0)),0)</f>
        <v/>
      </c>
      <c r="D292">
        <f>IFERROR(IF(ISNUMBER(INDEX(SPPR!$E:$Z,MATCH($A292,SPPR!$A:$A,0),1)),$C292*INDEX(SPPR!$E:$Z,MATCH($A292,SPPR!$A:$A,0),1),""),"")</f>
        <v/>
      </c>
      <c r="E292">
        <f>IFERROR(IF(ISNUMBER(INDEX(SPPR!$E:$Z,MATCH($A292,SPPR!$A:$A,0),2)),$C292*INDEX(SPPR!$E:$Z,MATCH($A292,SPPR!$A:$A,0),2),""),"")</f>
        <v/>
      </c>
      <c r="F292">
        <f>IFERROR(IF(ISNUMBER(INDEX(SPPR!$E:$Z,MATCH($A292,SPPR!$A:$A,0),3)),$C292*INDEX(SPPR!$E:$Z,MATCH($A292,SPPR!$A:$A,0),3),""),"")</f>
        <v/>
      </c>
      <c r="G292">
        <f>IFERROR(IF(ISNUMBER(INDEX(SPPR!$E:$Z,MATCH($A292,SPPR!$A:$A,0),4)),$C292*INDEX(SPPR!$E:$Z,MATCH($A292,SPPR!$A:$A,0),4),""),"")</f>
        <v/>
      </c>
      <c r="H292">
        <f>IFERROR(IF(ISNUMBER(INDEX(SPPR!$E:$Z,MATCH($A292,SPPR!$A:$A,0),5)),$C292*INDEX(SPPR!$E:$Z,MATCH($A292,SPPR!$A:$A,0),5),""),"")</f>
        <v/>
      </c>
      <c r="I292">
        <f>IFERROR(IF(ISNUMBER(INDEX(SPPR!$E:$Z,MATCH($A292,SPPR!$A:$A,0),6)),$C292*INDEX(SPPR!$E:$Z,MATCH($A292,SPPR!$A:$A,0),6),""),"")</f>
        <v/>
      </c>
      <c r="J292">
        <f>IFERROR(IF(ISNUMBER(INDEX(SPPR!$E:$Z,MATCH($A292,SPPR!$A:$A,0),7)),$C292*INDEX(SPPR!$E:$Z,MATCH($A292,SPPR!$A:$A,0),7),""),"")</f>
        <v/>
      </c>
      <c r="K292">
        <f>IFERROR(IF(ISNUMBER(INDEX(SPPR!$E:$Z,MATCH($A292,SPPR!$A:$A,0),8)),$C292*INDEX(SPPR!$E:$Z,MATCH($A292,SPPR!$A:$A,0),8),""),"")</f>
        <v/>
      </c>
      <c r="L292">
        <f>IFERROR(IF(ISNUMBER(INDEX(SPPR!$E:$Z,MATCH($A292,SPPR!$A:$A,0),9)),$C292*INDEX(SPPR!$E:$Z,MATCH($A292,SPPR!$A:$A,0),9),""),"")</f>
        <v/>
      </c>
      <c r="M292">
        <f>IFERROR(IF(ISNUMBER(INDEX(SPPR!$E:$Z,MATCH($A292,SPPR!$A:$A,0),10)),$C292*INDEX(SPPR!$E:$Z,MATCH($A292,SPPR!$A:$A,0),10),""),"")</f>
        <v/>
      </c>
      <c r="N292">
        <f>IFERROR(IF(ISNUMBER(INDEX(SPPR!$E:$Z,MATCH($A292,SPPR!$A:$A,0),11)),$C292*INDEX(SPPR!$E:$Z,MATCH($A292,SPPR!$A:$A,0),11),""),"")</f>
        <v/>
      </c>
      <c r="O292">
        <f>IFERROR(IF(ISNUMBER(INDEX(SPPR!$E:$Z,MATCH($A292,SPPR!$A:$A,0),12)),$C292*INDEX(SPPR!$E:$Z,MATCH($A292,SPPR!$A:$A,0),12),""),"")</f>
        <v/>
      </c>
      <c r="P292">
        <f>IFERROR(IF(ISNUMBER(INDEX(SPPR!$E:$Z,MATCH($A292,SPPR!$A:$A,0),13)),$C292*INDEX(SPPR!$E:$Z,MATCH($A292,SPPR!$A:$A,0),13),""),"")</f>
        <v/>
      </c>
      <c r="Q292">
        <f>IFERROR(IF(ISNUMBER(INDEX(SPPR!$E:$Z,MATCH($A292,SPPR!$A:$A,0),14)),$C292*INDEX(SPPR!$E:$Z,MATCH($A292,SPPR!$A:$A,0),14),""),"")</f>
        <v/>
      </c>
      <c r="R292">
        <f>IFERROR(IF(ISNUMBER(INDEX(SPPR!$E:$Z,MATCH($A292,SPPR!$A:$A,0),15)),$C292*INDEX(SPPR!$E:$Z,MATCH($A292,SPPR!$A:$A,0),15),""),"")</f>
        <v/>
      </c>
      <c r="S292">
        <f>IFERROR(IF(ISNUMBER(INDEX(SPPR!$E:$Z,MATCH($A292,SPPR!$A:$A,0),16)),$C292*INDEX(SPPR!$E:$Z,MATCH($A292,SPPR!$A:$A,0),16),""),"")</f>
        <v/>
      </c>
      <c r="T292">
        <f>IFERROR(IF(ISNUMBER(INDEX(SPPR!$E:$Z,MATCH($A292,SPPR!$A:$A,0),17)),$C292*INDEX(SPPR!$E:$Z,MATCH($A292,SPPR!$A:$A,0),17),""),"")</f>
        <v/>
      </c>
      <c r="U292">
        <f>IFERROR(IF(ISNUMBER(INDEX(SPPR!$E:$Z,MATCH($A292,SPPR!$A:$A,0),18)),$C292*INDEX(SPPR!$E:$Z,MATCH($A292,SPPR!$A:$A,0),18),""),"")</f>
        <v/>
      </c>
      <c r="V292">
        <f>IFERROR(IF(ISNUMBER(INDEX(SPPR!$E:$Z,MATCH($A292,SPPR!$A:$A,0),19)),$C292*INDEX(SPPR!$E:$Z,MATCH($A292,SPPR!$A:$A,0),19),""),"")</f>
        <v/>
      </c>
      <c r="W292">
        <f>IFERROR(IF(ISNUMBER(INDEX(SPPR!$E:$Z,MATCH($A292,SPPR!$A:$A,0),20)),$C292*INDEX(SPPR!$E:$Z,MATCH($A292,SPPR!$A:$A,0),20),""),"")</f>
        <v/>
      </c>
      <c r="X292">
        <f>IFERROR(IF(ISNUMBER(INDEX(SPPR!$E:$Z,MATCH($A292,SPPR!$A:$A,0),21)),$C292*INDEX(SPPR!$E:$Z,MATCH($A292,SPPR!$A:$A,0),21),""),"")</f>
        <v/>
      </c>
      <c r="Y292">
        <f>IFERROR(IF(ISNUMBER(INDEX(SPPR!$E:$Z,MATCH($A292,SPPR!$A:$A,0),22)),$C292*INDEX(SPPR!$E:$Z,MATCH($A292,SPPR!$A:$A,0),22),""),"")</f>
        <v/>
      </c>
    </row>
    <row r="293">
      <c r="A293" t="inlineStr">
        <is>
          <t>Hilsa kelee</t>
        </is>
      </c>
      <c r="B293">
        <f>IFERROR(INDEX(SPPR!$D:$D,MATCH($A293,SPPR!$A:$A,0)),"")</f>
        <v/>
      </c>
      <c r="C293">
        <f>IFERROR(INDEX(Catch!$E:$BV,MATCH($A293,Catch!$A:$A,0),MATCH($B$4,Catch!$E$1:$BV$1,0)),0)</f>
        <v/>
      </c>
      <c r="D293">
        <f>IFERROR(IF(ISNUMBER(INDEX(SPPR!$E:$Z,MATCH($A293,SPPR!$A:$A,0),1)),$C293*INDEX(SPPR!$E:$Z,MATCH($A293,SPPR!$A:$A,0),1),""),"")</f>
        <v/>
      </c>
      <c r="E293">
        <f>IFERROR(IF(ISNUMBER(INDEX(SPPR!$E:$Z,MATCH($A293,SPPR!$A:$A,0),2)),$C293*INDEX(SPPR!$E:$Z,MATCH($A293,SPPR!$A:$A,0),2),""),"")</f>
        <v/>
      </c>
      <c r="F293">
        <f>IFERROR(IF(ISNUMBER(INDEX(SPPR!$E:$Z,MATCH($A293,SPPR!$A:$A,0),3)),$C293*INDEX(SPPR!$E:$Z,MATCH($A293,SPPR!$A:$A,0),3),""),"")</f>
        <v/>
      </c>
      <c r="G293">
        <f>IFERROR(IF(ISNUMBER(INDEX(SPPR!$E:$Z,MATCH($A293,SPPR!$A:$A,0),4)),$C293*INDEX(SPPR!$E:$Z,MATCH($A293,SPPR!$A:$A,0),4),""),"")</f>
        <v/>
      </c>
      <c r="H293">
        <f>IFERROR(IF(ISNUMBER(INDEX(SPPR!$E:$Z,MATCH($A293,SPPR!$A:$A,0),5)),$C293*INDEX(SPPR!$E:$Z,MATCH($A293,SPPR!$A:$A,0),5),""),"")</f>
        <v/>
      </c>
      <c r="I293">
        <f>IFERROR(IF(ISNUMBER(INDEX(SPPR!$E:$Z,MATCH($A293,SPPR!$A:$A,0),6)),$C293*INDEX(SPPR!$E:$Z,MATCH($A293,SPPR!$A:$A,0),6),""),"")</f>
        <v/>
      </c>
      <c r="J293">
        <f>IFERROR(IF(ISNUMBER(INDEX(SPPR!$E:$Z,MATCH($A293,SPPR!$A:$A,0),7)),$C293*INDEX(SPPR!$E:$Z,MATCH($A293,SPPR!$A:$A,0),7),""),"")</f>
        <v/>
      </c>
      <c r="K293">
        <f>IFERROR(IF(ISNUMBER(INDEX(SPPR!$E:$Z,MATCH($A293,SPPR!$A:$A,0),8)),$C293*INDEX(SPPR!$E:$Z,MATCH($A293,SPPR!$A:$A,0),8),""),"")</f>
        <v/>
      </c>
      <c r="L293">
        <f>IFERROR(IF(ISNUMBER(INDEX(SPPR!$E:$Z,MATCH($A293,SPPR!$A:$A,0),9)),$C293*INDEX(SPPR!$E:$Z,MATCH($A293,SPPR!$A:$A,0),9),""),"")</f>
        <v/>
      </c>
      <c r="M293">
        <f>IFERROR(IF(ISNUMBER(INDEX(SPPR!$E:$Z,MATCH($A293,SPPR!$A:$A,0),10)),$C293*INDEX(SPPR!$E:$Z,MATCH($A293,SPPR!$A:$A,0),10),""),"")</f>
        <v/>
      </c>
      <c r="N293">
        <f>IFERROR(IF(ISNUMBER(INDEX(SPPR!$E:$Z,MATCH($A293,SPPR!$A:$A,0),11)),$C293*INDEX(SPPR!$E:$Z,MATCH($A293,SPPR!$A:$A,0),11),""),"")</f>
        <v/>
      </c>
      <c r="O293">
        <f>IFERROR(IF(ISNUMBER(INDEX(SPPR!$E:$Z,MATCH($A293,SPPR!$A:$A,0),12)),$C293*INDEX(SPPR!$E:$Z,MATCH($A293,SPPR!$A:$A,0),12),""),"")</f>
        <v/>
      </c>
      <c r="P293">
        <f>IFERROR(IF(ISNUMBER(INDEX(SPPR!$E:$Z,MATCH($A293,SPPR!$A:$A,0),13)),$C293*INDEX(SPPR!$E:$Z,MATCH($A293,SPPR!$A:$A,0),13),""),"")</f>
        <v/>
      </c>
      <c r="Q293">
        <f>IFERROR(IF(ISNUMBER(INDEX(SPPR!$E:$Z,MATCH($A293,SPPR!$A:$A,0),14)),$C293*INDEX(SPPR!$E:$Z,MATCH($A293,SPPR!$A:$A,0),14),""),"")</f>
        <v/>
      </c>
      <c r="R293">
        <f>IFERROR(IF(ISNUMBER(INDEX(SPPR!$E:$Z,MATCH($A293,SPPR!$A:$A,0),15)),$C293*INDEX(SPPR!$E:$Z,MATCH($A293,SPPR!$A:$A,0),15),""),"")</f>
        <v/>
      </c>
      <c r="S293">
        <f>IFERROR(IF(ISNUMBER(INDEX(SPPR!$E:$Z,MATCH($A293,SPPR!$A:$A,0),16)),$C293*INDEX(SPPR!$E:$Z,MATCH($A293,SPPR!$A:$A,0),16),""),"")</f>
        <v/>
      </c>
      <c r="T293">
        <f>IFERROR(IF(ISNUMBER(INDEX(SPPR!$E:$Z,MATCH($A293,SPPR!$A:$A,0),17)),$C293*INDEX(SPPR!$E:$Z,MATCH($A293,SPPR!$A:$A,0),17),""),"")</f>
        <v/>
      </c>
      <c r="U293">
        <f>IFERROR(IF(ISNUMBER(INDEX(SPPR!$E:$Z,MATCH($A293,SPPR!$A:$A,0),18)),$C293*INDEX(SPPR!$E:$Z,MATCH($A293,SPPR!$A:$A,0),18),""),"")</f>
        <v/>
      </c>
      <c r="V293">
        <f>IFERROR(IF(ISNUMBER(INDEX(SPPR!$E:$Z,MATCH($A293,SPPR!$A:$A,0),19)),$C293*INDEX(SPPR!$E:$Z,MATCH($A293,SPPR!$A:$A,0),19),""),"")</f>
        <v/>
      </c>
      <c r="W293">
        <f>IFERROR(IF(ISNUMBER(INDEX(SPPR!$E:$Z,MATCH($A293,SPPR!$A:$A,0),20)),$C293*INDEX(SPPR!$E:$Z,MATCH($A293,SPPR!$A:$A,0),20),""),"")</f>
        <v/>
      </c>
      <c r="X293">
        <f>IFERROR(IF(ISNUMBER(INDEX(SPPR!$E:$Z,MATCH($A293,SPPR!$A:$A,0),21)),$C293*INDEX(SPPR!$E:$Z,MATCH($A293,SPPR!$A:$A,0),21),""),"")</f>
        <v/>
      </c>
      <c r="Y293">
        <f>IFERROR(IF(ISNUMBER(INDEX(SPPR!$E:$Z,MATCH($A293,SPPR!$A:$A,0),22)),$C293*INDEX(SPPR!$E:$Z,MATCH($A293,SPPR!$A:$A,0),22),""),"")</f>
        <v/>
      </c>
    </row>
    <row r="294">
      <c r="A294" t="inlineStr">
        <is>
          <t>Tenualosa toli</t>
        </is>
      </c>
      <c r="B294">
        <f>IFERROR(INDEX(SPPR!$D:$D,MATCH($A294,SPPR!$A:$A,0)),"")</f>
        <v/>
      </c>
      <c r="C294">
        <f>IFERROR(INDEX(Catch!$E:$BV,MATCH($A294,Catch!$A:$A,0),MATCH($B$4,Catch!$E$1:$BV$1,0)),0)</f>
        <v/>
      </c>
      <c r="D294">
        <f>IFERROR(IF(ISNUMBER(INDEX(SPPR!$E:$Z,MATCH($A294,SPPR!$A:$A,0),1)),$C294*INDEX(SPPR!$E:$Z,MATCH($A294,SPPR!$A:$A,0),1),""),"")</f>
        <v/>
      </c>
      <c r="E294">
        <f>IFERROR(IF(ISNUMBER(INDEX(SPPR!$E:$Z,MATCH($A294,SPPR!$A:$A,0),2)),$C294*INDEX(SPPR!$E:$Z,MATCH($A294,SPPR!$A:$A,0),2),""),"")</f>
        <v/>
      </c>
      <c r="F294">
        <f>IFERROR(IF(ISNUMBER(INDEX(SPPR!$E:$Z,MATCH($A294,SPPR!$A:$A,0),3)),$C294*INDEX(SPPR!$E:$Z,MATCH($A294,SPPR!$A:$A,0),3),""),"")</f>
        <v/>
      </c>
      <c r="G294">
        <f>IFERROR(IF(ISNUMBER(INDEX(SPPR!$E:$Z,MATCH($A294,SPPR!$A:$A,0),4)),$C294*INDEX(SPPR!$E:$Z,MATCH($A294,SPPR!$A:$A,0),4),""),"")</f>
        <v/>
      </c>
      <c r="H294">
        <f>IFERROR(IF(ISNUMBER(INDEX(SPPR!$E:$Z,MATCH($A294,SPPR!$A:$A,0),5)),$C294*INDEX(SPPR!$E:$Z,MATCH($A294,SPPR!$A:$A,0),5),""),"")</f>
        <v/>
      </c>
      <c r="I294">
        <f>IFERROR(IF(ISNUMBER(INDEX(SPPR!$E:$Z,MATCH($A294,SPPR!$A:$A,0),6)),$C294*INDEX(SPPR!$E:$Z,MATCH($A294,SPPR!$A:$A,0),6),""),"")</f>
        <v/>
      </c>
      <c r="J294">
        <f>IFERROR(IF(ISNUMBER(INDEX(SPPR!$E:$Z,MATCH($A294,SPPR!$A:$A,0),7)),$C294*INDEX(SPPR!$E:$Z,MATCH($A294,SPPR!$A:$A,0),7),""),"")</f>
        <v/>
      </c>
      <c r="K294">
        <f>IFERROR(IF(ISNUMBER(INDEX(SPPR!$E:$Z,MATCH($A294,SPPR!$A:$A,0),8)),$C294*INDEX(SPPR!$E:$Z,MATCH($A294,SPPR!$A:$A,0),8),""),"")</f>
        <v/>
      </c>
      <c r="L294">
        <f>IFERROR(IF(ISNUMBER(INDEX(SPPR!$E:$Z,MATCH($A294,SPPR!$A:$A,0),9)),$C294*INDEX(SPPR!$E:$Z,MATCH($A294,SPPR!$A:$A,0),9),""),"")</f>
        <v/>
      </c>
      <c r="M294">
        <f>IFERROR(IF(ISNUMBER(INDEX(SPPR!$E:$Z,MATCH($A294,SPPR!$A:$A,0),10)),$C294*INDEX(SPPR!$E:$Z,MATCH($A294,SPPR!$A:$A,0),10),""),"")</f>
        <v/>
      </c>
      <c r="N294">
        <f>IFERROR(IF(ISNUMBER(INDEX(SPPR!$E:$Z,MATCH($A294,SPPR!$A:$A,0),11)),$C294*INDEX(SPPR!$E:$Z,MATCH($A294,SPPR!$A:$A,0),11),""),"")</f>
        <v/>
      </c>
      <c r="O294">
        <f>IFERROR(IF(ISNUMBER(INDEX(SPPR!$E:$Z,MATCH($A294,SPPR!$A:$A,0),12)),$C294*INDEX(SPPR!$E:$Z,MATCH($A294,SPPR!$A:$A,0),12),""),"")</f>
        <v/>
      </c>
      <c r="P294">
        <f>IFERROR(IF(ISNUMBER(INDEX(SPPR!$E:$Z,MATCH($A294,SPPR!$A:$A,0),13)),$C294*INDEX(SPPR!$E:$Z,MATCH($A294,SPPR!$A:$A,0),13),""),"")</f>
        <v/>
      </c>
      <c r="Q294">
        <f>IFERROR(IF(ISNUMBER(INDEX(SPPR!$E:$Z,MATCH($A294,SPPR!$A:$A,0),14)),$C294*INDEX(SPPR!$E:$Z,MATCH($A294,SPPR!$A:$A,0),14),""),"")</f>
        <v/>
      </c>
      <c r="R294">
        <f>IFERROR(IF(ISNUMBER(INDEX(SPPR!$E:$Z,MATCH($A294,SPPR!$A:$A,0),15)),$C294*INDEX(SPPR!$E:$Z,MATCH($A294,SPPR!$A:$A,0),15),""),"")</f>
        <v/>
      </c>
      <c r="S294">
        <f>IFERROR(IF(ISNUMBER(INDEX(SPPR!$E:$Z,MATCH($A294,SPPR!$A:$A,0),16)),$C294*INDEX(SPPR!$E:$Z,MATCH($A294,SPPR!$A:$A,0),16),""),"")</f>
        <v/>
      </c>
      <c r="T294">
        <f>IFERROR(IF(ISNUMBER(INDEX(SPPR!$E:$Z,MATCH($A294,SPPR!$A:$A,0),17)),$C294*INDEX(SPPR!$E:$Z,MATCH($A294,SPPR!$A:$A,0),17),""),"")</f>
        <v/>
      </c>
      <c r="U294">
        <f>IFERROR(IF(ISNUMBER(INDEX(SPPR!$E:$Z,MATCH($A294,SPPR!$A:$A,0),18)),$C294*INDEX(SPPR!$E:$Z,MATCH($A294,SPPR!$A:$A,0),18),""),"")</f>
        <v/>
      </c>
      <c r="V294">
        <f>IFERROR(IF(ISNUMBER(INDEX(SPPR!$E:$Z,MATCH($A294,SPPR!$A:$A,0),19)),$C294*INDEX(SPPR!$E:$Z,MATCH($A294,SPPR!$A:$A,0),19),""),"")</f>
        <v/>
      </c>
      <c r="W294">
        <f>IFERROR(IF(ISNUMBER(INDEX(SPPR!$E:$Z,MATCH($A294,SPPR!$A:$A,0),20)),$C294*INDEX(SPPR!$E:$Z,MATCH($A294,SPPR!$A:$A,0),20),""),"")</f>
        <v/>
      </c>
      <c r="X294">
        <f>IFERROR(IF(ISNUMBER(INDEX(SPPR!$E:$Z,MATCH($A294,SPPR!$A:$A,0),21)),$C294*INDEX(SPPR!$E:$Z,MATCH($A294,SPPR!$A:$A,0),21),""),"")</f>
        <v/>
      </c>
      <c r="Y294">
        <f>IFERROR(IF(ISNUMBER(INDEX(SPPR!$E:$Z,MATCH($A294,SPPR!$A:$A,0),22)),$C294*INDEX(SPPR!$E:$Z,MATCH($A294,SPPR!$A:$A,0),22),""),"")</f>
        <v/>
      </c>
    </row>
    <row r="295">
      <c r="A295" t="inlineStr">
        <is>
          <t>Scatophagus argus</t>
        </is>
      </c>
      <c r="B295">
        <f>IFERROR(INDEX(SPPR!$D:$D,MATCH($A295,SPPR!$A:$A,0)),"")</f>
        <v/>
      </c>
      <c r="C295">
        <f>IFERROR(INDEX(Catch!$E:$BV,MATCH($A295,Catch!$A:$A,0),MATCH($B$4,Catch!$E$1:$BV$1,0)),0)</f>
        <v/>
      </c>
      <c r="D295">
        <f>IFERROR(IF(ISNUMBER(INDEX(SPPR!$E:$Z,MATCH($A295,SPPR!$A:$A,0),1)),$C295*INDEX(SPPR!$E:$Z,MATCH($A295,SPPR!$A:$A,0),1),""),"")</f>
        <v/>
      </c>
      <c r="E295">
        <f>IFERROR(IF(ISNUMBER(INDEX(SPPR!$E:$Z,MATCH($A295,SPPR!$A:$A,0),2)),$C295*INDEX(SPPR!$E:$Z,MATCH($A295,SPPR!$A:$A,0),2),""),"")</f>
        <v/>
      </c>
      <c r="F295">
        <f>IFERROR(IF(ISNUMBER(INDEX(SPPR!$E:$Z,MATCH($A295,SPPR!$A:$A,0),3)),$C295*INDEX(SPPR!$E:$Z,MATCH($A295,SPPR!$A:$A,0),3),""),"")</f>
        <v/>
      </c>
      <c r="G295">
        <f>IFERROR(IF(ISNUMBER(INDEX(SPPR!$E:$Z,MATCH($A295,SPPR!$A:$A,0),4)),$C295*INDEX(SPPR!$E:$Z,MATCH($A295,SPPR!$A:$A,0),4),""),"")</f>
        <v/>
      </c>
      <c r="H295">
        <f>IFERROR(IF(ISNUMBER(INDEX(SPPR!$E:$Z,MATCH($A295,SPPR!$A:$A,0),5)),$C295*INDEX(SPPR!$E:$Z,MATCH($A295,SPPR!$A:$A,0),5),""),"")</f>
        <v/>
      </c>
      <c r="I295">
        <f>IFERROR(IF(ISNUMBER(INDEX(SPPR!$E:$Z,MATCH($A295,SPPR!$A:$A,0),6)),$C295*INDEX(SPPR!$E:$Z,MATCH($A295,SPPR!$A:$A,0),6),""),"")</f>
        <v/>
      </c>
      <c r="J295">
        <f>IFERROR(IF(ISNUMBER(INDEX(SPPR!$E:$Z,MATCH($A295,SPPR!$A:$A,0),7)),$C295*INDEX(SPPR!$E:$Z,MATCH($A295,SPPR!$A:$A,0),7),""),"")</f>
        <v/>
      </c>
      <c r="K295">
        <f>IFERROR(IF(ISNUMBER(INDEX(SPPR!$E:$Z,MATCH($A295,SPPR!$A:$A,0),8)),$C295*INDEX(SPPR!$E:$Z,MATCH($A295,SPPR!$A:$A,0),8),""),"")</f>
        <v/>
      </c>
      <c r="L295">
        <f>IFERROR(IF(ISNUMBER(INDEX(SPPR!$E:$Z,MATCH($A295,SPPR!$A:$A,0),9)),$C295*INDEX(SPPR!$E:$Z,MATCH($A295,SPPR!$A:$A,0),9),""),"")</f>
        <v/>
      </c>
      <c r="M295">
        <f>IFERROR(IF(ISNUMBER(INDEX(SPPR!$E:$Z,MATCH($A295,SPPR!$A:$A,0),10)),$C295*INDEX(SPPR!$E:$Z,MATCH($A295,SPPR!$A:$A,0),10),""),"")</f>
        <v/>
      </c>
      <c r="N295">
        <f>IFERROR(IF(ISNUMBER(INDEX(SPPR!$E:$Z,MATCH($A295,SPPR!$A:$A,0),11)),$C295*INDEX(SPPR!$E:$Z,MATCH($A295,SPPR!$A:$A,0),11),""),"")</f>
        <v/>
      </c>
      <c r="O295">
        <f>IFERROR(IF(ISNUMBER(INDEX(SPPR!$E:$Z,MATCH($A295,SPPR!$A:$A,0),12)),$C295*INDEX(SPPR!$E:$Z,MATCH($A295,SPPR!$A:$A,0),12),""),"")</f>
        <v/>
      </c>
      <c r="P295">
        <f>IFERROR(IF(ISNUMBER(INDEX(SPPR!$E:$Z,MATCH($A295,SPPR!$A:$A,0),13)),$C295*INDEX(SPPR!$E:$Z,MATCH($A295,SPPR!$A:$A,0),13),""),"")</f>
        <v/>
      </c>
      <c r="Q295">
        <f>IFERROR(IF(ISNUMBER(INDEX(SPPR!$E:$Z,MATCH($A295,SPPR!$A:$A,0),14)),$C295*INDEX(SPPR!$E:$Z,MATCH($A295,SPPR!$A:$A,0),14),""),"")</f>
        <v/>
      </c>
      <c r="R295">
        <f>IFERROR(IF(ISNUMBER(INDEX(SPPR!$E:$Z,MATCH($A295,SPPR!$A:$A,0),15)),$C295*INDEX(SPPR!$E:$Z,MATCH($A295,SPPR!$A:$A,0),15),""),"")</f>
        <v/>
      </c>
      <c r="S295">
        <f>IFERROR(IF(ISNUMBER(INDEX(SPPR!$E:$Z,MATCH($A295,SPPR!$A:$A,0),16)),$C295*INDEX(SPPR!$E:$Z,MATCH($A295,SPPR!$A:$A,0),16),""),"")</f>
        <v/>
      </c>
      <c r="T295">
        <f>IFERROR(IF(ISNUMBER(INDEX(SPPR!$E:$Z,MATCH($A295,SPPR!$A:$A,0),17)),$C295*INDEX(SPPR!$E:$Z,MATCH($A295,SPPR!$A:$A,0),17),""),"")</f>
        <v/>
      </c>
      <c r="U295">
        <f>IFERROR(IF(ISNUMBER(INDEX(SPPR!$E:$Z,MATCH($A295,SPPR!$A:$A,0),18)),$C295*INDEX(SPPR!$E:$Z,MATCH($A295,SPPR!$A:$A,0),18),""),"")</f>
        <v/>
      </c>
      <c r="V295">
        <f>IFERROR(IF(ISNUMBER(INDEX(SPPR!$E:$Z,MATCH($A295,SPPR!$A:$A,0),19)),$C295*INDEX(SPPR!$E:$Z,MATCH($A295,SPPR!$A:$A,0),19),""),"")</f>
        <v/>
      </c>
      <c r="W295">
        <f>IFERROR(IF(ISNUMBER(INDEX(SPPR!$E:$Z,MATCH($A295,SPPR!$A:$A,0),20)),$C295*INDEX(SPPR!$E:$Z,MATCH($A295,SPPR!$A:$A,0),20),""),"")</f>
        <v/>
      </c>
      <c r="X295">
        <f>IFERROR(IF(ISNUMBER(INDEX(SPPR!$E:$Z,MATCH($A295,SPPR!$A:$A,0),21)),$C295*INDEX(SPPR!$E:$Z,MATCH($A295,SPPR!$A:$A,0),21),""),"")</f>
        <v/>
      </c>
      <c r="Y295">
        <f>IFERROR(IF(ISNUMBER(INDEX(SPPR!$E:$Z,MATCH($A295,SPPR!$A:$A,0),22)),$C295*INDEX(SPPR!$E:$Z,MATCH($A295,SPPR!$A:$A,0),22),""),"")</f>
        <v/>
      </c>
    </row>
    <row r="296">
      <c r="A296" t="inlineStr">
        <is>
          <t>Lobotes surinamensis</t>
        </is>
      </c>
      <c r="B296">
        <f>IFERROR(INDEX(SPPR!$D:$D,MATCH($A296,SPPR!$A:$A,0)),"")</f>
        <v/>
      </c>
      <c r="C296">
        <f>IFERROR(INDEX(Catch!$E:$BV,MATCH($A296,Catch!$A:$A,0),MATCH($B$4,Catch!$E$1:$BV$1,0)),0)</f>
        <v/>
      </c>
      <c r="D296">
        <f>IFERROR(IF(ISNUMBER(INDEX(SPPR!$E:$Z,MATCH($A296,SPPR!$A:$A,0),1)),$C296*INDEX(SPPR!$E:$Z,MATCH($A296,SPPR!$A:$A,0),1),""),"")</f>
        <v/>
      </c>
      <c r="E296">
        <f>IFERROR(IF(ISNUMBER(INDEX(SPPR!$E:$Z,MATCH($A296,SPPR!$A:$A,0),2)),$C296*INDEX(SPPR!$E:$Z,MATCH($A296,SPPR!$A:$A,0),2),""),"")</f>
        <v/>
      </c>
      <c r="F296">
        <f>IFERROR(IF(ISNUMBER(INDEX(SPPR!$E:$Z,MATCH($A296,SPPR!$A:$A,0),3)),$C296*INDEX(SPPR!$E:$Z,MATCH($A296,SPPR!$A:$A,0),3),""),"")</f>
        <v/>
      </c>
      <c r="G296">
        <f>IFERROR(IF(ISNUMBER(INDEX(SPPR!$E:$Z,MATCH($A296,SPPR!$A:$A,0),4)),$C296*INDEX(SPPR!$E:$Z,MATCH($A296,SPPR!$A:$A,0),4),""),"")</f>
        <v/>
      </c>
      <c r="H296">
        <f>IFERROR(IF(ISNUMBER(INDEX(SPPR!$E:$Z,MATCH($A296,SPPR!$A:$A,0),5)),$C296*INDEX(SPPR!$E:$Z,MATCH($A296,SPPR!$A:$A,0),5),""),"")</f>
        <v/>
      </c>
      <c r="I296">
        <f>IFERROR(IF(ISNUMBER(INDEX(SPPR!$E:$Z,MATCH($A296,SPPR!$A:$A,0),6)),$C296*INDEX(SPPR!$E:$Z,MATCH($A296,SPPR!$A:$A,0),6),""),"")</f>
        <v/>
      </c>
      <c r="J296">
        <f>IFERROR(IF(ISNUMBER(INDEX(SPPR!$E:$Z,MATCH($A296,SPPR!$A:$A,0),7)),$C296*INDEX(SPPR!$E:$Z,MATCH($A296,SPPR!$A:$A,0),7),""),"")</f>
        <v/>
      </c>
      <c r="K296">
        <f>IFERROR(IF(ISNUMBER(INDEX(SPPR!$E:$Z,MATCH($A296,SPPR!$A:$A,0),8)),$C296*INDEX(SPPR!$E:$Z,MATCH($A296,SPPR!$A:$A,0),8),""),"")</f>
        <v/>
      </c>
      <c r="L296">
        <f>IFERROR(IF(ISNUMBER(INDEX(SPPR!$E:$Z,MATCH($A296,SPPR!$A:$A,0),9)),$C296*INDEX(SPPR!$E:$Z,MATCH($A296,SPPR!$A:$A,0),9),""),"")</f>
        <v/>
      </c>
      <c r="M296">
        <f>IFERROR(IF(ISNUMBER(INDEX(SPPR!$E:$Z,MATCH($A296,SPPR!$A:$A,0),10)),$C296*INDEX(SPPR!$E:$Z,MATCH($A296,SPPR!$A:$A,0),10),""),"")</f>
        <v/>
      </c>
      <c r="N296">
        <f>IFERROR(IF(ISNUMBER(INDEX(SPPR!$E:$Z,MATCH($A296,SPPR!$A:$A,0),11)),$C296*INDEX(SPPR!$E:$Z,MATCH($A296,SPPR!$A:$A,0),11),""),"")</f>
        <v/>
      </c>
      <c r="O296">
        <f>IFERROR(IF(ISNUMBER(INDEX(SPPR!$E:$Z,MATCH($A296,SPPR!$A:$A,0),12)),$C296*INDEX(SPPR!$E:$Z,MATCH($A296,SPPR!$A:$A,0),12),""),"")</f>
        <v/>
      </c>
      <c r="P296">
        <f>IFERROR(IF(ISNUMBER(INDEX(SPPR!$E:$Z,MATCH($A296,SPPR!$A:$A,0),13)),$C296*INDEX(SPPR!$E:$Z,MATCH($A296,SPPR!$A:$A,0),13),""),"")</f>
        <v/>
      </c>
      <c r="Q296">
        <f>IFERROR(IF(ISNUMBER(INDEX(SPPR!$E:$Z,MATCH($A296,SPPR!$A:$A,0),14)),$C296*INDEX(SPPR!$E:$Z,MATCH($A296,SPPR!$A:$A,0),14),""),"")</f>
        <v/>
      </c>
      <c r="R296">
        <f>IFERROR(IF(ISNUMBER(INDEX(SPPR!$E:$Z,MATCH($A296,SPPR!$A:$A,0),15)),$C296*INDEX(SPPR!$E:$Z,MATCH($A296,SPPR!$A:$A,0),15),""),"")</f>
        <v/>
      </c>
      <c r="S296">
        <f>IFERROR(IF(ISNUMBER(INDEX(SPPR!$E:$Z,MATCH($A296,SPPR!$A:$A,0),16)),$C296*INDEX(SPPR!$E:$Z,MATCH($A296,SPPR!$A:$A,0),16),""),"")</f>
        <v/>
      </c>
      <c r="T296">
        <f>IFERROR(IF(ISNUMBER(INDEX(SPPR!$E:$Z,MATCH($A296,SPPR!$A:$A,0),17)),$C296*INDEX(SPPR!$E:$Z,MATCH($A296,SPPR!$A:$A,0),17),""),"")</f>
        <v/>
      </c>
      <c r="U296">
        <f>IFERROR(IF(ISNUMBER(INDEX(SPPR!$E:$Z,MATCH($A296,SPPR!$A:$A,0),18)),$C296*INDEX(SPPR!$E:$Z,MATCH($A296,SPPR!$A:$A,0),18),""),"")</f>
        <v/>
      </c>
      <c r="V296">
        <f>IFERROR(IF(ISNUMBER(INDEX(SPPR!$E:$Z,MATCH($A296,SPPR!$A:$A,0),19)),$C296*INDEX(SPPR!$E:$Z,MATCH($A296,SPPR!$A:$A,0),19),""),"")</f>
        <v/>
      </c>
      <c r="W296">
        <f>IFERROR(IF(ISNUMBER(INDEX(SPPR!$E:$Z,MATCH($A296,SPPR!$A:$A,0),20)),$C296*INDEX(SPPR!$E:$Z,MATCH($A296,SPPR!$A:$A,0),20),""),"")</f>
        <v/>
      </c>
      <c r="X296">
        <f>IFERROR(IF(ISNUMBER(INDEX(SPPR!$E:$Z,MATCH($A296,SPPR!$A:$A,0),21)),$C296*INDEX(SPPR!$E:$Z,MATCH($A296,SPPR!$A:$A,0),21),""),"")</f>
        <v/>
      </c>
      <c r="Y296">
        <f>IFERROR(IF(ISNUMBER(INDEX(SPPR!$E:$Z,MATCH($A296,SPPR!$A:$A,0),22)),$C296*INDEX(SPPR!$E:$Z,MATCH($A296,SPPR!$A:$A,0),22),""),"")</f>
        <v/>
      </c>
    </row>
    <row r="297">
      <c r="A297" t="inlineStr">
        <is>
          <t>Megalops cyprinoides</t>
        </is>
      </c>
      <c r="B297">
        <f>IFERROR(INDEX(SPPR!$D:$D,MATCH($A297,SPPR!$A:$A,0)),"")</f>
        <v/>
      </c>
      <c r="C297">
        <f>IFERROR(INDEX(Catch!$E:$BV,MATCH($A297,Catch!$A:$A,0),MATCH($B$4,Catch!$E$1:$BV$1,0)),0)</f>
        <v/>
      </c>
      <c r="D297">
        <f>IFERROR(IF(ISNUMBER(INDEX(SPPR!$E:$Z,MATCH($A297,SPPR!$A:$A,0),1)),$C297*INDEX(SPPR!$E:$Z,MATCH($A297,SPPR!$A:$A,0),1),""),"")</f>
        <v/>
      </c>
      <c r="E297">
        <f>IFERROR(IF(ISNUMBER(INDEX(SPPR!$E:$Z,MATCH($A297,SPPR!$A:$A,0),2)),$C297*INDEX(SPPR!$E:$Z,MATCH($A297,SPPR!$A:$A,0),2),""),"")</f>
        <v/>
      </c>
      <c r="F297">
        <f>IFERROR(IF(ISNUMBER(INDEX(SPPR!$E:$Z,MATCH($A297,SPPR!$A:$A,0),3)),$C297*INDEX(SPPR!$E:$Z,MATCH($A297,SPPR!$A:$A,0),3),""),"")</f>
        <v/>
      </c>
      <c r="G297">
        <f>IFERROR(IF(ISNUMBER(INDEX(SPPR!$E:$Z,MATCH($A297,SPPR!$A:$A,0),4)),$C297*INDEX(SPPR!$E:$Z,MATCH($A297,SPPR!$A:$A,0),4),""),"")</f>
        <v/>
      </c>
      <c r="H297">
        <f>IFERROR(IF(ISNUMBER(INDEX(SPPR!$E:$Z,MATCH($A297,SPPR!$A:$A,0),5)),$C297*INDEX(SPPR!$E:$Z,MATCH($A297,SPPR!$A:$A,0),5),""),"")</f>
        <v/>
      </c>
      <c r="I297">
        <f>IFERROR(IF(ISNUMBER(INDEX(SPPR!$E:$Z,MATCH($A297,SPPR!$A:$A,0),6)),$C297*INDEX(SPPR!$E:$Z,MATCH($A297,SPPR!$A:$A,0),6),""),"")</f>
        <v/>
      </c>
      <c r="J297">
        <f>IFERROR(IF(ISNUMBER(INDEX(SPPR!$E:$Z,MATCH($A297,SPPR!$A:$A,0),7)),$C297*INDEX(SPPR!$E:$Z,MATCH($A297,SPPR!$A:$A,0),7),""),"")</f>
        <v/>
      </c>
      <c r="K297">
        <f>IFERROR(IF(ISNUMBER(INDEX(SPPR!$E:$Z,MATCH($A297,SPPR!$A:$A,0),8)),$C297*INDEX(SPPR!$E:$Z,MATCH($A297,SPPR!$A:$A,0),8),""),"")</f>
        <v/>
      </c>
      <c r="L297">
        <f>IFERROR(IF(ISNUMBER(INDEX(SPPR!$E:$Z,MATCH($A297,SPPR!$A:$A,0),9)),$C297*INDEX(SPPR!$E:$Z,MATCH($A297,SPPR!$A:$A,0),9),""),"")</f>
        <v/>
      </c>
      <c r="M297">
        <f>IFERROR(IF(ISNUMBER(INDEX(SPPR!$E:$Z,MATCH($A297,SPPR!$A:$A,0),10)),$C297*INDEX(SPPR!$E:$Z,MATCH($A297,SPPR!$A:$A,0),10),""),"")</f>
        <v/>
      </c>
      <c r="N297">
        <f>IFERROR(IF(ISNUMBER(INDEX(SPPR!$E:$Z,MATCH($A297,SPPR!$A:$A,0),11)),$C297*INDEX(SPPR!$E:$Z,MATCH($A297,SPPR!$A:$A,0),11),""),"")</f>
        <v/>
      </c>
      <c r="O297">
        <f>IFERROR(IF(ISNUMBER(INDEX(SPPR!$E:$Z,MATCH($A297,SPPR!$A:$A,0),12)),$C297*INDEX(SPPR!$E:$Z,MATCH($A297,SPPR!$A:$A,0),12),""),"")</f>
        <v/>
      </c>
      <c r="P297">
        <f>IFERROR(IF(ISNUMBER(INDEX(SPPR!$E:$Z,MATCH($A297,SPPR!$A:$A,0),13)),$C297*INDEX(SPPR!$E:$Z,MATCH($A297,SPPR!$A:$A,0),13),""),"")</f>
        <v/>
      </c>
      <c r="Q297">
        <f>IFERROR(IF(ISNUMBER(INDEX(SPPR!$E:$Z,MATCH($A297,SPPR!$A:$A,0),14)),$C297*INDEX(SPPR!$E:$Z,MATCH($A297,SPPR!$A:$A,0),14),""),"")</f>
        <v/>
      </c>
      <c r="R297">
        <f>IFERROR(IF(ISNUMBER(INDEX(SPPR!$E:$Z,MATCH($A297,SPPR!$A:$A,0),15)),$C297*INDEX(SPPR!$E:$Z,MATCH($A297,SPPR!$A:$A,0),15),""),"")</f>
        <v/>
      </c>
      <c r="S297">
        <f>IFERROR(IF(ISNUMBER(INDEX(SPPR!$E:$Z,MATCH($A297,SPPR!$A:$A,0),16)),$C297*INDEX(SPPR!$E:$Z,MATCH($A297,SPPR!$A:$A,0),16),""),"")</f>
        <v/>
      </c>
      <c r="T297">
        <f>IFERROR(IF(ISNUMBER(INDEX(SPPR!$E:$Z,MATCH($A297,SPPR!$A:$A,0),17)),$C297*INDEX(SPPR!$E:$Z,MATCH($A297,SPPR!$A:$A,0),17),""),"")</f>
        <v/>
      </c>
      <c r="U297">
        <f>IFERROR(IF(ISNUMBER(INDEX(SPPR!$E:$Z,MATCH($A297,SPPR!$A:$A,0),18)),$C297*INDEX(SPPR!$E:$Z,MATCH($A297,SPPR!$A:$A,0),18),""),"")</f>
        <v/>
      </c>
      <c r="V297">
        <f>IFERROR(IF(ISNUMBER(INDEX(SPPR!$E:$Z,MATCH($A297,SPPR!$A:$A,0),19)),$C297*INDEX(SPPR!$E:$Z,MATCH($A297,SPPR!$A:$A,0),19),""),"")</f>
        <v/>
      </c>
      <c r="W297">
        <f>IFERROR(IF(ISNUMBER(INDEX(SPPR!$E:$Z,MATCH($A297,SPPR!$A:$A,0),20)),$C297*INDEX(SPPR!$E:$Z,MATCH($A297,SPPR!$A:$A,0),20),""),"")</f>
        <v/>
      </c>
      <c r="X297">
        <f>IFERROR(IF(ISNUMBER(INDEX(SPPR!$E:$Z,MATCH($A297,SPPR!$A:$A,0),21)),$C297*INDEX(SPPR!$E:$Z,MATCH($A297,SPPR!$A:$A,0),21),""),"")</f>
        <v/>
      </c>
      <c r="Y297">
        <f>IFERROR(IF(ISNUMBER(INDEX(SPPR!$E:$Z,MATCH($A297,SPPR!$A:$A,0),22)),$C297*INDEX(SPPR!$E:$Z,MATCH($A297,SPPR!$A:$A,0),22),""),"")</f>
        <v/>
      </c>
    </row>
    <row r="298">
      <c r="A298" t="inlineStr">
        <is>
          <t>Hemiramphidae</t>
        </is>
      </c>
      <c r="B298">
        <f>IFERROR(INDEX(SPPR!$D:$D,MATCH($A298,SPPR!$A:$A,0)),"")</f>
        <v/>
      </c>
      <c r="C298">
        <f>IFERROR(INDEX(Catch!$E:$BV,MATCH($A298,Catch!$A:$A,0),MATCH($B$4,Catch!$E$1:$BV$1,0)),0)</f>
        <v/>
      </c>
      <c r="D298">
        <f>IFERROR(IF(ISNUMBER(INDEX(SPPR!$E:$Z,MATCH($A298,SPPR!$A:$A,0),1)),$C298*INDEX(SPPR!$E:$Z,MATCH($A298,SPPR!$A:$A,0),1),""),"")</f>
        <v/>
      </c>
      <c r="E298">
        <f>IFERROR(IF(ISNUMBER(INDEX(SPPR!$E:$Z,MATCH($A298,SPPR!$A:$A,0),2)),$C298*INDEX(SPPR!$E:$Z,MATCH($A298,SPPR!$A:$A,0),2),""),"")</f>
        <v/>
      </c>
      <c r="F298">
        <f>IFERROR(IF(ISNUMBER(INDEX(SPPR!$E:$Z,MATCH($A298,SPPR!$A:$A,0),3)),$C298*INDEX(SPPR!$E:$Z,MATCH($A298,SPPR!$A:$A,0),3),""),"")</f>
        <v/>
      </c>
      <c r="G298">
        <f>IFERROR(IF(ISNUMBER(INDEX(SPPR!$E:$Z,MATCH($A298,SPPR!$A:$A,0),4)),$C298*INDEX(SPPR!$E:$Z,MATCH($A298,SPPR!$A:$A,0),4),""),"")</f>
        <v/>
      </c>
      <c r="H298">
        <f>IFERROR(IF(ISNUMBER(INDEX(SPPR!$E:$Z,MATCH($A298,SPPR!$A:$A,0),5)),$C298*INDEX(SPPR!$E:$Z,MATCH($A298,SPPR!$A:$A,0),5),""),"")</f>
        <v/>
      </c>
      <c r="I298">
        <f>IFERROR(IF(ISNUMBER(INDEX(SPPR!$E:$Z,MATCH($A298,SPPR!$A:$A,0),6)),$C298*INDEX(SPPR!$E:$Z,MATCH($A298,SPPR!$A:$A,0),6),""),"")</f>
        <v/>
      </c>
      <c r="J298">
        <f>IFERROR(IF(ISNUMBER(INDEX(SPPR!$E:$Z,MATCH($A298,SPPR!$A:$A,0),7)),$C298*INDEX(SPPR!$E:$Z,MATCH($A298,SPPR!$A:$A,0),7),""),"")</f>
        <v/>
      </c>
      <c r="K298">
        <f>IFERROR(IF(ISNUMBER(INDEX(SPPR!$E:$Z,MATCH($A298,SPPR!$A:$A,0),8)),$C298*INDEX(SPPR!$E:$Z,MATCH($A298,SPPR!$A:$A,0),8),""),"")</f>
        <v/>
      </c>
      <c r="L298">
        <f>IFERROR(IF(ISNUMBER(INDEX(SPPR!$E:$Z,MATCH($A298,SPPR!$A:$A,0),9)),$C298*INDEX(SPPR!$E:$Z,MATCH($A298,SPPR!$A:$A,0),9),""),"")</f>
        <v/>
      </c>
      <c r="M298">
        <f>IFERROR(IF(ISNUMBER(INDEX(SPPR!$E:$Z,MATCH($A298,SPPR!$A:$A,0),10)),$C298*INDEX(SPPR!$E:$Z,MATCH($A298,SPPR!$A:$A,0),10),""),"")</f>
        <v/>
      </c>
      <c r="N298">
        <f>IFERROR(IF(ISNUMBER(INDEX(SPPR!$E:$Z,MATCH($A298,SPPR!$A:$A,0),11)),$C298*INDEX(SPPR!$E:$Z,MATCH($A298,SPPR!$A:$A,0),11),""),"")</f>
        <v/>
      </c>
      <c r="O298">
        <f>IFERROR(IF(ISNUMBER(INDEX(SPPR!$E:$Z,MATCH($A298,SPPR!$A:$A,0),12)),$C298*INDEX(SPPR!$E:$Z,MATCH($A298,SPPR!$A:$A,0),12),""),"")</f>
        <v/>
      </c>
      <c r="P298">
        <f>IFERROR(IF(ISNUMBER(INDEX(SPPR!$E:$Z,MATCH($A298,SPPR!$A:$A,0),13)),$C298*INDEX(SPPR!$E:$Z,MATCH($A298,SPPR!$A:$A,0),13),""),"")</f>
        <v/>
      </c>
      <c r="Q298">
        <f>IFERROR(IF(ISNUMBER(INDEX(SPPR!$E:$Z,MATCH($A298,SPPR!$A:$A,0),14)),$C298*INDEX(SPPR!$E:$Z,MATCH($A298,SPPR!$A:$A,0),14),""),"")</f>
        <v/>
      </c>
      <c r="R298">
        <f>IFERROR(IF(ISNUMBER(INDEX(SPPR!$E:$Z,MATCH($A298,SPPR!$A:$A,0),15)),$C298*INDEX(SPPR!$E:$Z,MATCH($A298,SPPR!$A:$A,0),15),""),"")</f>
        <v/>
      </c>
      <c r="S298">
        <f>IFERROR(IF(ISNUMBER(INDEX(SPPR!$E:$Z,MATCH($A298,SPPR!$A:$A,0),16)),$C298*INDEX(SPPR!$E:$Z,MATCH($A298,SPPR!$A:$A,0),16),""),"")</f>
        <v/>
      </c>
      <c r="T298">
        <f>IFERROR(IF(ISNUMBER(INDEX(SPPR!$E:$Z,MATCH($A298,SPPR!$A:$A,0),17)),$C298*INDEX(SPPR!$E:$Z,MATCH($A298,SPPR!$A:$A,0),17),""),"")</f>
        <v/>
      </c>
      <c r="U298">
        <f>IFERROR(IF(ISNUMBER(INDEX(SPPR!$E:$Z,MATCH($A298,SPPR!$A:$A,0),18)),$C298*INDEX(SPPR!$E:$Z,MATCH($A298,SPPR!$A:$A,0),18),""),"")</f>
        <v/>
      </c>
      <c r="V298">
        <f>IFERROR(IF(ISNUMBER(INDEX(SPPR!$E:$Z,MATCH($A298,SPPR!$A:$A,0),19)),$C298*INDEX(SPPR!$E:$Z,MATCH($A298,SPPR!$A:$A,0),19),""),"")</f>
        <v/>
      </c>
      <c r="W298">
        <f>IFERROR(IF(ISNUMBER(INDEX(SPPR!$E:$Z,MATCH($A298,SPPR!$A:$A,0),20)),$C298*INDEX(SPPR!$E:$Z,MATCH($A298,SPPR!$A:$A,0),20),""),"")</f>
        <v/>
      </c>
      <c r="X298">
        <f>IFERROR(IF(ISNUMBER(INDEX(SPPR!$E:$Z,MATCH($A298,SPPR!$A:$A,0),21)),$C298*INDEX(SPPR!$E:$Z,MATCH($A298,SPPR!$A:$A,0),21),""),"")</f>
        <v/>
      </c>
      <c r="Y298">
        <f>IFERROR(IF(ISNUMBER(INDEX(SPPR!$E:$Z,MATCH($A298,SPPR!$A:$A,0),22)),$C298*INDEX(SPPR!$E:$Z,MATCH($A298,SPPR!$A:$A,0),22),""),"")</f>
        <v/>
      </c>
    </row>
    <row r="299">
      <c r="A299" t="inlineStr">
        <is>
          <t>Sphyraena jello</t>
        </is>
      </c>
      <c r="B299">
        <f>IFERROR(INDEX(SPPR!$D:$D,MATCH($A299,SPPR!$A:$A,0)),"")</f>
        <v/>
      </c>
      <c r="C299">
        <f>IFERROR(INDEX(Catch!$E:$BV,MATCH($A299,Catch!$A:$A,0),MATCH($B$4,Catch!$E$1:$BV$1,0)),0)</f>
        <v/>
      </c>
      <c r="D299">
        <f>IFERROR(IF(ISNUMBER(INDEX(SPPR!$E:$Z,MATCH($A299,SPPR!$A:$A,0),1)),$C299*INDEX(SPPR!$E:$Z,MATCH($A299,SPPR!$A:$A,0),1),""),"")</f>
        <v/>
      </c>
      <c r="E299">
        <f>IFERROR(IF(ISNUMBER(INDEX(SPPR!$E:$Z,MATCH($A299,SPPR!$A:$A,0),2)),$C299*INDEX(SPPR!$E:$Z,MATCH($A299,SPPR!$A:$A,0),2),""),"")</f>
        <v/>
      </c>
      <c r="F299">
        <f>IFERROR(IF(ISNUMBER(INDEX(SPPR!$E:$Z,MATCH($A299,SPPR!$A:$A,0),3)),$C299*INDEX(SPPR!$E:$Z,MATCH($A299,SPPR!$A:$A,0),3),""),"")</f>
        <v/>
      </c>
      <c r="G299">
        <f>IFERROR(IF(ISNUMBER(INDEX(SPPR!$E:$Z,MATCH($A299,SPPR!$A:$A,0),4)),$C299*INDEX(SPPR!$E:$Z,MATCH($A299,SPPR!$A:$A,0),4),""),"")</f>
        <v/>
      </c>
      <c r="H299">
        <f>IFERROR(IF(ISNUMBER(INDEX(SPPR!$E:$Z,MATCH($A299,SPPR!$A:$A,0),5)),$C299*INDEX(SPPR!$E:$Z,MATCH($A299,SPPR!$A:$A,0),5),""),"")</f>
        <v/>
      </c>
      <c r="I299">
        <f>IFERROR(IF(ISNUMBER(INDEX(SPPR!$E:$Z,MATCH($A299,SPPR!$A:$A,0),6)),$C299*INDEX(SPPR!$E:$Z,MATCH($A299,SPPR!$A:$A,0),6),""),"")</f>
        <v/>
      </c>
      <c r="J299">
        <f>IFERROR(IF(ISNUMBER(INDEX(SPPR!$E:$Z,MATCH($A299,SPPR!$A:$A,0),7)),$C299*INDEX(SPPR!$E:$Z,MATCH($A299,SPPR!$A:$A,0),7),""),"")</f>
        <v/>
      </c>
      <c r="K299">
        <f>IFERROR(IF(ISNUMBER(INDEX(SPPR!$E:$Z,MATCH($A299,SPPR!$A:$A,0),8)),$C299*INDEX(SPPR!$E:$Z,MATCH($A299,SPPR!$A:$A,0),8),""),"")</f>
        <v/>
      </c>
      <c r="L299">
        <f>IFERROR(IF(ISNUMBER(INDEX(SPPR!$E:$Z,MATCH($A299,SPPR!$A:$A,0),9)),$C299*INDEX(SPPR!$E:$Z,MATCH($A299,SPPR!$A:$A,0),9),""),"")</f>
        <v/>
      </c>
      <c r="M299">
        <f>IFERROR(IF(ISNUMBER(INDEX(SPPR!$E:$Z,MATCH($A299,SPPR!$A:$A,0),10)),$C299*INDEX(SPPR!$E:$Z,MATCH($A299,SPPR!$A:$A,0),10),""),"")</f>
        <v/>
      </c>
      <c r="N299">
        <f>IFERROR(IF(ISNUMBER(INDEX(SPPR!$E:$Z,MATCH($A299,SPPR!$A:$A,0),11)),$C299*INDEX(SPPR!$E:$Z,MATCH($A299,SPPR!$A:$A,0),11),""),"")</f>
        <v/>
      </c>
      <c r="O299">
        <f>IFERROR(IF(ISNUMBER(INDEX(SPPR!$E:$Z,MATCH($A299,SPPR!$A:$A,0),12)),$C299*INDEX(SPPR!$E:$Z,MATCH($A299,SPPR!$A:$A,0),12),""),"")</f>
        <v/>
      </c>
      <c r="P299">
        <f>IFERROR(IF(ISNUMBER(INDEX(SPPR!$E:$Z,MATCH($A299,SPPR!$A:$A,0),13)),$C299*INDEX(SPPR!$E:$Z,MATCH($A299,SPPR!$A:$A,0),13),""),"")</f>
        <v/>
      </c>
      <c r="Q299">
        <f>IFERROR(IF(ISNUMBER(INDEX(SPPR!$E:$Z,MATCH($A299,SPPR!$A:$A,0),14)),$C299*INDEX(SPPR!$E:$Z,MATCH($A299,SPPR!$A:$A,0),14),""),"")</f>
        <v/>
      </c>
      <c r="R299">
        <f>IFERROR(IF(ISNUMBER(INDEX(SPPR!$E:$Z,MATCH($A299,SPPR!$A:$A,0),15)),$C299*INDEX(SPPR!$E:$Z,MATCH($A299,SPPR!$A:$A,0),15),""),"")</f>
        <v/>
      </c>
      <c r="S299">
        <f>IFERROR(IF(ISNUMBER(INDEX(SPPR!$E:$Z,MATCH($A299,SPPR!$A:$A,0),16)),$C299*INDEX(SPPR!$E:$Z,MATCH($A299,SPPR!$A:$A,0),16),""),"")</f>
        <v/>
      </c>
      <c r="T299">
        <f>IFERROR(IF(ISNUMBER(INDEX(SPPR!$E:$Z,MATCH($A299,SPPR!$A:$A,0),17)),$C299*INDEX(SPPR!$E:$Z,MATCH($A299,SPPR!$A:$A,0),17),""),"")</f>
        <v/>
      </c>
      <c r="U299">
        <f>IFERROR(IF(ISNUMBER(INDEX(SPPR!$E:$Z,MATCH($A299,SPPR!$A:$A,0),18)),$C299*INDEX(SPPR!$E:$Z,MATCH($A299,SPPR!$A:$A,0),18),""),"")</f>
        <v/>
      </c>
      <c r="V299">
        <f>IFERROR(IF(ISNUMBER(INDEX(SPPR!$E:$Z,MATCH($A299,SPPR!$A:$A,0),19)),$C299*INDEX(SPPR!$E:$Z,MATCH($A299,SPPR!$A:$A,0),19),""),"")</f>
        <v/>
      </c>
      <c r="W299">
        <f>IFERROR(IF(ISNUMBER(INDEX(SPPR!$E:$Z,MATCH($A299,SPPR!$A:$A,0),20)),$C299*INDEX(SPPR!$E:$Z,MATCH($A299,SPPR!$A:$A,0),20),""),"")</f>
        <v/>
      </c>
      <c r="X299">
        <f>IFERROR(IF(ISNUMBER(INDEX(SPPR!$E:$Z,MATCH($A299,SPPR!$A:$A,0),21)),$C299*INDEX(SPPR!$E:$Z,MATCH($A299,SPPR!$A:$A,0),21),""),"")</f>
        <v/>
      </c>
      <c r="Y299">
        <f>IFERROR(IF(ISNUMBER(INDEX(SPPR!$E:$Z,MATCH($A299,SPPR!$A:$A,0),22)),$C299*INDEX(SPPR!$E:$Z,MATCH($A299,SPPR!$A:$A,0),22),""),"")</f>
        <v/>
      </c>
    </row>
    <row r="300">
      <c r="A300" t="inlineStr">
        <is>
          <t>Gnathanodon speciosus</t>
        </is>
      </c>
      <c r="B300">
        <f>IFERROR(INDEX(SPPR!$D:$D,MATCH($A300,SPPR!$A:$A,0)),"")</f>
        <v/>
      </c>
      <c r="C300">
        <f>IFERROR(INDEX(Catch!$E:$BV,MATCH($A300,Catch!$A:$A,0),MATCH($B$4,Catch!$E$1:$BV$1,0)),0)</f>
        <v/>
      </c>
      <c r="D300">
        <f>IFERROR(IF(ISNUMBER(INDEX(SPPR!$E:$Z,MATCH($A300,SPPR!$A:$A,0),1)),$C300*INDEX(SPPR!$E:$Z,MATCH($A300,SPPR!$A:$A,0),1),""),"")</f>
        <v/>
      </c>
      <c r="E300">
        <f>IFERROR(IF(ISNUMBER(INDEX(SPPR!$E:$Z,MATCH($A300,SPPR!$A:$A,0),2)),$C300*INDEX(SPPR!$E:$Z,MATCH($A300,SPPR!$A:$A,0),2),""),"")</f>
        <v/>
      </c>
      <c r="F300">
        <f>IFERROR(IF(ISNUMBER(INDEX(SPPR!$E:$Z,MATCH($A300,SPPR!$A:$A,0),3)),$C300*INDEX(SPPR!$E:$Z,MATCH($A300,SPPR!$A:$A,0),3),""),"")</f>
        <v/>
      </c>
      <c r="G300">
        <f>IFERROR(IF(ISNUMBER(INDEX(SPPR!$E:$Z,MATCH($A300,SPPR!$A:$A,0),4)),$C300*INDEX(SPPR!$E:$Z,MATCH($A300,SPPR!$A:$A,0),4),""),"")</f>
        <v/>
      </c>
      <c r="H300">
        <f>IFERROR(IF(ISNUMBER(INDEX(SPPR!$E:$Z,MATCH($A300,SPPR!$A:$A,0),5)),$C300*INDEX(SPPR!$E:$Z,MATCH($A300,SPPR!$A:$A,0),5),""),"")</f>
        <v/>
      </c>
      <c r="I300">
        <f>IFERROR(IF(ISNUMBER(INDEX(SPPR!$E:$Z,MATCH($A300,SPPR!$A:$A,0),6)),$C300*INDEX(SPPR!$E:$Z,MATCH($A300,SPPR!$A:$A,0),6),""),"")</f>
        <v/>
      </c>
      <c r="J300">
        <f>IFERROR(IF(ISNUMBER(INDEX(SPPR!$E:$Z,MATCH($A300,SPPR!$A:$A,0),7)),$C300*INDEX(SPPR!$E:$Z,MATCH($A300,SPPR!$A:$A,0),7),""),"")</f>
        <v/>
      </c>
      <c r="K300">
        <f>IFERROR(IF(ISNUMBER(INDEX(SPPR!$E:$Z,MATCH($A300,SPPR!$A:$A,0),8)),$C300*INDEX(SPPR!$E:$Z,MATCH($A300,SPPR!$A:$A,0),8),""),"")</f>
        <v/>
      </c>
      <c r="L300">
        <f>IFERROR(IF(ISNUMBER(INDEX(SPPR!$E:$Z,MATCH($A300,SPPR!$A:$A,0),9)),$C300*INDEX(SPPR!$E:$Z,MATCH($A300,SPPR!$A:$A,0),9),""),"")</f>
        <v/>
      </c>
      <c r="M300">
        <f>IFERROR(IF(ISNUMBER(INDEX(SPPR!$E:$Z,MATCH($A300,SPPR!$A:$A,0),10)),$C300*INDEX(SPPR!$E:$Z,MATCH($A300,SPPR!$A:$A,0),10),""),"")</f>
        <v/>
      </c>
      <c r="N300">
        <f>IFERROR(IF(ISNUMBER(INDEX(SPPR!$E:$Z,MATCH($A300,SPPR!$A:$A,0),11)),$C300*INDEX(SPPR!$E:$Z,MATCH($A300,SPPR!$A:$A,0),11),""),"")</f>
        <v/>
      </c>
      <c r="O300">
        <f>IFERROR(IF(ISNUMBER(INDEX(SPPR!$E:$Z,MATCH($A300,SPPR!$A:$A,0),12)),$C300*INDEX(SPPR!$E:$Z,MATCH($A300,SPPR!$A:$A,0),12),""),"")</f>
        <v/>
      </c>
      <c r="P300">
        <f>IFERROR(IF(ISNUMBER(INDEX(SPPR!$E:$Z,MATCH($A300,SPPR!$A:$A,0),13)),$C300*INDEX(SPPR!$E:$Z,MATCH($A300,SPPR!$A:$A,0),13),""),"")</f>
        <v/>
      </c>
      <c r="Q300">
        <f>IFERROR(IF(ISNUMBER(INDEX(SPPR!$E:$Z,MATCH($A300,SPPR!$A:$A,0),14)),$C300*INDEX(SPPR!$E:$Z,MATCH($A300,SPPR!$A:$A,0),14),""),"")</f>
        <v/>
      </c>
      <c r="R300">
        <f>IFERROR(IF(ISNUMBER(INDEX(SPPR!$E:$Z,MATCH($A300,SPPR!$A:$A,0),15)),$C300*INDEX(SPPR!$E:$Z,MATCH($A300,SPPR!$A:$A,0),15),""),"")</f>
        <v/>
      </c>
      <c r="S300">
        <f>IFERROR(IF(ISNUMBER(INDEX(SPPR!$E:$Z,MATCH($A300,SPPR!$A:$A,0),16)),$C300*INDEX(SPPR!$E:$Z,MATCH($A300,SPPR!$A:$A,0),16),""),"")</f>
        <v/>
      </c>
      <c r="T300">
        <f>IFERROR(IF(ISNUMBER(INDEX(SPPR!$E:$Z,MATCH($A300,SPPR!$A:$A,0),17)),$C300*INDEX(SPPR!$E:$Z,MATCH($A300,SPPR!$A:$A,0),17),""),"")</f>
        <v/>
      </c>
      <c r="U300">
        <f>IFERROR(IF(ISNUMBER(INDEX(SPPR!$E:$Z,MATCH($A300,SPPR!$A:$A,0),18)),$C300*INDEX(SPPR!$E:$Z,MATCH($A300,SPPR!$A:$A,0),18),""),"")</f>
        <v/>
      </c>
      <c r="V300">
        <f>IFERROR(IF(ISNUMBER(INDEX(SPPR!$E:$Z,MATCH($A300,SPPR!$A:$A,0),19)),$C300*INDEX(SPPR!$E:$Z,MATCH($A300,SPPR!$A:$A,0),19),""),"")</f>
        <v/>
      </c>
      <c r="W300">
        <f>IFERROR(IF(ISNUMBER(INDEX(SPPR!$E:$Z,MATCH($A300,SPPR!$A:$A,0),20)),$C300*INDEX(SPPR!$E:$Z,MATCH($A300,SPPR!$A:$A,0),20),""),"")</f>
        <v/>
      </c>
      <c r="X300">
        <f>IFERROR(IF(ISNUMBER(INDEX(SPPR!$E:$Z,MATCH($A300,SPPR!$A:$A,0),21)),$C300*INDEX(SPPR!$E:$Z,MATCH($A300,SPPR!$A:$A,0),21),""),"")</f>
        <v/>
      </c>
      <c r="Y300">
        <f>IFERROR(IF(ISNUMBER(INDEX(SPPR!$E:$Z,MATCH($A300,SPPR!$A:$A,0),22)),$C300*INDEX(SPPR!$E:$Z,MATCH($A300,SPPR!$A:$A,0),22),""),"")</f>
        <v/>
      </c>
    </row>
    <row r="301">
      <c r="A301" t="inlineStr">
        <is>
          <t>Bregmaceros mcclellandi</t>
        </is>
      </c>
      <c r="B301">
        <f>IFERROR(INDEX(SPPR!$D:$D,MATCH($A301,SPPR!$A:$A,0)),"")</f>
        <v/>
      </c>
      <c r="C301">
        <f>IFERROR(INDEX(Catch!$E:$BV,MATCH($A301,Catch!$A:$A,0),MATCH($B$4,Catch!$E$1:$BV$1,0)),0)</f>
        <v/>
      </c>
      <c r="D301">
        <f>IFERROR(IF(ISNUMBER(INDEX(SPPR!$E:$Z,MATCH($A301,SPPR!$A:$A,0),1)),$C301*INDEX(SPPR!$E:$Z,MATCH($A301,SPPR!$A:$A,0),1),""),"")</f>
        <v/>
      </c>
      <c r="E301">
        <f>IFERROR(IF(ISNUMBER(INDEX(SPPR!$E:$Z,MATCH($A301,SPPR!$A:$A,0),2)),$C301*INDEX(SPPR!$E:$Z,MATCH($A301,SPPR!$A:$A,0),2),""),"")</f>
        <v/>
      </c>
      <c r="F301">
        <f>IFERROR(IF(ISNUMBER(INDEX(SPPR!$E:$Z,MATCH($A301,SPPR!$A:$A,0),3)),$C301*INDEX(SPPR!$E:$Z,MATCH($A301,SPPR!$A:$A,0),3),""),"")</f>
        <v/>
      </c>
      <c r="G301">
        <f>IFERROR(IF(ISNUMBER(INDEX(SPPR!$E:$Z,MATCH($A301,SPPR!$A:$A,0),4)),$C301*INDEX(SPPR!$E:$Z,MATCH($A301,SPPR!$A:$A,0),4),""),"")</f>
        <v/>
      </c>
      <c r="H301">
        <f>IFERROR(IF(ISNUMBER(INDEX(SPPR!$E:$Z,MATCH($A301,SPPR!$A:$A,0),5)),$C301*INDEX(SPPR!$E:$Z,MATCH($A301,SPPR!$A:$A,0),5),""),"")</f>
        <v/>
      </c>
      <c r="I301">
        <f>IFERROR(IF(ISNUMBER(INDEX(SPPR!$E:$Z,MATCH($A301,SPPR!$A:$A,0),6)),$C301*INDEX(SPPR!$E:$Z,MATCH($A301,SPPR!$A:$A,0),6),""),"")</f>
        <v/>
      </c>
      <c r="J301">
        <f>IFERROR(IF(ISNUMBER(INDEX(SPPR!$E:$Z,MATCH($A301,SPPR!$A:$A,0),7)),$C301*INDEX(SPPR!$E:$Z,MATCH($A301,SPPR!$A:$A,0),7),""),"")</f>
        <v/>
      </c>
      <c r="K301">
        <f>IFERROR(IF(ISNUMBER(INDEX(SPPR!$E:$Z,MATCH($A301,SPPR!$A:$A,0),8)),$C301*INDEX(SPPR!$E:$Z,MATCH($A301,SPPR!$A:$A,0),8),""),"")</f>
        <v/>
      </c>
      <c r="L301">
        <f>IFERROR(IF(ISNUMBER(INDEX(SPPR!$E:$Z,MATCH($A301,SPPR!$A:$A,0),9)),$C301*INDEX(SPPR!$E:$Z,MATCH($A301,SPPR!$A:$A,0),9),""),"")</f>
        <v/>
      </c>
      <c r="M301">
        <f>IFERROR(IF(ISNUMBER(INDEX(SPPR!$E:$Z,MATCH($A301,SPPR!$A:$A,0),10)),$C301*INDEX(SPPR!$E:$Z,MATCH($A301,SPPR!$A:$A,0),10),""),"")</f>
        <v/>
      </c>
      <c r="N301">
        <f>IFERROR(IF(ISNUMBER(INDEX(SPPR!$E:$Z,MATCH($A301,SPPR!$A:$A,0),11)),$C301*INDEX(SPPR!$E:$Z,MATCH($A301,SPPR!$A:$A,0),11),""),"")</f>
        <v/>
      </c>
      <c r="O301">
        <f>IFERROR(IF(ISNUMBER(INDEX(SPPR!$E:$Z,MATCH($A301,SPPR!$A:$A,0),12)),$C301*INDEX(SPPR!$E:$Z,MATCH($A301,SPPR!$A:$A,0),12),""),"")</f>
        <v/>
      </c>
      <c r="P301">
        <f>IFERROR(IF(ISNUMBER(INDEX(SPPR!$E:$Z,MATCH($A301,SPPR!$A:$A,0),13)),$C301*INDEX(SPPR!$E:$Z,MATCH($A301,SPPR!$A:$A,0),13),""),"")</f>
        <v/>
      </c>
      <c r="Q301">
        <f>IFERROR(IF(ISNUMBER(INDEX(SPPR!$E:$Z,MATCH($A301,SPPR!$A:$A,0),14)),$C301*INDEX(SPPR!$E:$Z,MATCH($A301,SPPR!$A:$A,0),14),""),"")</f>
        <v/>
      </c>
      <c r="R301">
        <f>IFERROR(IF(ISNUMBER(INDEX(SPPR!$E:$Z,MATCH($A301,SPPR!$A:$A,0),15)),$C301*INDEX(SPPR!$E:$Z,MATCH($A301,SPPR!$A:$A,0),15),""),"")</f>
        <v/>
      </c>
      <c r="S301">
        <f>IFERROR(IF(ISNUMBER(INDEX(SPPR!$E:$Z,MATCH($A301,SPPR!$A:$A,0),16)),$C301*INDEX(SPPR!$E:$Z,MATCH($A301,SPPR!$A:$A,0),16),""),"")</f>
        <v/>
      </c>
      <c r="T301">
        <f>IFERROR(IF(ISNUMBER(INDEX(SPPR!$E:$Z,MATCH($A301,SPPR!$A:$A,0),17)),$C301*INDEX(SPPR!$E:$Z,MATCH($A301,SPPR!$A:$A,0),17),""),"")</f>
        <v/>
      </c>
      <c r="U301">
        <f>IFERROR(IF(ISNUMBER(INDEX(SPPR!$E:$Z,MATCH($A301,SPPR!$A:$A,0),18)),$C301*INDEX(SPPR!$E:$Z,MATCH($A301,SPPR!$A:$A,0),18),""),"")</f>
        <v/>
      </c>
      <c r="V301">
        <f>IFERROR(IF(ISNUMBER(INDEX(SPPR!$E:$Z,MATCH($A301,SPPR!$A:$A,0),19)),$C301*INDEX(SPPR!$E:$Z,MATCH($A301,SPPR!$A:$A,0),19),""),"")</f>
        <v/>
      </c>
      <c r="W301">
        <f>IFERROR(IF(ISNUMBER(INDEX(SPPR!$E:$Z,MATCH($A301,SPPR!$A:$A,0),20)),$C301*INDEX(SPPR!$E:$Z,MATCH($A301,SPPR!$A:$A,0),20),""),"")</f>
        <v/>
      </c>
      <c r="X301">
        <f>IFERROR(IF(ISNUMBER(INDEX(SPPR!$E:$Z,MATCH($A301,SPPR!$A:$A,0),21)),$C301*INDEX(SPPR!$E:$Z,MATCH($A301,SPPR!$A:$A,0),21),""),"")</f>
        <v/>
      </c>
      <c r="Y301">
        <f>IFERROR(IF(ISNUMBER(INDEX(SPPR!$E:$Z,MATCH($A301,SPPR!$A:$A,0),22)),$C301*INDEX(SPPR!$E:$Z,MATCH($A301,SPPR!$A:$A,0),22),""),"")</f>
        <v/>
      </c>
    </row>
    <row r="302">
      <c r="A302" t="inlineStr">
        <is>
          <t>Lutjanus argentimaculatus</t>
        </is>
      </c>
      <c r="B302">
        <f>IFERROR(INDEX(SPPR!$D:$D,MATCH($A302,SPPR!$A:$A,0)),"")</f>
        <v/>
      </c>
      <c r="C302">
        <f>IFERROR(INDEX(Catch!$E:$BV,MATCH($A302,Catch!$A:$A,0),MATCH($B$4,Catch!$E$1:$BV$1,0)),0)</f>
        <v/>
      </c>
      <c r="D302">
        <f>IFERROR(IF(ISNUMBER(INDEX(SPPR!$E:$Z,MATCH($A302,SPPR!$A:$A,0),1)),$C302*INDEX(SPPR!$E:$Z,MATCH($A302,SPPR!$A:$A,0),1),""),"")</f>
        <v/>
      </c>
      <c r="E302">
        <f>IFERROR(IF(ISNUMBER(INDEX(SPPR!$E:$Z,MATCH($A302,SPPR!$A:$A,0),2)),$C302*INDEX(SPPR!$E:$Z,MATCH($A302,SPPR!$A:$A,0),2),""),"")</f>
        <v/>
      </c>
      <c r="F302">
        <f>IFERROR(IF(ISNUMBER(INDEX(SPPR!$E:$Z,MATCH($A302,SPPR!$A:$A,0),3)),$C302*INDEX(SPPR!$E:$Z,MATCH($A302,SPPR!$A:$A,0),3),""),"")</f>
        <v/>
      </c>
      <c r="G302">
        <f>IFERROR(IF(ISNUMBER(INDEX(SPPR!$E:$Z,MATCH($A302,SPPR!$A:$A,0),4)),$C302*INDEX(SPPR!$E:$Z,MATCH($A302,SPPR!$A:$A,0),4),""),"")</f>
        <v/>
      </c>
      <c r="H302">
        <f>IFERROR(IF(ISNUMBER(INDEX(SPPR!$E:$Z,MATCH($A302,SPPR!$A:$A,0),5)),$C302*INDEX(SPPR!$E:$Z,MATCH($A302,SPPR!$A:$A,0),5),""),"")</f>
        <v/>
      </c>
      <c r="I302">
        <f>IFERROR(IF(ISNUMBER(INDEX(SPPR!$E:$Z,MATCH($A302,SPPR!$A:$A,0),6)),$C302*INDEX(SPPR!$E:$Z,MATCH($A302,SPPR!$A:$A,0),6),""),"")</f>
        <v/>
      </c>
      <c r="J302">
        <f>IFERROR(IF(ISNUMBER(INDEX(SPPR!$E:$Z,MATCH($A302,SPPR!$A:$A,0),7)),$C302*INDEX(SPPR!$E:$Z,MATCH($A302,SPPR!$A:$A,0),7),""),"")</f>
        <v/>
      </c>
      <c r="K302">
        <f>IFERROR(IF(ISNUMBER(INDEX(SPPR!$E:$Z,MATCH($A302,SPPR!$A:$A,0),8)),$C302*INDEX(SPPR!$E:$Z,MATCH($A302,SPPR!$A:$A,0),8),""),"")</f>
        <v/>
      </c>
      <c r="L302">
        <f>IFERROR(IF(ISNUMBER(INDEX(SPPR!$E:$Z,MATCH($A302,SPPR!$A:$A,0),9)),$C302*INDEX(SPPR!$E:$Z,MATCH($A302,SPPR!$A:$A,0),9),""),"")</f>
        <v/>
      </c>
      <c r="M302">
        <f>IFERROR(IF(ISNUMBER(INDEX(SPPR!$E:$Z,MATCH($A302,SPPR!$A:$A,0),10)),$C302*INDEX(SPPR!$E:$Z,MATCH($A302,SPPR!$A:$A,0),10),""),"")</f>
        <v/>
      </c>
      <c r="N302">
        <f>IFERROR(IF(ISNUMBER(INDEX(SPPR!$E:$Z,MATCH($A302,SPPR!$A:$A,0),11)),$C302*INDEX(SPPR!$E:$Z,MATCH($A302,SPPR!$A:$A,0),11),""),"")</f>
        <v/>
      </c>
      <c r="O302">
        <f>IFERROR(IF(ISNUMBER(INDEX(SPPR!$E:$Z,MATCH($A302,SPPR!$A:$A,0),12)),$C302*INDEX(SPPR!$E:$Z,MATCH($A302,SPPR!$A:$A,0),12),""),"")</f>
        <v/>
      </c>
      <c r="P302">
        <f>IFERROR(IF(ISNUMBER(INDEX(SPPR!$E:$Z,MATCH($A302,SPPR!$A:$A,0),13)),$C302*INDEX(SPPR!$E:$Z,MATCH($A302,SPPR!$A:$A,0),13),""),"")</f>
        <v/>
      </c>
      <c r="Q302">
        <f>IFERROR(IF(ISNUMBER(INDEX(SPPR!$E:$Z,MATCH($A302,SPPR!$A:$A,0),14)),$C302*INDEX(SPPR!$E:$Z,MATCH($A302,SPPR!$A:$A,0),14),""),"")</f>
        <v/>
      </c>
      <c r="R302">
        <f>IFERROR(IF(ISNUMBER(INDEX(SPPR!$E:$Z,MATCH($A302,SPPR!$A:$A,0),15)),$C302*INDEX(SPPR!$E:$Z,MATCH($A302,SPPR!$A:$A,0),15),""),"")</f>
        <v/>
      </c>
      <c r="S302">
        <f>IFERROR(IF(ISNUMBER(INDEX(SPPR!$E:$Z,MATCH($A302,SPPR!$A:$A,0),16)),$C302*INDEX(SPPR!$E:$Z,MATCH($A302,SPPR!$A:$A,0),16),""),"")</f>
        <v/>
      </c>
      <c r="T302">
        <f>IFERROR(IF(ISNUMBER(INDEX(SPPR!$E:$Z,MATCH($A302,SPPR!$A:$A,0),17)),$C302*INDEX(SPPR!$E:$Z,MATCH($A302,SPPR!$A:$A,0),17),""),"")</f>
        <v/>
      </c>
      <c r="U302">
        <f>IFERROR(IF(ISNUMBER(INDEX(SPPR!$E:$Z,MATCH($A302,SPPR!$A:$A,0),18)),$C302*INDEX(SPPR!$E:$Z,MATCH($A302,SPPR!$A:$A,0),18),""),"")</f>
        <v/>
      </c>
      <c r="V302">
        <f>IFERROR(IF(ISNUMBER(INDEX(SPPR!$E:$Z,MATCH($A302,SPPR!$A:$A,0),19)),$C302*INDEX(SPPR!$E:$Z,MATCH($A302,SPPR!$A:$A,0),19),""),"")</f>
        <v/>
      </c>
      <c r="W302">
        <f>IFERROR(IF(ISNUMBER(INDEX(SPPR!$E:$Z,MATCH($A302,SPPR!$A:$A,0),20)),$C302*INDEX(SPPR!$E:$Z,MATCH($A302,SPPR!$A:$A,0),20),""),"")</f>
        <v/>
      </c>
      <c r="X302">
        <f>IFERROR(IF(ISNUMBER(INDEX(SPPR!$E:$Z,MATCH($A302,SPPR!$A:$A,0),21)),$C302*INDEX(SPPR!$E:$Z,MATCH($A302,SPPR!$A:$A,0),21),""),"")</f>
        <v/>
      </c>
      <c r="Y302">
        <f>IFERROR(IF(ISNUMBER(INDEX(SPPR!$E:$Z,MATCH($A302,SPPR!$A:$A,0),22)),$C302*INDEX(SPPR!$E:$Z,MATCH($A302,SPPR!$A:$A,0),22),""),"")</f>
        <v/>
      </c>
    </row>
    <row r="303">
      <c r="A303" t="inlineStr">
        <is>
          <t>Trochus</t>
        </is>
      </c>
      <c r="B303">
        <f>IFERROR(INDEX(SPPR!$D:$D,MATCH($A303,SPPR!$A:$A,0)),"")</f>
        <v/>
      </c>
      <c r="C303">
        <f>IFERROR(INDEX(Catch!$E:$BV,MATCH($A303,Catch!$A:$A,0),MATCH($B$4,Catch!$E$1:$BV$1,0)),0)</f>
        <v/>
      </c>
      <c r="D303">
        <f>IFERROR(IF(ISNUMBER(INDEX(SPPR!$E:$Z,MATCH($A303,SPPR!$A:$A,0),1)),$C303*INDEX(SPPR!$E:$Z,MATCH($A303,SPPR!$A:$A,0),1),""),"")</f>
        <v/>
      </c>
      <c r="E303">
        <f>IFERROR(IF(ISNUMBER(INDEX(SPPR!$E:$Z,MATCH($A303,SPPR!$A:$A,0),2)),$C303*INDEX(SPPR!$E:$Z,MATCH($A303,SPPR!$A:$A,0),2),""),"")</f>
        <v/>
      </c>
      <c r="F303">
        <f>IFERROR(IF(ISNUMBER(INDEX(SPPR!$E:$Z,MATCH($A303,SPPR!$A:$A,0),3)),$C303*INDEX(SPPR!$E:$Z,MATCH($A303,SPPR!$A:$A,0),3),""),"")</f>
        <v/>
      </c>
      <c r="G303">
        <f>IFERROR(IF(ISNUMBER(INDEX(SPPR!$E:$Z,MATCH($A303,SPPR!$A:$A,0),4)),$C303*INDEX(SPPR!$E:$Z,MATCH($A303,SPPR!$A:$A,0),4),""),"")</f>
        <v/>
      </c>
      <c r="H303">
        <f>IFERROR(IF(ISNUMBER(INDEX(SPPR!$E:$Z,MATCH($A303,SPPR!$A:$A,0),5)),$C303*INDEX(SPPR!$E:$Z,MATCH($A303,SPPR!$A:$A,0),5),""),"")</f>
        <v/>
      </c>
      <c r="I303">
        <f>IFERROR(IF(ISNUMBER(INDEX(SPPR!$E:$Z,MATCH($A303,SPPR!$A:$A,0),6)),$C303*INDEX(SPPR!$E:$Z,MATCH($A303,SPPR!$A:$A,0),6),""),"")</f>
        <v/>
      </c>
      <c r="J303">
        <f>IFERROR(IF(ISNUMBER(INDEX(SPPR!$E:$Z,MATCH($A303,SPPR!$A:$A,0),7)),$C303*INDEX(SPPR!$E:$Z,MATCH($A303,SPPR!$A:$A,0),7),""),"")</f>
        <v/>
      </c>
      <c r="K303">
        <f>IFERROR(IF(ISNUMBER(INDEX(SPPR!$E:$Z,MATCH($A303,SPPR!$A:$A,0),8)),$C303*INDEX(SPPR!$E:$Z,MATCH($A303,SPPR!$A:$A,0),8),""),"")</f>
        <v/>
      </c>
      <c r="L303">
        <f>IFERROR(IF(ISNUMBER(INDEX(SPPR!$E:$Z,MATCH($A303,SPPR!$A:$A,0),9)),$C303*INDEX(SPPR!$E:$Z,MATCH($A303,SPPR!$A:$A,0),9),""),"")</f>
        <v/>
      </c>
      <c r="M303">
        <f>IFERROR(IF(ISNUMBER(INDEX(SPPR!$E:$Z,MATCH($A303,SPPR!$A:$A,0),10)),$C303*INDEX(SPPR!$E:$Z,MATCH($A303,SPPR!$A:$A,0),10),""),"")</f>
        <v/>
      </c>
      <c r="N303">
        <f>IFERROR(IF(ISNUMBER(INDEX(SPPR!$E:$Z,MATCH($A303,SPPR!$A:$A,0),11)),$C303*INDEX(SPPR!$E:$Z,MATCH($A303,SPPR!$A:$A,0),11),""),"")</f>
        <v/>
      </c>
      <c r="O303">
        <f>IFERROR(IF(ISNUMBER(INDEX(SPPR!$E:$Z,MATCH($A303,SPPR!$A:$A,0),12)),$C303*INDEX(SPPR!$E:$Z,MATCH($A303,SPPR!$A:$A,0),12),""),"")</f>
        <v/>
      </c>
      <c r="P303">
        <f>IFERROR(IF(ISNUMBER(INDEX(SPPR!$E:$Z,MATCH($A303,SPPR!$A:$A,0),13)),$C303*INDEX(SPPR!$E:$Z,MATCH($A303,SPPR!$A:$A,0),13),""),"")</f>
        <v/>
      </c>
      <c r="Q303">
        <f>IFERROR(IF(ISNUMBER(INDEX(SPPR!$E:$Z,MATCH($A303,SPPR!$A:$A,0),14)),$C303*INDEX(SPPR!$E:$Z,MATCH($A303,SPPR!$A:$A,0),14),""),"")</f>
        <v/>
      </c>
      <c r="R303">
        <f>IFERROR(IF(ISNUMBER(INDEX(SPPR!$E:$Z,MATCH($A303,SPPR!$A:$A,0),15)),$C303*INDEX(SPPR!$E:$Z,MATCH($A303,SPPR!$A:$A,0),15),""),"")</f>
        <v/>
      </c>
      <c r="S303">
        <f>IFERROR(IF(ISNUMBER(INDEX(SPPR!$E:$Z,MATCH($A303,SPPR!$A:$A,0),16)),$C303*INDEX(SPPR!$E:$Z,MATCH($A303,SPPR!$A:$A,0),16),""),"")</f>
        <v/>
      </c>
      <c r="T303">
        <f>IFERROR(IF(ISNUMBER(INDEX(SPPR!$E:$Z,MATCH($A303,SPPR!$A:$A,0),17)),$C303*INDEX(SPPR!$E:$Z,MATCH($A303,SPPR!$A:$A,0),17),""),"")</f>
        <v/>
      </c>
      <c r="U303">
        <f>IFERROR(IF(ISNUMBER(INDEX(SPPR!$E:$Z,MATCH($A303,SPPR!$A:$A,0),18)),$C303*INDEX(SPPR!$E:$Z,MATCH($A303,SPPR!$A:$A,0),18),""),"")</f>
        <v/>
      </c>
      <c r="V303">
        <f>IFERROR(IF(ISNUMBER(INDEX(SPPR!$E:$Z,MATCH($A303,SPPR!$A:$A,0),19)),$C303*INDEX(SPPR!$E:$Z,MATCH($A303,SPPR!$A:$A,0),19),""),"")</f>
        <v/>
      </c>
      <c r="W303">
        <f>IFERROR(IF(ISNUMBER(INDEX(SPPR!$E:$Z,MATCH($A303,SPPR!$A:$A,0),20)),$C303*INDEX(SPPR!$E:$Z,MATCH($A303,SPPR!$A:$A,0),20),""),"")</f>
        <v/>
      </c>
      <c r="X303">
        <f>IFERROR(IF(ISNUMBER(INDEX(SPPR!$E:$Z,MATCH($A303,SPPR!$A:$A,0),21)),$C303*INDEX(SPPR!$E:$Z,MATCH($A303,SPPR!$A:$A,0),21),""),"")</f>
        <v/>
      </c>
      <c r="Y303">
        <f>IFERROR(IF(ISNUMBER(INDEX(SPPR!$E:$Z,MATCH($A303,SPPR!$A:$A,0),22)),$C303*INDEX(SPPR!$E:$Z,MATCH($A303,SPPR!$A:$A,0),22),""),"")</f>
        <v/>
      </c>
    </row>
    <row r="304">
      <c r="A304" t="inlineStr">
        <is>
          <t>Saccostrea cuccullata</t>
        </is>
      </c>
      <c r="B304">
        <f>IFERROR(INDEX(SPPR!$D:$D,MATCH($A304,SPPR!$A:$A,0)),"")</f>
        <v/>
      </c>
      <c r="C304">
        <f>IFERROR(INDEX(Catch!$E:$BV,MATCH($A304,Catch!$A:$A,0),MATCH($B$4,Catch!$E$1:$BV$1,0)),0)</f>
        <v/>
      </c>
      <c r="D304">
        <f>IFERROR(IF(ISNUMBER(INDEX(SPPR!$E:$Z,MATCH($A304,SPPR!$A:$A,0),1)),$C304*INDEX(SPPR!$E:$Z,MATCH($A304,SPPR!$A:$A,0),1),""),"")</f>
        <v/>
      </c>
      <c r="E304">
        <f>IFERROR(IF(ISNUMBER(INDEX(SPPR!$E:$Z,MATCH($A304,SPPR!$A:$A,0),2)),$C304*INDEX(SPPR!$E:$Z,MATCH($A304,SPPR!$A:$A,0),2),""),"")</f>
        <v/>
      </c>
      <c r="F304">
        <f>IFERROR(IF(ISNUMBER(INDEX(SPPR!$E:$Z,MATCH($A304,SPPR!$A:$A,0),3)),$C304*INDEX(SPPR!$E:$Z,MATCH($A304,SPPR!$A:$A,0),3),""),"")</f>
        <v/>
      </c>
      <c r="G304">
        <f>IFERROR(IF(ISNUMBER(INDEX(SPPR!$E:$Z,MATCH($A304,SPPR!$A:$A,0),4)),$C304*INDEX(SPPR!$E:$Z,MATCH($A304,SPPR!$A:$A,0),4),""),"")</f>
        <v/>
      </c>
      <c r="H304">
        <f>IFERROR(IF(ISNUMBER(INDEX(SPPR!$E:$Z,MATCH($A304,SPPR!$A:$A,0),5)),$C304*INDEX(SPPR!$E:$Z,MATCH($A304,SPPR!$A:$A,0),5),""),"")</f>
        <v/>
      </c>
      <c r="I304">
        <f>IFERROR(IF(ISNUMBER(INDEX(SPPR!$E:$Z,MATCH($A304,SPPR!$A:$A,0),6)),$C304*INDEX(SPPR!$E:$Z,MATCH($A304,SPPR!$A:$A,0),6),""),"")</f>
        <v/>
      </c>
      <c r="J304">
        <f>IFERROR(IF(ISNUMBER(INDEX(SPPR!$E:$Z,MATCH($A304,SPPR!$A:$A,0),7)),$C304*INDEX(SPPR!$E:$Z,MATCH($A304,SPPR!$A:$A,0),7),""),"")</f>
        <v/>
      </c>
      <c r="K304">
        <f>IFERROR(IF(ISNUMBER(INDEX(SPPR!$E:$Z,MATCH($A304,SPPR!$A:$A,0),8)),$C304*INDEX(SPPR!$E:$Z,MATCH($A304,SPPR!$A:$A,0),8),""),"")</f>
        <v/>
      </c>
      <c r="L304">
        <f>IFERROR(IF(ISNUMBER(INDEX(SPPR!$E:$Z,MATCH($A304,SPPR!$A:$A,0),9)),$C304*INDEX(SPPR!$E:$Z,MATCH($A304,SPPR!$A:$A,0),9),""),"")</f>
        <v/>
      </c>
      <c r="M304">
        <f>IFERROR(IF(ISNUMBER(INDEX(SPPR!$E:$Z,MATCH($A304,SPPR!$A:$A,0),10)),$C304*INDEX(SPPR!$E:$Z,MATCH($A304,SPPR!$A:$A,0),10),""),"")</f>
        <v/>
      </c>
      <c r="N304">
        <f>IFERROR(IF(ISNUMBER(INDEX(SPPR!$E:$Z,MATCH($A304,SPPR!$A:$A,0),11)),$C304*INDEX(SPPR!$E:$Z,MATCH($A304,SPPR!$A:$A,0),11),""),"")</f>
        <v/>
      </c>
      <c r="O304">
        <f>IFERROR(IF(ISNUMBER(INDEX(SPPR!$E:$Z,MATCH($A304,SPPR!$A:$A,0),12)),$C304*INDEX(SPPR!$E:$Z,MATCH($A304,SPPR!$A:$A,0),12),""),"")</f>
        <v/>
      </c>
      <c r="P304">
        <f>IFERROR(IF(ISNUMBER(INDEX(SPPR!$E:$Z,MATCH($A304,SPPR!$A:$A,0),13)),$C304*INDEX(SPPR!$E:$Z,MATCH($A304,SPPR!$A:$A,0),13),""),"")</f>
        <v/>
      </c>
      <c r="Q304">
        <f>IFERROR(IF(ISNUMBER(INDEX(SPPR!$E:$Z,MATCH($A304,SPPR!$A:$A,0),14)),$C304*INDEX(SPPR!$E:$Z,MATCH($A304,SPPR!$A:$A,0),14),""),"")</f>
        <v/>
      </c>
      <c r="R304">
        <f>IFERROR(IF(ISNUMBER(INDEX(SPPR!$E:$Z,MATCH($A304,SPPR!$A:$A,0),15)),$C304*INDEX(SPPR!$E:$Z,MATCH($A304,SPPR!$A:$A,0),15),""),"")</f>
        <v/>
      </c>
      <c r="S304">
        <f>IFERROR(IF(ISNUMBER(INDEX(SPPR!$E:$Z,MATCH($A304,SPPR!$A:$A,0),16)),$C304*INDEX(SPPR!$E:$Z,MATCH($A304,SPPR!$A:$A,0),16),""),"")</f>
        <v/>
      </c>
      <c r="T304">
        <f>IFERROR(IF(ISNUMBER(INDEX(SPPR!$E:$Z,MATCH($A304,SPPR!$A:$A,0),17)),$C304*INDEX(SPPR!$E:$Z,MATCH($A304,SPPR!$A:$A,0),17),""),"")</f>
        <v/>
      </c>
      <c r="U304">
        <f>IFERROR(IF(ISNUMBER(INDEX(SPPR!$E:$Z,MATCH($A304,SPPR!$A:$A,0),18)),$C304*INDEX(SPPR!$E:$Z,MATCH($A304,SPPR!$A:$A,0),18),""),"")</f>
        <v/>
      </c>
      <c r="V304">
        <f>IFERROR(IF(ISNUMBER(INDEX(SPPR!$E:$Z,MATCH($A304,SPPR!$A:$A,0),19)),$C304*INDEX(SPPR!$E:$Z,MATCH($A304,SPPR!$A:$A,0),19),""),"")</f>
        <v/>
      </c>
      <c r="W304">
        <f>IFERROR(IF(ISNUMBER(INDEX(SPPR!$E:$Z,MATCH($A304,SPPR!$A:$A,0),20)),$C304*INDEX(SPPR!$E:$Z,MATCH($A304,SPPR!$A:$A,0),20),""),"")</f>
        <v/>
      </c>
      <c r="X304">
        <f>IFERROR(IF(ISNUMBER(INDEX(SPPR!$E:$Z,MATCH($A304,SPPR!$A:$A,0),21)),$C304*INDEX(SPPR!$E:$Z,MATCH($A304,SPPR!$A:$A,0),21),""),"")</f>
        <v/>
      </c>
      <c r="Y304">
        <f>IFERROR(IF(ISNUMBER(INDEX(SPPR!$E:$Z,MATCH($A304,SPPR!$A:$A,0),22)),$C304*INDEX(SPPR!$E:$Z,MATCH($A304,SPPR!$A:$A,0),22),""),"")</f>
        <v/>
      </c>
    </row>
    <row r="305">
      <c r="A305" t="inlineStr">
        <is>
          <t>Lambis lambis</t>
        </is>
      </c>
      <c r="B305">
        <f>IFERROR(INDEX(SPPR!$D:$D,MATCH($A305,SPPR!$A:$A,0)),"")</f>
        <v/>
      </c>
      <c r="C305">
        <f>IFERROR(INDEX(Catch!$E:$BV,MATCH($A305,Catch!$A:$A,0),MATCH($B$4,Catch!$E$1:$BV$1,0)),0)</f>
        <v/>
      </c>
      <c r="D305">
        <f>IFERROR(IF(ISNUMBER(INDEX(SPPR!$E:$Z,MATCH($A305,SPPR!$A:$A,0),1)),$C305*INDEX(SPPR!$E:$Z,MATCH($A305,SPPR!$A:$A,0),1),""),"")</f>
        <v/>
      </c>
      <c r="E305">
        <f>IFERROR(IF(ISNUMBER(INDEX(SPPR!$E:$Z,MATCH($A305,SPPR!$A:$A,0),2)),$C305*INDEX(SPPR!$E:$Z,MATCH($A305,SPPR!$A:$A,0),2),""),"")</f>
        <v/>
      </c>
      <c r="F305">
        <f>IFERROR(IF(ISNUMBER(INDEX(SPPR!$E:$Z,MATCH($A305,SPPR!$A:$A,0),3)),$C305*INDEX(SPPR!$E:$Z,MATCH($A305,SPPR!$A:$A,0),3),""),"")</f>
        <v/>
      </c>
      <c r="G305">
        <f>IFERROR(IF(ISNUMBER(INDEX(SPPR!$E:$Z,MATCH($A305,SPPR!$A:$A,0),4)),$C305*INDEX(SPPR!$E:$Z,MATCH($A305,SPPR!$A:$A,0),4),""),"")</f>
        <v/>
      </c>
      <c r="H305">
        <f>IFERROR(IF(ISNUMBER(INDEX(SPPR!$E:$Z,MATCH($A305,SPPR!$A:$A,0),5)),$C305*INDEX(SPPR!$E:$Z,MATCH($A305,SPPR!$A:$A,0),5),""),"")</f>
        <v/>
      </c>
      <c r="I305">
        <f>IFERROR(IF(ISNUMBER(INDEX(SPPR!$E:$Z,MATCH($A305,SPPR!$A:$A,0),6)),$C305*INDEX(SPPR!$E:$Z,MATCH($A305,SPPR!$A:$A,0),6),""),"")</f>
        <v/>
      </c>
      <c r="J305">
        <f>IFERROR(IF(ISNUMBER(INDEX(SPPR!$E:$Z,MATCH($A305,SPPR!$A:$A,0),7)),$C305*INDEX(SPPR!$E:$Z,MATCH($A305,SPPR!$A:$A,0),7),""),"")</f>
        <v/>
      </c>
      <c r="K305">
        <f>IFERROR(IF(ISNUMBER(INDEX(SPPR!$E:$Z,MATCH($A305,SPPR!$A:$A,0),8)),$C305*INDEX(SPPR!$E:$Z,MATCH($A305,SPPR!$A:$A,0),8),""),"")</f>
        <v/>
      </c>
      <c r="L305">
        <f>IFERROR(IF(ISNUMBER(INDEX(SPPR!$E:$Z,MATCH($A305,SPPR!$A:$A,0),9)),$C305*INDEX(SPPR!$E:$Z,MATCH($A305,SPPR!$A:$A,0),9),""),"")</f>
        <v/>
      </c>
      <c r="M305">
        <f>IFERROR(IF(ISNUMBER(INDEX(SPPR!$E:$Z,MATCH($A305,SPPR!$A:$A,0),10)),$C305*INDEX(SPPR!$E:$Z,MATCH($A305,SPPR!$A:$A,0),10),""),"")</f>
        <v/>
      </c>
      <c r="N305">
        <f>IFERROR(IF(ISNUMBER(INDEX(SPPR!$E:$Z,MATCH($A305,SPPR!$A:$A,0),11)),$C305*INDEX(SPPR!$E:$Z,MATCH($A305,SPPR!$A:$A,0),11),""),"")</f>
        <v/>
      </c>
      <c r="O305">
        <f>IFERROR(IF(ISNUMBER(INDEX(SPPR!$E:$Z,MATCH($A305,SPPR!$A:$A,0),12)),$C305*INDEX(SPPR!$E:$Z,MATCH($A305,SPPR!$A:$A,0),12),""),"")</f>
        <v/>
      </c>
      <c r="P305">
        <f>IFERROR(IF(ISNUMBER(INDEX(SPPR!$E:$Z,MATCH($A305,SPPR!$A:$A,0),13)),$C305*INDEX(SPPR!$E:$Z,MATCH($A305,SPPR!$A:$A,0),13),""),"")</f>
        <v/>
      </c>
      <c r="Q305">
        <f>IFERROR(IF(ISNUMBER(INDEX(SPPR!$E:$Z,MATCH($A305,SPPR!$A:$A,0),14)),$C305*INDEX(SPPR!$E:$Z,MATCH($A305,SPPR!$A:$A,0),14),""),"")</f>
        <v/>
      </c>
      <c r="R305">
        <f>IFERROR(IF(ISNUMBER(INDEX(SPPR!$E:$Z,MATCH($A305,SPPR!$A:$A,0),15)),$C305*INDEX(SPPR!$E:$Z,MATCH($A305,SPPR!$A:$A,0),15),""),"")</f>
        <v/>
      </c>
      <c r="S305">
        <f>IFERROR(IF(ISNUMBER(INDEX(SPPR!$E:$Z,MATCH($A305,SPPR!$A:$A,0),16)),$C305*INDEX(SPPR!$E:$Z,MATCH($A305,SPPR!$A:$A,0),16),""),"")</f>
        <v/>
      </c>
      <c r="T305">
        <f>IFERROR(IF(ISNUMBER(INDEX(SPPR!$E:$Z,MATCH($A305,SPPR!$A:$A,0),17)),$C305*INDEX(SPPR!$E:$Z,MATCH($A305,SPPR!$A:$A,0),17),""),"")</f>
        <v/>
      </c>
      <c r="U305">
        <f>IFERROR(IF(ISNUMBER(INDEX(SPPR!$E:$Z,MATCH($A305,SPPR!$A:$A,0),18)),$C305*INDEX(SPPR!$E:$Z,MATCH($A305,SPPR!$A:$A,0),18),""),"")</f>
        <v/>
      </c>
      <c r="V305">
        <f>IFERROR(IF(ISNUMBER(INDEX(SPPR!$E:$Z,MATCH($A305,SPPR!$A:$A,0),19)),$C305*INDEX(SPPR!$E:$Z,MATCH($A305,SPPR!$A:$A,0),19),""),"")</f>
        <v/>
      </c>
      <c r="W305">
        <f>IFERROR(IF(ISNUMBER(INDEX(SPPR!$E:$Z,MATCH($A305,SPPR!$A:$A,0),20)),$C305*INDEX(SPPR!$E:$Z,MATCH($A305,SPPR!$A:$A,0),20),""),"")</f>
        <v/>
      </c>
      <c r="X305">
        <f>IFERROR(IF(ISNUMBER(INDEX(SPPR!$E:$Z,MATCH($A305,SPPR!$A:$A,0),21)),$C305*INDEX(SPPR!$E:$Z,MATCH($A305,SPPR!$A:$A,0),21),""),"")</f>
        <v/>
      </c>
      <c r="Y305">
        <f>IFERROR(IF(ISNUMBER(INDEX(SPPR!$E:$Z,MATCH($A305,SPPR!$A:$A,0),22)),$C305*INDEX(SPPR!$E:$Z,MATCH($A305,SPPR!$A:$A,0),22),""),"")</f>
        <v/>
      </c>
    </row>
    <row r="306">
      <c r="A306" t="inlineStr">
        <is>
          <t>Menidae</t>
        </is>
      </c>
      <c r="B306">
        <f>IFERROR(INDEX(SPPR!$D:$D,MATCH($A306,SPPR!$A:$A,0)),"")</f>
        <v/>
      </c>
      <c r="C306">
        <f>IFERROR(INDEX(Catch!$E:$BV,MATCH($A306,Catch!$A:$A,0),MATCH($B$4,Catch!$E$1:$BV$1,0)),0)</f>
        <v/>
      </c>
      <c r="D306">
        <f>IFERROR(IF(ISNUMBER(INDEX(SPPR!$E:$Z,MATCH($A306,SPPR!$A:$A,0),1)),$C306*INDEX(SPPR!$E:$Z,MATCH($A306,SPPR!$A:$A,0),1),""),"")</f>
        <v/>
      </c>
      <c r="E306">
        <f>IFERROR(IF(ISNUMBER(INDEX(SPPR!$E:$Z,MATCH($A306,SPPR!$A:$A,0),2)),$C306*INDEX(SPPR!$E:$Z,MATCH($A306,SPPR!$A:$A,0),2),""),"")</f>
        <v/>
      </c>
      <c r="F306">
        <f>IFERROR(IF(ISNUMBER(INDEX(SPPR!$E:$Z,MATCH($A306,SPPR!$A:$A,0),3)),$C306*INDEX(SPPR!$E:$Z,MATCH($A306,SPPR!$A:$A,0),3),""),"")</f>
        <v/>
      </c>
      <c r="G306">
        <f>IFERROR(IF(ISNUMBER(INDEX(SPPR!$E:$Z,MATCH($A306,SPPR!$A:$A,0),4)),$C306*INDEX(SPPR!$E:$Z,MATCH($A306,SPPR!$A:$A,0),4),""),"")</f>
        <v/>
      </c>
      <c r="H306">
        <f>IFERROR(IF(ISNUMBER(INDEX(SPPR!$E:$Z,MATCH($A306,SPPR!$A:$A,0),5)),$C306*INDEX(SPPR!$E:$Z,MATCH($A306,SPPR!$A:$A,0),5),""),"")</f>
        <v/>
      </c>
      <c r="I306">
        <f>IFERROR(IF(ISNUMBER(INDEX(SPPR!$E:$Z,MATCH($A306,SPPR!$A:$A,0),6)),$C306*INDEX(SPPR!$E:$Z,MATCH($A306,SPPR!$A:$A,0),6),""),"")</f>
        <v/>
      </c>
      <c r="J306">
        <f>IFERROR(IF(ISNUMBER(INDEX(SPPR!$E:$Z,MATCH($A306,SPPR!$A:$A,0),7)),$C306*INDEX(SPPR!$E:$Z,MATCH($A306,SPPR!$A:$A,0),7),""),"")</f>
        <v/>
      </c>
      <c r="K306">
        <f>IFERROR(IF(ISNUMBER(INDEX(SPPR!$E:$Z,MATCH($A306,SPPR!$A:$A,0),8)),$C306*INDEX(SPPR!$E:$Z,MATCH($A306,SPPR!$A:$A,0),8),""),"")</f>
        <v/>
      </c>
      <c r="L306">
        <f>IFERROR(IF(ISNUMBER(INDEX(SPPR!$E:$Z,MATCH($A306,SPPR!$A:$A,0),9)),$C306*INDEX(SPPR!$E:$Z,MATCH($A306,SPPR!$A:$A,0),9),""),"")</f>
        <v/>
      </c>
      <c r="M306">
        <f>IFERROR(IF(ISNUMBER(INDEX(SPPR!$E:$Z,MATCH($A306,SPPR!$A:$A,0),10)),$C306*INDEX(SPPR!$E:$Z,MATCH($A306,SPPR!$A:$A,0),10),""),"")</f>
        <v/>
      </c>
      <c r="N306">
        <f>IFERROR(IF(ISNUMBER(INDEX(SPPR!$E:$Z,MATCH($A306,SPPR!$A:$A,0),11)),$C306*INDEX(SPPR!$E:$Z,MATCH($A306,SPPR!$A:$A,0),11),""),"")</f>
        <v/>
      </c>
      <c r="O306">
        <f>IFERROR(IF(ISNUMBER(INDEX(SPPR!$E:$Z,MATCH($A306,SPPR!$A:$A,0),12)),$C306*INDEX(SPPR!$E:$Z,MATCH($A306,SPPR!$A:$A,0),12),""),"")</f>
        <v/>
      </c>
      <c r="P306">
        <f>IFERROR(IF(ISNUMBER(INDEX(SPPR!$E:$Z,MATCH($A306,SPPR!$A:$A,0),13)),$C306*INDEX(SPPR!$E:$Z,MATCH($A306,SPPR!$A:$A,0),13),""),"")</f>
        <v/>
      </c>
      <c r="Q306">
        <f>IFERROR(IF(ISNUMBER(INDEX(SPPR!$E:$Z,MATCH($A306,SPPR!$A:$A,0),14)),$C306*INDEX(SPPR!$E:$Z,MATCH($A306,SPPR!$A:$A,0),14),""),"")</f>
        <v/>
      </c>
      <c r="R306">
        <f>IFERROR(IF(ISNUMBER(INDEX(SPPR!$E:$Z,MATCH($A306,SPPR!$A:$A,0),15)),$C306*INDEX(SPPR!$E:$Z,MATCH($A306,SPPR!$A:$A,0),15),""),"")</f>
        <v/>
      </c>
      <c r="S306">
        <f>IFERROR(IF(ISNUMBER(INDEX(SPPR!$E:$Z,MATCH($A306,SPPR!$A:$A,0),16)),$C306*INDEX(SPPR!$E:$Z,MATCH($A306,SPPR!$A:$A,0),16),""),"")</f>
        <v/>
      </c>
      <c r="T306">
        <f>IFERROR(IF(ISNUMBER(INDEX(SPPR!$E:$Z,MATCH($A306,SPPR!$A:$A,0),17)),$C306*INDEX(SPPR!$E:$Z,MATCH($A306,SPPR!$A:$A,0),17),""),"")</f>
        <v/>
      </c>
      <c r="U306">
        <f>IFERROR(IF(ISNUMBER(INDEX(SPPR!$E:$Z,MATCH($A306,SPPR!$A:$A,0),18)),$C306*INDEX(SPPR!$E:$Z,MATCH($A306,SPPR!$A:$A,0),18),""),"")</f>
        <v/>
      </c>
      <c r="V306">
        <f>IFERROR(IF(ISNUMBER(INDEX(SPPR!$E:$Z,MATCH($A306,SPPR!$A:$A,0),19)),$C306*INDEX(SPPR!$E:$Z,MATCH($A306,SPPR!$A:$A,0),19),""),"")</f>
        <v/>
      </c>
      <c r="W306">
        <f>IFERROR(IF(ISNUMBER(INDEX(SPPR!$E:$Z,MATCH($A306,SPPR!$A:$A,0),20)),$C306*INDEX(SPPR!$E:$Z,MATCH($A306,SPPR!$A:$A,0),20),""),"")</f>
        <v/>
      </c>
      <c r="X306">
        <f>IFERROR(IF(ISNUMBER(INDEX(SPPR!$E:$Z,MATCH($A306,SPPR!$A:$A,0),21)),$C306*INDEX(SPPR!$E:$Z,MATCH($A306,SPPR!$A:$A,0),21),""),"")</f>
        <v/>
      </c>
      <c r="Y306">
        <f>IFERROR(IF(ISNUMBER(INDEX(SPPR!$E:$Z,MATCH($A306,SPPR!$A:$A,0),22)),$C306*INDEX(SPPR!$E:$Z,MATCH($A306,SPPR!$A:$A,0),22),""),"")</f>
        <v/>
      </c>
    </row>
    <row r="307">
      <c r="A307" t="inlineStr">
        <is>
          <t>Scyllaridae</t>
        </is>
      </c>
      <c r="B307">
        <f>IFERROR(INDEX(SPPR!$D:$D,MATCH($A307,SPPR!$A:$A,0)),"")</f>
        <v/>
      </c>
      <c r="C307">
        <f>IFERROR(INDEX(Catch!$E:$BV,MATCH($A307,Catch!$A:$A,0),MATCH($B$4,Catch!$E$1:$BV$1,0)),0)</f>
        <v/>
      </c>
      <c r="D307">
        <f>IFERROR(IF(ISNUMBER(INDEX(SPPR!$E:$Z,MATCH($A307,SPPR!$A:$A,0),1)),$C307*INDEX(SPPR!$E:$Z,MATCH($A307,SPPR!$A:$A,0),1),""),"")</f>
        <v/>
      </c>
      <c r="E307">
        <f>IFERROR(IF(ISNUMBER(INDEX(SPPR!$E:$Z,MATCH($A307,SPPR!$A:$A,0),2)),$C307*INDEX(SPPR!$E:$Z,MATCH($A307,SPPR!$A:$A,0),2),""),"")</f>
        <v/>
      </c>
      <c r="F307">
        <f>IFERROR(IF(ISNUMBER(INDEX(SPPR!$E:$Z,MATCH($A307,SPPR!$A:$A,0),3)),$C307*INDEX(SPPR!$E:$Z,MATCH($A307,SPPR!$A:$A,0),3),""),"")</f>
        <v/>
      </c>
      <c r="G307">
        <f>IFERROR(IF(ISNUMBER(INDEX(SPPR!$E:$Z,MATCH($A307,SPPR!$A:$A,0),4)),$C307*INDEX(SPPR!$E:$Z,MATCH($A307,SPPR!$A:$A,0),4),""),"")</f>
        <v/>
      </c>
      <c r="H307">
        <f>IFERROR(IF(ISNUMBER(INDEX(SPPR!$E:$Z,MATCH($A307,SPPR!$A:$A,0),5)),$C307*INDEX(SPPR!$E:$Z,MATCH($A307,SPPR!$A:$A,0),5),""),"")</f>
        <v/>
      </c>
      <c r="I307">
        <f>IFERROR(IF(ISNUMBER(INDEX(SPPR!$E:$Z,MATCH($A307,SPPR!$A:$A,0),6)),$C307*INDEX(SPPR!$E:$Z,MATCH($A307,SPPR!$A:$A,0),6),""),"")</f>
        <v/>
      </c>
      <c r="J307">
        <f>IFERROR(IF(ISNUMBER(INDEX(SPPR!$E:$Z,MATCH($A307,SPPR!$A:$A,0),7)),$C307*INDEX(SPPR!$E:$Z,MATCH($A307,SPPR!$A:$A,0),7),""),"")</f>
        <v/>
      </c>
      <c r="K307">
        <f>IFERROR(IF(ISNUMBER(INDEX(SPPR!$E:$Z,MATCH($A307,SPPR!$A:$A,0),8)),$C307*INDEX(SPPR!$E:$Z,MATCH($A307,SPPR!$A:$A,0),8),""),"")</f>
        <v/>
      </c>
      <c r="L307">
        <f>IFERROR(IF(ISNUMBER(INDEX(SPPR!$E:$Z,MATCH($A307,SPPR!$A:$A,0),9)),$C307*INDEX(SPPR!$E:$Z,MATCH($A307,SPPR!$A:$A,0),9),""),"")</f>
        <v/>
      </c>
      <c r="M307">
        <f>IFERROR(IF(ISNUMBER(INDEX(SPPR!$E:$Z,MATCH($A307,SPPR!$A:$A,0),10)),$C307*INDEX(SPPR!$E:$Z,MATCH($A307,SPPR!$A:$A,0),10),""),"")</f>
        <v/>
      </c>
      <c r="N307">
        <f>IFERROR(IF(ISNUMBER(INDEX(SPPR!$E:$Z,MATCH($A307,SPPR!$A:$A,0),11)),$C307*INDEX(SPPR!$E:$Z,MATCH($A307,SPPR!$A:$A,0),11),""),"")</f>
        <v/>
      </c>
      <c r="O307">
        <f>IFERROR(IF(ISNUMBER(INDEX(SPPR!$E:$Z,MATCH($A307,SPPR!$A:$A,0),12)),$C307*INDEX(SPPR!$E:$Z,MATCH($A307,SPPR!$A:$A,0),12),""),"")</f>
        <v/>
      </c>
      <c r="P307">
        <f>IFERROR(IF(ISNUMBER(INDEX(SPPR!$E:$Z,MATCH($A307,SPPR!$A:$A,0),13)),$C307*INDEX(SPPR!$E:$Z,MATCH($A307,SPPR!$A:$A,0),13),""),"")</f>
        <v/>
      </c>
      <c r="Q307">
        <f>IFERROR(IF(ISNUMBER(INDEX(SPPR!$E:$Z,MATCH($A307,SPPR!$A:$A,0),14)),$C307*INDEX(SPPR!$E:$Z,MATCH($A307,SPPR!$A:$A,0),14),""),"")</f>
        <v/>
      </c>
      <c r="R307">
        <f>IFERROR(IF(ISNUMBER(INDEX(SPPR!$E:$Z,MATCH($A307,SPPR!$A:$A,0),15)),$C307*INDEX(SPPR!$E:$Z,MATCH($A307,SPPR!$A:$A,0),15),""),"")</f>
        <v/>
      </c>
      <c r="S307">
        <f>IFERROR(IF(ISNUMBER(INDEX(SPPR!$E:$Z,MATCH($A307,SPPR!$A:$A,0),16)),$C307*INDEX(SPPR!$E:$Z,MATCH($A307,SPPR!$A:$A,0),16),""),"")</f>
        <v/>
      </c>
      <c r="T307">
        <f>IFERROR(IF(ISNUMBER(INDEX(SPPR!$E:$Z,MATCH($A307,SPPR!$A:$A,0),17)),$C307*INDEX(SPPR!$E:$Z,MATCH($A307,SPPR!$A:$A,0),17),""),"")</f>
        <v/>
      </c>
      <c r="U307">
        <f>IFERROR(IF(ISNUMBER(INDEX(SPPR!$E:$Z,MATCH($A307,SPPR!$A:$A,0),18)),$C307*INDEX(SPPR!$E:$Z,MATCH($A307,SPPR!$A:$A,0),18),""),"")</f>
        <v/>
      </c>
      <c r="V307">
        <f>IFERROR(IF(ISNUMBER(INDEX(SPPR!$E:$Z,MATCH($A307,SPPR!$A:$A,0),19)),$C307*INDEX(SPPR!$E:$Z,MATCH($A307,SPPR!$A:$A,0),19),""),"")</f>
        <v/>
      </c>
      <c r="W307">
        <f>IFERROR(IF(ISNUMBER(INDEX(SPPR!$E:$Z,MATCH($A307,SPPR!$A:$A,0),20)),$C307*INDEX(SPPR!$E:$Z,MATCH($A307,SPPR!$A:$A,0),20),""),"")</f>
        <v/>
      </c>
      <c r="X307">
        <f>IFERROR(IF(ISNUMBER(INDEX(SPPR!$E:$Z,MATCH($A307,SPPR!$A:$A,0),21)),$C307*INDEX(SPPR!$E:$Z,MATCH($A307,SPPR!$A:$A,0),21),""),"")</f>
        <v/>
      </c>
      <c r="Y307">
        <f>IFERROR(IF(ISNUMBER(INDEX(SPPR!$E:$Z,MATCH($A307,SPPR!$A:$A,0),22)),$C307*INDEX(SPPR!$E:$Z,MATCH($A307,SPPR!$A:$A,0),22),""),"")</f>
        <v/>
      </c>
    </row>
    <row r="308">
      <c r="A308" t="inlineStr">
        <is>
          <t>Pomadasys argenteus</t>
        </is>
      </c>
      <c r="B308">
        <f>IFERROR(INDEX(SPPR!$D:$D,MATCH($A308,SPPR!$A:$A,0)),"")</f>
        <v/>
      </c>
      <c r="C308">
        <f>IFERROR(INDEX(Catch!$E:$BV,MATCH($A308,Catch!$A:$A,0),MATCH($B$4,Catch!$E$1:$BV$1,0)),0)</f>
        <v/>
      </c>
      <c r="D308">
        <f>IFERROR(IF(ISNUMBER(INDEX(SPPR!$E:$Z,MATCH($A308,SPPR!$A:$A,0),1)),$C308*INDEX(SPPR!$E:$Z,MATCH($A308,SPPR!$A:$A,0),1),""),"")</f>
        <v/>
      </c>
      <c r="E308">
        <f>IFERROR(IF(ISNUMBER(INDEX(SPPR!$E:$Z,MATCH($A308,SPPR!$A:$A,0),2)),$C308*INDEX(SPPR!$E:$Z,MATCH($A308,SPPR!$A:$A,0),2),""),"")</f>
        <v/>
      </c>
      <c r="F308">
        <f>IFERROR(IF(ISNUMBER(INDEX(SPPR!$E:$Z,MATCH($A308,SPPR!$A:$A,0),3)),$C308*INDEX(SPPR!$E:$Z,MATCH($A308,SPPR!$A:$A,0),3),""),"")</f>
        <v/>
      </c>
      <c r="G308">
        <f>IFERROR(IF(ISNUMBER(INDEX(SPPR!$E:$Z,MATCH($A308,SPPR!$A:$A,0),4)),$C308*INDEX(SPPR!$E:$Z,MATCH($A308,SPPR!$A:$A,0),4),""),"")</f>
        <v/>
      </c>
      <c r="H308">
        <f>IFERROR(IF(ISNUMBER(INDEX(SPPR!$E:$Z,MATCH($A308,SPPR!$A:$A,0),5)),$C308*INDEX(SPPR!$E:$Z,MATCH($A308,SPPR!$A:$A,0),5),""),"")</f>
        <v/>
      </c>
      <c r="I308">
        <f>IFERROR(IF(ISNUMBER(INDEX(SPPR!$E:$Z,MATCH($A308,SPPR!$A:$A,0),6)),$C308*INDEX(SPPR!$E:$Z,MATCH($A308,SPPR!$A:$A,0),6),""),"")</f>
        <v/>
      </c>
      <c r="J308">
        <f>IFERROR(IF(ISNUMBER(INDEX(SPPR!$E:$Z,MATCH($A308,SPPR!$A:$A,0),7)),$C308*INDEX(SPPR!$E:$Z,MATCH($A308,SPPR!$A:$A,0),7),""),"")</f>
        <v/>
      </c>
      <c r="K308">
        <f>IFERROR(IF(ISNUMBER(INDEX(SPPR!$E:$Z,MATCH($A308,SPPR!$A:$A,0),8)),$C308*INDEX(SPPR!$E:$Z,MATCH($A308,SPPR!$A:$A,0),8),""),"")</f>
        <v/>
      </c>
      <c r="L308">
        <f>IFERROR(IF(ISNUMBER(INDEX(SPPR!$E:$Z,MATCH($A308,SPPR!$A:$A,0),9)),$C308*INDEX(SPPR!$E:$Z,MATCH($A308,SPPR!$A:$A,0),9),""),"")</f>
        <v/>
      </c>
      <c r="M308">
        <f>IFERROR(IF(ISNUMBER(INDEX(SPPR!$E:$Z,MATCH($A308,SPPR!$A:$A,0),10)),$C308*INDEX(SPPR!$E:$Z,MATCH($A308,SPPR!$A:$A,0),10),""),"")</f>
        <v/>
      </c>
      <c r="N308">
        <f>IFERROR(IF(ISNUMBER(INDEX(SPPR!$E:$Z,MATCH($A308,SPPR!$A:$A,0),11)),$C308*INDEX(SPPR!$E:$Z,MATCH($A308,SPPR!$A:$A,0),11),""),"")</f>
        <v/>
      </c>
      <c r="O308">
        <f>IFERROR(IF(ISNUMBER(INDEX(SPPR!$E:$Z,MATCH($A308,SPPR!$A:$A,0),12)),$C308*INDEX(SPPR!$E:$Z,MATCH($A308,SPPR!$A:$A,0),12),""),"")</f>
        <v/>
      </c>
      <c r="P308">
        <f>IFERROR(IF(ISNUMBER(INDEX(SPPR!$E:$Z,MATCH($A308,SPPR!$A:$A,0),13)),$C308*INDEX(SPPR!$E:$Z,MATCH($A308,SPPR!$A:$A,0),13),""),"")</f>
        <v/>
      </c>
      <c r="Q308">
        <f>IFERROR(IF(ISNUMBER(INDEX(SPPR!$E:$Z,MATCH($A308,SPPR!$A:$A,0),14)),$C308*INDEX(SPPR!$E:$Z,MATCH($A308,SPPR!$A:$A,0),14),""),"")</f>
        <v/>
      </c>
      <c r="R308">
        <f>IFERROR(IF(ISNUMBER(INDEX(SPPR!$E:$Z,MATCH($A308,SPPR!$A:$A,0),15)),$C308*INDEX(SPPR!$E:$Z,MATCH($A308,SPPR!$A:$A,0),15),""),"")</f>
        <v/>
      </c>
      <c r="S308">
        <f>IFERROR(IF(ISNUMBER(INDEX(SPPR!$E:$Z,MATCH($A308,SPPR!$A:$A,0),16)),$C308*INDEX(SPPR!$E:$Z,MATCH($A308,SPPR!$A:$A,0),16),""),"")</f>
        <v/>
      </c>
      <c r="T308">
        <f>IFERROR(IF(ISNUMBER(INDEX(SPPR!$E:$Z,MATCH($A308,SPPR!$A:$A,0),17)),$C308*INDEX(SPPR!$E:$Z,MATCH($A308,SPPR!$A:$A,0),17),""),"")</f>
        <v/>
      </c>
      <c r="U308">
        <f>IFERROR(IF(ISNUMBER(INDEX(SPPR!$E:$Z,MATCH($A308,SPPR!$A:$A,0),18)),$C308*INDEX(SPPR!$E:$Z,MATCH($A308,SPPR!$A:$A,0),18),""),"")</f>
        <v/>
      </c>
      <c r="V308">
        <f>IFERROR(IF(ISNUMBER(INDEX(SPPR!$E:$Z,MATCH($A308,SPPR!$A:$A,0),19)),$C308*INDEX(SPPR!$E:$Z,MATCH($A308,SPPR!$A:$A,0),19),""),"")</f>
        <v/>
      </c>
      <c r="W308">
        <f>IFERROR(IF(ISNUMBER(INDEX(SPPR!$E:$Z,MATCH($A308,SPPR!$A:$A,0),20)),$C308*INDEX(SPPR!$E:$Z,MATCH($A308,SPPR!$A:$A,0),20),""),"")</f>
        <v/>
      </c>
      <c r="X308">
        <f>IFERROR(IF(ISNUMBER(INDEX(SPPR!$E:$Z,MATCH($A308,SPPR!$A:$A,0),21)),$C308*INDEX(SPPR!$E:$Z,MATCH($A308,SPPR!$A:$A,0),21),""),"")</f>
        <v/>
      </c>
      <c r="Y308">
        <f>IFERROR(IF(ISNUMBER(INDEX(SPPR!$E:$Z,MATCH($A308,SPPR!$A:$A,0),22)),$C308*INDEX(SPPR!$E:$Z,MATCH($A308,SPPR!$A:$A,0),22),""),"")</f>
        <v/>
      </c>
    </row>
    <row r="309">
      <c r="A309" t="inlineStr">
        <is>
          <t>Echinodermata</t>
        </is>
      </c>
      <c r="B309">
        <f>IFERROR(INDEX(SPPR!$D:$D,MATCH($A309,SPPR!$A:$A,0)),"")</f>
        <v/>
      </c>
      <c r="C309">
        <f>IFERROR(INDEX(Catch!$E:$BV,MATCH($A309,Catch!$A:$A,0),MATCH($B$4,Catch!$E$1:$BV$1,0)),0)</f>
        <v/>
      </c>
      <c r="D309">
        <f>IFERROR(IF(ISNUMBER(INDEX(SPPR!$E:$Z,MATCH($A309,SPPR!$A:$A,0),1)),$C309*INDEX(SPPR!$E:$Z,MATCH($A309,SPPR!$A:$A,0),1),""),"")</f>
        <v/>
      </c>
      <c r="E309">
        <f>IFERROR(IF(ISNUMBER(INDEX(SPPR!$E:$Z,MATCH($A309,SPPR!$A:$A,0),2)),$C309*INDEX(SPPR!$E:$Z,MATCH($A309,SPPR!$A:$A,0),2),""),"")</f>
        <v/>
      </c>
      <c r="F309">
        <f>IFERROR(IF(ISNUMBER(INDEX(SPPR!$E:$Z,MATCH($A309,SPPR!$A:$A,0),3)),$C309*INDEX(SPPR!$E:$Z,MATCH($A309,SPPR!$A:$A,0),3),""),"")</f>
        <v/>
      </c>
      <c r="G309">
        <f>IFERROR(IF(ISNUMBER(INDEX(SPPR!$E:$Z,MATCH($A309,SPPR!$A:$A,0),4)),$C309*INDEX(SPPR!$E:$Z,MATCH($A309,SPPR!$A:$A,0),4),""),"")</f>
        <v/>
      </c>
      <c r="H309">
        <f>IFERROR(IF(ISNUMBER(INDEX(SPPR!$E:$Z,MATCH($A309,SPPR!$A:$A,0),5)),$C309*INDEX(SPPR!$E:$Z,MATCH($A309,SPPR!$A:$A,0),5),""),"")</f>
        <v/>
      </c>
      <c r="I309">
        <f>IFERROR(IF(ISNUMBER(INDEX(SPPR!$E:$Z,MATCH($A309,SPPR!$A:$A,0),6)),$C309*INDEX(SPPR!$E:$Z,MATCH($A309,SPPR!$A:$A,0),6),""),"")</f>
        <v/>
      </c>
      <c r="J309">
        <f>IFERROR(IF(ISNUMBER(INDEX(SPPR!$E:$Z,MATCH($A309,SPPR!$A:$A,0),7)),$C309*INDEX(SPPR!$E:$Z,MATCH($A309,SPPR!$A:$A,0),7),""),"")</f>
        <v/>
      </c>
      <c r="K309">
        <f>IFERROR(IF(ISNUMBER(INDEX(SPPR!$E:$Z,MATCH($A309,SPPR!$A:$A,0),8)),$C309*INDEX(SPPR!$E:$Z,MATCH($A309,SPPR!$A:$A,0),8),""),"")</f>
        <v/>
      </c>
      <c r="L309">
        <f>IFERROR(IF(ISNUMBER(INDEX(SPPR!$E:$Z,MATCH($A309,SPPR!$A:$A,0),9)),$C309*INDEX(SPPR!$E:$Z,MATCH($A309,SPPR!$A:$A,0),9),""),"")</f>
        <v/>
      </c>
      <c r="M309">
        <f>IFERROR(IF(ISNUMBER(INDEX(SPPR!$E:$Z,MATCH($A309,SPPR!$A:$A,0),10)),$C309*INDEX(SPPR!$E:$Z,MATCH($A309,SPPR!$A:$A,0),10),""),"")</f>
        <v/>
      </c>
      <c r="N309">
        <f>IFERROR(IF(ISNUMBER(INDEX(SPPR!$E:$Z,MATCH($A309,SPPR!$A:$A,0),11)),$C309*INDEX(SPPR!$E:$Z,MATCH($A309,SPPR!$A:$A,0),11),""),"")</f>
        <v/>
      </c>
      <c r="O309">
        <f>IFERROR(IF(ISNUMBER(INDEX(SPPR!$E:$Z,MATCH($A309,SPPR!$A:$A,0),12)),$C309*INDEX(SPPR!$E:$Z,MATCH($A309,SPPR!$A:$A,0),12),""),"")</f>
        <v/>
      </c>
      <c r="P309">
        <f>IFERROR(IF(ISNUMBER(INDEX(SPPR!$E:$Z,MATCH($A309,SPPR!$A:$A,0),13)),$C309*INDEX(SPPR!$E:$Z,MATCH($A309,SPPR!$A:$A,0),13),""),"")</f>
        <v/>
      </c>
      <c r="Q309">
        <f>IFERROR(IF(ISNUMBER(INDEX(SPPR!$E:$Z,MATCH($A309,SPPR!$A:$A,0),14)),$C309*INDEX(SPPR!$E:$Z,MATCH($A309,SPPR!$A:$A,0),14),""),"")</f>
        <v/>
      </c>
      <c r="R309">
        <f>IFERROR(IF(ISNUMBER(INDEX(SPPR!$E:$Z,MATCH($A309,SPPR!$A:$A,0),15)),$C309*INDEX(SPPR!$E:$Z,MATCH($A309,SPPR!$A:$A,0),15),""),"")</f>
        <v/>
      </c>
      <c r="S309">
        <f>IFERROR(IF(ISNUMBER(INDEX(SPPR!$E:$Z,MATCH($A309,SPPR!$A:$A,0),16)),$C309*INDEX(SPPR!$E:$Z,MATCH($A309,SPPR!$A:$A,0),16),""),"")</f>
        <v/>
      </c>
      <c r="T309">
        <f>IFERROR(IF(ISNUMBER(INDEX(SPPR!$E:$Z,MATCH($A309,SPPR!$A:$A,0),17)),$C309*INDEX(SPPR!$E:$Z,MATCH($A309,SPPR!$A:$A,0),17),""),"")</f>
        <v/>
      </c>
      <c r="U309">
        <f>IFERROR(IF(ISNUMBER(INDEX(SPPR!$E:$Z,MATCH($A309,SPPR!$A:$A,0),18)),$C309*INDEX(SPPR!$E:$Z,MATCH($A309,SPPR!$A:$A,0),18),""),"")</f>
        <v/>
      </c>
      <c r="V309">
        <f>IFERROR(IF(ISNUMBER(INDEX(SPPR!$E:$Z,MATCH($A309,SPPR!$A:$A,0),19)),$C309*INDEX(SPPR!$E:$Z,MATCH($A309,SPPR!$A:$A,0),19),""),"")</f>
        <v/>
      </c>
      <c r="W309">
        <f>IFERROR(IF(ISNUMBER(INDEX(SPPR!$E:$Z,MATCH($A309,SPPR!$A:$A,0),20)),$C309*INDEX(SPPR!$E:$Z,MATCH($A309,SPPR!$A:$A,0),20),""),"")</f>
        <v/>
      </c>
      <c r="X309">
        <f>IFERROR(IF(ISNUMBER(INDEX(SPPR!$E:$Z,MATCH($A309,SPPR!$A:$A,0),21)),$C309*INDEX(SPPR!$E:$Z,MATCH($A309,SPPR!$A:$A,0),21),""),"")</f>
        <v/>
      </c>
      <c r="Y309">
        <f>IFERROR(IF(ISNUMBER(INDEX(SPPR!$E:$Z,MATCH($A309,SPPR!$A:$A,0),22)),$C309*INDEX(SPPR!$E:$Z,MATCH($A309,SPPR!$A:$A,0),22),""),"")</f>
        <v/>
      </c>
    </row>
    <row r="310">
      <c r="A310" t="inlineStr">
        <is>
          <t>Panulirus polyphagus</t>
        </is>
      </c>
      <c r="B310">
        <f>IFERROR(INDEX(SPPR!$D:$D,MATCH($A310,SPPR!$A:$A,0)),"")</f>
        <v/>
      </c>
      <c r="C310">
        <f>IFERROR(INDEX(Catch!$E:$BV,MATCH($A310,Catch!$A:$A,0),MATCH($B$4,Catch!$E$1:$BV$1,0)),0)</f>
        <v/>
      </c>
      <c r="D310">
        <f>IFERROR(IF(ISNUMBER(INDEX(SPPR!$E:$Z,MATCH($A310,SPPR!$A:$A,0),1)),$C310*INDEX(SPPR!$E:$Z,MATCH($A310,SPPR!$A:$A,0),1),""),"")</f>
        <v/>
      </c>
      <c r="E310">
        <f>IFERROR(IF(ISNUMBER(INDEX(SPPR!$E:$Z,MATCH($A310,SPPR!$A:$A,0),2)),$C310*INDEX(SPPR!$E:$Z,MATCH($A310,SPPR!$A:$A,0),2),""),"")</f>
        <v/>
      </c>
      <c r="F310">
        <f>IFERROR(IF(ISNUMBER(INDEX(SPPR!$E:$Z,MATCH($A310,SPPR!$A:$A,0),3)),$C310*INDEX(SPPR!$E:$Z,MATCH($A310,SPPR!$A:$A,0),3),""),"")</f>
        <v/>
      </c>
      <c r="G310">
        <f>IFERROR(IF(ISNUMBER(INDEX(SPPR!$E:$Z,MATCH($A310,SPPR!$A:$A,0),4)),$C310*INDEX(SPPR!$E:$Z,MATCH($A310,SPPR!$A:$A,0),4),""),"")</f>
        <v/>
      </c>
      <c r="H310">
        <f>IFERROR(IF(ISNUMBER(INDEX(SPPR!$E:$Z,MATCH($A310,SPPR!$A:$A,0),5)),$C310*INDEX(SPPR!$E:$Z,MATCH($A310,SPPR!$A:$A,0),5),""),"")</f>
        <v/>
      </c>
      <c r="I310">
        <f>IFERROR(IF(ISNUMBER(INDEX(SPPR!$E:$Z,MATCH($A310,SPPR!$A:$A,0),6)),$C310*INDEX(SPPR!$E:$Z,MATCH($A310,SPPR!$A:$A,0),6),""),"")</f>
        <v/>
      </c>
      <c r="J310">
        <f>IFERROR(IF(ISNUMBER(INDEX(SPPR!$E:$Z,MATCH($A310,SPPR!$A:$A,0),7)),$C310*INDEX(SPPR!$E:$Z,MATCH($A310,SPPR!$A:$A,0),7),""),"")</f>
        <v/>
      </c>
      <c r="K310">
        <f>IFERROR(IF(ISNUMBER(INDEX(SPPR!$E:$Z,MATCH($A310,SPPR!$A:$A,0),8)),$C310*INDEX(SPPR!$E:$Z,MATCH($A310,SPPR!$A:$A,0),8),""),"")</f>
        <v/>
      </c>
      <c r="L310">
        <f>IFERROR(IF(ISNUMBER(INDEX(SPPR!$E:$Z,MATCH($A310,SPPR!$A:$A,0),9)),$C310*INDEX(SPPR!$E:$Z,MATCH($A310,SPPR!$A:$A,0),9),""),"")</f>
        <v/>
      </c>
      <c r="M310">
        <f>IFERROR(IF(ISNUMBER(INDEX(SPPR!$E:$Z,MATCH($A310,SPPR!$A:$A,0),10)),$C310*INDEX(SPPR!$E:$Z,MATCH($A310,SPPR!$A:$A,0),10),""),"")</f>
        <v/>
      </c>
      <c r="N310">
        <f>IFERROR(IF(ISNUMBER(INDEX(SPPR!$E:$Z,MATCH($A310,SPPR!$A:$A,0),11)),$C310*INDEX(SPPR!$E:$Z,MATCH($A310,SPPR!$A:$A,0),11),""),"")</f>
        <v/>
      </c>
      <c r="O310">
        <f>IFERROR(IF(ISNUMBER(INDEX(SPPR!$E:$Z,MATCH($A310,SPPR!$A:$A,0),12)),$C310*INDEX(SPPR!$E:$Z,MATCH($A310,SPPR!$A:$A,0),12),""),"")</f>
        <v/>
      </c>
      <c r="P310">
        <f>IFERROR(IF(ISNUMBER(INDEX(SPPR!$E:$Z,MATCH($A310,SPPR!$A:$A,0),13)),$C310*INDEX(SPPR!$E:$Z,MATCH($A310,SPPR!$A:$A,0),13),""),"")</f>
        <v/>
      </c>
      <c r="Q310">
        <f>IFERROR(IF(ISNUMBER(INDEX(SPPR!$E:$Z,MATCH($A310,SPPR!$A:$A,0),14)),$C310*INDEX(SPPR!$E:$Z,MATCH($A310,SPPR!$A:$A,0),14),""),"")</f>
        <v/>
      </c>
      <c r="R310">
        <f>IFERROR(IF(ISNUMBER(INDEX(SPPR!$E:$Z,MATCH($A310,SPPR!$A:$A,0),15)),$C310*INDEX(SPPR!$E:$Z,MATCH($A310,SPPR!$A:$A,0),15),""),"")</f>
        <v/>
      </c>
      <c r="S310">
        <f>IFERROR(IF(ISNUMBER(INDEX(SPPR!$E:$Z,MATCH($A310,SPPR!$A:$A,0),16)),$C310*INDEX(SPPR!$E:$Z,MATCH($A310,SPPR!$A:$A,0),16),""),"")</f>
        <v/>
      </c>
      <c r="T310">
        <f>IFERROR(IF(ISNUMBER(INDEX(SPPR!$E:$Z,MATCH($A310,SPPR!$A:$A,0),17)),$C310*INDEX(SPPR!$E:$Z,MATCH($A310,SPPR!$A:$A,0),17),""),"")</f>
        <v/>
      </c>
      <c r="U310">
        <f>IFERROR(IF(ISNUMBER(INDEX(SPPR!$E:$Z,MATCH($A310,SPPR!$A:$A,0),18)),$C310*INDEX(SPPR!$E:$Z,MATCH($A310,SPPR!$A:$A,0),18),""),"")</f>
        <v/>
      </c>
      <c r="V310">
        <f>IFERROR(IF(ISNUMBER(INDEX(SPPR!$E:$Z,MATCH($A310,SPPR!$A:$A,0),19)),$C310*INDEX(SPPR!$E:$Z,MATCH($A310,SPPR!$A:$A,0),19),""),"")</f>
        <v/>
      </c>
      <c r="W310">
        <f>IFERROR(IF(ISNUMBER(INDEX(SPPR!$E:$Z,MATCH($A310,SPPR!$A:$A,0),20)),$C310*INDEX(SPPR!$E:$Z,MATCH($A310,SPPR!$A:$A,0),20),""),"")</f>
        <v/>
      </c>
      <c r="X310">
        <f>IFERROR(IF(ISNUMBER(INDEX(SPPR!$E:$Z,MATCH($A310,SPPR!$A:$A,0),21)),$C310*INDEX(SPPR!$E:$Z,MATCH($A310,SPPR!$A:$A,0),21),""),"")</f>
        <v/>
      </c>
      <c r="Y310">
        <f>IFERROR(IF(ISNUMBER(INDEX(SPPR!$E:$Z,MATCH($A310,SPPR!$A:$A,0),22)),$C310*INDEX(SPPR!$E:$Z,MATCH($A310,SPPR!$A:$A,0),22),""),"")</f>
        <v/>
      </c>
    </row>
    <row r="311">
      <c r="A311" t="inlineStr">
        <is>
          <t>Carcharhinus obscurus</t>
        </is>
      </c>
      <c r="B311">
        <f>IFERROR(INDEX(SPPR!$D:$D,MATCH($A311,SPPR!$A:$A,0)),"")</f>
        <v/>
      </c>
      <c r="C311">
        <f>IFERROR(INDEX(Catch!$E:$BV,MATCH($A311,Catch!$A:$A,0),MATCH($B$4,Catch!$E$1:$BV$1,0)),0)</f>
        <v/>
      </c>
      <c r="D311">
        <f>IFERROR(IF(ISNUMBER(INDEX(SPPR!$E:$Z,MATCH($A311,SPPR!$A:$A,0),1)),$C311*INDEX(SPPR!$E:$Z,MATCH($A311,SPPR!$A:$A,0),1),""),"")</f>
        <v/>
      </c>
      <c r="E311">
        <f>IFERROR(IF(ISNUMBER(INDEX(SPPR!$E:$Z,MATCH($A311,SPPR!$A:$A,0),2)),$C311*INDEX(SPPR!$E:$Z,MATCH($A311,SPPR!$A:$A,0),2),""),"")</f>
        <v/>
      </c>
      <c r="F311">
        <f>IFERROR(IF(ISNUMBER(INDEX(SPPR!$E:$Z,MATCH($A311,SPPR!$A:$A,0),3)),$C311*INDEX(SPPR!$E:$Z,MATCH($A311,SPPR!$A:$A,0),3),""),"")</f>
        <v/>
      </c>
      <c r="G311">
        <f>IFERROR(IF(ISNUMBER(INDEX(SPPR!$E:$Z,MATCH($A311,SPPR!$A:$A,0),4)),$C311*INDEX(SPPR!$E:$Z,MATCH($A311,SPPR!$A:$A,0),4),""),"")</f>
        <v/>
      </c>
      <c r="H311">
        <f>IFERROR(IF(ISNUMBER(INDEX(SPPR!$E:$Z,MATCH($A311,SPPR!$A:$A,0),5)),$C311*INDEX(SPPR!$E:$Z,MATCH($A311,SPPR!$A:$A,0),5),""),"")</f>
        <v/>
      </c>
      <c r="I311">
        <f>IFERROR(IF(ISNUMBER(INDEX(SPPR!$E:$Z,MATCH($A311,SPPR!$A:$A,0),6)),$C311*INDEX(SPPR!$E:$Z,MATCH($A311,SPPR!$A:$A,0),6),""),"")</f>
        <v/>
      </c>
      <c r="J311">
        <f>IFERROR(IF(ISNUMBER(INDEX(SPPR!$E:$Z,MATCH($A311,SPPR!$A:$A,0),7)),$C311*INDEX(SPPR!$E:$Z,MATCH($A311,SPPR!$A:$A,0),7),""),"")</f>
        <v/>
      </c>
      <c r="K311">
        <f>IFERROR(IF(ISNUMBER(INDEX(SPPR!$E:$Z,MATCH($A311,SPPR!$A:$A,0),8)),$C311*INDEX(SPPR!$E:$Z,MATCH($A311,SPPR!$A:$A,0),8),""),"")</f>
        <v/>
      </c>
      <c r="L311">
        <f>IFERROR(IF(ISNUMBER(INDEX(SPPR!$E:$Z,MATCH($A311,SPPR!$A:$A,0),9)),$C311*INDEX(SPPR!$E:$Z,MATCH($A311,SPPR!$A:$A,0),9),""),"")</f>
        <v/>
      </c>
      <c r="M311">
        <f>IFERROR(IF(ISNUMBER(INDEX(SPPR!$E:$Z,MATCH($A311,SPPR!$A:$A,0),10)),$C311*INDEX(SPPR!$E:$Z,MATCH($A311,SPPR!$A:$A,0),10),""),"")</f>
        <v/>
      </c>
      <c r="N311">
        <f>IFERROR(IF(ISNUMBER(INDEX(SPPR!$E:$Z,MATCH($A311,SPPR!$A:$A,0),11)),$C311*INDEX(SPPR!$E:$Z,MATCH($A311,SPPR!$A:$A,0),11),""),"")</f>
        <v/>
      </c>
      <c r="O311">
        <f>IFERROR(IF(ISNUMBER(INDEX(SPPR!$E:$Z,MATCH($A311,SPPR!$A:$A,0),12)),$C311*INDEX(SPPR!$E:$Z,MATCH($A311,SPPR!$A:$A,0),12),""),"")</f>
        <v/>
      </c>
      <c r="P311">
        <f>IFERROR(IF(ISNUMBER(INDEX(SPPR!$E:$Z,MATCH($A311,SPPR!$A:$A,0),13)),$C311*INDEX(SPPR!$E:$Z,MATCH($A311,SPPR!$A:$A,0),13),""),"")</f>
        <v/>
      </c>
      <c r="Q311">
        <f>IFERROR(IF(ISNUMBER(INDEX(SPPR!$E:$Z,MATCH($A311,SPPR!$A:$A,0),14)),$C311*INDEX(SPPR!$E:$Z,MATCH($A311,SPPR!$A:$A,0),14),""),"")</f>
        <v/>
      </c>
      <c r="R311">
        <f>IFERROR(IF(ISNUMBER(INDEX(SPPR!$E:$Z,MATCH($A311,SPPR!$A:$A,0),15)),$C311*INDEX(SPPR!$E:$Z,MATCH($A311,SPPR!$A:$A,0),15),""),"")</f>
        <v/>
      </c>
      <c r="S311">
        <f>IFERROR(IF(ISNUMBER(INDEX(SPPR!$E:$Z,MATCH($A311,SPPR!$A:$A,0),16)),$C311*INDEX(SPPR!$E:$Z,MATCH($A311,SPPR!$A:$A,0),16),""),"")</f>
        <v/>
      </c>
      <c r="T311">
        <f>IFERROR(IF(ISNUMBER(INDEX(SPPR!$E:$Z,MATCH($A311,SPPR!$A:$A,0),17)),$C311*INDEX(SPPR!$E:$Z,MATCH($A311,SPPR!$A:$A,0),17),""),"")</f>
        <v/>
      </c>
      <c r="U311">
        <f>IFERROR(IF(ISNUMBER(INDEX(SPPR!$E:$Z,MATCH($A311,SPPR!$A:$A,0),18)),$C311*INDEX(SPPR!$E:$Z,MATCH($A311,SPPR!$A:$A,0),18),""),"")</f>
        <v/>
      </c>
      <c r="V311">
        <f>IFERROR(IF(ISNUMBER(INDEX(SPPR!$E:$Z,MATCH($A311,SPPR!$A:$A,0),19)),$C311*INDEX(SPPR!$E:$Z,MATCH($A311,SPPR!$A:$A,0),19),""),"")</f>
        <v/>
      </c>
      <c r="W311">
        <f>IFERROR(IF(ISNUMBER(INDEX(SPPR!$E:$Z,MATCH($A311,SPPR!$A:$A,0),20)),$C311*INDEX(SPPR!$E:$Z,MATCH($A311,SPPR!$A:$A,0),20),""),"")</f>
        <v/>
      </c>
      <c r="X311">
        <f>IFERROR(IF(ISNUMBER(INDEX(SPPR!$E:$Z,MATCH($A311,SPPR!$A:$A,0),21)),$C311*INDEX(SPPR!$E:$Z,MATCH($A311,SPPR!$A:$A,0),21),""),"")</f>
        <v/>
      </c>
      <c r="Y311">
        <f>IFERROR(IF(ISNUMBER(INDEX(SPPR!$E:$Z,MATCH($A311,SPPR!$A:$A,0),22)),$C311*INDEX(SPPR!$E:$Z,MATCH($A311,SPPR!$A:$A,0),22),""),"")</f>
        <v/>
      </c>
    </row>
    <row r="312">
      <c r="A312" t="inlineStr">
        <is>
          <t>Labridae</t>
        </is>
      </c>
      <c r="B312">
        <f>IFERROR(INDEX(SPPR!$D:$D,MATCH($A312,SPPR!$A:$A,0)),"")</f>
        <v/>
      </c>
      <c r="C312">
        <f>IFERROR(INDEX(Catch!$E:$BV,MATCH($A312,Catch!$A:$A,0),MATCH($B$4,Catch!$E$1:$BV$1,0)),0)</f>
        <v/>
      </c>
      <c r="D312">
        <f>IFERROR(IF(ISNUMBER(INDEX(SPPR!$E:$Z,MATCH($A312,SPPR!$A:$A,0),1)),$C312*INDEX(SPPR!$E:$Z,MATCH($A312,SPPR!$A:$A,0),1),""),"")</f>
        <v/>
      </c>
      <c r="E312">
        <f>IFERROR(IF(ISNUMBER(INDEX(SPPR!$E:$Z,MATCH($A312,SPPR!$A:$A,0),2)),$C312*INDEX(SPPR!$E:$Z,MATCH($A312,SPPR!$A:$A,0),2),""),"")</f>
        <v/>
      </c>
      <c r="F312">
        <f>IFERROR(IF(ISNUMBER(INDEX(SPPR!$E:$Z,MATCH($A312,SPPR!$A:$A,0),3)),$C312*INDEX(SPPR!$E:$Z,MATCH($A312,SPPR!$A:$A,0),3),""),"")</f>
        <v/>
      </c>
      <c r="G312">
        <f>IFERROR(IF(ISNUMBER(INDEX(SPPR!$E:$Z,MATCH($A312,SPPR!$A:$A,0),4)),$C312*INDEX(SPPR!$E:$Z,MATCH($A312,SPPR!$A:$A,0),4),""),"")</f>
        <v/>
      </c>
      <c r="H312">
        <f>IFERROR(IF(ISNUMBER(INDEX(SPPR!$E:$Z,MATCH($A312,SPPR!$A:$A,0),5)),$C312*INDEX(SPPR!$E:$Z,MATCH($A312,SPPR!$A:$A,0),5),""),"")</f>
        <v/>
      </c>
      <c r="I312">
        <f>IFERROR(IF(ISNUMBER(INDEX(SPPR!$E:$Z,MATCH($A312,SPPR!$A:$A,0),6)),$C312*INDEX(SPPR!$E:$Z,MATCH($A312,SPPR!$A:$A,0),6),""),"")</f>
        <v/>
      </c>
      <c r="J312">
        <f>IFERROR(IF(ISNUMBER(INDEX(SPPR!$E:$Z,MATCH($A312,SPPR!$A:$A,0),7)),$C312*INDEX(SPPR!$E:$Z,MATCH($A312,SPPR!$A:$A,0),7),""),"")</f>
        <v/>
      </c>
      <c r="K312">
        <f>IFERROR(IF(ISNUMBER(INDEX(SPPR!$E:$Z,MATCH($A312,SPPR!$A:$A,0),8)),$C312*INDEX(SPPR!$E:$Z,MATCH($A312,SPPR!$A:$A,0),8),""),"")</f>
        <v/>
      </c>
      <c r="L312">
        <f>IFERROR(IF(ISNUMBER(INDEX(SPPR!$E:$Z,MATCH($A312,SPPR!$A:$A,0),9)),$C312*INDEX(SPPR!$E:$Z,MATCH($A312,SPPR!$A:$A,0),9),""),"")</f>
        <v/>
      </c>
      <c r="M312">
        <f>IFERROR(IF(ISNUMBER(INDEX(SPPR!$E:$Z,MATCH($A312,SPPR!$A:$A,0),10)),$C312*INDEX(SPPR!$E:$Z,MATCH($A312,SPPR!$A:$A,0),10),""),"")</f>
        <v/>
      </c>
      <c r="N312">
        <f>IFERROR(IF(ISNUMBER(INDEX(SPPR!$E:$Z,MATCH($A312,SPPR!$A:$A,0),11)),$C312*INDEX(SPPR!$E:$Z,MATCH($A312,SPPR!$A:$A,0),11),""),"")</f>
        <v/>
      </c>
      <c r="O312">
        <f>IFERROR(IF(ISNUMBER(INDEX(SPPR!$E:$Z,MATCH($A312,SPPR!$A:$A,0),12)),$C312*INDEX(SPPR!$E:$Z,MATCH($A312,SPPR!$A:$A,0),12),""),"")</f>
        <v/>
      </c>
      <c r="P312">
        <f>IFERROR(IF(ISNUMBER(INDEX(SPPR!$E:$Z,MATCH($A312,SPPR!$A:$A,0),13)),$C312*INDEX(SPPR!$E:$Z,MATCH($A312,SPPR!$A:$A,0),13),""),"")</f>
        <v/>
      </c>
      <c r="Q312">
        <f>IFERROR(IF(ISNUMBER(INDEX(SPPR!$E:$Z,MATCH($A312,SPPR!$A:$A,0),14)),$C312*INDEX(SPPR!$E:$Z,MATCH($A312,SPPR!$A:$A,0),14),""),"")</f>
        <v/>
      </c>
      <c r="R312">
        <f>IFERROR(IF(ISNUMBER(INDEX(SPPR!$E:$Z,MATCH($A312,SPPR!$A:$A,0),15)),$C312*INDEX(SPPR!$E:$Z,MATCH($A312,SPPR!$A:$A,0),15),""),"")</f>
        <v/>
      </c>
      <c r="S312">
        <f>IFERROR(IF(ISNUMBER(INDEX(SPPR!$E:$Z,MATCH($A312,SPPR!$A:$A,0),16)),$C312*INDEX(SPPR!$E:$Z,MATCH($A312,SPPR!$A:$A,0),16),""),"")</f>
        <v/>
      </c>
      <c r="T312">
        <f>IFERROR(IF(ISNUMBER(INDEX(SPPR!$E:$Z,MATCH($A312,SPPR!$A:$A,0),17)),$C312*INDEX(SPPR!$E:$Z,MATCH($A312,SPPR!$A:$A,0),17),""),"")</f>
        <v/>
      </c>
      <c r="U312">
        <f>IFERROR(IF(ISNUMBER(INDEX(SPPR!$E:$Z,MATCH($A312,SPPR!$A:$A,0),18)),$C312*INDEX(SPPR!$E:$Z,MATCH($A312,SPPR!$A:$A,0),18),""),"")</f>
        <v/>
      </c>
      <c r="V312">
        <f>IFERROR(IF(ISNUMBER(INDEX(SPPR!$E:$Z,MATCH($A312,SPPR!$A:$A,0),19)),$C312*INDEX(SPPR!$E:$Z,MATCH($A312,SPPR!$A:$A,0),19),""),"")</f>
        <v/>
      </c>
      <c r="W312">
        <f>IFERROR(IF(ISNUMBER(INDEX(SPPR!$E:$Z,MATCH($A312,SPPR!$A:$A,0),20)),$C312*INDEX(SPPR!$E:$Z,MATCH($A312,SPPR!$A:$A,0),20),""),"")</f>
        <v/>
      </c>
      <c r="X312">
        <f>IFERROR(IF(ISNUMBER(INDEX(SPPR!$E:$Z,MATCH($A312,SPPR!$A:$A,0),21)),$C312*INDEX(SPPR!$E:$Z,MATCH($A312,SPPR!$A:$A,0),21),""),"")</f>
        <v/>
      </c>
      <c r="Y312">
        <f>IFERROR(IF(ISNUMBER(INDEX(SPPR!$E:$Z,MATCH($A312,SPPR!$A:$A,0),22)),$C312*INDEX(SPPR!$E:$Z,MATCH($A312,SPPR!$A:$A,0),22),""),"")</f>
        <v/>
      </c>
    </row>
    <row r="313">
      <c r="A313" t="inlineStr">
        <is>
          <t>Polynemus</t>
        </is>
      </c>
      <c r="B313">
        <f>IFERROR(INDEX(SPPR!$D:$D,MATCH($A313,SPPR!$A:$A,0)),"")</f>
        <v/>
      </c>
      <c r="C313">
        <f>IFERROR(INDEX(Catch!$E:$BV,MATCH($A313,Catch!$A:$A,0),MATCH($B$4,Catch!$E$1:$BV$1,0)),0)</f>
        <v/>
      </c>
      <c r="D313">
        <f>IFERROR(IF(ISNUMBER(INDEX(SPPR!$E:$Z,MATCH($A313,SPPR!$A:$A,0),1)),$C313*INDEX(SPPR!$E:$Z,MATCH($A313,SPPR!$A:$A,0),1),""),"")</f>
        <v/>
      </c>
      <c r="E313">
        <f>IFERROR(IF(ISNUMBER(INDEX(SPPR!$E:$Z,MATCH($A313,SPPR!$A:$A,0),2)),$C313*INDEX(SPPR!$E:$Z,MATCH($A313,SPPR!$A:$A,0),2),""),"")</f>
        <v/>
      </c>
      <c r="F313">
        <f>IFERROR(IF(ISNUMBER(INDEX(SPPR!$E:$Z,MATCH($A313,SPPR!$A:$A,0),3)),$C313*INDEX(SPPR!$E:$Z,MATCH($A313,SPPR!$A:$A,0),3),""),"")</f>
        <v/>
      </c>
      <c r="G313">
        <f>IFERROR(IF(ISNUMBER(INDEX(SPPR!$E:$Z,MATCH($A313,SPPR!$A:$A,0),4)),$C313*INDEX(SPPR!$E:$Z,MATCH($A313,SPPR!$A:$A,0),4),""),"")</f>
        <v/>
      </c>
      <c r="H313">
        <f>IFERROR(IF(ISNUMBER(INDEX(SPPR!$E:$Z,MATCH($A313,SPPR!$A:$A,0),5)),$C313*INDEX(SPPR!$E:$Z,MATCH($A313,SPPR!$A:$A,0),5),""),"")</f>
        <v/>
      </c>
      <c r="I313">
        <f>IFERROR(IF(ISNUMBER(INDEX(SPPR!$E:$Z,MATCH($A313,SPPR!$A:$A,0),6)),$C313*INDEX(SPPR!$E:$Z,MATCH($A313,SPPR!$A:$A,0),6),""),"")</f>
        <v/>
      </c>
      <c r="J313">
        <f>IFERROR(IF(ISNUMBER(INDEX(SPPR!$E:$Z,MATCH($A313,SPPR!$A:$A,0),7)),$C313*INDEX(SPPR!$E:$Z,MATCH($A313,SPPR!$A:$A,0),7),""),"")</f>
        <v/>
      </c>
      <c r="K313">
        <f>IFERROR(IF(ISNUMBER(INDEX(SPPR!$E:$Z,MATCH($A313,SPPR!$A:$A,0),8)),$C313*INDEX(SPPR!$E:$Z,MATCH($A313,SPPR!$A:$A,0),8),""),"")</f>
        <v/>
      </c>
      <c r="L313">
        <f>IFERROR(IF(ISNUMBER(INDEX(SPPR!$E:$Z,MATCH($A313,SPPR!$A:$A,0),9)),$C313*INDEX(SPPR!$E:$Z,MATCH($A313,SPPR!$A:$A,0),9),""),"")</f>
        <v/>
      </c>
      <c r="M313">
        <f>IFERROR(IF(ISNUMBER(INDEX(SPPR!$E:$Z,MATCH($A313,SPPR!$A:$A,0),10)),$C313*INDEX(SPPR!$E:$Z,MATCH($A313,SPPR!$A:$A,0),10),""),"")</f>
        <v/>
      </c>
      <c r="N313">
        <f>IFERROR(IF(ISNUMBER(INDEX(SPPR!$E:$Z,MATCH($A313,SPPR!$A:$A,0),11)),$C313*INDEX(SPPR!$E:$Z,MATCH($A313,SPPR!$A:$A,0),11),""),"")</f>
        <v/>
      </c>
      <c r="O313">
        <f>IFERROR(IF(ISNUMBER(INDEX(SPPR!$E:$Z,MATCH($A313,SPPR!$A:$A,0),12)),$C313*INDEX(SPPR!$E:$Z,MATCH($A313,SPPR!$A:$A,0),12),""),"")</f>
        <v/>
      </c>
      <c r="P313">
        <f>IFERROR(IF(ISNUMBER(INDEX(SPPR!$E:$Z,MATCH($A313,SPPR!$A:$A,0),13)),$C313*INDEX(SPPR!$E:$Z,MATCH($A313,SPPR!$A:$A,0),13),""),"")</f>
        <v/>
      </c>
      <c r="Q313">
        <f>IFERROR(IF(ISNUMBER(INDEX(SPPR!$E:$Z,MATCH($A313,SPPR!$A:$A,0),14)),$C313*INDEX(SPPR!$E:$Z,MATCH($A313,SPPR!$A:$A,0),14),""),"")</f>
        <v/>
      </c>
      <c r="R313">
        <f>IFERROR(IF(ISNUMBER(INDEX(SPPR!$E:$Z,MATCH($A313,SPPR!$A:$A,0),15)),$C313*INDEX(SPPR!$E:$Z,MATCH($A313,SPPR!$A:$A,0),15),""),"")</f>
        <v/>
      </c>
      <c r="S313">
        <f>IFERROR(IF(ISNUMBER(INDEX(SPPR!$E:$Z,MATCH($A313,SPPR!$A:$A,0),16)),$C313*INDEX(SPPR!$E:$Z,MATCH($A313,SPPR!$A:$A,0),16),""),"")</f>
        <v/>
      </c>
      <c r="T313">
        <f>IFERROR(IF(ISNUMBER(INDEX(SPPR!$E:$Z,MATCH($A313,SPPR!$A:$A,0),17)),$C313*INDEX(SPPR!$E:$Z,MATCH($A313,SPPR!$A:$A,0),17),""),"")</f>
        <v/>
      </c>
      <c r="U313">
        <f>IFERROR(IF(ISNUMBER(INDEX(SPPR!$E:$Z,MATCH($A313,SPPR!$A:$A,0),18)),$C313*INDEX(SPPR!$E:$Z,MATCH($A313,SPPR!$A:$A,0),18),""),"")</f>
        <v/>
      </c>
      <c r="V313">
        <f>IFERROR(IF(ISNUMBER(INDEX(SPPR!$E:$Z,MATCH($A313,SPPR!$A:$A,0),19)),$C313*INDEX(SPPR!$E:$Z,MATCH($A313,SPPR!$A:$A,0),19),""),"")</f>
        <v/>
      </c>
      <c r="W313">
        <f>IFERROR(IF(ISNUMBER(INDEX(SPPR!$E:$Z,MATCH($A313,SPPR!$A:$A,0),20)),$C313*INDEX(SPPR!$E:$Z,MATCH($A313,SPPR!$A:$A,0),20),""),"")</f>
        <v/>
      </c>
      <c r="X313">
        <f>IFERROR(IF(ISNUMBER(INDEX(SPPR!$E:$Z,MATCH($A313,SPPR!$A:$A,0),21)),$C313*INDEX(SPPR!$E:$Z,MATCH($A313,SPPR!$A:$A,0),21),""),"")</f>
        <v/>
      </c>
      <c r="Y313">
        <f>IFERROR(IF(ISNUMBER(INDEX(SPPR!$E:$Z,MATCH($A313,SPPR!$A:$A,0),22)),$C313*INDEX(SPPR!$E:$Z,MATCH($A313,SPPR!$A:$A,0),22),""),"")</f>
        <v/>
      </c>
    </row>
    <row r="314">
      <c r="A314" t="inlineStr">
        <is>
          <t>Decapterus macarellus</t>
        </is>
      </c>
      <c r="B314">
        <f>IFERROR(INDEX(SPPR!$D:$D,MATCH($A314,SPPR!$A:$A,0)),"")</f>
        <v/>
      </c>
      <c r="C314">
        <f>IFERROR(INDEX(Catch!$E:$BV,MATCH($A314,Catch!$A:$A,0),MATCH($B$4,Catch!$E$1:$BV$1,0)),0)</f>
        <v/>
      </c>
      <c r="D314">
        <f>IFERROR(IF(ISNUMBER(INDEX(SPPR!$E:$Z,MATCH($A314,SPPR!$A:$A,0),1)),$C314*INDEX(SPPR!$E:$Z,MATCH($A314,SPPR!$A:$A,0),1),""),"")</f>
        <v/>
      </c>
      <c r="E314">
        <f>IFERROR(IF(ISNUMBER(INDEX(SPPR!$E:$Z,MATCH($A314,SPPR!$A:$A,0),2)),$C314*INDEX(SPPR!$E:$Z,MATCH($A314,SPPR!$A:$A,0),2),""),"")</f>
        <v/>
      </c>
      <c r="F314">
        <f>IFERROR(IF(ISNUMBER(INDEX(SPPR!$E:$Z,MATCH($A314,SPPR!$A:$A,0),3)),$C314*INDEX(SPPR!$E:$Z,MATCH($A314,SPPR!$A:$A,0),3),""),"")</f>
        <v/>
      </c>
      <c r="G314">
        <f>IFERROR(IF(ISNUMBER(INDEX(SPPR!$E:$Z,MATCH($A314,SPPR!$A:$A,0),4)),$C314*INDEX(SPPR!$E:$Z,MATCH($A314,SPPR!$A:$A,0),4),""),"")</f>
        <v/>
      </c>
      <c r="H314">
        <f>IFERROR(IF(ISNUMBER(INDEX(SPPR!$E:$Z,MATCH($A314,SPPR!$A:$A,0),5)),$C314*INDEX(SPPR!$E:$Z,MATCH($A314,SPPR!$A:$A,0),5),""),"")</f>
        <v/>
      </c>
      <c r="I314">
        <f>IFERROR(IF(ISNUMBER(INDEX(SPPR!$E:$Z,MATCH($A314,SPPR!$A:$A,0),6)),$C314*INDEX(SPPR!$E:$Z,MATCH($A314,SPPR!$A:$A,0),6),""),"")</f>
        <v/>
      </c>
      <c r="J314">
        <f>IFERROR(IF(ISNUMBER(INDEX(SPPR!$E:$Z,MATCH($A314,SPPR!$A:$A,0),7)),$C314*INDEX(SPPR!$E:$Z,MATCH($A314,SPPR!$A:$A,0),7),""),"")</f>
        <v/>
      </c>
      <c r="K314">
        <f>IFERROR(IF(ISNUMBER(INDEX(SPPR!$E:$Z,MATCH($A314,SPPR!$A:$A,0),8)),$C314*INDEX(SPPR!$E:$Z,MATCH($A314,SPPR!$A:$A,0),8),""),"")</f>
        <v/>
      </c>
      <c r="L314">
        <f>IFERROR(IF(ISNUMBER(INDEX(SPPR!$E:$Z,MATCH($A314,SPPR!$A:$A,0),9)),$C314*INDEX(SPPR!$E:$Z,MATCH($A314,SPPR!$A:$A,0),9),""),"")</f>
        <v/>
      </c>
      <c r="M314">
        <f>IFERROR(IF(ISNUMBER(INDEX(SPPR!$E:$Z,MATCH($A314,SPPR!$A:$A,0),10)),$C314*INDEX(SPPR!$E:$Z,MATCH($A314,SPPR!$A:$A,0),10),""),"")</f>
        <v/>
      </c>
      <c r="N314">
        <f>IFERROR(IF(ISNUMBER(INDEX(SPPR!$E:$Z,MATCH($A314,SPPR!$A:$A,0),11)),$C314*INDEX(SPPR!$E:$Z,MATCH($A314,SPPR!$A:$A,0),11),""),"")</f>
        <v/>
      </c>
      <c r="O314">
        <f>IFERROR(IF(ISNUMBER(INDEX(SPPR!$E:$Z,MATCH($A314,SPPR!$A:$A,0),12)),$C314*INDEX(SPPR!$E:$Z,MATCH($A314,SPPR!$A:$A,0),12),""),"")</f>
        <v/>
      </c>
      <c r="P314">
        <f>IFERROR(IF(ISNUMBER(INDEX(SPPR!$E:$Z,MATCH($A314,SPPR!$A:$A,0),13)),$C314*INDEX(SPPR!$E:$Z,MATCH($A314,SPPR!$A:$A,0),13),""),"")</f>
        <v/>
      </c>
      <c r="Q314">
        <f>IFERROR(IF(ISNUMBER(INDEX(SPPR!$E:$Z,MATCH($A314,SPPR!$A:$A,0),14)),$C314*INDEX(SPPR!$E:$Z,MATCH($A314,SPPR!$A:$A,0),14),""),"")</f>
        <v/>
      </c>
      <c r="R314">
        <f>IFERROR(IF(ISNUMBER(INDEX(SPPR!$E:$Z,MATCH($A314,SPPR!$A:$A,0),15)),$C314*INDEX(SPPR!$E:$Z,MATCH($A314,SPPR!$A:$A,0),15),""),"")</f>
        <v/>
      </c>
      <c r="S314">
        <f>IFERROR(IF(ISNUMBER(INDEX(SPPR!$E:$Z,MATCH($A314,SPPR!$A:$A,0),16)),$C314*INDEX(SPPR!$E:$Z,MATCH($A314,SPPR!$A:$A,0),16),""),"")</f>
        <v/>
      </c>
      <c r="T314">
        <f>IFERROR(IF(ISNUMBER(INDEX(SPPR!$E:$Z,MATCH($A314,SPPR!$A:$A,0),17)),$C314*INDEX(SPPR!$E:$Z,MATCH($A314,SPPR!$A:$A,0),17),""),"")</f>
        <v/>
      </c>
      <c r="U314">
        <f>IFERROR(IF(ISNUMBER(INDEX(SPPR!$E:$Z,MATCH($A314,SPPR!$A:$A,0),18)),$C314*INDEX(SPPR!$E:$Z,MATCH($A314,SPPR!$A:$A,0),18),""),"")</f>
        <v/>
      </c>
      <c r="V314">
        <f>IFERROR(IF(ISNUMBER(INDEX(SPPR!$E:$Z,MATCH($A314,SPPR!$A:$A,0),19)),$C314*INDEX(SPPR!$E:$Z,MATCH($A314,SPPR!$A:$A,0),19),""),"")</f>
        <v/>
      </c>
      <c r="W314">
        <f>IFERROR(IF(ISNUMBER(INDEX(SPPR!$E:$Z,MATCH($A314,SPPR!$A:$A,0),20)),$C314*INDEX(SPPR!$E:$Z,MATCH($A314,SPPR!$A:$A,0),20),""),"")</f>
        <v/>
      </c>
      <c r="X314">
        <f>IFERROR(IF(ISNUMBER(INDEX(SPPR!$E:$Z,MATCH($A314,SPPR!$A:$A,0),21)),$C314*INDEX(SPPR!$E:$Z,MATCH($A314,SPPR!$A:$A,0),21),""),"")</f>
        <v/>
      </c>
      <c r="Y314">
        <f>IFERROR(IF(ISNUMBER(INDEX(SPPR!$E:$Z,MATCH($A314,SPPR!$A:$A,0),22)),$C314*INDEX(SPPR!$E:$Z,MATCH($A314,SPPR!$A:$A,0),22),""),"")</f>
        <v/>
      </c>
    </row>
    <row r="315">
      <c r="A315" t="inlineStr">
        <is>
          <t>Carcharhinus brachyurus</t>
        </is>
      </c>
      <c r="B315">
        <f>IFERROR(INDEX(SPPR!$D:$D,MATCH($A315,SPPR!$A:$A,0)),"")</f>
        <v/>
      </c>
      <c r="C315">
        <f>IFERROR(INDEX(Catch!$E:$BV,MATCH($A315,Catch!$A:$A,0),MATCH($B$4,Catch!$E$1:$BV$1,0)),0)</f>
        <v/>
      </c>
      <c r="D315">
        <f>IFERROR(IF(ISNUMBER(INDEX(SPPR!$E:$Z,MATCH($A315,SPPR!$A:$A,0),1)),$C315*INDEX(SPPR!$E:$Z,MATCH($A315,SPPR!$A:$A,0),1),""),"")</f>
        <v/>
      </c>
      <c r="E315">
        <f>IFERROR(IF(ISNUMBER(INDEX(SPPR!$E:$Z,MATCH($A315,SPPR!$A:$A,0),2)),$C315*INDEX(SPPR!$E:$Z,MATCH($A315,SPPR!$A:$A,0),2),""),"")</f>
        <v/>
      </c>
      <c r="F315">
        <f>IFERROR(IF(ISNUMBER(INDEX(SPPR!$E:$Z,MATCH($A315,SPPR!$A:$A,0),3)),$C315*INDEX(SPPR!$E:$Z,MATCH($A315,SPPR!$A:$A,0),3),""),"")</f>
        <v/>
      </c>
      <c r="G315">
        <f>IFERROR(IF(ISNUMBER(INDEX(SPPR!$E:$Z,MATCH($A315,SPPR!$A:$A,0),4)),$C315*INDEX(SPPR!$E:$Z,MATCH($A315,SPPR!$A:$A,0),4),""),"")</f>
        <v/>
      </c>
      <c r="H315">
        <f>IFERROR(IF(ISNUMBER(INDEX(SPPR!$E:$Z,MATCH($A315,SPPR!$A:$A,0),5)),$C315*INDEX(SPPR!$E:$Z,MATCH($A315,SPPR!$A:$A,0),5),""),"")</f>
        <v/>
      </c>
      <c r="I315">
        <f>IFERROR(IF(ISNUMBER(INDEX(SPPR!$E:$Z,MATCH($A315,SPPR!$A:$A,0),6)),$C315*INDEX(SPPR!$E:$Z,MATCH($A315,SPPR!$A:$A,0),6),""),"")</f>
        <v/>
      </c>
      <c r="J315">
        <f>IFERROR(IF(ISNUMBER(INDEX(SPPR!$E:$Z,MATCH($A315,SPPR!$A:$A,0),7)),$C315*INDEX(SPPR!$E:$Z,MATCH($A315,SPPR!$A:$A,0),7),""),"")</f>
        <v/>
      </c>
      <c r="K315">
        <f>IFERROR(IF(ISNUMBER(INDEX(SPPR!$E:$Z,MATCH($A315,SPPR!$A:$A,0),8)),$C315*INDEX(SPPR!$E:$Z,MATCH($A315,SPPR!$A:$A,0),8),""),"")</f>
        <v/>
      </c>
      <c r="L315">
        <f>IFERROR(IF(ISNUMBER(INDEX(SPPR!$E:$Z,MATCH($A315,SPPR!$A:$A,0),9)),$C315*INDEX(SPPR!$E:$Z,MATCH($A315,SPPR!$A:$A,0),9),""),"")</f>
        <v/>
      </c>
      <c r="M315">
        <f>IFERROR(IF(ISNUMBER(INDEX(SPPR!$E:$Z,MATCH($A315,SPPR!$A:$A,0),10)),$C315*INDEX(SPPR!$E:$Z,MATCH($A315,SPPR!$A:$A,0),10),""),"")</f>
        <v/>
      </c>
      <c r="N315">
        <f>IFERROR(IF(ISNUMBER(INDEX(SPPR!$E:$Z,MATCH($A315,SPPR!$A:$A,0),11)),$C315*INDEX(SPPR!$E:$Z,MATCH($A315,SPPR!$A:$A,0),11),""),"")</f>
        <v/>
      </c>
      <c r="O315">
        <f>IFERROR(IF(ISNUMBER(INDEX(SPPR!$E:$Z,MATCH($A315,SPPR!$A:$A,0),12)),$C315*INDEX(SPPR!$E:$Z,MATCH($A315,SPPR!$A:$A,0),12),""),"")</f>
        <v/>
      </c>
      <c r="P315">
        <f>IFERROR(IF(ISNUMBER(INDEX(SPPR!$E:$Z,MATCH($A315,SPPR!$A:$A,0),13)),$C315*INDEX(SPPR!$E:$Z,MATCH($A315,SPPR!$A:$A,0),13),""),"")</f>
        <v/>
      </c>
      <c r="Q315">
        <f>IFERROR(IF(ISNUMBER(INDEX(SPPR!$E:$Z,MATCH($A315,SPPR!$A:$A,0),14)),$C315*INDEX(SPPR!$E:$Z,MATCH($A315,SPPR!$A:$A,0),14),""),"")</f>
        <v/>
      </c>
      <c r="R315">
        <f>IFERROR(IF(ISNUMBER(INDEX(SPPR!$E:$Z,MATCH($A315,SPPR!$A:$A,0),15)),$C315*INDEX(SPPR!$E:$Z,MATCH($A315,SPPR!$A:$A,0),15),""),"")</f>
        <v/>
      </c>
      <c r="S315">
        <f>IFERROR(IF(ISNUMBER(INDEX(SPPR!$E:$Z,MATCH($A315,SPPR!$A:$A,0),16)),$C315*INDEX(SPPR!$E:$Z,MATCH($A315,SPPR!$A:$A,0),16),""),"")</f>
        <v/>
      </c>
      <c r="T315">
        <f>IFERROR(IF(ISNUMBER(INDEX(SPPR!$E:$Z,MATCH($A315,SPPR!$A:$A,0),17)),$C315*INDEX(SPPR!$E:$Z,MATCH($A315,SPPR!$A:$A,0),17),""),"")</f>
        <v/>
      </c>
      <c r="U315">
        <f>IFERROR(IF(ISNUMBER(INDEX(SPPR!$E:$Z,MATCH($A315,SPPR!$A:$A,0),18)),$C315*INDEX(SPPR!$E:$Z,MATCH($A315,SPPR!$A:$A,0),18),""),"")</f>
        <v/>
      </c>
      <c r="V315">
        <f>IFERROR(IF(ISNUMBER(INDEX(SPPR!$E:$Z,MATCH($A315,SPPR!$A:$A,0),19)),$C315*INDEX(SPPR!$E:$Z,MATCH($A315,SPPR!$A:$A,0),19),""),"")</f>
        <v/>
      </c>
      <c r="W315">
        <f>IFERROR(IF(ISNUMBER(INDEX(SPPR!$E:$Z,MATCH($A315,SPPR!$A:$A,0),20)),$C315*INDEX(SPPR!$E:$Z,MATCH($A315,SPPR!$A:$A,0),20),""),"")</f>
        <v/>
      </c>
      <c r="X315">
        <f>IFERROR(IF(ISNUMBER(INDEX(SPPR!$E:$Z,MATCH($A315,SPPR!$A:$A,0),21)),$C315*INDEX(SPPR!$E:$Z,MATCH($A315,SPPR!$A:$A,0),21),""),"")</f>
        <v/>
      </c>
      <c r="Y315">
        <f>IFERROR(IF(ISNUMBER(INDEX(SPPR!$E:$Z,MATCH($A315,SPPR!$A:$A,0),22)),$C315*INDEX(SPPR!$E:$Z,MATCH($A315,SPPR!$A:$A,0),22),""),"")</f>
        <v/>
      </c>
    </row>
    <row r="316">
      <c r="A316" t="inlineStr">
        <is>
          <t>Epinephelus tauvina</t>
        </is>
      </c>
      <c r="B316">
        <f>IFERROR(INDEX(SPPR!$D:$D,MATCH($A316,SPPR!$A:$A,0)),"")</f>
        <v/>
      </c>
      <c r="C316">
        <f>IFERROR(INDEX(Catch!$E:$BV,MATCH($A316,Catch!$A:$A,0),MATCH($B$4,Catch!$E$1:$BV$1,0)),0)</f>
        <v/>
      </c>
      <c r="D316">
        <f>IFERROR(IF(ISNUMBER(INDEX(SPPR!$E:$Z,MATCH($A316,SPPR!$A:$A,0),1)),$C316*INDEX(SPPR!$E:$Z,MATCH($A316,SPPR!$A:$A,0),1),""),"")</f>
        <v/>
      </c>
      <c r="E316">
        <f>IFERROR(IF(ISNUMBER(INDEX(SPPR!$E:$Z,MATCH($A316,SPPR!$A:$A,0),2)),$C316*INDEX(SPPR!$E:$Z,MATCH($A316,SPPR!$A:$A,0),2),""),"")</f>
        <v/>
      </c>
      <c r="F316">
        <f>IFERROR(IF(ISNUMBER(INDEX(SPPR!$E:$Z,MATCH($A316,SPPR!$A:$A,0),3)),$C316*INDEX(SPPR!$E:$Z,MATCH($A316,SPPR!$A:$A,0),3),""),"")</f>
        <v/>
      </c>
      <c r="G316">
        <f>IFERROR(IF(ISNUMBER(INDEX(SPPR!$E:$Z,MATCH($A316,SPPR!$A:$A,0),4)),$C316*INDEX(SPPR!$E:$Z,MATCH($A316,SPPR!$A:$A,0),4),""),"")</f>
        <v/>
      </c>
      <c r="H316">
        <f>IFERROR(IF(ISNUMBER(INDEX(SPPR!$E:$Z,MATCH($A316,SPPR!$A:$A,0),5)),$C316*INDEX(SPPR!$E:$Z,MATCH($A316,SPPR!$A:$A,0),5),""),"")</f>
        <v/>
      </c>
      <c r="I316">
        <f>IFERROR(IF(ISNUMBER(INDEX(SPPR!$E:$Z,MATCH($A316,SPPR!$A:$A,0),6)),$C316*INDEX(SPPR!$E:$Z,MATCH($A316,SPPR!$A:$A,0),6),""),"")</f>
        <v/>
      </c>
      <c r="J316">
        <f>IFERROR(IF(ISNUMBER(INDEX(SPPR!$E:$Z,MATCH($A316,SPPR!$A:$A,0),7)),$C316*INDEX(SPPR!$E:$Z,MATCH($A316,SPPR!$A:$A,0),7),""),"")</f>
        <v/>
      </c>
      <c r="K316">
        <f>IFERROR(IF(ISNUMBER(INDEX(SPPR!$E:$Z,MATCH($A316,SPPR!$A:$A,0),8)),$C316*INDEX(SPPR!$E:$Z,MATCH($A316,SPPR!$A:$A,0),8),""),"")</f>
        <v/>
      </c>
      <c r="L316">
        <f>IFERROR(IF(ISNUMBER(INDEX(SPPR!$E:$Z,MATCH($A316,SPPR!$A:$A,0),9)),$C316*INDEX(SPPR!$E:$Z,MATCH($A316,SPPR!$A:$A,0),9),""),"")</f>
        <v/>
      </c>
      <c r="M316">
        <f>IFERROR(IF(ISNUMBER(INDEX(SPPR!$E:$Z,MATCH($A316,SPPR!$A:$A,0),10)),$C316*INDEX(SPPR!$E:$Z,MATCH($A316,SPPR!$A:$A,0),10),""),"")</f>
        <v/>
      </c>
      <c r="N316">
        <f>IFERROR(IF(ISNUMBER(INDEX(SPPR!$E:$Z,MATCH($A316,SPPR!$A:$A,0),11)),$C316*INDEX(SPPR!$E:$Z,MATCH($A316,SPPR!$A:$A,0),11),""),"")</f>
        <v/>
      </c>
      <c r="O316">
        <f>IFERROR(IF(ISNUMBER(INDEX(SPPR!$E:$Z,MATCH($A316,SPPR!$A:$A,0),12)),$C316*INDEX(SPPR!$E:$Z,MATCH($A316,SPPR!$A:$A,0),12),""),"")</f>
        <v/>
      </c>
      <c r="P316">
        <f>IFERROR(IF(ISNUMBER(INDEX(SPPR!$E:$Z,MATCH($A316,SPPR!$A:$A,0),13)),$C316*INDEX(SPPR!$E:$Z,MATCH($A316,SPPR!$A:$A,0),13),""),"")</f>
        <v/>
      </c>
      <c r="Q316">
        <f>IFERROR(IF(ISNUMBER(INDEX(SPPR!$E:$Z,MATCH($A316,SPPR!$A:$A,0),14)),$C316*INDEX(SPPR!$E:$Z,MATCH($A316,SPPR!$A:$A,0),14),""),"")</f>
        <v/>
      </c>
      <c r="R316">
        <f>IFERROR(IF(ISNUMBER(INDEX(SPPR!$E:$Z,MATCH($A316,SPPR!$A:$A,0),15)),$C316*INDEX(SPPR!$E:$Z,MATCH($A316,SPPR!$A:$A,0),15),""),"")</f>
        <v/>
      </c>
      <c r="S316">
        <f>IFERROR(IF(ISNUMBER(INDEX(SPPR!$E:$Z,MATCH($A316,SPPR!$A:$A,0),16)),$C316*INDEX(SPPR!$E:$Z,MATCH($A316,SPPR!$A:$A,0),16),""),"")</f>
        <v/>
      </c>
      <c r="T316">
        <f>IFERROR(IF(ISNUMBER(INDEX(SPPR!$E:$Z,MATCH($A316,SPPR!$A:$A,0),17)),$C316*INDEX(SPPR!$E:$Z,MATCH($A316,SPPR!$A:$A,0),17),""),"")</f>
        <v/>
      </c>
      <c r="U316">
        <f>IFERROR(IF(ISNUMBER(INDEX(SPPR!$E:$Z,MATCH($A316,SPPR!$A:$A,0),18)),$C316*INDEX(SPPR!$E:$Z,MATCH($A316,SPPR!$A:$A,0),18),""),"")</f>
        <v/>
      </c>
      <c r="V316">
        <f>IFERROR(IF(ISNUMBER(INDEX(SPPR!$E:$Z,MATCH($A316,SPPR!$A:$A,0),19)),$C316*INDEX(SPPR!$E:$Z,MATCH($A316,SPPR!$A:$A,0),19),""),"")</f>
        <v/>
      </c>
      <c r="W316">
        <f>IFERROR(IF(ISNUMBER(INDEX(SPPR!$E:$Z,MATCH($A316,SPPR!$A:$A,0),20)),$C316*INDEX(SPPR!$E:$Z,MATCH($A316,SPPR!$A:$A,0),20),""),"")</f>
        <v/>
      </c>
      <c r="X316">
        <f>IFERROR(IF(ISNUMBER(INDEX(SPPR!$E:$Z,MATCH($A316,SPPR!$A:$A,0),21)),$C316*INDEX(SPPR!$E:$Z,MATCH($A316,SPPR!$A:$A,0),21),""),"")</f>
        <v/>
      </c>
      <c r="Y316">
        <f>IFERROR(IF(ISNUMBER(INDEX(SPPR!$E:$Z,MATCH($A316,SPPR!$A:$A,0),22)),$C316*INDEX(SPPR!$E:$Z,MATCH($A316,SPPR!$A:$A,0),22),""),"")</f>
        <v/>
      </c>
    </row>
    <row r="317">
      <c r="A317" t="inlineStr">
        <is>
          <t>Rajiformes</t>
        </is>
      </c>
      <c r="B317">
        <f>IFERROR(INDEX(SPPR!$D:$D,MATCH($A317,SPPR!$A:$A,0)),"")</f>
        <v/>
      </c>
      <c r="C317">
        <f>IFERROR(INDEX(Catch!$E:$BV,MATCH($A317,Catch!$A:$A,0),MATCH($B$4,Catch!$E$1:$BV$1,0)),0)</f>
        <v/>
      </c>
      <c r="D317">
        <f>IFERROR(IF(ISNUMBER(INDEX(SPPR!$E:$Z,MATCH($A317,SPPR!$A:$A,0),1)),$C317*INDEX(SPPR!$E:$Z,MATCH($A317,SPPR!$A:$A,0),1),""),"")</f>
        <v/>
      </c>
      <c r="E317">
        <f>IFERROR(IF(ISNUMBER(INDEX(SPPR!$E:$Z,MATCH($A317,SPPR!$A:$A,0),2)),$C317*INDEX(SPPR!$E:$Z,MATCH($A317,SPPR!$A:$A,0),2),""),"")</f>
        <v/>
      </c>
      <c r="F317">
        <f>IFERROR(IF(ISNUMBER(INDEX(SPPR!$E:$Z,MATCH($A317,SPPR!$A:$A,0),3)),$C317*INDEX(SPPR!$E:$Z,MATCH($A317,SPPR!$A:$A,0),3),""),"")</f>
        <v/>
      </c>
      <c r="G317">
        <f>IFERROR(IF(ISNUMBER(INDEX(SPPR!$E:$Z,MATCH($A317,SPPR!$A:$A,0),4)),$C317*INDEX(SPPR!$E:$Z,MATCH($A317,SPPR!$A:$A,0),4),""),"")</f>
        <v/>
      </c>
      <c r="H317">
        <f>IFERROR(IF(ISNUMBER(INDEX(SPPR!$E:$Z,MATCH($A317,SPPR!$A:$A,0),5)),$C317*INDEX(SPPR!$E:$Z,MATCH($A317,SPPR!$A:$A,0),5),""),"")</f>
        <v/>
      </c>
      <c r="I317">
        <f>IFERROR(IF(ISNUMBER(INDEX(SPPR!$E:$Z,MATCH($A317,SPPR!$A:$A,0),6)),$C317*INDEX(SPPR!$E:$Z,MATCH($A317,SPPR!$A:$A,0),6),""),"")</f>
        <v/>
      </c>
      <c r="J317">
        <f>IFERROR(IF(ISNUMBER(INDEX(SPPR!$E:$Z,MATCH($A317,SPPR!$A:$A,0),7)),$C317*INDEX(SPPR!$E:$Z,MATCH($A317,SPPR!$A:$A,0),7),""),"")</f>
        <v/>
      </c>
      <c r="K317">
        <f>IFERROR(IF(ISNUMBER(INDEX(SPPR!$E:$Z,MATCH($A317,SPPR!$A:$A,0),8)),$C317*INDEX(SPPR!$E:$Z,MATCH($A317,SPPR!$A:$A,0),8),""),"")</f>
        <v/>
      </c>
      <c r="L317">
        <f>IFERROR(IF(ISNUMBER(INDEX(SPPR!$E:$Z,MATCH($A317,SPPR!$A:$A,0),9)),$C317*INDEX(SPPR!$E:$Z,MATCH($A317,SPPR!$A:$A,0),9),""),"")</f>
        <v/>
      </c>
      <c r="M317">
        <f>IFERROR(IF(ISNUMBER(INDEX(SPPR!$E:$Z,MATCH($A317,SPPR!$A:$A,0),10)),$C317*INDEX(SPPR!$E:$Z,MATCH($A317,SPPR!$A:$A,0),10),""),"")</f>
        <v/>
      </c>
      <c r="N317">
        <f>IFERROR(IF(ISNUMBER(INDEX(SPPR!$E:$Z,MATCH($A317,SPPR!$A:$A,0),11)),$C317*INDEX(SPPR!$E:$Z,MATCH($A317,SPPR!$A:$A,0),11),""),"")</f>
        <v/>
      </c>
      <c r="O317">
        <f>IFERROR(IF(ISNUMBER(INDEX(SPPR!$E:$Z,MATCH($A317,SPPR!$A:$A,0),12)),$C317*INDEX(SPPR!$E:$Z,MATCH($A317,SPPR!$A:$A,0),12),""),"")</f>
        <v/>
      </c>
      <c r="P317">
        <f>IFERROR(IF(ISNUMBER(INDEX(SPPR!$E:$Z,MATCH($A317,SPPR!$A:$A,0),13)),$C317*INDEX(SPPR!$E:$Z,MATCH($A317,SPPR!$A:$A,0),13),""),"")</f>
        <v/>
      </c>
      <c r="Q317">
        <f>IFERROR(IF(ISNUMBER(INDEX(SPPR!$E:$Z,MATCH($A317,SPPR!$A:$A,0),14)),$C317*INDEX(SPPR!$E:$Z,MATCH($A317,SPPR!$A:$A,0),14),""),"")</f>
        <v/>
      </c>
      <c r="R317">
        <f>IFERROR(IF(ISNUMBER(INDEX(SPPR!$E:$Z,MATCH($A317,SPPR!$A:$A,0),15)),$C317*INDEX(SPPR!$E:$Z,MATCH($A317,SPPR!$A:$A,0),15),""),"")</f>
        <v/>
      </c>
      <c r="S317">
        <f>IFERROR(IF(ISNUMBER(INDEX(SPPR!$E:$Z,MATCH($A317,SPPR!$A:$A,0),16)),$C317*INDEX(SPPR!$E:$Z,MATCH($A317,SPPR!$A:$A,0),16),""),"")</f>
        <v/>
      </c>
      <c r="T317">
        <f>IFERROR(IF(ISNUMBER(INDEX(SPPR!$E:$Z,MATCH($A317,SPPR!$A:$A,0),17)),$C317*INDEX(SPPR!$E:$Z,MATCH($A317,SPPR!$A:$A,0),17),""),"")</f>
        <v/>
      </c>
      <c r="U317">
        <f>IFERROR(IF(ISNUMBER(INDEX(SPPR!$E:$Z,MATCH($A317,SPPR!$A:$A,0),18)),$C317*INDEX(SPPR!$E:$Z,MATCH($A317,SPPR!$A:$A,0),18),""),"")</f>
        <v/>
      </c>
      <c r="V317">
        <f>IFERROR(IF(ISNUMBER(INDEX(SPPR!$E:$Z,MATCH($A317,SPPR!$A:$A,0),19)),$C317*INDEX(SPPR!$E:$Z,MATCH($A317,SPPR!$A:$A,0),19),""),"")</f>
        <v/>
      </c>
      <c r="W317">
        <f>IFERROR(IF(ISNUMBER(INDEX(SPPR!$E:$Z,MATCH($A317,SPPR!$A:$A,0),20)),$C317*INDEX(SPPR!$E:$Z,MATCH($A317,SPPR!$A:$A,0),20),""),"")</f>
        <v/>
      </c>
      <c r="X317">
        <f>IFERROR(IF(ISNUMBER(INDEX(SPPR!$E:$Z,MATCH($A317,SPPR!$A:$A,0),21)),$C317*INDEX(SPPR!$E:$Z,MATCH($A317,SPPR!$A:$A,0),21),""),"")</f>
        <v/>
      </c>
      <c r="Y317">
        <f>IFERROR(IF(ISNUMBER(INDEX(SPPR!$E:$Z,MATCH($A317,SPPR!$A:$A,0),22)),$C317*INDEX(SPPR!$E:$Z,MATCH($A317,SPPR!$A:$A,0),22),""),"")</f>
        <v/>
      </c>
    </row>
    <row r="318">
      <c r="A318" t="inlineStr">
        <is>
          <t>Lepidocybium flavobrunneum</t>
        </is>
      </c>
      <c r="B318">
        <f>IFERROR(INDEX(SPPR!$D:$D,MATCH($A318,SPPR!$A:$A,0)),"")</f>
        <v/>
      </c>
      <c r="C318">
        <f>IFERROR(INDEX(Catch!$E:$BV,MATCH($A318,Catch!$A:$A,0),MATCH($B$4,Catch!$E$1:$BV$1,0)),0)</f>
        <v/>
      </c>
      <c r="D318">
        <f>IFERROR(IF(ISNUMBER(INDEX(SPPR!$E:$Z,MATCH($A318,SPPR!$A:$A,0),1)),$C318*INDEX(SPPR!$E:$Z,MATCH($A318,SPPR!$A:$A,0),1),""),"")</f>
        <v/>
      </c>
      <c r="E318">
        <f>IFERROR(IF(ISNUMBER(INDEX(SPPR!$E:$Z,MATCH($A318,SPPR!$A:$A,0),2)),$C318*INDEX(SPPR!$E:$Z,MATCH($A318,SPPR!$A:$A,0),2),""),"")</f>
        <v/>
      </c>
      <c r="F318">
        <f>IFERROR(IF(ISNUMBER(INDEX(SPPR!$E:$Z,MATCH($A318,SPPR!$A:$A,0),3)),$C318*INDEX(SPPR!$E:$Z,MATCH($A318,SPPR!$A:$A,0),3),""),"")</f>
        <v/>
      </c>
      <c r="G318">
        <f>IFERROR(IF(ISNUMBER(INDEX(SPPR!$E:$Z,MATCH($A318,SPPR!$A:$A,0),4)),$C318*INDEX(SPPR!$E:$Z,MATCH($A318,SPPR!$A:$A,0),4),""),"")</f>
        <v/>
      </c>
      <c r="H318">
        <f>IFERROR(IF(ISNUMBER(INDEX(SPPR!$E:$Z,MATCH($A318,SPPR!$A:$A,0),5)),$C318*INDEX(SPPR!$E:$Z,MATCH($A318,SPPR!$A:$A,0),5),""),"")</f>
        <v/>
      </c>
      <c r="I318">
        <f>IFERROR(IF(ISNUMBER(INDEX(SPPR!$E:$Z,MATCH($A318,SPPR!$A:$A,0),6)),$C318*INDEX(SPPR!$E:$Z,MATCH($A318,SPPR!$A:$A,0),6),""),"")</f>
        <v/>
      </c>
      <c r="J318">
        <f>IFERROR(IF(ISNUMBER(INDEX(SPPR!$E:$Z,MATCH($A318,SPPR!$A:$A,0),7)),$C318*INDEX(SPPR!$E:$Z,MATCH($A318,SPPR!$A:$A,0),7),""),"")</f>
        <v/>
      </c>
      <c r="K318">
        <f>IFERROR(IF(ISNUMBER(INDEX(SPPR!$E:$Z,MATCH($A318,SPPR!$A:$A,0),8)),$C318*INDEX(SPPR!$E:$Z,MATCH($A318,SPPR!$A:$A,0),8),""),"")</f>
        <v/>
      </c>
      <c r="L318">
        <f>IFERROR(IF(ISNUMBER(INDEX(SPPR!$E:$Z,MATCH($A318,SPPR!$A:$A,0),9)),$C318*INDEX(SPPR!$E:$Z,MATCH($A318,SPPR!$A:$A,0),9),""),"")</f>
        <v/>
      </c>
      <c r="M318">
        <f>IFERROR(IF(ISNUMBER(INDEX(SPPR!$E:$Z,MATCH($A318,SPPR!$A:$A,0),10)),$C318*INDEX(SPPR!$E:$Z,MATCH($A318,SPPR!$A:$A,0),10),""),"")</f>
        <v/>
      </c>
      <c r="N318">
        <f>IFERROR(IF(ISNUMBER(INDEX(SPPR!$E:$Z,MATCH($A318,SPPR!$A:$A,0),11)),$C318*INDEX(SPPR!$E:$Z,MATCH($A318,SPPR!$A:$A,0),11),""),"")</f>
        <v/>
      </c>
      <c r="O318">
        <f>IFERROR(IF(ISNUMBER(INDEX(SPPR!$E:$Z,MATCH($A318,SPPR!$A:$A,0),12)),$C318*INDEX(SPPR!$E:$Z,MATCH($A318,SPPR!$A:$A,0),12),""),"")</f>
        <v/>
      </c>
      <c r="P318">
        <f>IFERROR(IF(ISNUMBER(INDEX(SPPR!$E:$Z,MATCH($A318,SPPR!$A:$A,0),13)),$C318*INDEX(SPPR!$E:$Z,MATCH($A318,SPPR!$A:$A,0),13),""),"")</f>
        <v/>
      </c>
      <c r="Q318">
        <f>IFERROR(IF(ISNUMBER(INDEX(SPPR!$E:$Z,MATCH($A318,SPPR!$A:$A,0),14)),$C318*INDEX(SPPR!$E:$Z,MATCH($A318,SPPR!$A:$A,0),14),""),"")</f>
        <v/>
      </c>
      <c r="R318">
        <f>IFERROR(IF(ISNUMBER(INDEX(SPPR!$E:$Z,MATCH($A318,SPPR!$A:$A,0),15)),$C318*INDEX(SPPR!$E:$Z,MATCH($A318,SPPR!$A:$A,0),15),""),"")</f>
        <v/>
      </c>
      <c r="S318">
        <f>IFERROR(IF(ISNUMBER(INDEX(SPPR!$E:$Z,MATCH($A318,SPPR!$A:$A,0),16)),$C318*INDEX(SPPR!$E:$Z,MATCH($A318,SPPR!$A:$A,0),16),""),"")</f>
        <v/>
      </c>
      <c r="T318">
        <f>IFERROR(IF(ISNUMBER(INDEX(SPPR!$E:$Z,MATCH($A318,SPPR!$A:$A,0),17)),$C318*INDEX(SPPR!$E:$Z,MATCH($A318,SPPR!$A:$A,0),17),""),"")</f>
        <v/>
      </c>
      <c r="U318">
        <f>IFERROR(IF(ISNUMBER(INDEX(SPPR!$E:$Z,MATCH($A318,SPPR!$A:$A,0),18)),$C318*INDEX(SPPR!$E:$Z,MATCH($A318,SPPR!$A:$A,0),18),""),"")</f>
        <v/>
      </c>
      <c r="V318">
        <f>IFERROR(IF(ISNUMBER(INDEX(SPPR!$E:$Z,MATCH($A318,SPPR!$A:$A,0),19)),$C318*INDEX(SPPR!$E:$Z,MATCH($A318,SPPR!$A:$A,0),19),""),"")</f>
        <v/>
      </c>
      <c r="W318">
        <f>IFERROR(IF(ISNUMBER(INDEX(SPPR!$E:$Z,MATCH($A318,SPPR!$A:$A,0),20)),$C318*INDEX(SPPR!$E:$Z,MATCH($A318,SPPR!$A:$A,0),20),""),"")</f>
        <v/>
      </c>
      <c r="X318">
        <f>IFERROR(IF(ISNUMBER(INDEX(SPPR!$E:$Z,MATCH($A318,SPPR!$A:$A,0),21)),$C318*INDEX(SPPR!$E:$Z,MATCH($A318,SPPR!$A:$A,0),21),""),"")</f>
        <v/>
      </c>
      <c r="Y318">
        <f>IFERROR(IF(ISNUMBER(INDEX(SPPR!$E:$Z,MATCH($A318,SPPR!$A:$A,0),22)),$C318*INDEX(SPPR!$E:$Z,MATCH($A318,SPPR!$A:$A,0),22),""),"")</f>
        <v/>
      </c>
    </row>
    <row r="319">
      <c r="A319" t="inlineStr">
        <is>
          <t>Carcharhinus plumbeus</t>
        </is>
      </c>
      <c r="B319">
        <f>IFERROR(INDEX(SPPR!$D:$D,MATCH($A319,SPPR!$A:$A,0)),"")</f>
        <v/>
      </c>
      <c r="C319">
        <f>IFERROR(INDEX(Catch!$E:$BV,MATCH($A319,Catch!$A:$A,0),MATCH($B$4,Catch!$E$1:$BV$1,0)),0)</f>
        <v/>
      </c>
      <c r="D319">
        <f>IFERROR(IF(ISNUMBER(INDEX(SPPR!$E:$Z,MATCH($A319,SPPR!$A:$A,0),1)),$C319*INDEX(SPPR!$E:$Z,MATCH($A319,SPPR!$A:$A,0),1),""),"")</f>
        <v/>
      </c>
      <c r="E319">
        <f>IFERROR(IF(ISNUMBER(INDEX(SPPR!$E:$Z,MATCH($A319,SPPR!$A:$A,0),2)),$C319*INDEX(SPPR!$E:$Z,MATCH($A319,SPPR!$A:$A,0),2),""),"")</f>
        <v/>
      </c>
      <c r="F319">
        <f>IFERROR(IF(ISNUMBER(INDEX(SPPR!$E:$Z,MATCH($A319,SPPR!$A:$A,0),3)),$C319*INDEX(SPPR!$E:$Z,MATCH($A319,SPPR!$A:$A,0),3),""),"")</f>
        <v/>
      </c>
      <c r="G319">
        <f>IFERROR(IF(ISNUMBER(INDEX(SPPR!$E:$Z,MATCH($A319,SPPR!$A:$A,0),4)),$C319*INDEX(SPPR!$E:$Z,MATCH($A319,SPPR!$A:$A,0),4),""),"")</f>
        <v/>
      </c>
      <c r="H319">
        <f>IFERROR(IF(ISNUMBER(INDEX(SPPR!$E:$Z,MATCH($A319,SPPR!$A:$A,0),5)),$C319*INDEX(SPPR!$E:$Z,MATCH($A319,SPPR!$A:$A,0),5),""),"")</f>
        <v/>
      </c>
      <c r="I319">
        <f>IFERROR(IF(ISNUMBER(INDEX(SPPR!$E:$Z,MATCH($A319,SPPR!$A:$A,0),6)),$C319*INDEX(SPPR!$E:$Z,MATCH($A319,SPPR!$A:$A,0),6),""),"")</f>
        <v/>
      </c>
      <c r="J319">
        <f>IFERROR(IF(ISNUMBER(INDEX(SPPR!$E:$Z,MATCH($A319,SPPR!$A:$A,0),7)),$C319*INDEX(SPPR!$E:$Z,MATCH($A319,SPPR!$A:$A,0),7),""),"")</f>
        <v/>
      </c>
      <c r="K319">
        <f>IFERROR(IF(ISNUMBER(INDEX(SPPR!$E:$Z,MATCH($A319,SPPR!$A:$A,0),8)),$C319*INDEX(SPPR!$E:$Z,MATCH($A319,SPPR!$A:$A,0),8),""),"")</f>
        <v/>
      </c>
      <c r="L319">
        <f>IFERROR(IF(ISNUMBER(INDEX(SPPR!$E:$Z,MATCH($A319,SPPR!$A:$A,0),9)),$C319*INDEX(SPPR!$E:$Z,MATCH($A319,SPPR!$A:$A,0),9),""),"")</f>
        <v/>
      </c>
      <c r="M319">
        <f>IFERROR(IF(ISNUMBER(INDEX(SPPR!$E:$Z,MATCH($A319,SPPR!$A:$A,0),10)),$C319*INDEX(SPPR!$E:$Z,MATCH($A319,SPPR!$A:$A,0),10),""),"")</f>
        <v/>
      </c>
      <c r="N319">
        <f>IFERROR(IF(ISNUMBER(INDEX(SPPR!$E:$Z,MATCH($A319,SPPR!$A:$A,0),11)),$C319*INDEX(SPPR!$E:$Z,MATCH($A319,SPPR!$A:$A,0),11),""),"")</f>
        <v/>
      </c>
      <c r="O319">
        <f>IFERROR(IF(ISNUMBER(INDEX(SPPR!$E:$Z,MATCH($A319,SPPR!$A:$A,0),12)),$C319*INDEX(SPPR!$E:$Z,MATCH($A319,SPPR!$A:$A,0),12),""),"")</f>
        <v/>
      </c>
      <c r="P319">
        <f>IFERROR(IF(ISNUMBER(INDEX(SPPR!$E:$Z,MATCH($A319,SPPR!$A:$A,0),13)),$C319*INDEX(SPPR!$E:$Z,MATCH($A319,SPPR!$A:$A,0),13),""),"")</f>
        <v/>
      </c>
      <c r="Q319">
        <f>IFERROR(IF(ISNUMBER(INDEX(SPPR!$E:$Z,MATCH($A319,SPPR!$A:$A,0),14)),$C319*INDEX(SPPR!$E:$Z,MATCH($A319,SPPR!$A:$A,0),14),""),"")</f>
        <v/>
      </c>
      <c r="R319">
        <f>IFERROR(IF(ISNUMBER(INDEX(SPPR!$E:$Z,MATCH($A319,SPPR!$A:$A,0),15)),$C319*INDEX(SPPR!$E:$Z,MATCH($A319,SPPR!$A:$A,0),15),""),"")</f>
        <v/>
      </c>
      <c r="S319">
        <f>IFERROR(IF(ISNUMBER(INDEX(SPPR!$E:$Z,MATCH($A319,SPPR!$A:$A,0),16)),$C319*INDEX(SPPR!$E:$Z,MATCH($A319,SPPR!$A:$A,0),16),""),"")</f>
        <v/>
      </c>
      <c r="T319">
        <f>IFERROR(IF(ISNUMBER(INDEX(SPPR!$E:$Z,MATCH($A319,SPPR!$A:$A,0),17)),$C319*INDEX(SPPR!$E:$Z,MATCH($A319,SPPR!$A:$A,0),17),""),"")</f>
        <v/>
      </c>
      <c r="U319">
        <f>IFERROR(IF(ISNUMBER(INDEX(SPPR!$E:$Z,MATCH($A319,SPPR!$A:$A,0),18)),$C319*INDEX(SPPR!$E:$Z,MATCH($A319,SPPR!$A:$A,0),18),""),"")</f>
        <v/>
      </c>
      <c r="V319">
        <f>IFERROR(IF(ISNUMBER(INDEX(SPPR!$E:$Z,MATCH($A319,SPPR!$A:$A,0),19)),$C319*INDEX(SPPR!$E:$Z,MATCH($A319,SPPR!$A:$A,0),19),""),"")</f>
        <v/>
      </c>
      <c r="W319">
        <f>IFERROR(IF(ISNUMBER(INDEX(SPPR!$E:$Z,MATCH($A319,SPPR!$A:$A,0),20)),$C319*INDEX(SPPR!$E:$Z,MATCH($A319,SPPR!$A:$A,0),20),""),"")</f>
        <v/>
      </c>
      <c r="X319">
        <f>IFERROR(IF(ISNUMBER(INDEX(SPPR!$E:$Z,MATCH($A319,SPPR!$A:$A,0),21)),$C319*INDEX(SPPR!$E:$Z,MATCH($A319,SPPR!$A:$A,0),21),""),"")</f>
        <v/>
      </c>
      <c r="Y319">
        <f>IFERROR(IF(ISNUMBER(INDEX(SPPR!$E:$Z,MATCH($A319,SPPR!$A:$A,0),22)),$C319*INDEX(SPPR!$E:$Z,MATCH($A319,SPPR!$A:$A,0),22),""),"")</f>
        <v/>
      </c>
    </row>
    <row r="320">
      <c r="A320" t="inlineStr">
        <is>
          <t>Mobula birostris</t>
        </is>
      </c>
      <c r="B320">
        <f>IFERROR(INDEX(SPPR!$D:$D,MATCH($A320,SPPR!$A:$A,0)),"")</f>
        <v/>
      </c>
      <c r="C320">
        <f>IFERROR(INDEX(Catch!$E:$BV,MATCH($A320,Catch!$A:$A,0),MATCH($B$4,Catch!$E$1:$BV$1,0)),0)</f>
        <v/>
      </c>
      <c r="D320">
        <f>IFERROR(IF(ISNUMBER(INDEX(SPPR!$E:$Z,MATCH($A320,SPPR!$A:$A,0),1)),$C320*INDEX(SPPR!$E:$Z,MATCH($A320,SPPR!$A:$A,0),1),""),"")</f>
        <v/>
      </c>
      <c r="E320">
        <f>IFERROR(IF(ISNUMBER(INDEX(SPPR!$E:$Z,MATCH($A320,SPPR!$A:$A,0),2)),$C320*INDEX(SPPR!$E:$Z,MATCH($A320,SPPR!$A:$A,0),2),""),"")</f>
        <v/>
      </c>
      <c r="F320">
        <f>IFERROR(IF(ISNUMBER(INDEX(SPPR!$E:$Z,MATCH($A320,SPPR!$A:$A,0),3)),$C320*INDEX(SPPR!$E:$Z,MATCH($A320,SPPR!$A:$A,0),3),""),"")</f>
        <v/>
      </c>
      <c r="G320">
        <f>IFERROR(IF(ISNUMBER(INDEX(SPPR!$E:$Z,MATCH($A320,SPPR!$A:$A,0),4)),$C320*INDEX(SPPR!$E:$Z,MATCH($A320,SPPR!$A:$A,0),4),""),"")</f>
        <v/>
      </c>
      <c r="H320">
        <f>IFERROR(IF(ISNUMBER(INDEX(SPPR!$E:$Z,MATCH($A320,SPPR!$A:$A,0),5)),$C320*INDEX(SPPR!$E:$Z,MATCH($A320,SPPR!$A:$A,0),5),""),"")</f>
        <v/>
      </c>
      <c r="I320">
        <f>IFERROR(IF(ISNUMBER(INDEX(SPPR!$E:$Z,MATCH($A320,SPPR!$A:$A,0),6)),$C320*INDEX(SPPR!$E:$Z,MATCH($A320,SPPR!$A:$A,0),6),""),"")</f>
        <v/>
      </c>
      <c r="J320">
        <f>IFERROR(IF(ISNUMBER(INDEX(SPPR!$E:$Z,MATCH($A320,SPPR!$A:$A,0),7)),$C320*INDEX(SPPR!$E:$Z,MATCH($A320,SPPR!$A:$A,0),7),""),"")</f>
        <v/>
      </c>
      <c r="K320">
        <f>IFERROR(IF(ISNUMBER(INDEX(SPPR!$E:$Z,MATCH($A320,SPPR!$A:$A,0),8)),$C320*INDEX(SPPR!$E:$Z,MATCH($A320,SPPR!$A:$A,0),8),""),"")</f>
        <v/>
      </c>
      <c r="L320">
        <f>IFERROR(IF(ISNUMBER(INDEX(SPPR!$E:$Z,MATCH($A320,SPPR!$A:$A,0),9)),$C320*INDEX(SPPR!$E:$Z,MATCH($A320,SPPR!$A:$A,0),9),""),"")</f>
        <v/>
      </c>
      <c r="M320">
        <f>IFERROR(IF(ISNUMBER(INDEX(SPPR!$E:$Z,MATCH($A320,SPPR!$A:$A,0),10)),$C320*INDEX(SPPR!$E:$Z,MATCH($A320,SPPR!$A:$A,0),10),""),"")</f>
        <v/>
      </c>
      <c r="N320">
        <f>IFERROR(IF(ISNUMBER(INDEX(SPPR!$E:$Z,MATCH($A320,SPPR!$A:$A,0),11)),$C320*INDEX(SPPR!$E:$Z,MATCH($A320,SPPR!$A:$A,0),11),""),"")</f>
        <v/>
      </c>
      <c r="O320">
        <f>IFERROR(IF(ISNUMBER(INDEX(SPPR!$E:$Z,MATCH($A320,SPPR!$A:$A,0),12)),$C320*INDEX(SPPR!$E:$Z,MATCH($A320,SPPR!$A:$A,0),12),""),"")</f>
        <v/>
      </c>
      <c r="P320">
        <f>IFERROR(IF(ISNUMBER(INDEX(SPPR!$E:$Z,MATCH($A320,SPPR!$A:$A,0),13)),$C320*INDEX(SPPR!$E:$Z,MATCH($A320,SPPR!$A:$A,0),13),""),"")</f>
        <v/>
      </c>
      <c r="Q320">
        <f>IFERROR(IF(ISNUMBER(INDEX(SPPR!$E:$Z,MATCH($A320,SPPR!$A:$A,0),14)),$C320*INDEX(SPPR!$E:$Z,MATCH($A320,SPPR!$A:$A,0),14),""),"")</f>
        <v/>
      </c>
      <c r="R320">
        <f>IFERROR(IF(ISNUMBER(INDEX(SPPR!$E:$Z,MATCH($A320,SPPR!$A:$A,0),15)),$C320*INDEX(SPPR!$E:$Z,MATCH($A320,SPPR!$A:$A,0),15),""),"")</f>
        <v/>
      </c>
      <c r="S320">
        <f>IFERROR(IF(ISNUMBER(INDEX(SPPR!$E:$Z,MATCH($A320,SPPR!$A:$A,0),16)),$C320*INDEX(SPPR!$E:$Z,MATCH($A320,SPPR!$A:$A,0),16),""),"")</f>
        <v/>
      </c>
      <c r="T320">
        <f>IFERROR(IF(ISNUMBER(INDEX(SPPR!$E:$Z,MATCH($A320,SPPR!$A:$A,0),17)),$C320*INDEX(SPPR!$E:$Z,MATCH($A320,SPPR!$A:$A,0),17),""),"")</f>
        <v/>
      </c>
      <c r="U320">
        <f>IFERROR(IF(ISNUMBER(INDEX(SPPR!$E:$Z,MATCH($A320,SPPR!$A:$A,0),18)),$C320*INDEX(SPPR!$E:$Z,MATCH($A320,SPPR!$A:$A,0),18),""),"")</f>
        <v/>
      </c>
      <c r="V320">
        <f>IFERROR(IF(ISNUMBER(INDEX(SPPR!$E:$Z,MATCH($A320,SPPR!$A:$A,0),19)),$C320*INDEX(SPPR!$E:$Z,MATCH($A320,SPPR!$A:$A,0),19),""),"")</f>
        <v/>
      </c>
      <c r="W320">
        <f>IFERROR(IF(ISNUMBER(INDEX(SPPR!$E:$Z,MATCH($A320,SPPR!$A:$A,0),20)),$C320*INDEX(SPPR!$E:$Z,MATCH($A320,SPPR!$A:$A,0),20),""),"")</f>
        <v/>
      </c>
      <c r="X320">
        <f>IFERROR(IF(ISNUMBER(INDEX(SPPR!$E:$Z,MATCH($A320,SPPR!$A:$A,0),21)),$C320*INDEX(SPPR!$E:$Z,MATCH($A320,SPPR!$A:$A,0),21),""),"")</f>
        <v/>
      </c>
      <c r="Y320">
        <f>IFERROR(IF(ISNUMBER(INDEX(SPPR!$E:$Z,MATCH($A320,SPPR!$A:$A,0),22)),$C320*INDEX(SPPR!$E:$Z,MATCH($A320,SPPR!$A:$A,0),22),""),"")</f>
        <v/>
      </c>
    </row>
    <row r="321">
      <c r="A321" t="inlineStr">
        <is>
          <t>Mene maculata</t>
        </is>
      </c>
      <c r="B321">
        <f>IFERROR(INDEX(SPPR!$D:$D,MATCH($A321,SPPR!$A:$A,0)),"")</f>
        <v/>
      </c>
      <c r="C321">
        <f>IFERROR(INDEX(Catch!$E:$BV,MATCH($A321,Catch!$A:$A,0),MATCH($B$4,Catch!$E$1:$BV$1,0)),0)</f>
        <v/>
      </c>
      <c r="D321">
        <f>IFERROR(IF(ISNUMBER(INDEX(SPPR!$E:$Z,MATCH($A321,SPPR!$A:$A,0),1)),$C321*INDEX(SPPR!$E:$Z,MATCH($A321,SPPR!$A:$A,0),1),""),"")</f>
        <v/>
      </c>
      <c r="E321">
        <f>IFERROR(IF(ISNUMBER(INDEX(SPPR!$E:$Z,MATCH($A321,SPPR!$A:$A,0),2)),$C321*INDEX(SPPR!$E:$Z,MATCH($A321,SPPR!$A:$A,0),2),""),"")</f>
        <v/>
      </c>
      <c r="F321">
        <f>IFERROR(IF(ISNUMBER(INDEX(SPPR!$E:$Z,MATCH($A321,SPPR!$A:$A,0),3)),$C321*INDEX(SPPR!$E:$Z,MATCH($A321,SPPR!$A:$A,0),3),""),"")</f>
        <v/>
      </c>
      <c r="G321">
        <f>IFERROR(IF(ISNUMBER(INDEX(SPPR!$E:$Z,MATCH($A321,SPPR!$A:$A,0),4)),$C321*INDEX(SPPR!$E:$Z,MATCH($A321,SPPR!$A:$A,0),4),""),"")</f>
        <v/>
      </c>
      <c r="H321">
        <f>IFERROR(IF(ISNUMBER(INDEX(SPPR!$E:$Z,MATCH($A321,SPPR!$A:$A,0),5)),$C321*INDEX(SPPR!$E:$Z,MATCH($A321,SPPR!$A:$A,0),5),""),"")</f>
        <v/>
      </c>
      <c r="I321">
        <f>IFERROR(IF(ISNUMBER(INDEX(SPPR!$E:$Z,MATCH($A321,SPPR!$A:$A,0),6)),$C321*INDEX(SPPR!$E:$Z,MATCH($A321,SPPR!$A:$A,0),6),""),"")</f>
        <v/>
      </c>
      <c r="J321">
        <f>IFERROR(IF(ISNUMBER(INDEX(SPPR!$E:$Z,MATCH($A321,SPPR!$A:$A,0),7)),$C321*INDEX(SPPR!$E:$Z,MATCH($A321,SPPR!$A:$A,0),7),""),"")</f>
        <v/>
      </c>
      <c r="K321">
        <f>IFERROR(IF(ISNUMBER(INDEX(SPPR!$E:$Z,MATCH($A321,SPPR!$A:$A,0),8)),$C321*INDEX(SPPR!$E:$Z,MATCH($A321,SPPR!$A:$A,0),8),""),"")</f>
        <v/>
      </c>
      <c r="L321">
        <f>IFERROR(IF(ISNUMBER(INDEX(SPPR!$E:$Z,MATCH($A321,SPPR!$A:$A,0),9)),$C321*INDEX(SPPR!$E:$Z,MATCH($A321,SPPR!$A:$A,0),9),""),"")</f>
        <v/>
      </c>
      <c r="M321">
        <f>IFERROR(IF(ISNUMBER(INDEX(SPPR!$E:$Z,MATCH($A321,SPPR!$A:$A,0),10)),$C321*INDEX(SPPR!$E:$Z,MATCH($A321,SPPR!$A:$A,0),10),""),"")</f>
        <v/>
      </c>
      <c r="N321">
        <f>IFERROR(IF(ISNUMBER(INDEX(SPPR!$E:$Z,MATCH($A321,SPPR!$A:$A,0),11)),$C321*INDEX(SPPR!$E:$Z,MATCH($A321,SPPR!$A:$A,0),11),""),"")</f>
        <v/>
      </c>
      <c r="O321">
        <f>IFERROR(IF(ISNUMBER(INDEX(SPPR!$E:$Z,MATCH($A321,SPPR!$A:$A,0),12)),$C321*INDEX(SPPR!$E:$Z,MATCH($A321,SPPR!$A:$A,0),12),""),"")</f>
        <v/>
      </c>
      <c r="P321">
        <f>IFERROR(IF(ISNUMBER(INDEX(SPPR!$E:$Z,MATCH($A321,SPPR!$A:$A,0),13)),$C321*INDEX(SPPR!$E:$Z,MATCH($A321,SPPR!$A:$A,0),13),""),"")</f>
        <v/>
      </c>
      <c r="Q321">
        <f>IFERROR(IF(ISNUMBER(INDEX(SPPR!$E:$Z,MATCH($A321,SPPR!$A:$A,0),14)),$C321*INDEX(SPPR!$E:$Z,MATCH($A321,SPPR!$A:$A,0),14),""),"")</f>
        <v/>
      </c>
      <c r="R321">
        <f>IFERROR(IF(ISNUMBER(INDEX(SPPR!$E:$Z,MATCH($A321,SPPR!$A:$A,0),15)),$C321*INDEX(SPPR!$E:$Z,MATCH($A321,SPPR!$A:$A,0),15),""),"")</f>
        <v/>
      </c>
      <c r="S321">
        <f>IFERROR(IF(ISNUMBER(INDEX(SPPR!$E:$Z,MATCH($A321,SPPR!$A:$A,0),16)),$C321*INDEX(SPPR!$E:$Z,MATCH($A321,SPPR!$A:$A,0),16),""),"")</f>
        <v/>
      </c>
      <c r="T321">
        <f>IFERROR(IF(ISNUMBER(INDEX(SPPR!$E:$Z,MATCH($A321,SPPR!$A:$A,0),17)),$C321*INDEX(SPPR!$E:$Z,MATCH($A321,SPPR!$A:$A,0),17),""),"")</f>
        <v/>
      </c>
      <c r="U321">
        <f>IFERROR(IF(ISNUMBER(INDEX(SPPR!$E:$Z,MATCH($A321,SPPR!$A:$A,0),18)),$C321*INDEX(SPPR!$E:$Z,MATCH($A321,SPPR!$A:$A,0),18),""),"")</f>
        <v/>
      </c>
      <c r="V321">
        <f>IFERROR(IF(ISNUMBER(INDEX(SPPR!$E:$Z,MATCH($A321,SPPR!$A:$A,0),19)),$C321*INDEX(SPPR!$E:$Z,MATCH($A321,SPPR!$A:$A,0),19),""),"")</f>
        <v/>
      </c>
      <c r="W321">
        <f>IFERROR(IF(ISNUMBER(INDEX(SPPR!$E:$Z,MATCH($A321,SPPR!$A:$A,0),20)),$C321*INDEX(SPPR!$E:$Z,MATCH($A321,SPPR!$A:$A,0),20),""),"")</f>
        <v/>
      </c>
      <c r="X321">
        <f>IFERROR(IF(ISNUMBER(INDEX(SPPR!$E:$Z,MATCH($A321,SPPR!$A:$A,0),21)),$C321*INDEX(SPPR!$E:$Z,MATCH($A321,SPPR!$A:$A,0),21),""),"")</f>
        <v/>
      </c>
      <c r="Y321">
        <f>IFERROR(IF(ISNUMBER(INDEX(SPPR!$E:$Z,MATCH($A321,SPPR!$A:$A,0),22)),$C321*INDEX(SPPR!$E:$Z,MATCH($A321,SPPR!$A:$A,0),22),""),"")</f>
        <v/>
      </c>
    </row>
    <row r="322">
      <c r="A322" t="inlineStr">
        <is>
          <t>Lampris guttatus</t>
        </is>
      </c>
      <c r="B322">
        <f>IFERROR(INDEX(SPPR!$D:$D,MATCH($A322,SPPR!$A:$A,0)),"")</f>
        <v/>
      </c>
      <c r="C322">
        <f>IFERROR(INDEX(Catch!$E:$BV,MATCH($A322,Catch!$A:$A,0),MATCH($B$4,Catch!$E$1:$BV$1,0)),0)</f>
        <v/>
      </c>
      <c r="D322">
        <f>IFERROR(IF(ISNUMBER(INDEX(SPPR!$E:$Z,MATCH($A322,SPPR!$A:$A,0),1)),$C322*INDEX(SPPR!$E:$Z,MATCH($A322,SPPR!$A:$A,0),1),""),"")</f>
        <v/>
      </c>
      <c r="E322">
        <f>IFERROR(IF(ISNUMBER(INDEX(SPPR!$E:$Z,MATCH($A322,SPPR!$A:$A,0),2)),$C322*INDEX(SPPR!$E:$Z,MATCH($A322,SPPR!$A:$A,0),2),""),"")</f>
        <v/>
      </c>
      <c r="F322">
        <f>IFERROR(IF(ISNUMBER(INDEX(SPPR!$E:$Z,MATCH($A322,SPPR!$A:$A,0),3)),$C322*INDEX(SPPR!$E:$Z,MATCH($A322,SPPR!$A:$A,0),3),""),"")</f>
        <v/>
      </c>
      <c r="G322">
        <f>IFERROR(IF(ISNUMBER(INDEX(SPPR!$E:$Z,MATCH($A322,SPPR!$A:$A,0),4)),$C322*INDEX(SPPR!$E:$Z,MATCH($A322,SPPR!$A:$A,0),4),""),"")</f>
        <v/>
      </c>
      <c r="H322">
        <f>IFERROR(IF(ISNUMBER(INDEX(SPPR!$E:$Z,MATCH($A322,SPPR!$A:$A,0),5)),$C322*INDEX(SPPR!$E:$Z,MATCH($A322,SPPR!$A:$A,0),5),""),"")</f>
        <v/>
      </c>
      <c r="I322">
        <f>IFERROR(IF(ISNUMBER(INDEX(SPPR!$E:$Z,MATCH($A322,SPPR!$A:$A,0),6)),$C322*INDEX(SPPR!$E:$Z,MATCH($A322,SPPR!$A:$A,0),6),""),"")</f>
        <v/>
      </c>
      <c r="J322">
        <f>IFERROR(IF(ISNUMBER(INDEX(SPPR!$E:$Z,MATCH($A322,SPPR!$A:$A,0),7)),$C322*INDEX(SPPR!$E:$Z,MATCH($A322,SPPR!$A:$A,0),7),""),"")</f>
        <v/>
      </c>
      <c r="K322">
        <f>IFERROR(IF(ISNUMBER(INDEX(SPPR!$E:$Z,MATCH($A322,SPPR!$A:$A,0),8)),$C322*INDEX(SPPR!$E:$Z,MATCH($A322,SPPR!$A:$A,0),8),""),"")</f>
        <v/>
      </c>
      <c r="L322">
        <f>IFERROR(IF(ISNUMBER(INDEX(SPPR!$E:$Z,MATCH($A322,SPPR!$A:$A,0),9)),$C322*INDEX(SPPR!$E:$Z,MATCH($A322,SPPR!$A:$A,0),9),""),"")</f>
        <v/>
      </c>
      <c r="M322">
        <f>IFERROR(IF(ISNUMBER(INDEX(SPPR!$E:$Z,MATCH($A322,SPPR!$A:$A,0),10)),$C322*INDEX(SPPR!$E:$Z,MATCH($A322,SPPR!$A:$A,0),10),""),"")</f>
        <v/>
      </c>
      <c r="N322">
        <f>IFERROR(IF(ISNUMBER(INDEX(SPPR!$E:$Z,MATCH($A322,SPPR!$A:$A,0),11)),$C322*INDEX(SPPR!$E:$Z,MATCH($A322,SPPR!$A:$A,0),11),""),"")</f>
        <v/>
      </c>
      <c r="O322">
        <f>IFERROR(IF(ISNUMBER(INDEX(SPPR!$E:$Z,MATCH($A322,SPPR!$A:$A,0),12)),$C322*INDEX(SPPR!$E:$Z,MATCH($A322,SPPR!$A:$A,0),12),""),"")</f>
        <v/>
      </c>
      <c r="P322">
        <f>IFERROR(IF(ISNUMBER(INDEX(SPPR!$E:$Z,MATCH($A322,SPPR!$A:$A,0),13)),$C322*INDEX(SPPR!$E:$Z,MATCH($A322,SPPR!$A:$A,0),13),""),"")</f>
        <v/>
      </c>
      <c r="Q322">
        <f>IFERROR(IF(ISNUMBER(INDEX(SPPR!$E:$Z,MATCH($A322,SPPR!$A:$A,0),14)),$C322*INDEX(SPPR!$E:$Z,MATCH($A322,SPPR!$A:$A,0),14),""),"")</f>
        <v/>
      </c>
      <c r="R322">
        <f>IFERROR(IF(ISNUMBER(INDEX(SPPR!$E:$Z,MATCH($A322,SPPR!$A:$A,0),15)),$C322*INDEX(SPPR!$E:$Z,MATCH($A322,SPPR!$A:$A,0),15),""),"")</f>
        <v/>
      </c>
      <c r="S322">
        <f>IFERROR(IF(ISNUMBER(INDEX(SPPR!$E:$Z,MATCH($A322,SPPR!$A:$A,0),16)),$C322*INDEX(SPPR!$E:$Z,MATCH($A322,SPPR!$A:$A,0),16),""),"")</f>
        <v/>
      </c>
      <c r="T322">
        <f>IFERROR(IF(ISNUMBER(INDEX(SPPR!$E:$Z,MATCH($A322,SPPR!$A:$A,0),17)),$C322*INDEX(SPPR!$E:$Z,MATCH($A322,SPPR!$A:$A,0),17),""),"")</f>
        <v/>
      </c>
      <c r="U322">
        <f>IFERROR(IF(ISNUMBER(INDEX(SPPR!$E:$Z,MATCH($A322,SPPR!$A:$A,0),18)),$C322*INDEX(SPPR!$E:$Z,MATCH($A322,SPPR!$A:$A,0),18),""),"")</f>
        <v/>
      </c>
      <c r="V322">
        <f>IFERROR(IF(ISNUMBER(INDEX(SPPR!$E:$Z,MATCH($A322,SPPR!$A:$A,0),19)),$C322*INDEX(SPPR!$E:$Z,MATCH($A322,SPPR!$A:$A,0),19),""),"")</f>
        <v/>
      </c>
      <c r="W322">
        <f>IFERROR(IF(ISNUMBER(INDEX(SPPR!$E:$Z,MATCH($A322,SPPR!$A:$A,0),20)),$C322*INDEX(SPPR!$E:$Z,MATCH($A322,SPPR!$A:$A,0),20),""),"")</f>
        <v/>
      </c>
      <c r="X322">
        <f>IFERROR(IF(ISNUMBER(INDEX(SPPR!$E:$Z,MATCH($A322,SPPR!$A:$A,0),21)),$C322*INDEX(SPPR!$E:$Z,MATCH($A322,SPPR!$A:$A,0),21),""),"")</f>
        <v/>
      </c>
      <c r="Y322">
        <f>IFERROR(IF(ISNUMBER(INDEX(SPPR!$E:$Z,MATCH($A322,SPPR!$A:$A,0),22)),$C322*INDEX(SPPR!$E:$Z,MATCH($A322,SPPR!$A:$A,0),22),""),"")</f>
        <v/>
      </c>
    </row>
  </sheetData>
  <dataValidations count="1">
    <dataValidation sqref="B4" showDropDown="0" showInputMessage="0" showErrorMessage="0" allowBlank="0" type="list">
      <formula1>=Catch!$E$1:$BV$1</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5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10" customWidth="1" min="3" max="3"/>
    <col width="10" customWidth="1" min="4" max="4"/>
    <col width="10" customWidth="1" min="5" max="5"/>
    <col width="10" customWidth="1" min="6" max="6"/>
    <col width="14" customWidth="1" min="7" max="7"/>
    <col width="14"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s>
  <sheetData>
    <row r="1">
      <c r="A1" s="1" t="inlineStr">
        <is>
          <t>The model's own compartments, and their SPPR under each method.</t>
        </is>
      </c>
    </row>
    <row r="2">
      <c r="A2" t="inlineStr">
        <is>
          <t>Group names here are authoritative. Everything in the other sheets joins on them character for character.</t>
        </is>
      </c>
    </row>
    <row r="4">
      <c r="A4" s="4" t="inlineStr">
        <is>
          <t>seq</t>
        </is>
      </c>
      <c r="B4" s="4" t="inlineStr">
        <is>
          <t>group_name</t>
        </is>
      </c>
      <c r="C4" s="4" t="inlineStr">
        <is>
          <t>type</t>
        </is>
      </c>
      <c r="D4" s="4" t="inlineStr">
        <is>
          <t>TL</t>
        </is>
      </c>
      <c r="E4" s="4" t="inlineStr">
        <is>
          <t>GE</t>
        </is>
      </c>
      <c r="F4" s="4" t="inlineStr">
        <is>
          <t>EE</t>
        </is>
      </c>
      <c r="G4" s="4" t="inlineStr">
        <is>
          <t>biomass</t>
        </is>
      </c>
      <c r="H4" s="4" t="inlineStr">
        <is>
          <t>model catch</t>
        </is>
      </c>
      <c r="I4" s="4" t="inlineStr">
        <is>
          <t>SPPR_1986</t>
        </is>
      </c>
      <c r="J4" s="4" t="inlineStr">
        <is>
          <t>SPPR_1995_TE0.1</t>
        </is>
      </c>
      <c r="K4" s="4" t="inlineStr">
        <is>
          <t>SPPR_1995_TEmean</t>
        </is>
      </c>
      <c r="L4" s="4" t="inlineStr">
        <is>
          <t>Ulanowicz_globalTEmean</t>
        </is>
      </c>
      <c r="M4" s="4" t="inlineStr">
        <is>
          <t>Ulanowicz_TE</t>
        </is>
      </c>
      <c r="N4" s="4" t="inlineStr">
        <is>
          <t>EwE_TE_noEE</t>
        </is>
      </c>
      <c r="O4" s="4" t="inlineStr">
        <is>
          <t>EwE_TE_EE</t>
        </is>
      </c>
      <c r="P4" s="4" t="inlineStr">
        <is>
          <t>SPPR_2015</t>
        </is>
      </c>
      <c r="Q4" s="4" t="inlineStr">
        <is>
          <t>new_TE_noEEfix</t>
        </is>
      </c>
      <c r="R4" s="4" t="inlineStr">
        <is>
          <t>new_TE_EEfix</t>
        </is>
      </c>
      <c r="S4" s="4" t="inlineStr">
        <is>
          <t>new_GE</t>
        </is>
      </c>
      <c r="T4" s="4" t="inlineStr">
        <is>
          <t>new_WithEgestion</t>
        </is>
      </c>
      <c r="U4" s="4" t="inlineStr">
        <is>
          <t>sym_TE_asPP</t>
        </is>
      </c>
      <c r="V4" s="4" t="inlineStr">
        <is>
          <t>sym_TE_asDC</t>
        </is>
      </c>
      <c r="W4" s="4" t="inlineStr">
        <is>
          <t>sym_GE_asPP</t>
        </is>
      </c>
      <c r="X4" s="4" t="inlineStr">
        <is>
          <t>sym_GE_asDC</t>
        </is>
      </c>
      <c r="Y4" s="4" t="inlineStr">
        <is>
          <t>sym_WithEgestion_asPP</t>
        </is>
      </c>
      <c r="Z4" s="4" t="inlineStr">
        <is>
          <t>sym_WithEgestion_asDC</t>
        </is>
      </c>
      <c r="AA4" s="4" t="inlineStr">
        <is>
          <t>MC_new_GE</t>
        </is>
      </c>
      <c r="AB4" s="4" t="inlineStr">
        <is>
          <t>MC_new_TE_EEfix</t>
        </is>
      </c>
      <c r="AC4" s="4" t="inlineStr">
        <is>
          <t>SPPR_1995_TEmean_catch</t>
        </is>
      </c>
      <c r="AD4" s="4" t="inlineStr">
        <is>
          <t>Ulanowicz_globalTEmean_catch</t>
        </is>
      </c>
    </row>
    <row r="5">
      <c r="A5" t="n">
        <v>1</v>
      </c>
      <c r="B5" t="inlineStr">
        <is>
          <t>Oceanic sharks</t>
        </is>
      </c>
      <c r="C5" t="inlineStr">
        <is>
          <t>Regular</t>
        </is>
      </c>
      <c r="D5" t="n">
        <v>4.358975082998549</v>
      </c>
      <c r="E5" t="n">
        <v>0.15</v>
      </c>
      <c r="F5" t="n">
        <v>0.582</v>
      </c>
      <c r="G5" t="n">
        <v>0.202</v>
      </c>
      <c r="H5" t="n">
        <v>0.016492</v>
      </c>
      <c r="I5" t="n">
        <v>276.665746</v>
      </c>
      <c r="J5" t="n">
        <v>1757.235698</v>
      </c>
      <c r="K5" t="n">
        <v>1018.406889</v>
      </c>
      <c r="L5" t="n">
        <v>15272.448234</v>
      </c>
      <c r="M5" t="n">
        <v>5138.664287</v>
      </c>
      <c r="N5" t="n">
        <v>6104.491483</v>
      </c>
      <c r="O5" t="n">
        <v>3552.814043</v>
      </c>
      <c r="P5" t="n">
        <v>23073.269039</v>
      </c>
      <c r="Q5" t="n">
        <v>23073.269039</v>
      </c>
      <c r="R5" t="n">
        <v>23073.269039</v>
      </c>
      <c r="S5" t="n">
        <v>8719.781079</v>
      </c>
      <c r="T5" t="n">
        <v>1862.135636</v>
      </c>
      <c r="U5" t="n">
        <v>23073.269039</v>
      </c>
      <c r="V5" t="n">
        <v>96997077.044404</v>
      </c>
      <c r="W5" t="n">
        <v>8719.781079</v>
      </c>
      <c r="X5" t="n">
        <v>-2827644.466329</v>
      </c>
      <c r="Y5" t="n">
        <v>1862.135636</v>
      </c>
      <c r="Z5" t="n">
        <v>8.326891708518671e+18</v>
      </c>
      <c r="AA5" t="n">
        <v>14383.018786</v>
      </c>
      <c r="AB5" t="n">
        <v>31688.009682</v>
      </c>
      <c r="AC5" t="n">
        <v>208.554284</v>
      </c>
      <c r="AD5" t="n">
        <v>1011.467389</v>
      </c>
    </row>
    <row r="6">
      <c r="A6" t="n">
        <v>2</v>
      </c>
      <c r="B6" t="inlineStr">
        <is>
          <t>Coastal elasmobranch</t>
        </is>
      </c>
      <c r="C6" t="inlineStr">
        <is>
          <t>Regular</t>
        </is>
      </c>
      <c r="D6" t="n">
        <v>4.256960153149342</v>
      </c>
      <c r="E6" t="n">
        <v>0.15</v>
      </c>
      <c r="F6" t="n">
        <v>0.944</v>
      </c>
      <c r="G6" t="n">
        <v>0.08130199999999999</v>
      </c>
      <c r="H6" t="n">
        <v>0.025531</v>
      </c>
      <c r="I6" t="n">
        <v>276.665746</v>
      </c>
      <c r="J6" t="n">
        <v>1214.104792</v>
      </c>
      <c r="K6" t="n">
        <v>722.888243</v>
      </c>
      <c r="L6" t="n">
        <v>10121.435398</v>
      </c>
      <c r="M6" t="n">
        <v>2496.053382</v>
      </c>
      <c r="N6" t="n">
        <v>2721.71256</v>
      </c>
      <c r="O6" t="n">
        <v>2569.296656</v>
      </c>
      <c r="P6" t="n">
        <v>17002.234886</v>
      </c>
      <c r="Q6" t="n">
        <v>17002.234886</v>
      </c>
      <c r="R6" t="n">
        <v>17002.234886</v>
      </c>
      <c r="S6" t="n">
        <v>9185.440402</v>
      </c>
      <c r="T6" t="n">
        <v>1863.771432</v>
      </c>
      <c r="U6" t="n">
        <v>17002.234886</v>
      </c>
      <c r="V6" t="n">
        <v>111559561.583727</v>
      </c>
      <c r="W6" t="n">
        <v>9185.440402</v>
      </c>
      <c r="X6" t="n">
        <v>-6478612.295953</v>
      </c>
      <c r="Y6" t="n">
        <v>1863.771432</v>
      </c>
      <c r="Z6" t="n">
        <v>1.299598425206395e+19</v>
      </c>
      <c r="AA6" t="n">
        <v>15257.306447</v>
      </c>
      <c r="AB6" t="n">
        <v>23728.582321</v>
      </c>
      <c r="AC6" t="n">
        <v>160.121668</v>
      </c>
      <c r="AD6" t="n">
        <v>658.77156</v>
      </c>
    </row>
    <row r="7">
      <c r="A7" t="n">
        <v>3</v>
      </c>
      <c r="B7" t="inlineStr">
        <is>
          <t>Tuna-like</t>
        </is>
      </c>
      <c r="C7" t="inlineStr">
        <is>
          <t>Regular</t>
        </is>
      </c>
      <c r="D7" t="n">
        <v>4.71341587801659</v>
      </c>
      <c r="E7" t="n">
        <v>0.2</v>
      </c>
      <c r="F7" t="n">
        <v>0.894</v>
      </c>
      <c r="G7" t="n">
        <v>0.15</v>
      </c>
      <c r="H7" t="n">
        <v>0.017061</v>
      </c>
      <c r="I7" t="n">
        <v>276.665746</v>
      </c>
      <c r="J7" t="n">
        <v>3650.332839</v>
      </c>
      <c r="K7" t="n">
        <v>2005.591894</v>
      </c>
      <c r="L7" t="n">
        <v>10202.43919</v>
      </c>
      <c r="M7" t="n">
        <v>2103.316703</v>
      </c>
      <c r="N7" t="n">
        <v>2473.629877</v>
      </c>
      <c r="O7" t="n">
        <v>2211.42511</v>
      </c>
      <c r="P7" t="n">
        <v>8474.746773000001</v>
      </c>
      <c r="Q7" t="n">
        <v>8474.746773000001</v>
      </c>
      <c r="R7" t="n">
        <v>8474.746773000001</v>
      </c>
      <c r="S7" t="n">
        <v>5374.550638</v>
      </c>
      <c r="T7" t="n">
        <v>1271.625707</v>
      </c>
      <c r="U7" t="n">
        <v>8474.746773000001</v>
      </c>
      <c r="V7" t="n">
        <v>11745249.699026</v>
      </c>
      <c r="W7" t="n">
        <v>5374.550638</v>
      </c>
      <c r="X7" t="n">
        <v>-414959.643064</v>
      </c>
      <c r="Y7" t="n">
        <v>1271.625707</v>
      </c>
      <c r="Z7" t="n">
        <v>-2163898509.296668</v>
      </c>
      <c r="AA7" t="n">
        <v>8903.01534</v>
      </c>
      <c r="AB7" t="n">
        <v>11378.963772</v>
      </c>
      <c r="AC7" t="n">
        <v>351.683283</v>
      </c>
      <c r="AD7" t="n">
        <v>849.64013</v>
      </c>
    </row>
    <row r="8">
      <c r="A8" t="n">
        <v>4</v>
      </c>
      <c r="B8" t="inlineStr">
        <is>
          <t>Coastal scombrids</t>
        </is>
      </c>
      <c r="C8" t="inlineStr">
        <is>
          <t>Regular</t>
        </is>
      </c>
      <c r="D8" t="n">
        <v>4.435912251105862</v>
      </c>
      <c r="E8" t="n">
        <v>0.2</v>
      </c>
      <c r="F8" t="n">
        <v>0.5980000000000001</v>
      </c>
      <c r="G8" t="n">
        <v>0.104039</v>
      </c>
      <c r="H8" t="n">
        <v>0.029259</v>
      </c>
      <c r="I8" t="n">
        <v>276.665746</v>
      </c>
      <c r="J8" t="n">
        <v>2151.411916</v>
      </c>
      <c r="K8" t="n">
        <v>1228.563684</v>
      </c>
      <c r="L8" t="n">
        <v>5449.628126</v>
      </c>
      <c r="M8" t="n">
        <v>1746.481623</v>
      </c>
      <c r="N8" t="n">
        <v>2058.735989</v>
      </c>
      <c r="O8" t="n">
        <v>1231.124121</v>
      </c>
      <c r="P8" t="n">
        <v>5799.192784</v>
      </c>
      <c r="Q8" t="n">
        <v>5799.192784</v>
      </c>
      <c r="R8" t="n">
        <v>5799.192784</v>
      </c>
      <c r="S8" t="n">
        <v>2889.445671</v>
      </c>
      <c r="T8" t="n">
        <v>773.655572</v>
      </c>
      <c r="U8" t="n">
        <v>5799.192784</v>
      </c>
      <c r="V8" t="n">
        <v>16496946.005748</v>
      </c>
      <c r="W8" t="n">
        <v>2889.445671</v>
      </c>
      <c r="X8" t="n">
        <v>-17915259.4837</v>
      </c>
      <c r="Y8" t="n">
        <v>773.655572</v>
      </c>
      <c r="Z8" t="n">
        <v>-5915900048852866</v>
      </c>
      <c r="AA8" t="n">
        <v>4649.46224</v>
      </c>
      <c r="AB8" t="n">
        <v>7908.520493</v>
      </c>
      <c r="AC8" t="n">
        <v>241.012964</v>
      </c>
      <c r="AD8" t="n">
        <v>536.974768</v>
      </c>
    </row>
    <row r="9">
      <c r="A9" t="n">
        <v>5</v>
      </c>
      <c r="B9" t="inlineStr">
        <is>
          <t>Jellyfish</t>
        </is>
      </c>
      <c r="C9" t="inlineStr">
        <is>
          <t>Regular</t>
        </is>
      </c>
      <c r="D9" t="n">
        <v>3</v>
      </c>
      <c r="E9" t="n">
        <v>0.3</v>
      </c>
      <c r="F9" t="n">
        <v>0.06600000000000017</v>
      </c>
      <c r="G9" t="n">
        <v>0.5</v>
      </c>
      <c r="H9" t="n">
        <v>0.000246</v>
      </c>
      <c r="I9" t="n">
        <v>276.665746</v>
      </c>
      <c r="J9" t="n">
        <v>100</v>
      </c>
      <c r="K9" t="n">
        <v>71.445972</v>
      </c>
      <c r="L9" t="n">
        <v>71.445972</v>
      </c>
      <c r="M9" t="n">
        <v>392.817059</v>
      </c>
      <c r="N9" t="n">
        <v>392.817059</v>
      </c>
      <c r="O9" t="n">
        <v>25.925926</v>
      </c>
      <c r="P9" t="n">
        <v>392.817059</v>
      </c>
      <c r="Q9" t="n">
        <v>392.817059</v>
      </c>
      <c r="R9" t="n">
        <v>392.817059</v>
      </c>
      <c r="S9" t="n">
        <v>15.555556</v>
      </c>
      <c r="T9" t="n">
        <v>9.955556</v>
      </c>
      <c r="U9" t="n">
        <v>392.817059</v>
      </c>
      <c r="V9" t="n">
        <v>392.817059</v>
      </c>
      <c r="W9" t="n">
        <v>15.555556</v>
      </c>
      <c r="X9" t="n">
        <v>15.555556</v>
      </c>
      <c r="Y9" t="n">
        <v>9.955556</v>
      </c>
      <c r="Z9" t="n">
        <v>9.955556</v>
      </c>
      <c r="AA9" t="n">
        <v>15.908519</v>
      </c>
      <c r="AB9" t="n">
        <v>405.819791</v>
      </c>
      <c r="AC9" t="n">
        <v>26.883496</v>
      </c>
      <c r="AD9" t="n">
        <v>26.883496</v>
      </c>
    </row>
    <row r="10">
      <c r="A10" t="n">
        <v>6</v>
      </c>
      <c r="B10" t="inlineStr">
        <is>
          <t>Cephalopods</t>
        </is>
      </c>
      <c r="C10" t="inlineStr">
        <is>
          <t>Regular</t>
        </is>
      </c>
      <c r="D10" t="n">
        <v>4.138063348144405</v>
      </c>
      <c r="E10" t="n">
        <v>0.3</v>
      </c>
      <c r="F10" t="n">
        <v>0.9</v>
      </c>
      <c r="G10" t="n">
        <v>0.569</v>
      </c>
      <c r="H10" t="n">
        <v>0.019714</v>
      </c>
      <c r="I10" t="n">
        <v>276.665746</v>
      </c>
      <c r="J10" t="n">
        <v>990.119511</v>
      </c>
      <c r="K10" t="n">
        <v>598.369015</v>
      </c>
      <c r="L10" t="n">
        <v>1346.888416</v>
      </c>
      <c r="M10" t="n">
        <v>377.016205</v>
      </c>
      <c r="N10" t="n">
        <v>457.659002</v>
      </c>
      <c r="O10" t="n">
        <v>411.893102</v>
      </c>
      <c r="P10" t="n">
        <v>1154.963068</v>
      </c>
      <c r="Q10" t="n">
        <v>1154.963068</v>
      </c>
      <c r="R10" t="n">
        <v>1154.963068</v>
      </c>
      <c r="S10" t="n">
        <v>883.48756</v>
      </c>
      <c r="T10" t="n">
        <v>288.738455</v>
      </c>
      <c r="U10" t="n">
        <v>1154.963068</v>
      </c>
      <c r="V10" t="n">
        <v>-30007.429063</v>
      </c>
      <c r="W10" t="n">
        <v>883.48756</v>
      </c>
      <c r="X10" t="n">
        <v>-4635.736133</v>
      </c>
      <c r="Y10" t="n">
        <v>288.738455</v>
      </c>
      <c r="Z10" t="n">
        <v>-68084.421791</v>
      </c>
      <c r="AA10" t="n">
        <v>1393.890949</v>
      </c>
      <c r="AB10" t="n">
        <v>1512.449191</v>
      </c>
      <c r="AC10" t="n">
        <v>138.403273</v>
      </c>
      <c r="AD10" t="n">
        <v>209.479831</v>
      </c>
    </row>
    <row r="11">
      <c r="A11" t="n">
        <v>7</v>
      </c>
      <c r="B11" t="inlineStr">
        <is>
          <t>S bathy</t>
        </is>
      </c>
      <c r="C11" t="inlineStr">
        <is>
          <t>Regular</t>
        </is>
      </c>
      <c r="D11" t="n">
        <v>3</v>
      </c>
      <c r="E11" t="n">
        <v>0.25</v>
      </c>
      <c r="F11" t="n">
        <v>0.132</v>
      </c>
      <c r="G11" t="n">
        <v>2.78472</v>
      </c>
      <c r="H11" t="n">
        <v>0</v>
      </c>
      <c r="I11" t="n">
        <v>276.665746</v>
      </c>
      <c r="J11" t="n">
        <v>100</v>
      </c>
      <c r="K11" t="n">
        <v>71.445972</v>
      </c>
      <c r="L11" t="n">
        <v>71.445972</v>
      </c>
      <c r="M11" t="n">
        <v>290.995495</v>
      </c>
      <c r="N11" t="n">
        <v>290.995495</v>
      </c>
      <c r="O11" t="n">
        <v>38.411405</v>
      </c>
      <c r="P11" t="n">
        <v>286.657266</v>
      </c>
      <c r="Q11" t="n">
        <v>286.657266</v>
      </c>
      <c r="R11" t="n">
        <v>286.657266</v>
      </c>
      <c r="S11" t="n">
        <v>19.509444</v>
      </c>
      <c r="T11" t="n">
        <v>12.767567</v>
      </c>
      <c r="U11" t="n">
        <v>286.657266</v>
      </c>
      <c r="V11" t="n">
        <v>286.657266</v>
      </c>
      <c r="W11" t="n">
        <v>19.509444</v>
      </c>
      <c r="X11" t="n">
        <v>17.488843</v>
      </c>
      <c r="Y11" t="n">
        <v>12.767567</v>
      </c>
      <c r="Z11" t="n">
        <v>12.965435</v>
      </c>
      <c r="AA11" t="n">
        <v>20.372061</v>
      </c>
      <c r="AB11" t="n">
        <v>292.335716</v>
      </c>
      <c r="AC11" t="n">
        <v>26.883496</v>
      </c>
      <c r="AD11" t="n">
        <v>26.883496</v>
      </c>
    </row>
    <row r="12">
      <c r="A12" t="n">
        <v>8</v>
      </c>
      <c r="B12" t="inlineStr">
        <is>
          <t>ML bathy</t>
        </is>
      </c>
      <c r="C12" t="inlineStr">
        <is>
          <t>Regular</t>
        </is>
      </c>
      <c r="D12" t="n">
        <v>3.596999541632769</v>
      </c>
      <c r="E12" t="n">
        <v>0.2</v>
      </c>
      <c r="F12" t="n">
        <v>0.9</v>
      </c>
      <c r="G12" t="n">
        <v>0.22923</v>
      </c>
      <c r="H12" t="n">
        <v>0.003463</v>
      </c>
      <c r="I12" t="n">
        <v>276.665746</v>
      </c>
      <c r="J12" t="n">
        <v>308.890964</v>
      </c>
      <c r="K12" t="n">
        <v>203.245868</v>
      </c>
      <c r="L12" t="n">
        <v>1395.995486</v>
      </c>
      <c r="M12" t="n">
        <v>429.452734</v>
      </c>
      <c r="N12" t="n">
        <v>552.655175</v>
      </c>
      <c r="O12" t="n">
        <v>497.389657</v>
      </c>
      <c r="P12" t="n">
        <v>1517.166669</v>
      </c>
      <c r="Q12" t="n">
        <v>1517.166669</v>
      </c>
      <c r="R12" t="n">
        <v>1517.166669</v>
      </c>
      <c r="S12" t="n">
        <v>936.239412</v>
      </c>
      <c r="T12" t="n">
        <v>268.385112</v>
      </c>
      <c r="U12" t="n">
        <v>1517.166669</v>
      </c>
      <c r="V12" t="n">
        <v>-1057816.758889</v>
      </c>
      <c r="W12" t="n">
        <v>936.239412</v>
      </c>
      <c r="X12" t="n">
        <v>347166.430693</v>
      </c>
      <c r="Y12" t="n">
        <v>268.385112</v>
      </c>
      <c r="Z12" t="n">
        <v>-52122071.523651</v>
      </c>
      <c r="AA12" t="n">
        <v>1486.238329</v>
      </c>
      <c r="AB12" t="n">
        <v>1946.997288</v>
      </c>
      <c r="AC12" t="n">
        <v>60.196399</v>
      </c>
      <c r="AD12" t="n">
        <v>159.557956</v>
      </c>
    </row>
    <row r="13">
      <c r="A13" t="n">
        <v>9</v>
      </c>
      <c r="B13" t="inlineStr">
        <is>
          <t>1 L pisc</t>
        </is>
      </c>
      <c r="C13" t="inlineStr">
        <is>
          <t>Regular</t>
        </is>
      </c>
      <c r="D13" t="n">
        <v>4.099224098345555</v>
      </c>
      <c r="E13" t="n">
        <v>0.2</v>
      </c>
      <c r="F13" t="n">
        <v>0.9</v>
      </c>
      <c r="G13" t="n">
        <v>0.0089</v>
      </c>
      <c r="H13" t="n">
        <v>0.000448</v>
      </c>
      <c r="I13" t="n">
        <v>276.665746</v>
      </c>
      <c r="J13" t="n">
        <v>916.927949</v>
      </c>
      <c r="K13" t="n">
        <v>557.252192</v>
      </c>
      <c r="L13" t="n">
        <v>2855.514992</v>
      </c>
      <c r="M13" t="n">
        <v>815.086961</v>
      </c>
      <c r="N13" t="n">
        <v>1106.549159</v>
      </c>
      <c r="O13" t="n">
        <v>995.894243</v>
      </c>
      <c r="P13" t="n">
        <v>2672.193029</v>
      </c>
      <c r="Q13" t="n">
        <v>2672.193029</v>
      </c>
      <c r="R13" t="n">
        <v>2672.193029</v>
      </c>
      <c r="S13" t="n">
        <v>1262.990926</v>
      </c>
      <c r="T13" t="n">
        <v>365.333321</v>
      </c>
      <c r="U13" t="n">
        <v>2672.193029</v>
      </c>
      <c r="V13" t="n">
        <v>739274910.70911</v>
      </c>
      <c r="W13" t="n">
        <v>1262.990926</v>
      </c>
      <c r="X13" t="n">
        <v>-132372973.696485</v>
      </c>
      <c r="Y13" t="n">
        <v>365.333321</v>
      </c>
      <c r="Z13" t="n">
        <v>1.406637139211738e+20</v>
      </c>
      <c r="AA13" t="n">
        <v>1877.537286</v>
      </c>
      <c r="AB13" t="n">
        <v>3327.99936</v>
      </c>
      <c r="AC13" t="n">
        <v>131.011062</v>
      </c>
      <c r="AD13" t="n">
        <v>297.074233</v>
      </c>
    </row>
    <row r="14">
      <c r="A14" t="n">
        <v>10</v>
      </c>
      <c r="B14" t="inlineStr">
        <is>
          <t>1 Carangids</t>
        </is>
      </c>
      <c r="C14" t="inlineStr">
        <is>
          <t>Regular</t>
        </is>
      </c>
      <c r="D14" t="n">
        <v>3.976872614219186</v>
      </c>
      <c r="E14" t="n">
        <v>0.2</v>
      </c>
      <c r="F14" t="n">
        <v>0.968</v>
      </c>
      <c r="G14" t="n">
        <v>0.011</v>
      </c>
      <c r="H14" t="n">
        <v>0.000877</v>
      </c>
      <c r="I14" t="n">
        <v>276.665746</v>
      </c>
      <c r="J14" t="n">
        <v>603.5344250000001</v>
      </c>
      <c r="K14" t="n">
        <v>378.163721</v>
      </c>
      <c r="L14" t="n">
        <v>1695.370039</v>
      </c>
      <c r="M14" t="n">
        <v>478.62231</v>
      </c>
      <c r="N14" t="n">
        <v>704.0375759999999</v>
      </c>
      <c r="O14" t="n">
        <v>681.508374</v>
      </c>
      <c r="P14" t="n">
        <v>1707.933116</v>
      </c>
      <c r="Q14" t="n">
        <v>1707.933116</v>
      </c>
      <c r="R14" t="n">
        <v>1707.933116</v>
      </c>
      <c r="S14" t="n">
        <v>944.221135</v>
      </c>
      <c r="T14" t="n">
        <v>305.670268</v>
      </c>
      <c r="U14" t="n">
        <v>1707.933116</v>
      </c>
      <c r="V14" t="n">
        <v>399684590.656144</v>
      </c>
      <c r="W14" t="n">
        <v>944.221135</v>
      </c>
      <c r="X14" t="n">
        <v>-709708063.004359</v>
      </c>
      <c r="Y14" t="n">
        <v>305.670268</v>
      </c>
      <c r="Z14" t="n">
        <v>6.499873210965545e+19</v>
      </c>
      <c r="AA14" t="n">
        <v>1331.540943</v>
      </c>
      <c r="AB14" t="n">
        <v>2074.440102</v>
      </c>
      <c r="AC14" t="n">
        <v>97.15987699999999</v>
      </c>
      <c r="AD14" t="n">
        <v>222.382132</v>
      </c>
    </row>
    <row r="15">
      <c r="A15" t="n">
        <v>11</v>
      </c>
      <c r="B15" t="inlineStr">
        <is>
          <t>1 S pelagics</t>
        </is>
      </c>
      <c r="C15" t="inlineStr">
        <is>
          <t>Regular</t>
        </is>
      </c>
      <c r="D15" t="n">
        <v>3.096219530959615</v>
      </c>
      <c r="E15" t="n">
        <v>0.25</v>
      </c>
      <c r="F15" t="n">
        <v>0.95</v>
      </c>
      <c r="G15" t="n">
        <v>0.02723</v>
      </c>
      <c r="H15" t="n">
        <v>0.000341</v>
      </c>
      <c r="I15" t="n">
        <v>276.665746</v>
      </c>
      <c r="J15" t="n">
        <v>105.602673</v>
      </c>
      <c r="K15" t="n">
        <v>75.14915999999999</v>
      </c>
      <c r="L15" t="n">
        <v>121.192858</v>
      </c>
      <c r="M15" t="n">
        <v>51.404224</v>
      </c>
      <c r="N15" t="n">
        <v>64.89357</v>
      </c>
      <c r="O15" t="n">
        <v>61.648891</v>
      </c>
      <c r="P15" t="n">
        <v>103.080807</v>
      </c>
      <c r="Q15" t="n">
        <v>103.080807</v>
      </c>
      <c r="R15" t="n">
        <v>103.080807</v>
      </c>
      <c r="S15" t="n">
        <v>75.183913</v>
      </c>
      <c r="T15" t="n">
        <v>39.4293</v>
      </c>
      <c r="U15" t="n">
        <v>103.080807</v>
      </c>
      <c r="V15" t="n">
        <v>-61424544.799289</v>
      </c>
      <c r="W15" t="n">
        <v>75.183913</v>
      </c>
      <c r="X15" t="n">
        <v>15313753.824445</v>
      </c>
      <c r="Y15" t="n">
        <v>39.4293</v>
      </c>
      <c r="Z15" t="n">
        <v>-1.82371763439683e+19</v>
      </c>
      <c r="AA15" t="n">
        <v>92.408281</v>
      </c>
      <c r="AB15" t="n">
        <v>115.827664</v>
      </c>
      <c r="AC15" t="n">
        <v>27.951635</v>
      </c>
      <c r="AD15" t="n">
        <v>35.160793</v>
      </c>
    </row>
    <row r="16">
      <c r="A16" t="n">
        <v>12</v>
      </c>
      <c r="B16" t="inlineStr">
        <is>
          <t>1 L pisc comm</t>
        </is>
      </c>
      <c r="C16" t="inlineStr">
        <is>
          <t>Regular</t>
        </is>
      </c>
      <c r="D16" t="n">
        <v>3.846894543756985</v>
      </c>
      <c r="E16" t="n">
        <v>0.2</v>
      </c>
      <c r="F16" t="n">
        <v>0.4</v>
      </c>
      <c r="G16" t="n">
        <v>0.0224</v>
      </c>
      <c r="H16" t="n">
        <v>0.00075</v>
      </c>
      <c r="I16" t="n">
        <v>276.665746</v>
      </c>
      <c r="J16" t="n">
        <v>531.197088</v>
      </c>
      <c r="K16" t="n">
        <v>335.955459</v>
      </c>
      <c r="L16" t="n">
        <v>1587.895095</v>
      </c>
      <c r="M16" t="n">
        <v>1266.790291</v>
      </c>
      <c r="N16" t="n">
        <v>1649.31656</v>
      </c>
      <c r="O16" t="n">
        <v>659.726624</v>
      </c>
      <c r="P16" t="n">
        <v>4037.573614</v>
      </c>
      <c r="Q16" t="n">
        <v>4037.573614</v>
      </c>
      <c r="R16" t="n">
        <v>4037.573614</v>
      </c>
      <c r="S16" t="n">
        <v>856.6883759999999</v>
      </c>
      <c r="T16" t="n">
        <v>280.297559</v>
      </c>
      <c r="U16" t="n">
        <v>4037.573614</v>
      </c>
      <c r="V16" t="n">
        <v>5985008853.568567</v>
      </c>
      <c r="W16" t="n">
        <v>856.6883759999999</v>
      </c>
      <c r="X16" t="n">
        <v>17356588.403972</v>
      </c>
      <c r="Y16" t="n">
        <v>280.297559</v>
      </c>
      <c r="Z16" t="n">
        <v>1.689142914926215e+21</v>
      </c>
      <c r="AA16" t="n">
        <v>1242.063561</v>
      </c>
      <c r="AB16" t="n">
        <v>4921.105245</v>
      </c>
      <c r="AC16" t="n">
        <v>88.686408</v>
      </c>
      <c r="AD16" t="n">
        <v>193.163301</v>
      </c>
    </row>
    <row r="17">
      <c r="A17" t="n">
        <v>13</v>
      </c>
      <c r="B17" t="inlineStr">
        <is>
          <t>1 SM inv</t>
        </is>
      </c>
      <c r="C17" t="inlineStr">
        <is>
          <t>Regular</t>
        </is>
      </c>
      <c r="D17" t="n">
        <v>3.082457344013956</v>
      </c>
      <c r="E17" t="n">
        <v>0.25</v>
      </c>
      <c r="F17" t="n">
        <v>0.95</v>
      </c>
      <c r="G17" t="n">
        <v>0.03985</v>
      </c>
      <c r="H17" t="n">
        <v>0.000348</v>
      </c>
      <c r="I17" t="n">
        <v>276.665746</v>
      </c>
      <c r="J17" t="n">
        <v>102.068983</v>
      </c>
      <c r="K17" t="n">
        <v>72.815224</v>
      </c>
      <c r="L17" t="n">
        <v>152.829745</v>
      </c>
      <c r="M17" t="n">
        <v>80.03376900000001</v>
      </c>
      <c r="N17" t="n">
        <v>93.86461199999999</v>
      </c>
      <c r="O17" t="n">
        <v>89.171381</v>
      </c>
      <c r="P17" t="n">
        <v>145.542749</v>
      </c>
      <c r="Q17" t="n">
        <v>145.542749</v>
      </c>
      <c r="R17" t="n">
        <v>145.542749</v>
      </c>
      <c r="S17" t="n">
        <v>117.824554</v>
      </c>
      <c r="T17" t="n">
        <v>64.596397</v>
      </c>
      <c r="U17" t="n">
        <v>145.542749</v>
      </c>
      <c r="V17" t="n">
        <v>41707650.56092</v>
      </c>
      <c r="W17" t="n">
        <v>117.824554</v>
      </c>
      <c r="X17" t="n">
        <v>-126140936.466348</v>
      </c>
      <c r="Y17" t="n">
        <v>64.596397</v>
      </c>
      <c r="Z17" t="n">
        <v>6.8689225347482e+17</v>
      </c>
      <c r="AA17" t="n">
        <v>149.841873</v>
      </c>
      <c r="AB17" t="n">
        <v>158.898852</v>
      </c>
      <c r="AC17" t="n">
        <v>27.279883</v>
      </c>
      <c r="AD17" t="n">
        <v>41.762395</v>
      </c>
    </row>
    <row r="18">
      <c r="A18" t="n">
        <v>14</v>
      </c>
      <c r="B18" t="inlineStr">
        <is>
          <t>1 SM pisc</t>
        </is>
      </c>
      <c r="C18" t="inlineStr">
        <is>
          <t>Regular</t>
        </is>
      </c>
      <c r="D18" t="n">
        <v>3.598063139386938</v>
      </c>
      <c r="E18" t="n">
        <v>0.25</v>
      </c>
      <c r="F18" t="n">
        <v>0.95</v>
      </c>
      <c r="G18" t="n">
        <v>0.028615</v>
      </c>
      <c r="H18" t="n">
        <v>0.000223</v>
      </c>
      <c r="I18" t="n">
        <v>276.665746</v>
      </c>
      <c r="J18" t="n">
        <v>291.462686</v>
      </c>
      <c r="K18" t="n">
        <v>192.593217</v>
      </c>
      <c r="L18" t="n">
        <v>511.543538</v>
      </c>
      <c r="M18" t="n">
        <v>219.255656</v>
      </c>
      <c r="N18" t="n">
        <v>254.923112</v>
      </c>
      <c r="O18" t="n">
        <v>242.176956</v>
      </c>
      <c r="P18" t="n">
        <v>497.956885</v>
      </c>
      <c r="Q18" t="n">
        <v>497.956885</v>
      </c>
      <c r="R18" t="n">
        <v>497.956885</v>
      </c>
      <c r="S18" t="n">
        <v>275.861665</v>
      </c>
      <c r="T18" t="n">
        <v>122.750507</v>
      </c>
      <c r="U18" t="n">
        <v>497.956885</v>
      </c>
      <c r="V18" t="n">
        <v>-211740173.773369</v>
      </c>
      <c r="W18" t="n">
        <v>275.861665</v>
      </c>
      <c r="X18" t="n">
        <v>94419892.91783801</v>
      </c>
      <c r="Y18" t="n">
        <v>122.750507</v>
      </c>
      <c r="Z18" t="n">
        <v>-2.879764782101975e+19</v>
      </c>
      <c r="AA18" t="n">
        <v>372.138202</v>
      </c>
      <c r="AB18" t="n">
        <v>565.56314</v>
      </c>
      <c r="AC18" t="n">
        <v>57.748818</v>
      </c>
      <c r="AD18" t="n">
        <v>95.62195800000001</v>
      </c>
    </row>
    <row r="19">
      <c r="A19" t="n">
        <v>15</v>
      </c>
      <c r="B19" t="inlineStr">
        <is>
          <t>1 Macrobenthos</t>
        </is>
      </c>
      <c r="C19" t="inlineStr">
        <is>
          <t>Regular</t>
        </is>
      </c>
      <c r="D19" t="n">
        <v>2.368421052631579</v>
      </c>
      <c r="E19" t="n">
        <v>0.1500375093773443</v>
      </c>
      <c r="F19" t="n">
        <v>0.8</v>
      </c>
      <c r="G19" t="n">
        <v>0.613683</v>
      </c>
      <c r="H19" t="n">
        <v>3.07e-07</v>
      </c>
      <c r="I19" t="n">
        <v>276.665746</v>
      </c>
      <c r="J19" t="n">
        <v>20.691381</v>
      </c>
      <c r="K19" t="n">
        <v>16.585257</v>
      </c>
      <c r="L19" t="n">
        <v>26.927963</v>
      </c>
      <c r="M19" t="n">
        <v>25.78059</v>
      </c>
      <c r="N19" t="n">
        <v>25.78059</v>
      </c>
      <c r="O19" t="n">
        <v>20.624472</v>
      </c>
      <c r="P19" t="n">
        <v>37.485584</v>
      </c>
      <c r="Q19" t="n">
        <v>37.485584</v>
      </c>
      <c r="R19" t="n">
        <v>37.485584</v>
      </c>
      <c r="S19" t="n">
        <v>37.585301</v>
      </c>
      <c r="T19" t="n">
        <v>27.616381</v>
      </c>
      <c r="U19" t="n">
        <v>37.485584</v>
      </c>
      <c r="V19" t="n">
        <v>37.485584</v>
      </c>
      <c r="W19" t="n">
        <v>37.585301</v>
      </c>
      <c r="X19" t="n">
        <v>6.190624</v>
      </c>
      <c r="Y19" t="n">
        <v>27.616381</v>
      </c>
      <c r="Z19" t="n">
        <v>30.610451</v>
      </c>
      <c r="AA19" t="n">
        <v>46.336027</v>
      </c>
      <c r="AB19" t="n">
        <v>39.841731</v>
      </c>
      <c r="AC19" t="n">
        <v>8.718688</v>
      </c>
      <c r="AD19" t="n">
        <v>11.435253</v>
      </c>
    </row>
    <row r="20">
      <c r="A20" t="n">
        <v>16</v>
      </c>
      <c r="B20" t="inlineStr">
        <is>
          <t>1 Meiobenthos</t>
        </is>
      </c>
      <c r="C20" t="inlineStr">
        <is>
          <t>Regular</t>
        </is>
      </c>
      <c r="D20" t="n">
        <v>2</v>
      </c>
      <c r="E20" t="n">
        <v>0.15</v>
      </c>
      <c r="F20" t="n">
        <v>0.8</v>
      </c>
      <c r="G20" t="n">
        <v>0.230418</v>
      </c>
      <c r="H20" t="n">
        <v>0</v>
      </c>
      <c r="I20" t="n">
        <v>276.665746</v>
      </c>
      <c r="J20" t="n">
        <v>10</v>
      </c>
      <c r="K20" t="n">
        <v>8.452572</v>
      </c>
      <c r="L20" t="n">
        <v>8.452572</v>
      </c>
      <c r="M20" t="n">
        <v>8.333333</v>
      </c>
      <c r="N20" t="n">
        <v>8.333333</v>
      </c>
      <c r="O20" t="n">
        <v>6.666667</v>
      </c>
      <c r="P20" t="n">
        <v>6.62875</v>
      </c>
      <c r="Q20" t="n">
        <v>6.62875</v>
      </c>
      <c r="R20" t="n">
        <v>6.62875</v>
      </c>
      <c r="S20" t="n">
        <v>11.191502</v>
      </c>
      <c r="T20" t="n">
        <v>10.842554</v>
      </c>
      <c r="U20" t="n">
        <v>6.62875</v>
      </c>
      <c r="V20" t="n">
        <v>6.62875</v>
      </c>
      <c r="W20" t="n">
        <v>11.191502</v>
      </c>
      <c r="X20" t="n">
        <v>0.342987</v>
      </c>
      <c r="Y20" t="n">
        <v>10.842554</v>
      </c>
      <c r="Z20" t="n">
        <v>12.170487</v>
      </c>
      <c r="AA20" t="n">
        <v>13.704951</v>
      </c>
      <c r="AB20" t="n">
        <v>6.688862</v>
      </c>
      <c r="AC20" t="n">
        <v>5.18493</v>
      </c>
      <c r="AD20" t="n">
        <v>5.18493</v>
      </c>
    </row>
    <row r="21">
      <c r="A21" t="n">
        <v>17</v>
      </c>
      <c r="B21" t="inlineStr">
        <is>
          <t>1 Zooplankton</t>
        </is>
      </c>
      <c r="C21" t="inlineStr">
        <is>
          <t>Regular</t>
        </is>
      </c>
      <c r="D21" t="n">
        <v>2</v>
      </c>
      <c r="E21" t="n">
        <v>0.2142857142857143</v>
      </c>
      <c r="F21" t="n">
        <v>0.6</v>
      </c>
      <c r="G21" t="n">
        <v>0.8362980000000001</v>
      </c>
      <c r="H21" t="n">
        <v>0</v>
      </c>
      <c r="I21" t="n">
        <v>276.665746</v>
      </c>
      <c r="J21" t="n">
        <v>10</v>
      </c>
      <c r="K21" t="n">
        <v>8.452572</v>
      </c>
      <c r="L21" t="n">
        <v>8.452572</v>
      </c>
      <c r="M21" t="n">
        <v>7.777778</v>
      </c>
      <c r="N21" t="n">
        <v>7.777778</v>
      </c>
      <c r="O21" t="n">
        <v>4.666667</v>
      </c>
      <c r="P21" t="n">
        <v>7.618683</v>
      </c>
      <c r="Q21" t="n">
        <v>7.618683</v>
      </c>
      <c r="R21" t="n">
        <v>7.618683</v>
      </c>
      <c r="S21" t="n">
        <v>4.983405</v>
      </c>
      <c r="T21" t="n">
        <v>4.118979</v>
      </c>
      <c r="U21" t="n">
        <v>7.618683</v>
      </c>
      <c r="V21" t="n">
        <v>7.618683</v>
      </c>
      <c r="W21" t="n">
        <v>4.983405</v>
      </c>
      <c r="X21" t="n">
        <v>4.224009</v>
      </c>
      <c r="Y21" t="n">
        <v>4.118979</v>
      </c>
      <c r="Z21" t="n">
        <v>4.211934</v>
      </c>
      <c r="AA21" t="n">
        <v>5.160645</v>
      </c>
      <c r="AB21" t="n">
        <v>7.623829</v>
      </c>
      <c r="AC21" t="n">
        <v>5.18493</v>
      </c>
      <c r="AD21" t="n">
        <v>5.18493</v>
      </c>
    </row>
    <row r="22">
      <c r="A22" t="n">
        <v>18</v>
      </c>
      <c r="B22" t="inlineStr">
        <is>
          <t>2 L pisc</t>
        </is>
      </c>
      <c r="C22" t="inlineStr">
        <is>
          <t>Regular</t>
        </is>
      </c>
      <c r="D22" t="n">
        <v>4.124277839527067</v>
      </c>
      <c r="E22" t="n">
        <v>0.2</v>
      </c>
      <c r="F22" t="n">
        <v>0.9</v>
      </c>
      <c r="G22" t="n">
        <v>0.150654</v>
      </c>
      <c r="H22" t="n">
        <v>0.062612</v>
      </c>
      <c r="I22" t="n">
        <v>276.665746</v>
      </c>
      <c r="J22" t="n">
        <v>1075.664237</v>
      </c>
      <c r="K22" t="n">
        <v>646.1459139999999</v>
      </c>
      <c r="L22" t="n">
        <v>2936.979379</v>
      </c>
      <c r="M22" t="n">
        <v>886.4577870000001</v>
      </c>
      <c r="N22" t="n">
        <v>1022.397203</v>
      </c>
      <c r="O22" t="n">
        <v>920.157482</v>
      </c>
      <c r="P22" t="n">
        <v>2019.961132</v>
      </c>
      <c r="Q22" t="n">
        <v>2019.961132</v>
      </c>
      <c r="R22" t="n">
        <v>2019.961132</v>
      </c>
      <c r="S22" t="n">
        <v>1179.081266</v>
      </c>
      <c r="T22" t="n">
        <v>368.551417</v>
      </c>
      <c r="U22" t="n">
        <v>2019.961132</v>
      </c>
      <c r="V22" t="n">
        <v>-88402.536041</v>
      </c>
      <c r="W22" t="n">
        <v>1179.081266</v>
      </c>
      <c r="X22" t="n">
        <v>10443972.126589</v>
      </c>
      <c r="Y22" t="n">
        <v>368.551417</v>
      </c>
      <c r="Z22" t="n">
        <v>19527317824.57175</v>
      </c>
      <c r="AA22" t="n">
        <v>1707.800488</v>
      </c>
      <c r="AB22" t="n">
        <v>2489.79096</v>
      </c>
      <c r="AC22" t="n">
        <v>146.848435</v>
      </c>
      <c r="AD22" t="n">
        <v>324.990937</v>
      </c>
    </row>
    <row r="23">
      <c r="A23" t="n">
        <v>19</v>
      </c>
      <c r="B23" t="inlineStr">
        <is>
          <t>2 Carangids</t>
        </is>
      </c>
      <c r="C23" t="inlineStr">
        <is>
          <t>Regular</t>
        </is>
      </c>
      <c r="D23" t="n">
        <v>4.004167820379394</v>
      </c>
      <c r="E23" t="n">
        <v>0.2</v>
      </c>
      <c r="F23" t="n">
        <v>0.92</v>
      </c>
      <c r="G23" t="n">
        <v>0.17</v>
      </c>
      <c r="H23" t="n">
        <v>0.020911</v>
      </c>
      <c r="I23" t="n">
        <v>276.665746</v>
      </c>
      <c r="J23" t="n">
        <v>777.446922</v>
      </c>
      <c r="K23" t="n">
        <v>478.211071</v>
      </c>
      <c r="L23" t="n">
        <v>1912.817433</v>
      </c>
      <c r="M23" t="n">
        <v>651.079205</v>
      </c>
      <c r="N23" t="n">
        <v>799.9732289999999</v>
      </c>
      <c r="O23" t="n">
        <v>735.975371</v>
      </c>
      <c r="P23" t="n">
        <v>1530.416537</v>
      </c>
      <c r="Q23" t="n">
        <v>1530.416537</v>
      </c>
      <c r="R23" t="n">
        <v>1530.416537</v>
      </c>
      <c r="S23" t="n">
        <v>948.979481</v>
      </c>
      <c r="T23" t="n">
        <v>318.053494</v>
      </c>
      <c r="U23" t="n">
        <v>1530.416537</v>
      </c>
      <c r="V23" t="n">
        <v>5870110.819866</v>
      </c>
      <c r="W23" t="n">
        <v>948.979481</v>
      </c>
      <c r="X23" t="n">
        <v>50755807.615683</v>
      </c>
      <c r="Y23" t="n">
        <v>318.053494</v>
      </c>
      <c r="Z23" t="n">
        <v>1192918073.050792</v>
      </c>
      <c r="AA23" t="n">
        <v>1391.082936</v>
      </c>
      <c r="AB23" t="n">
        <v>1831.5507</v>
      </c>
      <c r="AC23" t="n">
        <v>116.435739</v>
      </c>
      <c r="AD23" t="n">
        <v>252.815078</v>
      </c>
    </row>
    <row r="24">
      <c r="A24" t="n">
        <v>20</v>
      </c>
      <c r="B24" t="inlineStr">
        <is>
          <t>2 S pelagics</t>
        </is>
      </c>
      <c r="C24" t="inlineStr">
        <is>
          <t>Regular</t>
        </is>
      </c>
      <c r="D24" t="n">
        <v>3.129969362591789</v>
      </c>
      <c r="E24" t="n">
        <v>0.25</v>
      </c>
      <c r="F24" t="n">
        <v>0.95</v>
      </c>
      <c r="G24" t="n">
        <v>0.263364</v>
      </c>
      <c r="H24" t="n">
        <v>0.108124</v>
      </c>
      <c r="I24" t="n">
        <v>276.665746</v>
      </c>
      <c r="J24" t="n">
        <v>118.368178</v>
      </c>
      <c r="K24" t="n">
        <v>83.534475</v>
      </c>
      <c r="L24" t="n">
        <v>162.296829</v>
      </c>
      <c r="M24" t="n">
        <v>98.05336200000001</v>
      </c>
      <c r="N24" t="n">
        <v>121.570587</v>
      </c>
      <c r="O24" t="n">
        <v>115.492058</v>
      </c>
      <c r="P24" t="n">
        <v>166.791997</v>
      </c>
      <c r="Q24" t="n">
        <v>166.791997</v>
      </c>
      <c r="R24" t="n">
        <v>166.791997</v>
      </c>
      <c r="S24" t="n">
        <v>100.040384</v>
      </c>
      <c r="T24" t="n">
        <v>47.474533</v>
      </c>
      <c r="U24" t="n">
        <v>166.791997</v>
      </c>
      <c r="V24" t="n">
        <v>-114113.199891</v>
      </c>
      <c r="W24" t="n">
        <v>100.040384</v>
      </c>
      <c r="X24" t="n">
        <v>764423.98875</v>
      </c>
      <c r="Y24" t="n">
        <v>47.474533</v>
      </c>
      <c r="Z24" t="n">
        <v>-17110482.894933</v>
      </c>
      <c r="AA24" t="n">
        <v>132.262992</v>
      </c>
      <c r="AB24" t="n">
        <v>184.729743</v>
      </c>
      <c r="AC24" t="n">
        <v>30.327032</v>
      </c>
      <c r="AD24" t="n">
        <v>42.199818</v>
      </c>
    </row>
    <row r="25">
      <c r="A25" t="n">
        <v>21</v>
      </c>
      <c r="B25" t="inlineStr">
        <is>
          <t>2 L pisc comm</t>
        </is>
      </c>
      <c r="C25" t="inlineStr">
        <is>
          <t>Regular</t>
        </is>
      </c>
      <c r="D25" t="n">
        <v>3.910992015654968</v>
      </c>
      <c r="E25" t="n">
        <v>0.2</v>
      </c>
      <c r="F25" t="n">
        <v>0.919</v>
      </c>
      <c r="G25" t="n">
        <v>0.15028</v>
      </c>
      <c r="H25" t="n">
        <v>0.076742</v>
      </c>
      <c r="I25" t="n">
        <v>276.665746</v>
      </c>
      <c r="J25" t="n">
        <v>637.453503</v>
      </c>
      <c r="K25" t="n">
        <v>397.825459</v>
      </c>
      <c r="L25" t="n">
        <v>1649.74178</v>
      </c>
      <c r="M25" t="n">
        <v>624.534662</v>
      </c>
      <c r="N25" t="n">
        <v>770.901739</v>
      </c>
      <c r="O25" t="n">
        <v>708.458698</v>
      </c>
      <c r="P25" t="n">
        <v>1344.179493</v>
      </c>
      <c r="Q25" t="n">
        <v>1344.179493</v>
      </c>
      <c r="R25" t="n">
        <v>1344.179493</v>
      </c>
      <c r="S25" t="n">
        <v>799.397123</v>
      </c>
      <c r="T25" t="n">
        <v>285.288528</v>
      </c>
      <c r="U25" t="n">
        <v>1344.179493</v>
      </c>
      <c r="V25" t="n">
        <v>-3291849.483313</v>
      </c>
      <c r="W25" t="n">
        <v>799.397123</v>
      </c>
      <c r="X25" t="n">
        <v>38813907.713649</v>
      </c>
      <c r="Y25" t="n">
        <v>285.288528</v>
      </c>
      <c r="Z25" t="n">
        <v>-1525972691.215518</v>
      </c>
      <c r="AA25" t="n">
        <v>1129.352639</v>
      </c>
      <c r="AB25" t="n">
        <v>1565.693449</v>
      </c>
      <c r="AC25" t="n">
        <v>101.032145</v>
      </c>
      <c r="AD25" t="n">
        <v>217.502038</v>
      </c>
    </row>
    <row r="26">
      <c r="A26" t="n">
        <v>22</v>
      </c>
      <c r="B26" t="inlineStr">
        <is>
          <t>2 Milkfish plus</t>
        </is>
      </c>
      <c r="C26" t="inlineStr">
        <is>
          <t>Regular</t>
        </is>
      </c>
      <c r="D26" t="n">
        <v>3.505108513298227</v>
      </c>
      <c r="E26" t="n">
        <v>0.2</v>
      </c>
      <c r="F26" t="n">
        <v>0.95</v>
      </c>
      <c r="G26" t="n">
        <v>0.139536</v>
      </c>
      <c r="H26" t="n">
        <v>0.015004</v>
      </c>
      <c r="I26" t="n">
        <v>276.665746</v>
      </c>
      <c r="J26" t="n">
        <v>266.396414</v>
      </c>
      <c r="K26" t="n">
        <v>177.189434</v>
      </c>
      <c r="L26" t="n">
        <v>539.415703</v>
      </c>
      <c r="M26" t="n">
        <v>238.927369</v>
      </c>
      <c r="N26" t="n">
        <v>353.538735</v>
      </c>
      <c r="O26" t="n">
        <v>335.861798</v>
      </c>
      <c r="P26" t="n">
        <v>530.1973369999999</v>
      </c>
      <c r="Q26" t="n">
        <v>530.1973369999999</v>
      </c>
      <c r="R26" t="n">
        <v>530.1973369999999</v>
      </c>
      <c r="S26" t="n">
        <v>377.861731</v>
      </c>
      <c r="T26" t="n">
        <v>161.842694</v>
      </c>
      <c r="U26" t="n">
        <v>530.1973369999999</v>
      </c>
      <c r="V26" t="n">
        <v>367322.160777</v>
      </c>
      <c r="W26" t="n">
        <v>377.861731</v>
      </c>
      <c r="X26" t="n">
        <v>3606432.530034</v>
      </c>
      <c r="Y26" t="n">
        <v>161.842694</v>
      </c>
      <c r="Z26" t="n">
        <v>-90441751.702225</v>
      </c>
      <c r="AA26" t="n">
        <v>514.874613</v>
      </c>
      <c r="AB26" t="n">
        <v>619.0150630000001</v>
      </c>
      <c r="AC26" t="n">
        <v>54.153821</v>
      </c>
      <c r="AD26" t="n">
        <v>94.18468300000001</v>
      </c>
    </row>
    <row r="27">
      <c r="A27" t="n">
        <v>23</v>
      </c>
      <c r="B27" t="inlineStr">
        <is>
          <t>2 SM inv</t>
        </is>
      </c>
      <c r="C27" t="inlineStr">
        <is>
          <t>Regular</t>
        </is>
      </c>
      <c r="D27" t="n">
        <v>3.110183260661583</v>
      </c>
      <c r="E27" t="n">
        <v>0.25</v>
      </c>
      <c r="F27" t="n">
        <v>0.95</v>
      </c>
      <c r="G27" t="n">
        <v>0.4123180000000001</v>
      </c>
      <c r="H27" t="n">
        <v>0.092747</v>
      </c>
      <c r="I27" t="n">
        <v>276.665746</v>
      </c>
      <c r="J27" t="n">
        <v>113.328048</v>
      </c>
      <c r="K27" t="n">
        <v>80.232056</v>
      </c>
      <c r="L27" t="n">
        <v>188.754396</v>
      </c>
      <c r="M27" t="n">
        <v>114.753991</v>
      </c>
      <c r="N27" t="n">
        <v>133.457515</v>
      </c>
      <c r="O27" t="n">
        <v>126.784639</v>
      </c>
      <c r="P27" t="n">
        <v>168.980247</v>
      </c>
      <c r="Q27" t="n">
        <v>168.980247</v>
      </c>
      <c r="R27" t="n">
        <v>168.980247</v>
      </c>
      <c r="S27" t="n">
        <v>122.478454</v>
      </c>
      <c r="T27" t="n">
        <v>66.77695300000001</v>
      </c>
      <c r="U27" t="n">
        <v>168.980247</v>
      </c>
      <c r="V27" t="n">
        <v>18698.20262</v>
      </c>
      <c r="W27" t="n">
        <v>122.478454</v>
      </c>
      <c r="X27" t="n">
        <v>562998.422447</v>
      </c>
      <c r="Y27" t="n">
        <v>66.77695300000001</v>
      </c>
      <c r="Z27" t="n">
        <v>-942478.6755679999</v>
      </c>
      <c r="AA27" t="n">
        <v>152.860211</v>
      </c>
      <c r="AB27" t="n">
        <v>181.490363</v>
      </c>
      <c r="AC27" t="n">
        <v>29.398354</v>
      </c>
      <c r="AD27" t="n">
        <v>48.680142</v>
      </c>
    </row>
    <row r="28">
      <c r="A28" t="n">
        <v>24</v>
      </c>
      <c r="B28" t="inlineStr">
        <is>
          <t>2 SM pisc</t>
        </is>
      </c>
      <c r="C28" t="inlineStr">
        <is>
          <t>Regular</t>
        </is>
      </c>
      <c r="D28" t="n">
        <v>3.68052780739123</v>
      </c>
      <c r="E28" t="n">
        <v>0.25</v>
      </c>
      <c r="F28" t="n">
        <v>0.95</v>
      </c>
      <c r="G28" t="n">
        <v>0.298962</v>
      </c>
      <c r="H28" t="n">
        <v>0.031961</v>
      </c>
      <c r="I28" t="n">
        <v>276.665746</v>
      </c>
      <c r="J28" t="n">
        <v>364.084182</v>
      </c>
      <c r="K28" t="n">
        <v>236.703994</v>
      </c>
      <c r="L28" t="n">
        <v>528.091983</v>
      </c>
      <c r="M28" t="n">
        <v>247.315594</v>
      </c>
      <c r="N28" t="n">
        <v>301.274136</v>
      </c>
      <c r="O28" t="n">
        <v>286.210429</v>
      </c>
      <c r="P28" t="n">
        <v>496.650551</v>
      </c>
      <c r="Q28" t="n">
        <v>496.650551</v>
      </c>
      <c r="R28" t="n">
        <v>496.650551</v>
      </c>
      <c r="S28" t="n">
        <v>329.687121</v>
      </c>
      <c r="T28" t="n">
        <v>144.07796</v>
      </c>
      <c r="U28" t="n">
        <v>496.650551</v>
      </c>
      <c r="V28" t="n">
        <v>34812.114833</v>
      </c>
      <c r="W28" t="n">
        <v>329.687121</v>
      </c>
      <c r="X28" t="n">
        <v>2187850.593814</v>
      </c>
      <c r="Y28" t="n">
        <v>144.07796</v>
      </c>
      <c r="Z28" t="n">
        <v>-55285235.846074</v>
      </c>
      <c r="AA28" t="n">
        <v>440.907174</v>
      </c>
      <c r="AB28" t="n">
        <v>553.674536</v>
      </c>
      <c r="AC28" t="n">
        <v>67.70188</v>
      </c>
      <c r="AD28" t="n">
        <v>104.439595</v>
      </c>
    </row>
    <row r="29">
      <c r="A29" t="n">
        <v>25</v>
      </c>
      <c r="B29" t="inlineStr">
        <is>
          <t>2 Crustaceans</t>
        </is>
      </c>
      <c r="C29" t="inlineStr">
        <is>
          <t>Regular</t>
        </is>
      </c>
      <c r="D29" t="n">
        <v>2.619806310527961</v>
      </c>
      <c r="E29" t="n">
        <v>0.15</v>
      </c>
      <c r="F29" t="n">
        <v>0.892</v>
      </c>
      <c r="G29" t="n">
        <v>0.8160000000000001</v>
      </c>
      <c r="H29" t="n">
        <v>0.077156</v>
      </c>
      <c r="I29" t="n">
        <v>276.665746</v>
      </c>
      <c r="J29" t="n">
        <v>40.593425</v>
      </c>
      <c r="K29" t="n">
        <v>30.975657</v>
      </c>
      <c r="L29" t="n">
        <v>51.837892</v>
      </c>
      <c r="M29" t="n">
        <v>55.36298</v>
      </c>
      <c r="N29" t="n">
        <v>55.36298</v>
      </c>
      <c r="O29" t="n">
        <v>49.383778</v>
      </c>
      <c r="P29" t="n">
        <v>54.880301</v>
      </c>
      <c r="Q29" t="n">
        <v>54.880301</v>
      </c>
      <c r="R29" t="n">
        <v>54.880301</v>
      </c>
      <c r="S29" t="n">
        <v>51.113548</v>
      </c>
      <c r="T29" t="n">
        <v>37.961019</v>
      </c>
      <c r="U29" t="n">
        <v>54.880301</v>
      </c>
      <c r="V29" t="n">
        <v>54.880301</v>
      </c>
      <c r="W29" t="n">
        <v>51.113548</v>
      </c>
      <c r="X29" t="n">
        <v>7.17519</v>
      </c>
      <c r="Y29" t="n">
        <v>37.961019</v>
      </c>
      <c r="Z29" t="n">
        <v>42.182577</v>
      </c>
      <c r="AA29" t="n">
        <v>60.266976</v>
      </c>
      <c r="AB29" t="n">
        <v>55.592736</v>
      </c>
      <c r="AC29" t="n">
        <v>14.113419</v>
      </c>
      <c r="AD29" t="n">
        <v>19.25304</v>
      </c>
    </row>
    <row r="30">
      <c r="A30" t="n">
        <v>26</v>
      </c>
      <c r="B30" t="inlineStr">
        <is>
          <t>2 Macrobenthos</t>
        </is>
      </c>
      <c r="C30" t="inlineStr">
        <is>
          <t>Regular</t>
        </is>
      </c>
      <c r="D30" t="n">
        <v>2.340206185567011</v>
      </c>
      <c r="E30" t="n">
        <v>0.1499700059988002</v>
      </c>
      <c r="F30" t="n">
        <v>0.847</v>
      </c>
      <c r="G30" t="n">
        <v>2.484</v>
      </c>
      <c r="H30" t="n">
        <v>0.016081</v>
      </c>
      <c r="I30" t="n">
        <v>276.665746</v>
      </c>
      <c r="J30" t="n">
        <v>20.383481</v>
      </c>
      <c r="K30" t="n">
        <v>16.356353</v>
      </c>
      <c r="L30" t="n">
        <v>27.097015</v>
      </c>
      <c r="M30" t="n">
        <v>31.212242</v>
      </c>
      <c r="N30" t="n">
        <v>31.212242</v>
      </c>
      <c r="O30" t="n">
        <v>26.436769</v>
      </c>
      <c r="P30" t="n">
        <v>35.9086</v>
      </c>
      <c r="Q30" t="n">
        <v>35.9086</v>
      </c>
      <c r="R30" t="n">
        <v>35.9086</v>
      </c>
      <c r="S30" t="n">
        <v>31.507374</v>
      </c>
      <c r="T30" t="n">
        <v>24.250517</v>
      </c>
      <c r="U30" t="n">
        <v>35.9086</v>
      </c>
      <c r="V30" t="n">
        <v>35.9086</v>
      </c>
      <c r="W30" t="n">
        <v>31.507374</v>
      </c>
      <c r="X30" t="n">
        <v>5.328787</v>
      </c>
      <c r="Y30" t="n">
        <v>24.250517</v>
      </c>
      <c r="Z30" t="n">
        <v>26.865902</v>
      </c>
      <c r="AA30" t="n">
        <v>37.309308</v>
      </c>
      <c r="AB30" t="n">
        <v>36.129645</v>
      </c>
      <c r="AC30" t="n">
        <v>8.62576</v>
      </c>
      <c r="AD30" t="n">
        <v>11.538952</v>
      </c>
    </row>
    <row r="31">
      <c r="A31" t="n">
        <v>27</v>
      </c>
      <c r="B31" t="inlineStr">
        <is>
          <t>2 Meiobenthos</t>
        </is>
      </c>
      <c r="C31" t="inlineStr">
        <is>
          <t>Regular</t>
        </is>
      </c>
      <c r="D31" t="n">
        <v>2</v>
      </c>
      <c r="E31" t="n">
        <v>0.15</v>
      </c>
      <c r="F31" t="n">
        <v>0.8159999999999999</v>
      </c>
      <c r="G31" t="n">
        <v>2.07</v>
      </c>
      <c r="H31" t="n">
        <v>0</v>
      </c>
      <c r="I31" t="n">
        <v>276.665746</v>
      </c>
      <c r="J31" t="n">
        <v>10</v>
      </c>
      <c r="K31" t="n">
        <v>8.452572</v>
      </c>
      <c r="L31" t="n">
        <v>8.452572</v>
      </c>
      <c r="M31" t="n">
        <v>8.169935000000001</v>
      </c>
      <c r="N31" t="n">
        <v>8.169935000000001</v>
      </c>
      <c r="O31" t="n">
        <v>6.666667</v>
      </c>
      <c r="P31" t="n">
        <v>6.498774</v>
      </c>
      <c r="Q31" t="n">
        <v>6.498774</v>
      </c>
      <c r="R31" t="n">
        <v>6.498774</v>
      </c>
      <c r="S31" t="n">
        <v>11.191502</v>
      </c>
      <c r="T31" t="n">
        <v>10.842554</v>
      </c>
      <c r="U31" t="n">
        <v>6.498774</v>
      </c>
      <c r="V31" t="n">
        <v>6.498774</v>
      </c>
      <c r="W31" t="n">
        <v>11.191502</v>
      </c>
      <c r="X31" t="n">
        <v>0.342987</v>
      </c>
      <c r="Y31" t="n">
        <v>10.842554</v>
      </c>
      <c r="Z31" t="n">
        <v>12.170487</v>
      </c>
      <c r="AA31" t="n">
        <v>13.496124</v>
      </c>
      <c r="AB31" t="n">
        <v>6.553054</v>
      </c>
      <c r="AC31" t="n">
        <v>5.18493</v>
      </c>
      <c r="AD31" t="n">
        <v>5.18493</v>
      </c>
    </row>
    <row r="32">
      <c r="A32" t="n">
        <v>28</v>
      </c>
      <c r="B32" t="inlineStr">
        <is>
          <t>2 Zooplankton</t>
        </is>
      </c>
      <c r="C32" t="inlineStr">
        <is>
          <t>Regular</t>
        </is>
      </c>
      <c r="D32" t="n">
        <v>2</v>
      </c>
      <c r="E32" t="n">
        <v>0.2142857142857143</v>
      </c>
      <c r="F32" t="n">
        <v>0.281</v>
      </c>
      <c r="G32" t="n">
        <v>2.277</v>
      </c>
      <c r="H32" t="n">
        <v>0</v>
      </c>
      <c r="I32" t="n">
        <v>276.665746</v>
      </c>
      <c r="J32" t="n">
        <v>10</v>
      </c>
      <c r="K32" t="n">
        <v>8.452572</v>
      </c>
      <c r="L32" t="n">
        <v>8.452572</v>
      </c>
      <c r="M32" t="n">
        <v>16.607355</v>
      </c>
      <c r="N32" t="n">
        <v>16.607355</v>
      </c>
      <c r="O32" t="n">
        <v>4.666667</v>
      </c>
      <c r="P32" t="n">
        <v>16.267651</v>
      </c>
      <c r="Q32" t="n">
        <v>16.267651</v>
      </c>
      <c r="R32" t="n">
        <v>16.267651</v>
      </c>
      <c r="S32" t="n">
        <v>4.983405</v>
      </c>
      <c r="T32" t="n">
        <v>4.118979</v>
      </c>
      <c r="U32" t="n">
        <v>16.267651</v>
      </c>
      <c r="V32" t="n">
        <v>16.267651</v>
      </c>
      <c r="W32" t="n">
        <v>4.983405</v>
      </c>
      <c r="X32" t="n">
        <v>4.224009</v>
      </c>
      <c r="Y32" t="n">
        <v>4.118979</v>
      </c>
      <c r="Z32" t="n">
        <v>4.211934</v>
      </c>
      <c r="AA32" t="n">
        <v>5.248075</v>
      </c>
      <c r="AB32" t="n">
        <v>16.087021</v>
      </c>
      <c r="AC32" t="n">
        <v>5.18493</v>
      </c>
      <c r="AD32" t="n">
        <v>5.18493</v>
      </c>
    </row>
    <row r="33">
      <c r="A33" t="n">
        <v>29</v>
      </c>
      <c r="B33" t="inlineStr">
        <is>
          <t>2-3 Hilsa</t>
        </is>
      </c>
      <c r="C33" t="inlineStr">
        <is>
          <t>Regular</t>
        </is>
      </c>
      <c r="D33" t="n">
        <v>2.297370262973703</v>
      </c>
      <c r="E33" t="n">
        <v>0.25</v>
      </c>
      <c r="F33" t="n">
        <v>0.9350000000000001</v>
      </c>
      <c r="G33" t="n">
        <v>0.3504</v>
      </c>
      <c r="H33" t="n">
        <v>0.03662</v>
      </c>
      <c r="I33" t="n">
        <v>276.665746</v>
      </c>
      <c r="J33" t="n">
        <v>19.832171</v>
      </c>
      <c r="K33" t="n">
        <v>15.945855</v>
      </c>
      <c r="L33" t="n">
        <v>27.184936</v>
      </c>
      <c r="M33" t="n">
        <v>23.959577</v>
      </c>
      <c r="N33" t="n">
        <v>23.959577</v>
      </c>
      <c r="O33" t="n">
        <v>22.402205</v>
      </c>
      <c r="P33" t="n">
        <v>23.5341</v>
      </c>
      <c r="Q33" t="n">
        <v>23.5341</v>
      </c>
      <c r="R33" t="n">
        <v>23.5341</v>
      </c>
      <c r="S33" t="n">
        <v>8.732358</v>
      </c>
      <c r="T33" t="n">
        <v>6.162297</v>
      </c>
      <c r="U33" t="n">
        <v>23.5341</v>
      </c>
      <c r="V33" t="n">
        <v>27.800673</v>
      </c>
      <c r="W33" t="n">
        <v>8.732358</v>
      </c>
      <c r="X33" t="n">
        <v>8.694547999999999</v>
      </c>
      <c r="Y33" t="n">
        <v>6.162297</v>
      </c>
      <c r="Z33" t="n">
        <v>6.925038</v>
      </c>
      <c r="AA33" t="n">
        <v>9.202946000000001</v>
      </c>
      <c r="AB33" t="n">
        <v>23.246832</v>
      </c>
      <c r="AC33" t="n">
        <v>8.458360000000001</v>
      </c>
      <c r="AD33" t="n">
        <v>11.637438</v>
      </c>
    </row>
    <row r="34">
      <c r="A34" t="n">
        <v>30</v>
      </c>
      <c r="B34" t="inlineStr">
        <is>
          <t>2-3 Indian mackerel</t>
        </is>
      </c>
      <c r="C34" t="inlineStr">
        <is>
          <t>Regular</t>
        </is>
      </c>
      <c r="D34" t="n">
        <v>3.166387252038477</v>
      </c>
      <c r="E34" t="n">
        <v>0.2</v>
      </c>
      <c r="F34" t="n">
        <v>0.9340000000000001</v>
      </c>
      <c r="G34" t="n">
        <v>0.2774</v>
      </c>
      <c r="H34" t="n">
        <v>0.04793</v>
      </c>
      <c r="I34" t="n">
        <v>276.665746</v>
      </c>
      <c r="J34" t="n">
        <v>120.78179</v>
      </c>
      <c r="K34" t="n">
        <v>85.112274</v>
      </c>
      <c r="L34" t="n">
        <v>192.146529</v>
      </c>
      <c r="M34" t="n">
        <v>101.39556</v>
      </c>
      <c r="N34" t="n">
        <v>103.551538</v>
      </c>
      <c r="O34" t="n">
        <v>96.717136</v>
      </c>
      <c r="P34" t="n">
        <v>293.317418</v>
      </c>
      <c r="Q34" t="n">
        <v>293.317418</v>
      </c>
      <c r="R34" t="n">
        <v>293.317418</v>
      </c>
      <c r="S34" t="n">
        <v>271.728732</v>
      </c>
      <c r="T34" t="n">
        <v>111.244059</v>
      </c>
      <c r="U34" t="n">
        <v>293.317418</v>
      </c>
      <c r="V34" t="n">
        <v>263.487421</v>
      </c>
      <c r="W34" t="n">
        <v>271.728732</v>
      </c>
      <c r="X34" t="n">
        <v>60.624655</v>
      </c>
      <c r="Y34" t="n">
        <v>111.244059</v>
      </c>
      <c r="Z34" t="n">
        <v>132.607488</v>
      </c>
      <c r="AA34" t="n">
        <v>466.304362</v>
      </c>
      <c r="AB34" t="n">
        <v>427.286877</v>
      </c>
      <c r="AC34" t="n">
        <v>30.767747</v>
      </c>
      <c r="AD34" t="n">
        <v>48.426923</v>
      </c>
    </row>
    <row r="35">
      <c r="A35" t="n">
        <v>31</v>
      </c>
      <c r="B35" t="inlineStr">
        <is>
          <t>3 L pisc</t>
        </is>
      </c>
      <c r="C35" t="inlineStr">
        <is>
          <t>Regular</t>
        </is>
      </c>
      <c r="D35" t="n">
        <v>4.497003188381623</v>
      </c>
      <c r="E35" t="n">
        <v>0.2</v>
      </c>
      <c r="F35" t="n">
        <v>0.9</v>
      </c>
      <c r="G35" t="n">
        <v>0.184482</v>
      </c>
      <c r="H35" t="n">
        <v>0.029437</v>
      </c>
      <c r="I35" t="n">
        <v>276.665746</v>
      </c>
      <c r="J35" t="n">
        <v>2158.342083</v>
      </c>
      <c r="K35" t="n">
        <v>1232.231785</v>
      </c>
      <c r="L35" t="n">
        <v>5451.424139</v>
      </c>
      <c r="M35" t="n">
        <v>1099.737997</v>
      </c>
      <c r="N35" t="n">
        <v>1327.406979</v>
      </c>
      <c r="O35" t="n">
        <v>1194.666281</v>
      </c>
      <c r="P35" t="n">
        <v>4785.394283</v>
      </c>
      <c r="Q35" t="n">
        <v>4785.394283</v>
      </c>
      <c r="R35" t="n">
        <v>4785.394283</v>
      </c>
      <c r="S35" t="n">
        <v>3648.989142</v>
      </c>
      <c r="T35" t="n">
        <v>937.8754290000001</v>
      </c>
      <c r="U35" t="n">
        <v>4785.394283</v>
      </c>
      <c r="V35" t="n">
        <v>181793.839319</v>
      </c>
      <c r="W35" t="n">
        <v>3648.989142</v>
      </c>
      <c r="X35" t="n">
        <v>-3765.836089</v>
      </c>
      <c r="Y35" t="n">
        <v>937.8754290000001</v>
      </c>
      <c r="Z35" t="n">
        <v>1384101.433382</v>
      </c>
      <c r="AA35" t="n">
        <v>6025.795284</v>
      </c>
      <c r="AB35" t="n">
        <v>6521.240852</v>
      </c>
      <c r="AC35" t="n">
        <v>241.567604</v>
      </c>
      <c r="AD35" t="n">
        <v>540.768502</v>
      </c>
    </row>
    <row r="36">
      <c r="A36" t="n">
        <v>32</v>
      </c>
      <c r="B36" t="inlineStr">
        <is>
          <t>3 Carangids</t>
        </is>
      </c>
      <c r="C36" t="inlineStr">
        <is>
          <t>Regular</t>
        </is>
      </c>
      <c r="D36" t="n">
        <v>4.243210922747678</v>
      </c>
      <c r="E36" t="n">
        <v>0.2</v>
      </c>
      <c r="F36" t="n">
        <v>0.983</v>
      </c>
      <c r="G36" t="n">
        <v>0.3885</v>
      </c>
      <c r="H36" t="n">
        <v>0.031914</v>
      </c>
      <c r="I36" t="n">
        <v>276.665746</v>
      </c>
      <c r="J36" t="n">
        <v>1165.755227</v>
      </c>
      <c r="K36" t="n">
        <v>696.162969</v>
      </c>
      <c r="L36" t="n">
        <v>2381.019566</v>
      </c>
      <c r="M36" t="n">
        <v>636.774095</v>
      </c>
      <c r="N36" t="n">
        <v>735.2062989999999</v>
      </c>
      <c r="O36" t="n">
        <v>722.707792</v>
      </c>
      <c r="P36" t="n">
        <v>2436.377591</v>
      </c>
      <c r="Q36" t="n">
        <v>2436.377591</v>
      </c>
      <c r="R36" t="n">
        <v>2436.377591</v>
      </c>
      <c r="S36" t="n">
        <v>2049.912055</v>
      </c>
      <c r="T36" t="n">
        <v>591.071828</v>
      </c>
      <c r="U36" t="n">
        <v>2436.377591</v>
      </c>
      <c r="V36" t="n">
        <v>-6025.579497</v>
      </c>
      <c r="W36" t="n">
        <v>2049.912055</v>
      </c>
      <c r="X36" t="n">
        <v>-1437.85485</v>
      </c>
      <c r="Y36" t="n">
        <v>591.071828</v>
      </c>
      <c r="Z36" t="n">
        <v>18134.055342</v>
      </c>
      <c r="AA36" t="n">
        <v>3415.61684</v>
      </c>
      <c r="AB36" t="n">
        <v>3353.957227</v>
      </c>
      <c r="AC36" t="n">
        <v>155.537728</v>
      </c>
      <c r="AD36" t="n">
        <v>312.248666</v>
      </c>
    </row>
    <row r="37">
      <c r="A37" t="n">
        <v>33</v>
      </c>
      <c r="B37" t="inlineStr">
        <is>
          <t>3 S pelagics</t>
        </is>
      </c>
      <c r="C37" t="inlineStr">
        <is>
          <t>Regular</t>
        </is>
      </c>
      <c r="D37" t="n">
        <v>3.263860428527981</v>
      </c>
      <c r="E37" t="n">
        <v>0.25</v>
      </c>
      <c r="F37" t="n">
        <v>0.925</v>
      </c>
      <c r="G37" t="n">
        <v>0.6215999999999999</v>
      </c>
      <c r="H37" t="n">
        <v>0.046784</v>
      </c>
      <c r="I37" t="n">
        <v>276.665746</v>
      </c>
      <c r="J37" t="n">
        <v>149.320986</v>
      </c>
      <c r="K37" t="n">
        <v>103.606223</v>
      </c>
      <c r="L37" t="n">
        <v>205.641528</v>
      </c>
      <c r="M37" t="n">
        <v>73.623074</v>
      </c>
      <c r="N37" t="n">
        <v>99.127819</v>
      </c>
      <c r="O37" t="n">
        <v>91.69323199999999</v>
      </c>
      <c r="P37" t="n">
        <v>262.607443</v>
      </c>
      <c r="Q37" t="n">
        <v>262.607443</v>
      </c>
      <c r="R37" t="n">
        <v>262.607443</v>
      </c>
      <c r="S37" t="n">
        <v>246.41745</v>
      </c>
      <c r="T37" t="n">
        <v>94.011567</v>
      </c>
      <c r="U37" t="n">
        <v>262.607443</v>
      </c>
      <c r="V37" t="n">
        <v>13.537481</v>
      </c>
      <c r="W37" t="n">
        <v>246.41745</v>
      </c>
      <c r="X37" t="n">
        <v>14.105444</v>
      </c>
      <c r="Y37" t="n">
        <v>94.011567</v>
      </c>
      <c r="Z37" t="n">
        <v>224.604192</v>
      </c>
      <c r="AA37" t="n">
        <v>365.927259</v>
      </c>
      <c r="AB37" t="n">
        <v>347.750574</v>
      </c>
      <c r="AC37" t="n">
        <v>35.80448</v>
      </c>
      <c r="AD37" t="n">
        <v>51.08046</v>
      </c>
    </row>
    <row r="38">
      <c r="A38" t="n">
        <v>34</v>
      </c>
      <c r="B38" t="inlineStr">
        <is>
          <t>3 L pisc comm</t>
        </is>
      </c>
      <c r="C38" t="inlineStr">
        <is>
          <t>Regular</t>
        </is>
      </c>
      <c r="D38" t="n">
        <v>4.301111681085923</v>
      </c>
      <c r="E38" t="n">
        <v>0.2</v>
      </c>
      <c r="F38" t="n">
        <v>0.9</v>
      </c>
      <c r="G38" t="n">
        <v>0.163392</v>
      </c>
      <c r="H38" t="n">
        <v>0.042999</v>
      </c>
      <c r="I38" t="n">
        <v>276.665746</v>
      </c>
      <c r="J38" t="n">
        <v>1222.123216</v>
      </c>
      <c r="K38" t="n">
        <v>727.312843</v>
      </c>
      <c r="L38" t="n">
        <v>2580.026511</v>
      </c>
      <c r="M38" t="n">
        <v>655.143924</v>
      </c>
      <c r="N38" t="n">
        <v>845.496719</v>
      </c>
      <c r="O38" t="n">
        <v>760.947047</v>
      </c>
      <c r="P38" t="n">
        <v>2913.858603</v>
      </c>
      <c r="Q38" t="n">
        <v>2913.858603</v>
      </c>
      <c r="R38" t="n">
        <v>2913.858603</v>
      </c>
      <c r="S38" t="n">
        <v>2330.867283</v>
      </c>
      <c r="T38" t="n">
        <v>667.381819</v>
      </c>
      <c r="U38" t="n">
        <v>2913.858603</v>
      </c>
      <c r="V38" t="n">
        <v>-9900.979079999999</v>
      </c>
      <c r="W38" t="n">
        <v>2330.867283</v>
      </c>
      <c r="X38" t="n">
        <v>3873.346245</v>
      </c>
      <c r="Y38" t="n">
        <v>667.381819</v>
      </c>
      <c r="Z38" t="n">
        <v>-206712.767276</v>
      </c>
      <c r="AA38" t="n">
        <v>3802.898559</v>
      </c>
      <c r="AB38" t="n">
        <v>4026.144564</v>
      </c>
      <c r="AC38" t="n">
        <v>160.876803</v>
      </c>
      <c r="AD38" t="n">
        <v>313.833882</v>
      </c>
    </row>
    <row r="39">
      <c r="A39" t="n">
        <v>35</v>
      </c>
      <c r="B39" t="inlineStr">
        <is>
          <t>3 Milkfish plus</t>
        </is>
      </c>
      <c r="C39" t="inlineStr">
        <is>
          <t>Regular</t>
        </is>
      </c>
      <c r="D39" t="n">
        <v>3.991104885765255</v>
      </c>
      <c r="E39" t="n">
        <v>0.2</v>
      </c>
      <c r="F39" t="n">
        <v>0.9</v>
      </c>
      <c r="G39" t="n">
        <v>0.178044</v>
      </c>
      <c r="H39" t="n">
        <v>0.006744</v>
      </c>
      <c r="I39" t="n">
        <v>276.665746</v>
      </c>
      <c r="J39" t="n">
        <v>658.038699</v>
      </c>
      <c r="K39" t="n">
        <v>409.720532</v>
      </c>
      <c r="L39" t="n">
        <v>716.422605</v>
      </c>
      <c r="M39" t="n">
        <v>260.836627</v>
      </c>
      <c r="N39" t="n">
        <v>391.519286</v>
      </c>
      <c r="O39" t="n">
        <v>352.367357</v>
      </c>
      <c r="P39" t="n">
        <v>1290.484635</v>
      </c>
      <c r="Q39" t="n">
        <v>1290.484635</v>
      </c>
      <c r="R39" t="n">
        <v>1290.484635</v>
      </c>
      <c r="S39" t="n">
        <v>1136.745683</v>
      </c>
      <c r="T39" t="n">
        <v>390.310297</v>
      </c>
      <c r="U39" t="n">
        <v>1290.484635</v>
      </c>
      <c r="V39" t="n">
        <v>-4177.97288</v>
      </c>
      <c r="W39" t="n">
        <v>1136.745683</v>
      </c>
      <c r="X39" t="n">
        <v>178.228345</v>
      </c>
      <c r="Y39" t="n">
        <v>390.310297</v>
      </c>
      <c r="Z39" t="n">
        <v>-26835.462696</v>
      </c>
      <c r="AA39" t="n">
        <v>1944.540997</v>
      </c>
      <c r="AB39" t="n">
        <v>1864.94695</v>
      </c>
      <c r="AC39" t="n">
        <v>103.353483</v>
      </c>
      <c r="AD39" t="n">
        <v>129.908195</v>
      </c>
    </row>
    <row r="40">
      <c r="A40" t="n">
        <v>36</v>
      </c>
      <c r="B40" t="inlineStr">
        <is>
          <t>3 SM inv</t>
        </is>
      </c>
      <c r="C40" t="inlineStr">
        <is>
          <t>Regular</t>
        </is>
      </c>
      <c r="D40" t="n">
        <v>3.475228156388901</v>
      </c>
      <c r="E40" t="n">
        <v>0.25</v>
      </c>
      <c r="F40" t="n">
        <v>0.929</v>
      </c>
      <c r="G40" t="n">
        <v>0.888</v>
      </c>
      <c r="H40" t="n">
        <v>0.043341</v>
      </c>
      <c r="I40" t="n">
        <v>276.665746</v>
      </c>
      <c r="J40" t="n">
        <v>233.269184</v>
      </c>
      <c r="K40" t="n">
        <v>156.666968</v>
      </c>
      <c r="L40" t="n">
        <v>299.625085</v>
      </c>
      <c r="M40" t="n">
        <v>120.844861</v>
      </c>
      <c r="N40" t="n">
        <v>137.384864</v>
      </c>
      <c r="O40" t="n">
        <v>127.630539</v>
      </c>
      <c r="P40" t="n">
        <v>446.361412</v>
      </c>
      <c r="Q40" t="n">
        <v>446.361412</v>
      </c>
      <c r="R40" t="n">
        <v>446.361412</v>
      </c>
      <c r="S40" t="n">
        <v>443.077639</v>
      </c>
      <c r="T40" t="n">
        <v>174.183315</v>
      </c>
      <c r="U40" t="n">
        <v>446.361412</v>
      </c>
      <c r="V40" t="n">
        <v>88.583493</v>
      </c>
      <c r="W40" t="n">
        <v>443.077639</v>
      </c>
      <c r="X40" t="n">
        <v>48.854437</v>
      </c>
      <c r="Y40" t="n">
        <v>174.183315</v>
      </c>
      <c r="Z40" t="n">
        <v>-335.029832</v>
      </c>
      <c r="AA40" t="n">
        <v>769.584249</v>
      </c>
      <c r="AB40" t="n">
        <v>651.885845</v>
      </c>
      <c r="AC40" t="n">
        <v>49.250333</v>
      </c>
      <c r="AD40" t="n">
        <v>72.643253</v>
      </c>
    </row>
    <row r="41">
      <c r="A41" t="n">
        <v>37</v>
      </c>
      <c r="B41" t="inlineStr">
        <is>
          <t>3 SM pisc</t>
        </is>
      </c>
      <c r="C41" t="inlineStr">
        <is>
          <t>Regular</t>
        </is>
      </c>
      <c r="D41" t="n">
        <v>4.148439693062811</v>
      </c>
      <c r="E41" t="n">
        <v>0.25</v>
      </c>
      <c r="F41" t="n">
        <v>0.95</v>
      </c>
      <c r="G41" t="n">
        <v>0.67932</v>
      </c>
      <c r="H41" t="n">
        <v>0.031763</v>
      </c>
      <c r="I41" t="n">
        <v>276.665746</v>
      </c>
      <c r="J41" t="n">
        <v>899.556966</v>
      </c>
      <c r="K41" t="n">
        <v>547.459146</v>
      </c>
      <c r="L41" t="n">
        <v>750.461461</v>
      </c>
      <c r="M41" t="n">
        <v>230.364697</v>
      </c>
      <c r="N41" t="n">
        <v>320.073441</v>
      </c>
      <c r="O41" t="n">
        <v>304.069769</v>
      </c>
      <c r="P41" t="n">
        <v>1156.611695</v>
      </c>
      <c r="Q41" t="n">
        <v>1156.611695</v>
      </c>
      <c r="R41" t="n">
        <v>1156.611695</v>
      </c>
      <c r="S41" t="n">
        <v>1069.912764</v>
      </c>
      <c r="T41" t="n">
        <v>360.16157</v>
      </c>
      <c r="U41" t="n">
        <v>1156.611695</v>
      </c>
      <c r="V41" t="n">
        <v>-758.9526509999999</v>
      </c>
      <c r="W41" t="n">
        <v>1069.912764</v>
      </c>
      <c r="X41" t="n">
        <v>-182.804926</v>
      </c>
      <c r="Y41" t="n">
        <v>360.16157</v>
      </c>
      <c r="Z41" t="n">
        <v>2390.241431</v>
      </c>
      <c r="AA41" t="n">
        <v>1713.293727</v>
      </c>
      <c r="AB41" t="n">
        <v>1588.466913</v>
      </c>
      <c r="AC41" t="n">
        <v>129.232256</v>
      </c>
      <c r="AD41" t="n">
        <v>143.849264</v>
      </c>
    </row>
    <row r="42">
      <c r="A42" t="n">
        <v>38</v>
      </c>
      <c r="B42" t="inlineStr">
        <is>
          <t>3 Crustaceans</t>
        </is>
      </c>
      <c r="C42" t="inlineStr">
        <is>
          <t>Regular</t>
        </is>
      </c>
      <c r="D42" t="n">
        <v>3.090909090909092</v>
      </c>
      <c r="E42" t="n">
        <v>0.15</v>
      </c>
      <c r="F42" t="n">
        <v>0.948</v>
      </c>
      <c r="G42" t="n">
        <v>3.015</v>
      </c>
      <c r="H42" t="n">
        <v>0.07008499999999999</v>
      </c>
      <c r="I42" t="n">
        <v>276.665746</v>
      </c>
      <c r="J42" t="n">
        <v>100</v>
      </c>
      <c r="K42" t="n">
        <v>71.445972</v>
      </c>
      <c r="L42" t="n">
        <v>65.492141</v>
      </c>
      <c r="M42" t="n">
        <v>47.353843</v>
      </c>
      <c r="N42" t="n">
        <v>47.353843</v>
      </c>
      <c r="O42" t="n">
        <v>44.891443</v>
      </c>
      <c r="P42" t="n">
        <v>97.747519</v>
      </c>
      <c r="Q42" t="n">
        <v>97.747519</v>
      </c>
      <c r="R42" t="n">
        <v>97.747519</v>
      </c>
      <c r="S42" t="n">
        <v>129.415021</v>
      </c>
      <c r="T42" t="n">
        <v>78.352349</v>
      </c>
      <c r="U42" t="n">
        <v>97.747519</v>
      </c>
      <c r="V42" t="n">
        <v>97.747519</v>
      </c>
      <c r="W42" t="n">
        <v>129.415021</v>
      </c>
      <c r="X42" t="n">
        <v>20.929866</v>
      </c>
      <c r="Y42" t="n">
        <v>78.352349</v>
      </c>
      <c r="Z42" t="n">
        <v>86.851116</v>
      </c>
      <c r="AA42" t="n">
        <v>159.077383</v>
      </c>
      <c r="AB42" t="n">
        <v>110.066879</v>
      </c>
      <c r="AC42" t="n">
        <v>26.883496</v>
      </c>
      <c r="AD42" t="n">
        <v>24.643204</v>
      </c>
    </row>
    <row r="43">
      <c r="A43" t="n">
        <v>39</v>
      </c>
      <c r="B43" t="inlineStr">
        <is>
          <t>3 Macrobenthos</t>
        </is>
      </c>
      <c r="C43" t="inlineStr">
        <is>
          <t>Regular</t>
        </is>
      </c>
      <c r="D43" t="n">
        <v>2.875</v>
      </c>
      <c r="E43" t="n">
        <v>0.1500375093773443</v>
      </c>
      <c r="F43" t="n">
        <v>0.944</v>
      </c>
      <c r="G43" t="n">
        <v>4.355</v>
      </c>
      <c r="H43" t="n">
        <v>0.010223</v>
      </c>
      <c r="I43" t="n">
        <v>276.665746</v>
      </c>
      <c r="J43" t="n">
        <v>56.234133</v>
      </c>
      <c r="K43" t="n">
        <v>41.901593</v>
      </c>
      <c r="L43" t="n">
        <v>49.508997</v>
      </c>
      <c r="M43" t="n">
        <v>36.314827</v>
      </c>
      <c r="N43" t="n">
        <v>36.314827</v>
      </c>
      <c r="O43" t="n">
        <v>34.281196</v>
      </c>
      <c r="P43" t="n">
        <v>147.10799</v>
      </c>
      <c r="Q43" t="n">
        <v>147.10799</v>
      </c>
      <c r="R43" t="n">
        <v>147.10799</v>
      </c>
      <c r="S43" t="n">
        <v>160.129384</v>
      </c>
      <c r="T43" t="n">
        <v>76.806507</v>
      </c>
      <c r="U43" t="n">
        <v>147.10799</v>
      </c>
      <c r="V43" t="n">
        <v>147.10799</v>
      </c>
      <c r="W43" t="n">
        <v>160.129384</v>
      </c>
      <c r="X43" t="n">
        <v>36.26582</v>
      </c>
      <c r="Y43" t="n">
        <v>76.806507</v>
      </c>
      <c r="Z43" t="n">
        <v>84.52791999999999</v>
      </c>
      <c r="AA43" t="n">
        <v>303.605911</v>
      </c>
      <c r="AB43" t="n">
        <v>238.614969</v>
      </c>
      <c r="AC43" t="n">
        <v>17.815582</v>
      </c>
      <c r="AD43" t="n">
        <v>19.074537</v>
      </c>
    </row>
    <row r="44">
      <c r="A44" t="n">
        <v>40</v>
      </c>
      <c r="B44" t="inlineStr">
        <is>
          <t>3 Meiobenthos</t>
        </is>
      </c>
      <c r="C44" t="inlineStr">
        <is>
          <t>Regular</t>
        </is>
      </c>
      <c r="D44" t="n">
        <v>2</v>
      </c>
      <c r="E44" t="n">
        <v>0.15</v>
      </c>
      <c r="F44" t="n">
        <v>0.928</v>
      </c>
      <c r="G44" t="n">
        <v>4.355</v>
      </c>
      <c r="H44" t="n">
        <v>0</v>
      </c>
      <c r="I44" t="n">
        <v>276.665746</v>
      </c>
      <c r="J44" t="n">
        <v>10</v>
      </c>
      <c r="K44" t="n">
        <v>8.452572</v>
      </c>
      <c r="L44" t="n">
        <v>8.452572</v>
      </c>
      <c r="M44" t="n">
        <v>7.183908</v>
      </c>
      <c r="N44" t="n">
        <v>7.183908</v>
      </c>
      <c r="O44" t="n">
        <v>6.666667</v>
      </c>
      <c r="P44" t="n">
        <v>5.714439</v>
      </c>
      <c r="Q44" t="n">
        <v>5.714439</v>
      </c>
      <c r="R44" t="n">
        <v>5.714439</v>
      </c>
      <c r="S44" t="n">
        <v>11.191502</v>
      </c>
      <c r="T44" t="n">
        <v>10.842554</v>
      </c>
      <c r="U44" t="n">
        <v>5.714439</v>
      </c>
      <c r="V44" t="n">
        <v>5.714439</v>
      </c>
      <c r="W44" t="n">
        <v>11.191502</v>
      </c>
      <c r="X44" t="n">
        <v>0.342987</v>
      </c>
      <c r="Y44" t="n">
        <v>10.842554</v>
      </c>
      <c r="Z44" t="n">
        <v>12.170487</v>
      </c>
      <c r="AA44" t="n">
        <v>13.753236</v>
      </c>
      <c r="AB44" t="n">
        <v>5.775609</v>
      </c>
      <c r="AC44" t="n">
        <v>5.18493</v>
      </c>
      <c r="AD44" t="n">
        <v>5.18493</v>
      </c>
    </row>
    <row r="45">
      <c r="A45" t="n">
        <v>41</v>
      </c>
      <c r="B45" t="inlineStr">
        <is>
          <t>3 Zooplankton</t>
        </is>
      </c>
      <c r="C45" t="inlineStr">
        <is>
          <t>Regular</t>
        </is>
      </c>
      <c r="D45" t="n">
        <v>2</v>
      </c>
      <c r="E45" t="n">
        <v>0.2142857142857142</v>
      </c>
      <c r="F45" t="n">
        <v>0.6</v>
      </c>
      <c r="G45" t="n">
        <v>2.335285</v>
      </c>
      <c r="H45" t="n">
        <v>0</v>
      </c>
      <c r="I45" t="n">
        <v>276.665746</v>
      </c>
      <c r="J45" t="n">
        <v>10</v>
      </c>
      <c r="K45" t="n">
        <v>8.452572</v>
      </c>
      <c r="L45" t="n">
        <v>8.452572</v>
      </c>
      <c r="M45" t="n">
        <v>7.777778</v>
      </c>
      <c r="N45" t="n">
        <v>7.777778</v>
      </c>
      <c r="O45" t="n">
        <v>4.666667</v>
      </c>
      <c r="P45" t="n">
        <v>7.777778</v>
      </c>
      <c r="Q45" t="n">
        <v>7.777778</v>
      </c>
      <c r="R45" t="n">
        <v>7.777778</v>
      </c>
      <c r="S45" t="n">
        <v>4.666667</v>
      </c>
      <c r="T45" t="n">
        <v>3.733333</v>
      </c>
      <c r="U45" t="n">
        <v>7.777778</v>
      </c>
      <c r="V45" t="n">
        <v>7.777778</v>
      </c>
      <c r="W45" t="n">
        <v>4.666667</v>
      </c>
      <c r="X45" t="n">
        <v>4.666667</v>
      </c>
      <c r="Y45" t="n">
        <v>3.733333</v>
      </c>
      <c r="Z45" t="n">
        <v>3.733333</v>
      </c>
      <c r="AA45" t="n">
        <v>4.685515</v>
      </c>
      <c r="AB45" t="n">
        <v>7.830317</v>
      </c>
      <c r="AC45" t="n">
        <v>5.18493</v>
      </c>
      <c r="AD45" t="n">
        <v>5.18493</v>
      </c>
    </row>
    <row r="46">
      <c r="A46" t="n">
        <v>42</v>
      </c>
      <c r="B46" t="inlineStr">
        <is>
          <t>1 Phytoplankton</t>
        </is>
      </c>
      <c r="C46" t="inlineStr">
        <is>
          <t>PP</t>
        </is>
      </c>
      <c r="D46" t="n">
        <v>1</v>
      </c>
      <c r="E46" t="n">
        <v>1</v>
      </c>
      <c r="F46" t="n">
        <v>0.153</v>
      </c>
      <c r="G46" t="n">
        <v>5.553900000000001</v>
      </c>
      <c r="H46" t="n">
        <v>0</v>
      </c>
      <c r="I46" t="n">
        <v>276.665746</v>
      </c>
      <c r="J46" t="n">
        <v>1</v>
      </c>
      <c r="K46" t="n">
        <v>1</v>
      </c>
      <c r="L46" t="n">
        <v>1</v>
      </c>
      <c r="M46" t="n">
        <v>1</v>
      </c>
      <c r="N46" t="n">
        <v>0</v>
      </c>
      <c r="O46" t="n">
        <v>0.153</v>
      </c>
      <c r="P46" t="n">
        <v>1</v>
      </c>
      <c r="Q46" t="n">
        <v>1</v>
      </c>
      <c r="R46" t="n">
        <v>1</v>
      </c>
      <c r="S46" t="n">
        <v>1</v>
      </c>
      <c r="T46" t="n">
        <v>1</v>
      </c>
      <c r="U46" t="n">
        <v>1</v>
      </c>
      <c r="V46" t="n">
        <v>1</v>
      </c>
      <c r="W46" t="n">
        <v>1</v>
      </c>
      <c r="X46" t="n">
        <v>1</v>
      </c>
      <c r="Y46" t="n">
        <v>1</v>
      </c>
      <c r="Z46" t="n">
        <v>1</v>
      </c>
      <c r="AA46" t="n">
        <v>1</v>
      </c>
      <c r="AB46" t="n">
        <v>1</v>
      </c>
      <c r="AC46" t="n">
        <v>1</v>
      </c>
      <c r="AD46" t="n">
        <v>1</v>
      </c>
    </row>
    <row r="47">
      <c r="A47" t="n">
        <v>43</v>
      </c>
      <c r="B47" t="inlineStr">
        <is>
          <t>2 Phytoplankton</t>
        </is>
      </c>
      <c r="C47" t="inlineStr">
        <is>
          <t>PP</t>
        </is>
      </c>
      <c r="D47" t="n">
        <v>1</v>
      </c>
      <c r="E47" t="n">
        <v>1</v>
      </c>
      <c r="F47" t="n">
        <v>0.389</v>
      </c>
      <c r="G47" t="n">
        <v>6.0651</v>
      </c>
      <c r="H47" t="n">
        <v>0</v>
      </c>
      <c r="I47" t="n">
        <v>276.665746</v>
      </c>
      <c r="J47" t="n">
        <v>1</v>
      </c>
      <c r="K47" t="n">
        <v>1</v>
      </c>
      <c r="L47" t="n">
        <v>1</v>
      </c>
      <c r="M47" t="n">
        <v>1</v>
      </c>
      <c r="N47" t="n">
        <v>0</v>
      </c>
      <c r="O47" t="n">
        <v>0.389</v>
      </c>
      <c r="P47" t="n">
        <v>1</v>
      </c>
      <c r="Q47" t="n">
        <v>1</v>
      </c>
      <c r="R47" t="n">
        <v>1</v>
      </c>
      <c r="S47" t="n">
        <v>1</v>
      </c>
      <c r="T47" t="n">
        <v>1</v>
      </c>
      <c r="U47" t="n">
        <v>1</v>
      </c>
      <c r="V47" t="n">
        <v>1</v>
      </c>
      <c r="W47" t="n">
        <v>1</v>
      </c>
      <c r="X47" t="n">
        <v>1</v>
      </c>
      <c r="Y47" t="n">
        <v>1</v>
      </c>
      <c r="Z47" t="n">
        <v>1</v>
      </c>
      <c r="AA47" t="n">
        <v>1</v>
      </c>
      <c r="AB47" t="n">
        <v>1</v>
      </c>
      <c r="AC47" t="n">
        <v>1</v>
      </c>
      <c r="AD47" t="n">
        <v>1</v>
      </c>
    </row>
    <row r="48">
      <c r="A48" t="n">
        <v>44</v>
      </c>
      <c r="B48" t="inlineStr">
        <is>
          <t>3 Phytoplankton</t>
        </is>
      </c>
      <c r="C48" t="inlineStr">
        <is>
          <t>PP</t>
        </is>
      </c>
      <c r="D48" t="n">
        <v>1</v>
      </c>
      <c r="E48" t="n">
        <v>1</v>
      </c>
      <c r="F48" t="n">
        <v>0.337</v>
      </c>
      <c r="G48" t="n">
        <v>7.169</v>
      </c>
      <c r="H48" t="n">
        <v>0</v>
      </c>
      <c r="I48" t="n">
        <v>276.665746</v>
      </c>
      <c r="J48" t="n">
        <v>1</v>
      </c>
      <c r="K48" t="n">
        <v>1</v>
      </c>
      <c r="L48" t="n">
        <v>1</v>
      </c>
      <c r="M48" t="n">
        <v>1</v>
      </c>
      <c r="N48" t="n">
        <v>0</v>
      </c>
      <c r="O48" t="n">
        <v>0.337</v>
      </c>
      <c r="P48" t="n">
        <v>1</v>
      </c>
      <c r="Q48" t="n">
        <v>1</v>
      </c>
      <c r="R48" t="n">
        <v>1</v>
      </c>
      <c r="S48" t="n">
        <v>1</v>
      </c>
      <c r="T48" t="n">
        <v>1</v>
      </c>
      <c r="U48" t="n">
        <v>1</v>
      </c>
      <c r="V48" t="n">
        <v>1</v>
      </c>
      <c r="W48" t="n">
        <v>1</v>
      </c>
      <c r="X48" t="n">
        <v>1</v>
      </c>
      <c r="Y48" t="n">
        <v>1</v>
      </c>
      <c r="Z48" t="n">
        <v>1</v>
      </c>
      <c r="AA48" t="n">
        <v>1</v>
      </c>
      <c r="AB48" t="n">
        <v>1</v>
      </c>
      <c r="AC48" t="n">
        <v>1</v>
      </c>
      <c r="AD48" t="n">
        <v>1</v>
      </c>
    </row>
    <row r="49">
      <c r="A49" t="n">
        <v>45</v>
      </c>
      <c r="B49" t="inlineStr">
        <is>
          <t>Benthic plants</t>
        </is>
      </c>
      <c r="C49" t="inlineStr">
        <is>
          <t>PP</t>
        </is>
      </c>
      <c r="D49" t="n">
        <v>1</v>
      </c>
      <c r="E49" t="n">
        <v>1</v>
      </c>
      <c r="F49" t="n">
        <v>0.4</v>
      </c>
      <c r="G49" t="n">
        <v>0.784771</v>
      </c>
      <c r="H49" t="n">
        <v>0</v>
      </c>
      <c r="I49" t="n">
        <v>276.665746</v>
      </c>
      <c r="J49" t="n">
        <v>1</v>
      </c>
      <c r="K49" t="n">
        <v>1</v>
      </c>
      <c r="L49" t="n">
        <v>1</v>
      </c>
      <c r="M49" t="n">
        <v>1</v>
      </c>
      <c r="N49" t="n">
        <v>0</v>
      </c>
      <c r="O49" t="n">
        <v>0.4</v>
      </c>
      <c r="P49" t="n">
        <v>1</v>
      </c>
      <c r="Q49" t="n">
        <v>1</v>
      </c>
      <c r="R49" t="n">
        <v>1</v>
      </c>
      <c r="S49" t="n">
        <v>1</v>
      </c>
      <c r="T49" t="n">
        <v>1</v>
      </c>
      <c r="U49" t="n">
        <v>1</v>
      </c>
      <c r="V49" t="n">
        <v>1</v>
      </c>
      <c r="W49" t="n">
        <v>1</v>
      </c>
      <c r="X49" t="n">
        <v>1</v>
      </c>
      <c r="Y49" t="n">
        <v>1</v>
      </c>
      <c r="Z49" t="n">
        <v>1</v>
      </c>
      <c r="AA49" t="n">
        <v>1</v>
      </c>
      <c r="AB49" t="n">
        <v>1</v>
      </c>
      <c r="AC49" t="n">
        <v>1</v>
      </c>
      <c r="AD49" t="n">
        <v>1</v>
      </c>
    </row>
    <row r="50">
      <c r="A50" t="n">
        <v>46</v>
      </c>
      <c r="B50" t="inlineStr">
        <is>
          <t>Bigeye tuna</t>
        </is>
      </c>
      <c r="C50" t="inlineStr">
        <is>
          <t>Regular</t>
        </is>
      </c>
      <c r="D50" t="n">
        <v>4.550325001365476</v>
      </c>
      <c r="E50" t="n">
        <v>0.2</v>
      </c>
      <c r="F50" t="n">
        <v>0.9</v>
      </c>
      <c r="G50" t="n">
        <v>0.014</v>
      </c>
      <c r="H50" t="n">
        <v>0.004</v>
      </c>
      <c r="I50" t="n">
        <v>276.665746</v>
      </c>
      <c r="J50" t="n">
        <v>2885.425513</v>
      </c>
      <c r="K50" t="n">
        <v>1612.783432</v>
      </c>
      <c r="L50" t="n">
        <v>11857.378023</v>
      </c>
      <c r="M50" t="n">
        <v>2419.641373</v>
      </c>
      <c r="N50" t="n">
        <v>2792.120635</v>
      </c>
      <c r="O50" t="n">
        <v>2512.908571</v>
      </c>
      <c r="P50" t="n">
        <v>7863.897223</v>
      </c>
      <c r="Q50" t="n">
        <v>7863.897223</v>
      </c>
      <c r="R50" t="n">
        <v>7863.897223</v>
      </c>
      <c r="S50" t="n">
        <v>4618.211723</v>
      </c>
      <c r="T50" t="n">
        <v>1061.7494</v>
      </c>
      <c r="U50" t="n">
        <v>7863.897223</v>
      </c>
      <c r="V50" t="n">
        <v>13753230.962334</v>
      </c>
      <c r="W50" t="n">
        <v>4618.211723</v>
      </c>
      <c r="X50" t="n">
        <v>-6197760.078043</v>
      </c>
      <c r="Y50" t="n">
        <v>1061.7494</v>
      </c>
      <c r="Z50" t="n">
        <v>1.452950433601317e+18</v>
      </c>
      <c r="AA50" t="n">
        <v>7726.508917</v>
      </c>
      <c r="AB50" t="n">
        <v>10228.515843</v>
      </c>
      <c r="AC50" t="n">
        <v>297.276327</v>
      </c>
      <c r="AD50" t="n">
        <v>850.931756</v>
      </c>
    </row>
    <row r="51">
      <c r="A51" t="n">
        <v>47</v>
      </c>
      <c r="B51" t="inlineStr">
        <is>
          <t>Yellowfin tuna</t>
        </is>
      </c>
      <c r="C51" t="inlineStr">
        <is>
          <t>Regular</t>
        </is>
      </c>
      <c r="D51" t="n">
        <v>5.001329429154078</v>
      </c>
      <c r="E51" t="n">
        <v>0.2</v>
      </c>
      <c r="F51" t="n">
        <v>0.9</v>
      </c>
      <c r="G51" t="n">
        <v>0.022</v>
      </c>
      <c r="H51" t="n">
        <v>0.0065</v>
      </c>
      <c r="I51" t="n">
        <v>276.665746</v>
      </c>
      <c r="J51" t="n">
        <v>7345.100997</v>
      </c>
      <c r="K51" t="n">
        <v>3834.748855</v>
      </c>
      <c r="L51" t="n">
        <v>9823.345812</v>
      </c>
      <c r="M51" t="n">
        <v>1880.530271</v>
      </c>
      <c r="N51" t="n">
        <v>2274.693646</v>
      </c>
      <c r="O51" t="n">
        <v>2047.224281</v>
      </c>
      <c r="P51" t="n">
        <v>5882.016048</v>
      </c>
      <c r="Q51" t="n">
        <v>5882.016048</v>
      </c>
      <c r="R51" t="n">
        <v>5882.016048</v>
      </c>
      <c r="S51" t="n">
        <v>4117.74033</v>
      </c>
      <c r="T51" t="n">
        <v>1090.333002</v>
      </c>
      <c r="U51" t="n">
        <v>5882.016048</v>
      </c>
      <c r="V51" t="n">
        <v>-1269627.80489</v>
      </c>
      <c r="W51" t="n">
        <v>4117.74033</v>
      </c>
      <c r="X51" t="n">
        <v>825155.20499</v>
      </c>
      <c r="Y51" t="n">
        <v>1090.333002</v>
      </c>
      <c r="Z51" t="n">
        <v>-1.428082070158519e+22</v>
      </c>
      <c r="AA51" t="n">
        <v>6516.838262</v>
      </c>
      <c r="AB51" t="n">
        <v>7809.894595</v>
      </c>
      <c r="AC51" t="n">
        <v>579.688036</v>
      </c>
      <c r="AD51" t="n">
        <v>954.472864</v>
      </c>
    </row>
    <row r="52">
      <c r="A52" t="n">
        <v>48</v>
      </c>
      <c r="B52" t="inlineStr">
        <is>
          <t>Marlins</t>
        </is>
      </c>
      <c r="C52" t="inlineStr">
        <is>
          <t>Regular</t>
        </is>
      </c>
      <c r="D52" t="n">
        <v>4.73418995058106</v>
      </c>
      <c r="E52" t="n">
        <v>0.2</v>
      </c>
      <c r="F52" t="n">
        <v>0.9</v>
      </c>
      <c r="G52" t="n">
        <v>0.003</v>
      </c>
      <c r="H52" t="n">
        <v>0.0011</v>
      </c>
      <c r="I52" t="n">
        <v>276.665746</v>
      </c>
      <c r="J52" t="n">
        <v>4151.453096</v>
      </c>
      <c r="K52" t="n">
        <v>2259.598482</v>
      </c>
      <c r="L52" t="n">
        <v>15252.832876</v>
      </c>
      <c r="M52" t="n">
        <v>2733.073309</v>
      </c>
      <c r="N52" t="n">
        <v>3165.476841</v>
      </c>
      <c r="O52" t="n">
        <v>2848.929157</v>
      </c>
      <c r="P52" t="n">
        <v>9570.959304</v>
      </c>
      <c r="Q52" t="n">
        <v>9570.959304</v>
      </c>
      <c r="R52" t="n">
        <v>9570.959304</v>
      </c>
      <c r="S52" t="n">
        <v>5875.284723</v>
      </c>
      <c r="T52" t="n">
        <v>1362.121727</v>
      </c>
      <c r="U52" t="n">
        <v>9570.959304</v>
      </c>
      <c r="V52" t="n">
        <v>24584098.779442</v>
      </c>
      <c r="W52" t="n">
        <v>5875.284723</v>
      </c>
      <c r="X52" t="n">
        <v>-14374601.068116</v>
      </c>
      <c r="Y52" t="n">
        <v>1362.121727</v>
      </c>
      <c r="Z52" t="n">
        <v>1.690219893847465e+18</v>
      </c>
      <c r="AA52" t="n">
        <v>9479.149813</v>
      </c>
      <c r="AB52" t="n">
        <v>12974.666138</v>
      </c>
      <c r="AC52" t="n">
        <v>385.551808</v>
      </c>
      <c r="AD52" t="n">
        <v>1105.841938</v>
      </c>
    </row>
    <row r="53">
      <c r="A53" t="n">
        <v>49</v>
      </c>
      <c r="B53" t="inlineStr">
        <is>
          <t>Detritus</t>
        </is>
      </c>
      <c r="C53" t="inlineStr">
        <is>
          <t>DET</t>
        </is>
      </c>
      <c r="D53" t="n">
        <v>1</v>
      </c>
      <c r="E53" t="n">
        <v>1</v>
      </c>
      <c r="F53" t="n">
        <v>1</v>
      </c>
      <c r="G53" t="n">
        <v>137</v>
      </c>
      <c r="H53" t="n">
        <v>0</v>
      </c>
      <c r="I53" t="n">
        <v>276.665746</v>
      </c>
      <c r="J53" t="n">
        <v>1</v>
      </c>
      <c r="K53" t="n">
        <v>1</v>
      </c>
      <c r="L53" t="n">
        <v>1</v>
      </c>
      <c r="M53" t="n">
        <v>1</v>
      </c>
      <c r="N53" t="n">
        <v>0</v>
      </c>
      <c r="O53" t="n">
        <v>1</v>
      </c>
      <c r="P53" t="n">
        <v>0.79545</v>
      </c>
      <c r="Q53" t="n">
        <v>0.79545</v>
      </c>
      <c r="R53" t="n">
        <v>0.79545</v>
      </c>
      <c r="S53" t="n">
        <v>1.678725</v>
      </c>
      <c r="T53" t="n">
        <v>2.032979</v>
      </c>
      <c r="U53" t="n">
        <v>0.79545</v>
      </c>
      <c r="V53" t="n">
        <v>0.79545</v>
      </c>
      <c r="W53" t="n">
        <v>1.678725</v>
      </c>
      <c r="X53" t="n">
        <v>0.051448</v>
      </c>
      <c r="Y53" t="n">
        <v>2.032979</v>
      </c>
      <c r="Z53" t="n">
        <v>2.281966</v>
      </c>
      <c r="AA53" t="n">
        <v>2.029401</v>
      </c>
      <c r="AB53" t="n">
        <v>0.79545</v>
      </c>
      <c r="AC53" t="n">
        <v>1</v>
      </c>
      <c r="AD53" t="n">
        <v>1</v>
      </c>
    </row>
    <row r="54">
      <c r="A54" t="n">
        <v>50</v>
      </c>
      <c r="B54" t="inlineStr">
        <is>
          <t>diet_import</t>
        </is>
      </c>
      <c r="C54" t="inlineStr">
        <is>
          <t>Import</t>
        </is>
      </c>
      <c r="D54" t="n">
        <v>1</v>
      </c>
      <c r="E54" t="n">
        <v>1</v>
      </c>
      <c r="F54" t="n">
        <v>1</v>
      </c>
      <c r="G54" t="n">
        <v>1</v>
      </c>
      <c r="H54" t="n">
        <v>0</v>
      </c>
      <c r="I54" t="n">
        <v>276.665746</v>
      </c>
      <c r="J54" t="n">
        <v>1</v>
      </c>
      <c r="K54" t="n">
        <v>1</v>
      </c>
      <c r="L54" t="n">
        <v>1</v>
      </c>
      <c r="M54" t="n">
        <v>1</v>
      </c>
      <c r="N54" t="n">
        <v>0</v>
      </c>
      <c r="O54" t="n">
        <v>1</v>
      </c>
      <c r="P54" t="n">
        <v>1</v>
      </c>
      <c r="Q54" t="n">
        <v>1</v>
      </c>
      <c r="R54" t="n">
        <v>1</v>
      </c>
      <c r="S54" t="n">
        <v>1</v>
      </c>
      <c r="T54" t="n">
        <v>1</v>
      </c>
      <c r="U54" t="n">
        <v>1</v>
      </c>
      <c r="W54" t="n">
        <v>1</v>
      </c>
      <c r="Y54" t="n">
        <v>1</v>
      </c>
      <c r="AA54" t="n">
        <v>1</v>
      </c>
      <c r="AB54" t="n">
        <v>1</v>
      </c>
      <c r="AC54" t="n">
        <v>1</v>
      </c>
      <c r="AD54"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7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23" customWidth="1" min="2" max="2"/>
    <col width="23" customWidth="1" min="3" max="3"/>
    <col width="23" customWidth="1" min="4" max="4"/>
    <col width="23" customWidth="1" min="5" max="5"/>
    <col width="23" customWidth="1" min="6" max="6"/>
    <col width="23" customWidth="1" min="7" max="7"/>
    <col width="23" customWidth="1" min="8" max="8"/>
    <col width="23" customWidth="1" min="9" max="9"/>
    <col width="22" customWidth="1" min="10" max="10"/>
    <col width="60" customWidth="1" min="11" max="11"/>
    <col width="75" customWidth="1" min="12" max="12"/>
    <col width="12" customWidth="1" min="13" max="13"/>
    <col width="36" customWidth="1" min="14" max="14"/>
    <col width="65" customWidth="1" min="15" max="15"/>
  </cols>
  <sheetData>
    <row r="1">
      <c r="A1" s="1" t="inlineStr">
        <is>
          <t>Annual net primary production, tonnes carbon per year</t>
        </is>
      </c>
    </row>
    <row r="2">
      <c r="A2" t="inlineStr">
        <is>
          <t>PPR/NPP uses the ensemble median for the matching catch year. Blank values are unavailable; no year is substituted.</t>
        </is>
      </c>
    </row>
    <row r="3" ht="32" customHeight="1">
      <c r="A3" s="18" t="inlineStr">
        <is>
          <t>year</t>
        </is>
      </c>
      <c r="B3" s="18" t="inlineStr">
        <is>
          <t>npp_antoinemorel_tC_yr</t>
        </is>
      </c>
      <c r="C3" s="18" t="inlineStr">
        <is>
          <t>npp_vgpm_tC_yr</t>
        </is>
      </c>
      <c r="D3" s="18" t="inlineStr">
        <is>
          <t>npp_eppley_tC_yr</t>
        </is>
      </c>
      <c r="E3" s="18" t="inlineStr">
        <is>
          <t>npp_cbpm_tC_yr</t>
        </is>
      </c>
      <c r="F3" s="18" t="inlineStr">
        <is>
          <t>npp_cafe_tC_yr</t>
        </is>
      </c>
      <c r="G3" s="18" t="inlineStr">
        <is>
          <t>ens_median_tC_yr</t>
        </is>
      </c>
      <c r="H3" s="18" t="inlineStr">
        <is>
          <t>ens_min_tC_yr</t>
        </is>
      </c>
      <c r="I3" s="18" t="inlineStr">
        <is>
          <t>ens_max_tC_yr</t>
        </is>
      </c>
      <c r="J3" s="18" t="inlineStr">
        <is>
          <t>status</t>
        </is>
      </c>
      <c r="K3" s="18" t="inlineStr">
        <is>
          <t>reason</t>
        </is>
      </c>
      <c r="L3" s="18" t="inlineStr">
        <is>
          <t>provenance</t>
        </is>
      </c>
      <c r="M3" s="18" t="inlineStr">
        <is>
          <t>n_models</t>
        </is>
      </c>
      <c r="N3" s="18" t="inlineStr">
        <is>
          <t>available_models</t>
        </is>
      </c>
      <c r="O3" s="18" t="inlineStr">
        <is>
          <t>ensemble_basis</t>
        </is>
      </c>
    </row>
    <row r="4">
      <c r="A4" t="n">
        <v>1950</v>
      </c>
      <c r="J4" t="inlineStr">
        <is>
          <t>unsupported</t>
        </is>
      </c>
      <c r="K4" t="inlineStr">
        <is>
          <t>reference source has no complete twelve-month year</t>
        </is>
      </c>
      <c r="L4" t="inlineStr"/>
      <c r="M4" t="n">
        <v>0</v>
      </c>
      <c r="N4" t="inlineStr"/>
      <c r="O4" t="inlineStr"/>
    </row>
    <row r="5">
      <c r="A5" t="n">
        <v>1951</v>
      </c>
      <c r="J5" t="inlineStr">
        <is>
          <t>unsupported</t>
        </is>
      </c>
      <c r="K5" t="inlineStr">
        <is>
          <t>reference source has no complete twelve-month year</t>
        </is>
      </c>
      <c r="L5" t="inlineStr"/>
      <c r="M5" t="n">
        <v>0</v>
      </c>
      <c r="N5" t="inlineStr"/>
      <c r="O5" t="inlineStr"/>
    </row>
    <row r="6">
      <c r="A6" t="n">
        <v>1952</v>
      </c>
      <c r="J6" t="inlineStr">
        <is>
          <t>unsupported</t>
        </is>
      </c>
      <c r="K6" t="inlineStr">
        <is>
          <t>reference source has no complete twelve-month year</t>
        </is>
      </c>
      <c r="L6" t="inlineStr"/>
      <c r="M6" t="n">
        <v>0</v>
      </c>
      <c r="N6" t="inlineStr"/>
      <c r="O6" t="inlineStr"/>
    </row>
    <row r="7">
      <c r="A7" t="n">
        <v>1953</v>
      </c>
      <c r="J7" t="inlineStr">
        <is>
          <t>unsupported</t>
        </is>
      </c>
      <c r="K7" t="inlineStr">
        <is>
          <t>reference source has no complete twelve-month year</t>
        </is>
      </c>
      <c r="L7" t="inlineStr"/>
      <c r="M7" t="n">
        <v>0</v>
      </c>
      <c r="N7" t="inlineStr"/>
      <c r="O7" t="inlineStr"/>
    </row>
    <row r="8">
      <c r="A8" t="n">
        <v>1954</v>
      </c>
      <c r="J8" t="inlineStr">
        <is>
          <t>unsupported</t>
        </is>
      </c>
      <c r="K8" t="inlineStr">
        <is>
          <t>reference source has no complete twelve-month year</t>
        </is>
      </c>
      <c r="L8" t="inlineStr"/>
      <c r="M8" t="n">
        <v>0</v>
      </c>
      <c r="N8" t="inlineStr"/>
      <c r="O8" t="inlineStr"/>
    </row>
    <row r="9">
      <c r="A9" t="n">
        <v>1955</v>
      </c>
      <c r="J9" t="inlineStr">
        <is>
          <t>unsupported</t>
        </is>
      </c>
      <c r="K9" t="inlineStr">
        <is>
          <t>reference source has no complete twelve-month year</t>
        </is>
      </c>
      <c r="L9" t="inlineStr"/>
      <c r="M9" t="n">
        <v>0</v>
      </c>
      <c r="N9" t="inlineStr"/>
      <c r="O9" t="inlineStr"/>
    </row>
    <row r="10">
      <c r="A10" t="n">
        <v>1956</v>
      </c>
      <c r="J10" t="inlineStr">
        <is>
          <t>unsupported</t>
        </is>
      </c>
      <c r="K10" t="inlineStr">
        <is>
          <t>reference source has no complete twelve-month year</t>
        </is>
      </c>
      <c r="L10" t="inlineStr"/>
      <c r="M10" t="n">
        <v>0</v>
      </c>
      <c r="N10" t="inlineStr"/>
      <c r="O10" t="inlineStr"/>
    </row>
    <row r="11">
      <c r="A11" t="n">
        <v>1957</v>
      </c>
      <c r="J11" t="inlineStr">
        <is>
          <t>unsupported</t>
        </is>
      </c>
      <c r="K11" t="inlineStr">
        <is>
          <t>reference source has no complete twelve-month year</t>
        </is>
      </c>
      <c r="L11" t="inlineStr"/>
      <c r="M11" t="n">
        <v>0</v>
      </c>
      <c r="N11" t="inlineStr"/>
      <c r="O11" t="inlineStr"/>
    </row>
    <row r="12">
      <c r="A12" t="n">
        <v>1958</v>
      </c>
      <c r="J12" t="inlineStr">
        <is>
          <t>unsupported</t>
        </is>
      </c>
      <c r="K12" t="inlineStr">
        <is>
          <t>reference source has no complete twelve-month year</t>
        </is>
      </c>
      <c r="L12" t="inlineStr"/>
      <c r="M12" t="n">
        <v>0</v>
      </c>
      <c r="N12" t="inlineStr"/>
      <c r="O12" t="inlineStr"/>
    </row>
    <row r="13">
      <c r="A13" t="n">
        <v>1959</v>
      </c>
      <c r="J13" t="inlineStr">
        <is>
          <t>unsupported</t>
        </is>
      </c>
      <c r="K13" t="inlineStr">
        <is>
          <t>reference source has no complete twelve-month year</t>
        </is>
      </c>
      <c r="L13" t="inlineStr"/>
      <c r="M13" t="n">
        <v>0</v>
      </c>
      <c r="N13" t="inlineStr"/>
      <c r="O13" t="inlineStr"/>
    </row>
    <row r="14">
      <c r="A14" t="n">
        <v>1960</v>
      </c>
      <c r="J14" t="inlineStr">
        <is>
          <t>unsupported</t>
        </is>
      </c>
      <c r="K14" t="inlineStr">
        <is>
          <t>reference source has no complete twelve-month year</t>
        </is>
      </c>
      <c r="L14" t="inlineStr"/>
      <c r="M14" t="n">
        <v>0</v>
      </c>
      <c r="N14" t="inlineStr"/>
      <c r="O14" t="inlineStr"/>
    </row>
    <row r="15">
      <c r="A15" t="n">
        <v>1961</v>
      </c>
      <c r="J15" t="inlineStr">
        <is>
          <t>unsupported</t>
        </is>
      </c>
      <c r="K15" t="inlineStr">
        <is>
          <t>reference source has no complete twelve-month year</t>
        </is>
      </c>
      <c r="L15" t="inlineStr"/>
      <c r="M15" t="n">
        <v>0</v>
      </c>
      <c r="N15" t="inlineStr"/>
      <c r="O15" t="inlineStr"/>
    </row>
    <row r="16">
      <c r="A16" t="n">
        <v>1962</v>
      </c>
      <c r="J16" t="inlineStr">
        <is>
          <t>unsupported</t>
        </is>
      </c>
      <c r="K16" t="inlineStr">
        <is>
          <t>reference source has no complete twelve-month year</t>
        </is>
      </c>
      <c r="L16" t="inlineStr"/>
      <c r="M16" t="n">
        <v>0</v>
      </c>
      <c r="N16" t="inlineStr"/>
      <c r="O16" t="inlineStr"/>
    </row>
    <row r="17">
      <c r="A17" t="n">
        <v>1963</v>
      </c>
      <c r="J17" t="inlineStr">
        <is>
          <t>unsupported</t>
        </is>
      </c>
      <c r="K17" t="inlineStr">
        <is>
          <t>reference source has no complete twelve-month year</t>
        </is>
      </c>
      <c r="L17" t="inlineStr"/>
      <c r="M17" t="n">
        <v>0</v>
      </c>
      <c r="N17" t="inlineStr"/>
      <c r="O17" t="inlineStr"/>
    </row>
    <row r="18">
      <c r="A18" t="n">
        <v>1964</v>
      </c>
      <c r="J18" t="inlineStr">
        <is>
          <t>unsupported</t>
        </is>
      </c>
      <c r="K18" t="inlineStr">
        <is>
          <t>reference source has no complete twelve-month year</t>
        </is>
      </c>
      <c r="L18" t="inlineStr"/>
      <c r="M18" t="n">
        <v>0</v>
      </c>
      <c r="N18" t="inlineStr"/>
      <c r="O18" t="inlineStr"/>
    </row>
    <row r="19">
      <c r="A19" t="n">
        <v>1965</v>
      </c>
      <c r="J19" t="inlineStr">
        <is>
          <t>unsupported</t>
        </is>
      </c>
      <c r="K19" t="inlineStr">
        <is>
          <t>reference source has no complete twelve-month year</t>
        </is>
      </c>
      <c r="L19" t="inlineStr"/>
      <c r="M19" t="n">
        <v>0</v>
      </c>
      <c r="N19" t="inlineStr"/>
      <c r="O19" t="inlineStr"/>
    </row>
    <row r="20">
      <c r="A20" t="n">
        <v>1966</v>
      </c>
      <c r="J20" t="inlineStr">
        <is>
          <t>unsupported</t>
        </is>
      </c>
      <c r="K20" t="inlineStr">
        <is>
          <t>reference source has no complete twelve-month year</t>
        </is>
      </c>
      <c r="L20" t="inlineStr"/>
      <c r="M20" t="n">
        <v>0</v>
      </c>
      <c r="N20" t="inlineStr"/>
      <c r="O20" t="inlineStr"/>
    </row>
    <row r="21">
      <c r="A21" t="n">
        <v>1967</v>
      </c>
      <c r="J21" t="inlineStr">
        <is>
          <t>unsupported</t>
        </is>
      </c>
      <c r="K21" t="inlineStr">
        <is>
          <t>reference source has no complete twelve-month year</t>
        </is>
      </c>
      <c r="L21" t="inlineStr"/>
      <c r="M21" t="n">
        <v>0</v>
      </c>
      <c r="N21" t="inlineStr"/>
      <c r="O21" t="inlineStr"/>
    </row>
    <row r="22">
      <c r="A22" t="n">
        <v>1968</v>
      </c>
      <c r="J22" t="inlineStr">
        <is>
          <t>unsupported</t>
        </is>
      </c>
      <c r="K22" t="inlineStr">
        <is>
          <t>reference source has no complete twelve-month year</t>
        </is>
      </c>
      <c r="L22" t="inlineStr"/>
      <c r="M22" t="n">
        <v>0</v>
      </c>
      <c r="N22" t="inlineStr"/>
      <c r="O22" t="inlineStr"/>
    </row>
    <row r="23">
      <c r="A23" t="n">
        <v>1969</v>
      </c>
      <c r="J23" t="inlineStr">
        <is>
          <t>unsupported</t>
        </is>
      </c>
      <c r="K23" t="inlineStr">
        <is>
          <t>reference source has no complete twelve-month year</t>
        </is>
      </c>
      <c r="L23" t="inlineStr"/>
      <c r="M23" t="n">
        <v>0</v>
      </c>
      <c r="N23" t="inlineStr"/>
      <c r="O23" t="inlineStr"/>
    </row>
    <row r="24">
      <c r="A24" t="n">
        <v>1970</v>
      </c>
      <c r="J24" t="inlineStr">
        <is>
          <t>unsupported</t>
        </is>
      </c>
      <c r="K24" t="inlineStr">
        <is>
          <t>reference source has no complete twelve-month year</t>
        </is>
      </c>
      <c r="L24" t="inlineStr"/>
      <c r="M24" t="n">
        <v>0</v>
      </c>
      <c r="N24" t="inlineStr"/>
      <c r="O24" t="inlineStr"/>
    </row>
    <row r="25">
      <c r="A25" t="n">
        <v>1971</v>
      </c>
      <c r="J25" t="inlineStr">
        <is>
          <t>unsupported</t>
        </is>
      </c>
      <c r="K25" t="inlineStr">
        <is>
          <t>reference source has no complete twelve-month year</t>
        </is>
      </c>
      <c r="L25" t="inlineStr"/>
      <c r="M25" t="n">
        <v>0</v>
      </c>
      <c r="N25" t="inlineStr"/>
      <c r="O25" t="inlineStr"/>
    </row>
    <row r="26">
      <c r="A26" t="n">
        <v>1972</v>
      </c>
      <c r="J26" t="inlineStr">
        <is>
          <t>unsupported</t>
        </is>
      </c>
      <c r="K26" t="inlineStr">
        <is>
          <t>reference source has no complete twelve-month year</t>
        </is>
      </c>
      <c r="L26" t="inlineStr"/>
      <c r="M26" t="n">
        <v>0</v>
      </c>
      <c r="N26" t="inlineStr"/>
      <c r="O26" t="inlineStr"/>
    </row>
    <row r="27">
      <c r="A27" t="n">
        <v>1973</v>
      </c>
      <c r="J27" t="inlineStr">
        <is>
          <t>unsupported</t>
        </is>
      </c>
      <c r="K27" t="inlineStr">
        <is>
          <t>reference source has no complete twelve-month year</t>
        </is>
      </c>
      <c r="L27" t="inlineStr"/>
      <c r="M27" t="n">
        <v>0</v>
      </c>
      <c r="N27" t="inlineStr"/>
      <c r="O27" t="inlineStr"/>
    </row>
    <row r="28">
      <c r="A28" t="n">
        <v>1974</v>
      </c>
      <c r="J28" t="inlineStr">
        <is>
          <t>unsupported</t>
        </is>
      </c>
      <c r="K28" t="inlineStr">
        <is>
          <t>reference source has no complete twelve-month year</t>
        </is>
      </c>
      <c r="L28" t="inlineStr"/>
      <c r="M28" t="n">
        <v>0</v>
      </c>
      <c r="N28" t="inlineStr"/>
      <c r="O28" t="inlineStr"/>
    </row>
    <row r="29">
      <c r="A29" t="n">
        <v>1975</v>
      </c>
      <c r="J29" t="inlineStr">
        <is>
          <t>unsupported</t>
        </is>
      </c>
      <c r="K29" t="inlineStr">
        <is>
          <t>reference source has no complete twelve-month year</t>
        </is>
      </c>
      <c r="L29" t="inlineStr"/>
      <c r="M29" t="n">
        <v>0</v>
      </c>
      <c r="N29" t="inlineStr"/>
      <c r="O29" t="inlineStr"/>
    </row>
    <row r="30">
      <c r="A30" t="n">
        <v>1976</v>
      </c>
      <c r="J30" t="inlineStr">
        <is>
          <t>unsupported</t>
        </is>
      </c>
      <c r="K30" t="inlineStr">
        <is>
          <t>reference source has no complete twelve-month year</t>
        </is>
      </c>
      <c r="L30" t="inlineStr"/>
      <c r="M30" t="n">
        <v>0</v>
      </c>
      <c r="N30" t="inlineStr"/>
      <c r="O30" t="inlineStr"/>
    </row>
    <row r="31">
      <c r="A31" t="n">
        <v>1977</v>
      </c>
      <c r="J31" t="inlineStr">
        <is>
          <t>unsupported</t>
        </is>
      </c>
      <c r="K31" t="inlineStr">
        <is>
          <t>reference source has no complete twelve-month year</t>
        </is>
      </c>
      <c r="L31" t="inlineStr"/>
      <c r="M31" t="n">
        <v>0</v>
      </c>
      <c r="N31" t="inlineStr"/>
      <c r="O31" t="inlineStr"/>
    </row>
    <row r="32">
      <c r="A32" t="n">
        <v>1978</v>
      </c>
      <c r="J32" t="inlineStr">
        <is>
          <t>unsupported</t>
        </is>
      </c>
      <c r="K32" t="inlineStr">
        <is>
          <t>reference source has no complete twelve-month year</t>
        </is>
      </c>
      <c r="L32" t="inlineStr"/>
      <c r="M32" t="n">
        <v>0</v>
      </c>
      <c r="N32" t="inlineStr"/>
      <c r="O32" t="inlineStr"/>
    </row>
    <row r="33">
      <c r="A33" t="n">
        <v>1979</v>
      </c>
      <c r="J33" t="inlineStr">
        <is>
          <t>unsupported</t>
        </is>
      </c>
      <c r="K33" t="inlineStr">
        <is>
          <t>reference source has no complete twelve-month year</t>
        </is>
      </c>
      <c r="L33" t="inlineStr"/>
      <c r="M33" t="n">
        <v>0</v>
      </c>
      <c r="N33" t="inlineStr"/>
      <c r="O33" t="inlineStr"/>
    </row>
    <row r="34">
      <c r="A34" t="n">
        <v>1980</v>
      </c>
      <c r="J34" t="inlineStr">
        <is>
          <t>unsupported</t>
        </is>
      </c>
      <c r="K34" t="inlineStr">
        <is>
          <t>reference source has no complete twelve-month year</t>
        </is>
      </c>
      <c r="L34" t="inlineStr"/>
      <c r="M34" t="n">
        <v>0</v>
      </c>
      <c r="N34" t="inlineStr"/>
      <c r="O34" t="inlineStr"/>
    </row>
    <row r="35">
      <c r="A35" t="n">
        <v>1981</v>
      </c>
      <c r="J35" t="inlineStr">
        <is>
          <t>unsupported</t>
        </is>
      </c>
      <c r="K35" t="inlineStr">
        <is>
          <t>reference source has no complete twelve-month year</t>
        </is>
      </c>
      <c r="L35" t="inlineStr"/>
      <c r="M35" t="n">
        <v>0</v>
      </c>
      <c r="N35" t="inlineStr"/>
      <c r="O35" t="inlineStr"/>
    </row>
    <row r="36">
      <c r="A36" t="n">
        <v>1982</v>
      </c>
      <c r="J36" t="inlineStr">
        <is>
          <t>unsupported</t>
        </is>
      </c>
      <c r="K36" t="inlineStr">
        <is>
          <t>reference source has no complete twelve-month year</t>
        </is>
      </c>
      <c r="L36" t="inlineStr"/>
      <c r="M36" t="n">
        <v>0</v>
      </c>
      <c r="N36" t="inlineStr"/>
      <c r="O36" t="inlineStr"/>
    </row>
    <row r="37">
      <c r="A37" t="n">
        <v>1983</v>
      </c>
      <c r="J37" t="inlineStr">
        <is>
          <t>unsupported</t>
        </is>
      </c>
      <c r="K37" t="inlineStr">
        <is>
          <t>reference source has no complete twelve-month year</t>
        </is>
      </c>
      <c r="L37" t="inlineStr"/>
      <c r="M37" t="n">
        <v>0</v>
      </c>
      <c r="N37" t="inlineStr"/>
      <c r="O37" t="inlineStr"/>
    </row>
    <row r="38">
      <c r="A38" t="n">
        <v>1984</v>
      </c>
      <c r="J38" t="inlineStr">
        <is>
          <t>unsupported</t>
        </is>
      </c>
      <c r="K38" t="inlineStr">
        <is>
          <t>reference source has no complete twelve-month year</t>
        </is>
      </c>
      <c r="L38" t="inlineStr"/>
      <c r="M38" t="n">
        <v>0</v>
      </c>
      <c r="N38" t="inlineStr"/>
      <c r="O38" t="inlineStr"/>
    </row>
    <row r="39">
      <c r="A39" t="n">
        <v>1985</v>
      </c>
      <c r="J39" t="inlineStr">
        <is>
          <t>unsupported</t>
        </is>
      </c>
      <c r="K39" t="inlineStr">
        <is>
          <t>reference source has no complete twelve-month year</t>
        </is>
      </c>
      <c r="L39" t="inlineStr"/>
      <c r="M39" t="n">
        <v>0</v>
      </c>
      <c r="N39" t="inlineStr"/>
      <c r="O39" t="inlineStr"/>
    </row>
    <row r="40">
      <c r="A40" t="n">
        <v>1986</v>
      </c>
      <c r="J40" t="inlineStr">
        <is>
          <t>unsupported</t>
        </is>
      </c>
      <c r="K40" t="inlineStr">
        <is>
          <t>reference source has no complete twelve-month year</t>
        </is>
      </c>
      <c r="L40" t="inlineStr"/>
      <c r="M40" t="n">
        <v>0</v>
      </c>
      <c r="N40" t="inlineStr"/>
      <c r="O40" t="inlineStr"/>
    </row>
    <row r="41">
      <c r="A41" t="n">
        <v>1987</v>
      </c>
      <c r="J41" t="inlineStr">
        <is>
          <t>unsupported</t>
        </is>
      </c>
      <c r="K41" t="inlineStr">
        <is>
          <t>reference source has no complete twelve-month year</t>
        </is>
      </c>
      <c r="L41" t="inlineStr"/>
      <c r="M41" t="n">
        <v>0</v>
      </c>
      <c r="N41" t="inlineStr"/>
      <c r="O41" t="inlineStr"/>
    </row>
    <row r="42">
      <c r="A42" t="n">
        <v>1988</v>
      </c>
      <c r="J42" t="inlineStr">
        <is>
          <t>unsupported</t>
        </is>
      </c>
      <c r="K42" t="inlineStr">
        <is>
          <t>reference source has no complete twelve-month year</t>
        </is>
      </c>
      <c r="L42" t="inlineStr"/>
      <c r="M42" t="n">
        <v>0</v>
      </c>
      <c r="N42" t="inlineStr"/>
      <c r="O42" t="inlineStr"/>
    </row>
    <row r="43">
      <c r="A43" t="n">
        <v>1989</v>
      </c>
      <c r="J43" t="inlineStr">
        <is>
          <t>unsupported</t>
        </is>
      </c>
      <c r="K43" t="inlineStr">
        <is>
          <t>reference source has no complete twelve-month year</t>
        </is>
      </c>
      <c r="L43" t="inlineStr"/>
      <c r="M43" t="n">
        <v>0</v>
      </c>
      <c r="N43" t="inlineStr"/>
      <c r="O43" t="inlineStr"/>
    </row>
    <row r="44">
      <c r="A44" t="n">
        <v>1990</v>
      </c>
      <c r="J44" t="inlineStr">
        <is>
          <t>unsupported</t>
        </is>
      </c>
      <c r="K44" t="inlineStr">
        <is>
          <t>reference source has no complete twelve-month year</t>
        </is>
      </c>
      <c r="L44" t="inlineStr"/>
      <c r="M44" t="n">
        <v>0</v>
      </c>
      <c r="N44" t="inlineStr"/>
      <c r="O44" t="inlineStr"/>
    </row>
    <row r="45">
      <c r="A45" t="n">
        <v>1991</v>
      </c>
      <c r="J45" t="inlineStr">
        <is>
          <t>unsupported</t>
        </is>
      </c>
      <c r="K45" t="inlineStr">
        <is>
          <t>reference source has no complete twelve-month year</t>
        </is>
      </c>
      <c r="L45" t="inlineStr"/>
      <c r="M45" t="n">
        <v>0</v>
      </c>
      <c r="N45" t="inlineStr"/>
      <c r="O45" t="inlineStr"/>
    </row>
    <row r="46">
      <c r="A46" t="n">
        <v>1992</v>
      </c>
      <c r="J46" t="inlineStr">
        <is>
          <t>unsupported</t>
        </is>
      </c>
      <c r="K46" t="inlineStr">
        <is>
          <t>reference source has no complete twelve-month year</t>
        </is>
      </c>
      <c r="L46" t="inlineStr"/>
      <c r="M46" t="n">
        <v>0</v>
      </c>
      <c r="N46" t="inlineStr"/>
      <c r="O46" t="inlineStr"/>
    </row>
    <row r="47">
      <c r="A47" t="n">
        <v>1993</v>
      </c>
      <c r="J47" t="inlineStr">
        <is>
          <t>unsupported</t>
        </is>
      </c>
      <c r="K47" t="inlineStr">
        <is>
          <t>reference source has no complete twelve-month year</t>
        </is>
      </c>
      <c r="L47" t="inlineStr"/>
      <c r="M47" t="n">
        <v>0</v>
      </c>
      <c r="N47" t="inlineStr"/>
      <c r="O47" t="inlineStr"/>
    </row>
    <row r="48">
      <c r="A48" t="n">
        <v>1994</v>
      </c>
      <c r="J48" t="inlineStr">
        <is>
          <t>unsupported</t>
        </is>
      </c>
      <c r="K48" t="inlineStr">
        <is>
          <t>reference source has no complete twelve-month year</t>
        </is>
      </c>
      <c r="L48" t="inlineStr"/>
      <c r="M48" t="n">
        <v>0</v>
      </c>
      <c r="N48" t="inlineStr"/>
      <c r="O48" t="inlineStr"/>
    </row>
    <row r="49">
      <c r="A49" t="n">
        <v>1995</v>
      </c>
      <c r="J49" t="inlineStr">
        <is>
          <t>unsupported</t>
        </is>
      </c>
      <c r="K49" t="inlineStr">
        <is>
          <t>reference source has no complete twelve-month year</t>
        </is>
      </c>
      <c r="L49" t="inlineStr"/>
      <c r="M49" t="n">
        <v>0</v>
      </c>
      <c r="N49" t="inlineStr"/>
      <c r="O49" t="inlineStr"/>
    </row>
    <row r="50">
      <c r="A50" t="n">
        <v>1996</v>
      </c>
      <c r="J50" t="inlineStr">
        <is>
          <t>unsupported</t>
        </is>
      </c>
      <c r="K50" t="inlineStr">
        <is>
          <t>reference source has no complete twelve-month year</t>
        </is>
      </c>
      <c r="L50" t="inlineStr"/>
      <c r="M50" t="n">
        <v>0</v>
      </c>
      <c r="N50" t="inlineStr"/>
      <c r="O50" t="inlineStr"/>
    </row>
    <row r="51">
      <c r="A51" t="n">
        <v>1997</v>
      </c>
      <c r="J51" t="inlineStr">
        <is>
          <t>unsupported</t>
        </is>
      </c>
      <c r="K51" t="inlineStr">
        <is>
          <t>reference source has no complete twelve-month year</t>
        </is>
      </c>
      <c r="L51" t="inlineStr"/>
      <c r="M51" t="n">
        <v>0</v>
      </c>
      <c r="N51" t="inlineStr"/>
      <c r="O51" t="inlineStr"/>
    </row>
    <row r="52">
      <c r="A52" t="n">
        <v>1998</v>
      </c>
      <c r="B52" t="n">
        <v>1124541254.668718</v>
      </c>
      <c r="G52" t="n">
        <v>1124541254.668718</v>
      </c>
      <c r="H52" t="n">
        <v>1124541254.668718</v>
      </c>
      <c r="I52" t="n">
        <v>1124541254.668718</v>
      </c>
      <c r="J52" t="inlineStr">
        <is>
          <t>partial</t>
        </is>
      </c>
      <c r="K52" t="inlineStr">
        <is>
          <t>vgpm: unsupported_year; eppley: unsupported_year; cbpm: unsupported_year; cafe: unsupported_year</t>
        </is>
      </c>
      <c r="L52" t="inlineStr">
        <is>
          <t>NPPExtraction/output/years/1998/65dfd93f461846d2/provenance.json</t>
        </is>
      </c>
      <c r="M52" t="n">
        <v>1</v>
      </c>
      <c r="N52" t="inlineStr">
        <is>
          <t>antoinemorel</t>
        </is>
      </c>
      <c r="O52" t="inlineStr">
        <is>
          <t>common mask</t>
        </is>
      </c>
    </row>
    <row r="53">
      <c r="A53" t="n">
        <v>1999</v>
      </c>
      <c r="B53" t="n">
        <v>1083796625.411913</v>
      </c>
      <c r="G53" t="n">
        <v>1083796625.411913</v>
      </c>
      <c r="H53" t="n">
        <v>1083796625.411913</v>
      </c>
      <c r="I53" t="n">
        <v>1083796625.411913</v>
      </c>
      <c r="J53" t="inlineStr">
        <is>
          <t>partial</t>
        </is>
      </c>
      <c r="K53" t="inlineStr">
        <is>
          <t>vgpm: unsupported_year; eppley: unsupported_year; cbpm: unsupported_year; cafe: unsupported_year</t>
        </is>
      </c>
      <c r="L53" t="inlineStr">
        <is>
          <t>NPPExtraction/output/years/1999/4b1cb2d6cba203fb/provenance.json</t>
        </is>
      </c>
      <c r="M53" t="n">
        <v>1</v>
      </c>
      <c r="N53" t="inlineStr">
        <is>
          <t>antoinemorel</t>
        </is>
      </c>
      <c r="O53" t="inlineStr">
        <is>
          <t>common mask</t>
        </is>
      </c>
    </row>
    <row r="54">
      <c r="A54" t="n">
        <v>2000</v>
      </c>
      <c r="B54" t="n">
        <v>1041529038.862707</v>
      </c>
      <c r="G54" t="n">
        <v>1041529038.862707</v>
      </c>
      <c r="H54" t="n">
        <v>1041529038.862707</v>
      </c>
      <c r="I54" t="n">
        <v>1041529038.862707</v>
      </c>
      <c r="J54" t="inlineStr">
        <is>
          <t>partial</t>
        </is>
      </c>
      <c r="K54" t="inlineStr">
        <is>
          <t>vgpm: unsupported_year; eppley: unsupported_year; cbpm: unsupported_year; cafe: unsupported_year</t>
        </is>
      </c>
      <c r="L54" t="inlineStr">
        <is>
          <t>NPPExtraction/output/years/2000/4bea86f4cd09bd55/provenance.json</t>
        </is>
      </c>
      <c r="M54" t="n">
        <v>1</v>
      </c>
      <c r="N54" t="inlineStr">
        <is>
          <t>antoinemorel</t>
        </is>
      </c>
      <c r="O54" t="inlineStr">
        <is>
          <t>common mask</t>
        </is>
      </c>
    </row>
    <row r="55">
      <c r="A55" t="n">
        <v>2001</v>
      </c>
      <c r="B55" t="n">
        <v>1016263575.965982</v>
      </c>
      <c r="G55" t="n">
        <v>1016263575.965982</v>
      </c>
      <c r="H55" t="n">
        <v>1016263575.965982</v>
      </c>
      <c r="I55" t="n">
        <v>1016263575.965982</v>
      </c>
      <c r="J55" t="inlineStr">
        <is>
          <t>partial</t>
        </is>
      </c>
      <c r="K55" t="inlineStr">
        <is>
          <t>vgpm: unsupported_year; eppley: unsupported_year; cbpm: unsupported_year; cafe: unsupported_year</t>
        </is>
      </c>
      <c r="L55" t="inlineStr">
        <is>
          <t>NPPExtraction/output/years/2001/0ec8617947fb90b9/provenance.json</t>
        </is>
      </c>
      <c r="M55" t="n">
        <v>1</v>
      </c>
      <c r="N55" t="inlineStr">
        <is>
          <t>antoinemorel</t>
        </is>
      </c>
      <c r="O55" t="inlineStr">
        <is>
          <t>common mask</t>
        </is>
      </c>
    </row>
    <row r="56">
      <c r="A56" t="n">
        <v>2002</v>
      </c>
      <c r="B56" t="n">
        <v>1056707020.915272</v>
      </c>
      <c r="G56" t="n">
        <v>1056707020.915272</v>
      </c>
      <c r="H56" t="n">
        <v>1056707020.915272</v>
      </c>
      <c r="I56" t="n">
        <v>1056707020.915272</v>
      </c>
      <c r="J56" t="inlineStr">
        <is>
          <t>partial</t>
        </is>
      </c>
      <c r="K56" t="inlineStr">
        <is>
          <t>vgpm: unsupported_year; eppley: unsupported_year; cbpm: unsupported_year; cafe: unsupported_year</t>
        </is>
      </c>
      <c r="L56" t="inlineStr">
        <is>
          <t>NPPExtraction/output/years/2002/3789d747c9365882/provenance.json</t>
        </is>
      </c>
      <c r="M56" t="n">
        <v>1</v>
      </c>
      <c r="N56" t="inlineStr">
        <is>
          <t>antoinemorel</t>
        </is>
      </c>
      <c r="O56" t="inlineStr">
        <is>
          <t>common mask</t>
        </is>
      </c>
    </row>
    <row r="57">
      <c r="A57" t="n">
        <v>2003</v>
      </c>
      <c r="B57" t="n">
        <v>1103049340.624604</v>
      </c>
      <c r="C57" t="n">
        <v>690272587.1165936</v>
      </c>
      <c r="D57" t="n">
        <v>1384109738.990885</v>
      </c>
      <c r="E57" t="n">
        <v>1197135746.005139</v>
      </c>
      <c r="F57" t="n">
        <v>818884749.2206484</v>
      </c>
      <c r="G57" t="n">
        <v>1103049340.624604</v>
      </c>
      <c r="H57" t="n">
        <v>690272587.1165936</v>
      </c>
      <c r="I57" t="n">
        <v>1384109738.990885</v>
      </c>
      <c r="J57" t="inlineStr">
        <is>
          <t>complete</t>
        </is>
      </c>
      <c r="K57" t="inlineStr"/>
      <c r="L57" t="inlineStr">
        <is>
          <t>NPPExtraction/output/years/2003/c3a820791e3378ef/provenance.json</t>
        </is>
      </c>
      <c r="M57" t="n">
        <v>5</v>
      </c>
      <c r="N57" t="inlineStr">
        <is>
          <t>antoinemorel;vgpm;eppley;cbpm;cafe</t>
        </is>
      </c>
      <c r="O57" t="inlineStr">
        <is>
          <t>common mask</t>
        </is>
      </c>
    </row>
    <row r="58">
      <c r="A58" t="n">
        <v>2004</v>
      </c>
      <c r="B58" t="n">
        <v>1094063525.834636</v>
      </c>
      <c r="C58" t="n">
        <v>693624247.5045226</v>
      </c>
      <c r="D58" t="n">
        <v>1375440295.755835</v>
      </c>
      <c r="E58" t="n">
        <v>1192813046.576537</v>
      </c>
      <c r="F58" t="n">
        <v>772873000.9031225</v>
      </c>
      <c r="G58" t="n">
        <v>1094063525.834636</v>
      </c>
      <c r="H58" t="n">
        <v>693624247.5045226</v>
      </c>
      <c r="I58" t="n">
        <v>1375440295.755835</v>
      </c>
      <c r="J58" t="inlineStr">
        <is>
          <t>complete</t>
        </is>
      </c>
      <c r="K58" t="inlineStr"/>
      <c r="L58" t="inlineStr">
        <is>
          <t>NPPExtraction/output/years/2004/f4cd3b4c7fc3dd8b/provenance.json</t>
        </is>
      </c>
      <c r="M58" t="n">
        <v>5</v>
      </c>
      <c r="N58" t="inlineStr">
        <is>
          <t>antoinemorel;vgpm;eppley;cbpm;cafe</t>
        </is>
      </c>
      <c r="O58" t="inlineStr">
        <is>
          <t>common mask</t>
        </is>
      </c>
    </row>
    <row r="59">
      <c r="A59" t="n">
        <v>2005</v>
      </c>
      <c r="B59" t="n">
        <v>1055123694.584889</v>
      </c>
      <c r="C59" t="n">
        <v>671845045.5030282</v>
      </c>
      <c r="D59" t="n">
        <v>1349823951.46395</v>
      </c>
      <c r="E59" t="n">
        <v>1136415917.508255</v>
      </c>
      <c r="F59" t="n">
        <v>761670233.1589079</v>
      </c>
      <c r="G59" t="n">
        <v>1055123694.584889</v>
      </c>
      <c r="H59" t="n">
        <v>671845045.5030282</v>
      </c>
      <c r="I59" t="n">
        <v>1349823951.46395</v>
      </c>
      <c r="J59" t="inlineStr">
        <is>
          <t>complete</t>
        </is>
      </c>
      <c r="K59" t="inlineStr"/>
      <c r="L59" t="inlineStr">
        <is>
          <t>NPPExtraction/output/years/2005/4bdcca026379c2bd/provenance.json</t>
        </is>
      </c>
      <c r="M59" t="n">
        <v>5</v>
      </c>
      <c r="N59" t="inlineStr">
        <is>
          <t>antoinemorel;vgpm;eppley;cbpm;cafe</t>
        </is>
      </c>
      <c r="O59" t="inlineStr">
        <is>
          <t>common mask</t>
        </is>
      </c>
    </row>
    <row r="60">
      <c r="A60" t="n">
        <v>2006</v>
      </c>
      <c r="B60" t="n">
        <v>1064649295.712878</v>
      </c>
      <c r="C60" t="n">
        <v>672400997.5348959</v>
      </c>
      <c r="D60" t="n">
        <v>1331352907.471845</v>
      </c>
      <c r="E60" t="n">
        <v>1145087224.142555</v>
      </c>
      <c r="F60" t="n">
        <v>763526439.5303926</v>
      </c>
      <c r="G60" t="n">
        <v>1064649295.712878</v>
      </c>
      <c r="H60" t="n">
        <v>672400997.5348959</v>
      </c>
      <c r="I60" t="n">
        <v>1331352907.471845</v>
      </c>
      <c r="J60" t="inlineStr">
        <is>
          <t>complete</t>
        </is>
      </c>
      <c r="K60" t="inlineStr"/>
      <c r="L60" t="inlineStr">
        <is>
          <t>NPPExtraction/output/years/2006/3ea13e28f3d7c994/provenance.json</t>
        </is>
      </c>
      <c r="M60" t="n">
        <v>5</v>
      </c>
      <c r="N60" t="inlineStr">
        <is>
          <t>antoinemorel;vgpm;eppley;cbpm;cafe</t>
        </is>
      </c>
      <c r="O60" t="inlineStr">
        <is>
          <t>common mask</t>
        </is>
      </c>
    </row>
    <row r="61">
      <c r="A61" t="n">
        <v>2007</v>
      </c>
      <c r="B61" t="n">
        <v>1102598950.528388</v>
      </c>
      <c r="C61" t="n">
        <v>702124228.1200892</v>
      </c>
      <c r="D61" t="n">
        <v>1378401248.404065</v>
      </c>
      <c r="E61" t="n">
        <v>1173491345.207545</v>
      </c>
      <c r="F61" t="n">
        <v>773935784.525332</v>
      </c>
      <c r="G61" t="n">
        <v>1102598950.528388</v>
      </c>
      <c r="H61" t="n">
        <v>702124228.1200892</v>
      </c>
      <c r="I61" t="n">
        <v>1378401248.404065</v>
      </c>
      <c r="J61" t="inlineStr">
        <is>
          <t>complete</t>
        </is>
      </c>
      <c r="K61" t="inlineStr"/>
      <c r="L61" t="inlineStr">
        <is>
          <t>NPPExtraction/output/years/2007/af2057f32254ca19/provenance.json</t>
        </is>
      </c>
      <c r="M61" t="n">
        <v>5</v>
      </c>
      <c r="N61" t="inlineStr">
        <is>
          <t>antoinemorel;vgpm;eppley;cbpm;cafe</t>
        </is>
      </c>
      <c r="O61" t="inlineStr">
        <is>
          <t>common mask</t>
        </is>
      </c>
    </row>
    <row r="62">
      <c r="A62" t="n">
        <v>2008</v>
      </c>
      <c r="B62" t="n">
        <v>1056732627.298182</v>
      </c>
      <c r="C62" t="n">
        <v>665733797.6501563</v>
      </c>
      <c r="D62" t="n">
        <v>1316392903.901592</v>
      </c>
      <c r="E62" t="n">
        <v>1116790098.188539</v>
      </c>
      <c r="F62" t="n">
        <v>728936806.6761485</v>
      </c>
      <c r="G62" t="n">
        <v>1056732627.298182</v>
      </c>
      <c r="H62" t="n">
        <v>665733797.6501563</v>
      </c>
      <c r="I62" t="n">
        <v>1316392903.901592</v>
      </c>
      <c r="J62" t="inlineStr">
        <is>
          <t>complete</t>
        </is>
      </c>
      <c r="K62" t="inlineStr"/>
      <c r="L62" t="inlineStr">
        <is>
          <t>NPPExtraction/output/years/2008/51e4a448b1f4148f/provenance.json</t>
        </is>
      </c>
      <c r="M62" t="n">
        <v>5</v>
      </c>
      <c r="N62" t="inlineStr">
        <is>
          <t>antoinemorel;vgpm;eppley;cbpm;cafe</t>
        </is>
      </c>
      <c r="O62" t="inlineStr">
        <is>
          <t>common mask</t>
        </is>
      </c>
    </row>
    <row r="63">
      <c r="A63" t="n">
        <v>2009</v>
      </c>
      <c r="B63" t="n">
        <v>1056047785.482381</v>
      </c>
      <c r="C63" t="n">
        <v>661758586.9731567</v>
      </c>
      <c r="D63" t="n">
        <v>1321312120.404469</v>
      </c>
      <c r="E63" t="n">
        <v>1152293203.524459</v>
      </c>
      <c r="F63" t="n">
        <v>696350225.0158243</v>
      </c>
      <c r="G63" t="n">
        <v>1056047785.482381</v>
      </c>
      <c r="H63" t="n">
        <v>661758586.9731567</v>
      </c>
      <c r="I63" t="n">
        <v>1321312120.404469</v>
      </c>
      <c r="J63" t="inlineStr">
        <is>
          <t>complete</t>
        </is>
      </c>
      <c r="K63" t="inlineStr"/>
      <c r="L63" t="inlineStr">
        <is>
          <t>NPPExtraction/output/years/2009/d16425bc4ac9cb7d/provenance.json</t>
        </is>
      </c>
      <c r="M63" t="n">
        <v>5</v>
      </c>
      <c r="N63" t="inlineStr">
        <is>
          <t>antoinemorel;vgpm;eppley;cbpm;cafe</t>
        </is>
      </c>
      <c r="O63" t="inlineStr">
        <is>
          <t>common mask</t>
        </is>
      </c>
    </row>
    <row r="64">
      <c r="A64" t="n">
        <v>2010</v>
      </c>
      <c r="B64" t="n">
        <v>1070938474.570226</v>
      </c>
      <c r="C64" t="n">
        <v>666891120.6896943</v>
      </c>
      <c r="D64" t="n">
        <v>1368452617.042153</v>
      </c>
      <c r="E64" t="n">
        <v>1141486989.10424</v>
      </c>
      <c r="F64" t="n">
        <v>681944900.2058287</v>
      </c>
      <c r="G64" t="n">
        <v>1070938474.570226</v>
      </c>
      <c r="H64" t="n">
        <v>666891120.6896943</v>
      </c>
      <c r="I64" t="n">
        <v>1368452617.042153</v>
      </c>
      <c r="J64" t="inlineStr">
        <is>
          <t>complete</t>
        </is>
      </c>
      <c r="K64" t="inlineStr"/>
      <c r="L64" t="inlineStr">
        <is>
          <t>NPPExtraction/output/years/2010/5d2cc2c9685a81c9/provenance.json</t>
        </is>
      </c>
      <c r="M64" t="n">
        <v>5</v>
      </c>
      <c r="N64" t="inlineStr">
        <is>
          <t>antoinemorel;vgpm;eppley;cbpm;cafe</t>
        </is>
      </c>
      <c r="O64" t="inlineStr">
        <is>
          <t>common mask</t>
        </is>
      </c>
    </row>
    <row r="65">
      <c r="A65" t="n">
        <v>2011</v>
      </c>
      <c r="B65" t="n">
        <v>1033081612.958698</v>
      </c>
      <c r="C65" t="n">
        <v>656653367.275522</v>
      </c>
      <c r="D65" t="n">
        <v>1296970209.538599</v>
      </c>
      <c r="E65" t="n">
        <v>1106777142.153213</v>
      </c>
      <c r="F65" t="n">
        <v>710863732.0353944</v>
      </c>
      <c r="G65" t="n">
        <v>1033081612.958698</v>
      </c>
      <c r="H65" t="n">
        <v>656653367.275522</v>
      </c>
      <c r="I65" t="n">
        <v>1296970209.538599</v>
      </c>
      <c r="J65" t="inlineStr">
        <is>
          <t>complete</t>
        </is>
      </c>
      <c r="K65" t="inlineStr"/>
      <c r="L65" t="inlineStr">
        <is>
          <t>NPPExtraction/output/years/2011/a6c24b780ceeb354/provenance.json</t>
        </is>
      </c>
      <c r="M65" t="n">
        <v>5</v>
      </c>
      <c r="N65" t="inlineStr">
        <is>
          <t>antoinemorel;vgpm;eppley;cbpm;cafe</t>
        </is>
      </c>
      <c r="O65" t="inlineStr">
        <is>
          <t>common mask</t>
        </is>
      </c>
    </row>
    <row r="66">
      <c r="A66" t="n">
        <v>2012</v>
      </c>
      <c r="B66" t="n">
        <v>1018633116.684713</v>
      </c>
      <c r="C66" t="n">
        <v>660848760.0231998</v>
      </c>
      <c r="D66" t="n">
        <v>1307852964.845809</v>
      </c>
      <c r="E66" t="n">
        <v>1112494532.360358</v>
      </c>
      <c r="F66" t="n">
        <v>676217821.6562175</v>
      </c>
      <c r="G66" t="n">
        <v>1018633116.684713</v>
      </c>
      <c r="H66" t="n">
        <v>660848760.0231998</v>
      </c>
      <c r="I66" t="n">
        <v>1307852964.845809</v>
      </c>
      <c r="J66" t="inlineStr">
        <is>
          <t>complete</t>
        </is>
      </c>
      <c r="K66" t="inlineStr"/>
      <c r="L66" t="inlineStr">
        <is>
          <t>NPPExtraction/output/years/2012/2fd3c52e363d2259/provenance.json</t>
        </is>
      </c>
      <c r="M66" t="n">
        <v>5</v>
      </c>
      <c r="N66" t="inlineStr">
        <is>
          <t>antoinemorel;vgpm;eppley;cbpm;cafe</t>
        </is>
      </c>
      <c r="O66" t="inlineStr">
        <is>
          <t>common mask</t>
        </is>
      </c>
    </row>
    <row r="67">
      <c r="A67" t="n">
        <v>2013</v>
      </c>
      <c r="B67" t="n">
        <v>1003773777.305858</v>
      </c>
      <c r="C67" t="n">
        <v>663555234.3092204</v>
      </c>
      <c r="D67" t="n">
        <v>1309251495.52125</v>
      </c>
      <c r="E67" t="n">
        <v>1119634216.083778</v>
      </c>
      <c r="F67" t="n">
        <v>690533141.9025878</v>
      </c>
      <c r="G67" t="n">
        <v>1003773777.305858</v>
      </c>
      <c r="H67" t="n">
        <v>663555234.3092204</v>
      </c>
      <c r="I67" t="n">
        <v>1309251495.52125</v>
      </c>
      <c r="J67" t="inlineStr">
        <is>
          <t>complete</t>
        </is>
      </c>
      <c r="K67" t="inlineStr"/>
      <c r="L67" t="inlineStr">
        <is>
          <t>NPPExtraction/output/years/2013/821becabd572bab5/provenance.json</t>
        </is>
      </c>
      <c r="M67" t="n">
        <v>5</v>
      </c>
      <c r="N67" t="inlineStr">
        <is>
          <t>antoinemorel;vgpm;eppley;cbpm;cafe</t>
        </is>
      </c>
      <c r="O67" t="inlineStr">
        <is>
          <t>common mask</t>
        </is>
      </c>
    </row>
    <row r="68">
      <c r="A68" t="n">
        <v>2014</v>
      </c>
      <c r="B68" t="n">
        <v>1001189830.741554</v>
      </c>
      <c r="C68" t="n">
        <v>647316777.2208408</v>
      </c>
      <c r="D68" t="n">
        <v>1282393151.382568</v>
      </c>
      <c r="E68" t="n">
        <v>1100173294.9461</v>
      </c>
      <c r="F68" t="n">
        <v>742813618.7452222</v>
      </c>
      <c r="G68" t="n">
        <v>1001189830.741554</v>
      </c>
      <c r="H68" t="n">
        <v>647316777.2208408</v>
      </c>
      <c r="I68" t="n">
        <v>1282393151.382568</v>
      </c>
      <c r="J68" t="inlineStr">
        <is>
          <t>complete</t>
        </is>
      </c>
      <c r="K68" t="inlineStr"/>
      <c r="L68" t="inlineStr">
        <is>
          <t>NPPExtraction/output/years/2014/c9d1725dde41256d/provenance.json</t>
        </is>
      </c>
      <c r="M68" t="n">
        <v>5</v>
      </c>
      <c r="N68" t="inlineStr">
        <is>
          <t>antoinemorel;vgpm;eppley;cbpm;cafe</t>
        </is>
      </c>
      <c r="O68" t="inlineStr">
        <is>
          <t>common mask</t>
        </is>
      </c>
    </row>
    <row r="69">
      <c r="A69" t="n">
        <v>2015</v>
      </c>
      <c r="B69" t="n">
        <v>958578808.8420378</v>
      </c>
      <c r="C69" t="n">
        <v>615347341.3450303</v>
      </c>
      <c r="D69" t="n">
        <v>1251248486.058473</v>
      </c>
      <c r="E69" t="n">
        <v>1054793150.517105</v>
      </c>
      <c r="F69" t="n">
        <v>707635518.7618251</v>
      </c>
      <c r="G69" t="n">
        <v>958578808.8420378</v>
      </c>
      <c r="H69" t="n">
        <v>615347341.3450303</v>
      </c>
      <c r="I69" t="n">
        <v>1251248486.058473</v>
      </c>
      <c r="J69" t="inlineStr">
        <is>
          <t>complete</t>
        </is>
      </c>
      <c r="K69" t="inlineStr"/>
      <c r="L69" t="inlineStr">
        <is>
          <t>NPPExtraction/output/years/2015/9d39afaaa8b014f8/provenance.json</t>
        </is>
      </c>
      <c r="M69" t="n">
        <v>5</v>
      </c>
      <c r="N69" t="inlineStr">
        <is>
          <t>antoinemorel;vgpm;eppley;cbpm;cafe</t>
        </is>
      </c>
      <c r="O69" t="inlineStr">
        <is>
          <t>common mask</t>
        </is>
      </c>
    </row>
    <row r="70">
      <c r="A70" t="n">
        <v>2016</v>
      </c>
      <c r="B70" t="n">
        <v>1048409887.766968</v>
      </c>
      <c r="C70" t="n">
        <v>660433344.1300194</v>
      </c>
      <c r="D70" t="n">
        <v>1354825397.458954</v>
      </c>
      <c r="E70" t="n">
        <v>1132565654.68048</v>
      </c>
      <c r="F70" t="n">
        <v>720877434.5661628</v>
      </c>
      <c r="G70" t="n">
        <v>1048409887.766968</v>
      </c>
      <c r="H70" t="n">
        <v>660433344.1300194</v>
      </c>
      <c r="I70" t="n">
        <v>1354825397.458954</v>
      </c>
      <c r="J70" t="inlineStr">
        <is>
          <t>complete</t>
        </is>
      </c>
      <c r="K70" t="inlineStr"/>
      <c r="L70" t="inlineStr">
        <is>
          <t>NPPExtraction/output/years/2016/cfbe2d742214e408/provenance.json</t>
        </is>
      </c>
      <c r="M70" t="n">
        <v>5</v>
      </c>
      <c r="N70" t="inlineStr">
        <is>
          <t>antoinemorel;vgpm;eppley;cbpm;cafe</t>
        </is>
      </c>
      <c r="O70" t="inlineStr">
        <is>
          <t>common mask</t>
        </is>
      </c>
    </row>
    <row r="71">
      <c r="A71" t="n">
        <v>2017</v>
      </c>
      <c r="B71" t="n">
        <v>1064155251.880129</v>
      </c>
      <c r="C71" t="n">
        <v>680137004.0237533</v>
      </c>
      <c r="D71" t="n">
        <v>1380866610.87711</v>
      </c>
      <c r="E71" t="n">
        <v>1152062624.330576</v>
      </c>
      <c r="F71" t="n">
        <v>742160900.245548</v>
      </c>
      <c r="G71" t="n">
        <v>1064155251.880129</v>
      </c>
      <c r="H71" t="n">
        <v>680137004.0237533</v>
      </c>
      <c r="I71" t="n">
        <v>1380866610.87711</v>
      </c>
      <c r="J71" t="inlineStr">
        <is>
          <t>complete</t>
        </is>
      </c>
      <c r="K71" t="inlineStr"/>
      <c r="L71" t="inlineStr">
        <is>
          <t>NPPExtraction/output/years/2017/e85bc3c6652e1ebf/provenance.json</t>
        </is>
      </c>
      <c r="M71" t="n">
        <v>5</v>
      </c>
      <c r="N71" t="inlineStr">
        <is>
          <t>antoinemorel;vgpm;eppley;cbpm;cafe</t>
        </is>
      </c>
      <c r="O71" t="inlineStr">
        <is>
          <t>common mask</t>
        </is>
      </c>
    </row>
    <row r="72">
      <c r="A72" t="n">
        <v>2018</v>
      </c>
      <c r="B72" t="n">
        <v>1062446158.439333</v>
      </c>
      <c r="C72" t="n">
        <v>678709193.4617138</v>
      </c>
      <c r="D72" t="n">
        <v>1353797420.606478</v>
      </c>
      <c r="E72" t="n">
        <v>1128735825.82196</v>
      </c>
      <c r="F72" t="n">
        <v>700720349.5330235</v>
      </c>
      <c r="G72" t="n">
        <v>1062446158.439333</v>
      </c>
      <c r="H72" t="n">
        <v>678709193.4617138</v>
      </c>
      <c r="I72" t="n">
        <v>1353797420.606478</v>
      </c>
      <c r="J72" t="inlineStr">
        <is>
          <t>complete</t>
        </is>
      </c>
      <c r="K72" t="inlineStr"/>
      <c r="L72" t="inlineStr">
        <is>
          <t>NPPExtraction/output/years/2018/786b5184701484b9/provenance.json</t>
        </is>
      </c>
      <c r="M72" t="n">
        <v>5</v>
      </c>
      <c r="N72" t="inlineStr">
        <is>
          <t>antoinemorel;vgpm;eppley;cbpm;cafe</t>
        </is>
      </c>
      <c r="O72" t="inlineStr">
        <is>
          <t>common mask</t>
        </is>
      </c>
    </row>
    <row r="73">
      <c r="A73" t="n">
        <v>2019</v>
      </c>
      <c r="B73" t="n">
        <v>1061393189.797717</v>
      </c>
      <c r="C73" t="n">
        <v>669285822.7316558</v>
      </c>
      <c r="D73" t="n">
        <v>1368350608.928149</v>
      </c>
      <c r="E73" t="n">
        <v>1159209479.763392</v>
      </c>
      <c r="F73" t="n">
        <v>683166785.2769605</v>
      </c>
      <c r="G73" t="n">
        <v>1061393189.797717</v>
      </c>
      <c r="H73" t="n">
        <v>669285822.7316558</v>
      </c>
      <c r="I73" t="n">
        <v>1368350608.928149</v>
      </c>
      <c r="J73" t="inlineStr">
        <is>
          <t>complete</t>
        </is>
      </c>
      <c r="K73" t="inlineStr"/>
      <c r="L73" t="inlineStr">
        <is>
          <t>NPPExtraction/output/years/2019/e82a6f61f15e47c4/provenance.json</t>
        </is>
      </c>
      <c r="M73" t="n">
        <v>5</v>
      </c>
      <c r="N73" t="inlineStr">
        <is>
          <t>antoinemorel;vgpm;eppley;cbpm;cafe</t>
        </is>
      </c>
      <c r="O73" t="inlineStr">
        <is>
          <t>common mask</t>
        </is>
      </c>
    </row>
  </sheetData>
  <autoFilter ref="A3:O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2026-09-11T15:48:50Z</dcterms:created>
  <dcterms:modified xsi:type="dcterms:W3CDTF">2026-09-11T15:48:54Z</dcterms:modified>
</cp:coreProperties>
</file>